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25" codeName="{51196F13-6AD0-C1B8-E2B4-A1F9AE17003E}"/>
  <workbookPr codeName="DieseArbeitsmappe"/>
  <mc:AlternateContent xmlns:mc="http://schemas.openxmlformats.org/markup-compatibility/2006">
    <mc:Choice Requires="x15">
      <x15ac:absPath xmlns:x15ac="http://schemas.microsoft.com/office/spreadsheetml/2010/11/ac" url="C:\Users\Karen Hubbard\Desktop\Venders\Sky Frame\"/>
    </mc:Choice>
  </mc:AlternateContent>
  <xr:revisionPtr revIDLastSave="0" documentId="13_ncr:1_{7E7881DD-26BB-42DF-A715-DB43E8248396}" xr6:coauthVersionLast="34" xr6:coauthVersionMax="34" xr10:uidLastSave="{00000000-0000-0000-0000-000000000000}"/>
  <workbookProtection workbookPassword="D424" lockStructure="1"/>
  <bookViews>
    <workbookView xWindow="0" yWindow="0" windowWidth="21570" windowHeight="7245" tabRatio="796" xr2:uid="{00000000-000D-0000-FFFF-FFFF00000000}"/>
  </bookViews>
  <sheets>
    <sheet name="ELEMENT" sheetId="1" r:id="rId1"/>
    <sheet name="MONTAGE" sheetId="4" r:id="rId2"/>
    <sheet name="OPTION" sheetId="8" r:id="rId3"/>
    <sheet name="OFFERT 1" sheetId="5" r:id="rId4"/>
    <sheet name="OFFERT 2" sheetId="15" r:id="rId5"/>
    <sheet name="OFFERT 3" sheetId="26" r:id="rId6"/>
    <sheet name="OFFERT 4" sheetId="14" r:id="rId7"/>
    <sheet name="OFFERT 5" sheetId="10" r:id="rId8"/>
    <sheet name="VZ" sheetId="7" state="hidden" r:id="rId9"/>
    <sheet name="Sprache" sheetId="6" r:id="rId10"/>
    <sheet name="S1" sheetId="21" state="hidden" r:id="rId11"/>
    <sheet name="S2" sheetId="17" state="hidden" r:id="rId12"/>
    <sheet name="S3" sheetId="18" state="hidden" r:id="rId13"/>
    <sheet name="S3M" sheetId="22" state="hidden" r:id="rId14"/>
    <sheet name="Kalkschema" sheetId="16" r:id="rId15"/>
    <sheet name="Glas" sheetId="19" r:id="rId16"/>
    <sheet name="Uw" sheetId="20" r:id="rId17"/>
  </sheets>
  <externalReferences>
    <externalReference r:id="rId18"/>
    <externalReference r:id="rId19"/>
  </externalReferences>
  <definedNames>
    <definedName name="_xlnm._FilterDatabase" localSheetId="0" hidden="1">ELEMENT!$B$46:$D$47</definedName>
    <definedName name="_xlnm._FilterDatabase" localSheetId="1" hidden="1">MONTAGE!$B$1:$AK$47</definedName>
    <definedName name="aaa" localSheetId="5">'OFFERT 1'!#REF!</definedName>
    <definedName name="aaa">'OFFERT 1'!#REF!</definedName>
    <definedName name="adasded" localSheetId="5">'OFFERT 1'!#REF!</definedName>
    <definedName name="adasded">'OFFERT 1'!#REF!</definedName>
    <definedName name="asdf" localSheetId="15">'OFFERT 1'!#REF!</definedName>
    <definedName name="asdf" localSheetId="4">'OFFERT 1'!#REF!</definedName>
    <definedName name="asdf" localSheetId="5">'OFFERT 1'!#REF!</definedName>
    <definedName name="asdf" localSheetId="6">'OFFERT 1'!#REF!</definedName>
    <definedName name="asdf" localSheetId="10">'OFFERT 1'!#REF!</definedName>
    <definedName name="asdf" localSheetId="11">'OFFERT 1'!#REF!</definedName>
    <definedName name="asdf" localSheetId="12">'[1]OFFERT 1'!#REF!</definedName>
    <definedName name="asdf" localSheetId="16">'[2]OFFERT 1'!#REF!</definedName>
    <definedName name="asdf">'OFFERT 1'!#REF!</definedName>
    <definedName name="asdfasfd" localSheetId="15">'OFFERT 1'!#REF!</definedName>
    <definedName name="asdfasfd" localSheetId="4">'OFFERT 1'!#REF!</definedName>
    <definedName name="asdfasfd" localSheetId="5">'OFFERT 1'!#REF!</definedName>
    <definedName name="asdfasfd" localSheetId="6">'OFFERT 1'!#REF!</definedName>
    <definedName name="asdfasfd" localSheetId="10">'OFFERT 1'!#REF!</definedName>
    <definedName name="asdfasfd" localSheetId="11">'OFFERT 1'!#REF!</definedName>
    <definedName name="asdfasfd" localSheetId="12">'[1]OFFERT 1'!#REF!</definedName>
    <definedName name="asdfasfd" localSheetId="16">'[2]OFFERT 1'!#REF!</definedName>
    <definedName name="asdfasfd">'OFFERT 1'!#REF!</definedName>
    <definedName name="LS" localSheetId="15">'OFFERT 1'!#REF!</definedName>
    <definedName name="LS" localSheetId="4">'OFFERT 2'!#REF!</definedName>
    <definedName name="LS" localSheetId="5">'OFFERT 3'!#REF!</definedName>
    <definedName name="LS" localSheetId="6">'OFFERT 4'!#REF!</definedName>
    <definedName name="LS" localSheetId="7">'OFFERT 5'!#REF!</definedName>
    <definedName name="LS" localSheetId="10">'OFFERT 1'!#REF!</definedName>
    <definedName name="LS" localSheetId="11">'OFFERT 1'!#REF!</definedName>
    <definedName name="LS" localSheetId="12">'[1]OFFERT 1'!#REF!</definedName>
    <definedName name="LS" localSheetId="16">'[2]OFFERT 1'!#REF!</definedName>
    <definedName name="LS" localSheetId="8">VZ!$N$8</definedName>
    <definedName name="LS">'OFFERT 1'!#REF!</definedName>
    <definedName name="OFFERT6" localSheetId="15">'OFFERT 1'!#REF!</definedName>
    <definedName name="OFFERT6" localSheetId="4">'OFFERT 1'!#REF!</definedName>
    <definedName name="OFFERT6" localSheetId="5">'OFFERT 1'!#REF!</definedName>
    <definedName name="OFFERT6" localSheetId="10">'OFFERT 1'!#REF!</definedName>
    <definedName name="OFFERT6" localSheetId="11">'OFFERT 1'!#REF!</definedName>
    <definedName name="OFFERT6" localSheetId="12">'[1]OFFERT 1'!#REF!</definedName>
    <definedName name="OFFERT6" localSheetId="16">'[2]OFFERT 1'!#REF!</definedName>
    <definedName name="OFFERT6">'OFFERT 1'!#REF!</definedName>
    <definedName name="_xlnm.Print_Area" localSheetId="0">ELEMENT!$A$1:$AH$47</definedName>
    <definedName name="_xlnm.Print_Area" localSheetId="1">MONTAGE!$B$1:$AZ$48</definedName>
    <definedName name="_xlnm.Print_Area" localSheetId="3">'OFFERT 1'!$B$1:$F$95</definedName>
    <definedName name="_xlnm.Print_Area" localSheetId="4">'OFFERT 2'!$B$1:$G$71</definedName>
    <definedName name="_xlnm.Print_Area" localSheetId="5">'OFFERT 3'!$B$1:$G$163</definedName>
    <definedName name="_xlnm.Print_Area" localSheetId="6">'OFFERT 4'!$B$1:$T$49</definedName>
    <definedName name="_xlnm.Print_Area" localSheetId="7">'OFFERT 5'!$B$1:$AX$49</definedName>
    <definedName name="_xlnm.Print_Area" localSheetId="2">OPTION!$A$1:$J$17</definedName>
    <definedName name="_xlnm.Print_Area" localSheetId="10">'S1'!$AZ$5:$CF$65</definedName>
    <definedName name="_xlnm.Print_Area" localSheetId="11">'S2'!$AZ$5:$CF$65</definedName>
    <definedName name="_xlnm.Print_Area" localSheetId="12">'S3'!$AZ$5:$CF$65</definedName>
    <definedName name="_xlnm.Print_Area" localSheetId="16">Uw!$A$1:$BM$50</definedName>
    <definedName name="_xlnm.Print_Area" localSheetId="8">VZ!$B$1:$F$49</definedName>
    <definedName name="_xlnm.Print_Titles" localSheetId="1">MONTAGE!$B:$H</definedName>
    <definedName name="_xlnm.Print_Titles" localSheetId="3">'OFFERT 1'!$1:$6</definedName>
    <definedName name="_xlnm.Print_Titles" localSheetId="4">'OFFERT 2'!$1:$6</definedName>
    <definedName name="_xlnm.Print_Titles" localSheetId="5">'OFFERT 3'!$1:$6</definedName>
    <definedName name="_xlnm.Print_Titles" localSheetId="6">'OFFERT 4'!$1:$7</definedName>
    <definedName name="_xlnm.Print_Titles" localSheetId="7">'OFFERT 5'!$A:$D,'OFFERT 5'!$1:$7</definedName>
    <definedName name="rwar" localSheetId="15">'OFFERT 1'!#REF!</definedName>
    <definedName name="rwar" localSheetId="4">'OFFERT 2'!#REF!</definedName>
    <definedName name="rwar" localSheetId="5">'OFFERT 3'!#REF!</definedName>
    <definedName name="rwar" localSheetId="6">'OFFERT 1'!#REF!</definedName>
    <definedName name="rwar" localSheetId="10">'OFFERT 1'!#REF!</definedName>
    <definedName name="rwar" localSheetId="11">'OFFERT 1'!#REF!</definedName>
    <definedName name="rwar" localSheetId="12">'[1]OFFERT 1'!#REF!</definedName>
    <definedName name="rwar" localSheetId="16">'[2]OFFERT 1'!#REF!</definedName>
    <definedName name="rwar">'OFFERT 1'!#REF!</definedName>
    <definedName name="sdf" localSheetId="15">'OFFERT 1'!#REF!</definedName>
    <definedName name="sdf" localSheetId="4">'OFFERT 1'!#REF!</definedName>
    <definedName name="sdf" localSheetId="5">'OFFERT 1'!#REF!</definedName>
    <definedName name="sdf" localSheetId="6">'OFFERT 1'!#REF!</definedName>
    <definedName name="sdf" localSheetId="10">'OFFERT 1'!#REF!</definedName>
    <definedName name="sdf" localSheetId="11">'OFFERT 1'!#REF!</definedName>
    <definedName name="sdf" localSheetId="12">'[1]OFFERT 1'!#REF!</definedName>
    <definedName name="sdf" localSheetId="16">'[2]OFFERT 1'!#REF!</definedName>
    <definedName name="sdf">'OFFERT 1'!#REF!</definedName>
    <definedName name="Z_B83AD736_B578_4981_A8D9_D460B2451401_.wvu.Cols" localSheetId="1" hidden="1">MONTAGE!#REF!</definedName>
    <definedName name="Z_B83AD736_B578_4981_A8D9_D460B2451401_.wvu.Cols" localSheetId="3" hidden="1">'OFFERT 1'!#REF!</definedName>
    <definedName name="Z_B83AD736_B578_4981_A8D9_D460B2451401_.wvu.Cols" localSheetId="4" hidden="1">'OFFERT 2'!#REF!</definedName>
    <definedName name="Z_B83AD736_B578_4981_A8D9_D460B2451401_.wvu.Cols" localSheetId="5" hidden="1">'OFFERT 3'!#REF!</definedName>
    <definedName name="Z_B83AD736_B578_4981_A8D9_D460B2451401_.wvu.Cols" localSheetId="6" hidden="1">'OFFERT 4'!#REF!</definedName>
    <definedName name="Z_B83AD736_B578_4981_A8D9_D460B2451401_.wvu.Cols" localSheetId="7" hidden="1">'OFFERT 5'!#REF!</definedName>
    <definedName name="Z_B83AD736_B578_4981_A8D9_D460B2451401_.wvu.Cols" localSheetId="8" hidden="1">VZ!#REF!</definedName>
    <definedName name="Z_B83AD736_B578_4981_A8D9_D460B2451401_.wvu.PrintArea" localSheetId="1" hidden="1">MONTAGE!$B$5:$O$47</definedName>
    <definedName name="Z_B83AD736_B578_4981_A8D9_D460B2451401_.wvu.PrintArea" localSheetId="3" hidden="1">'OFFERT 1'!#REF!</definedName>
    <definedName name="Z_B83AD736_B578_4981_A8D9_D460B2451401_.wvu.PrintArea" localSheetId="4" hidden="1">'OFFERT 2'!#REF!</definedName>
    <definedName name="Z_B83AD736_B578_4981_A8D9_D460B2451401_.wvu.PrintArea" localSheetId="5" hidden="1">'OFFERT 3'!#REF!</definedName>
    <definedName name="Z_B83AD736_B578_4981_A8D9_D460B2451401_.wvu.PrintArea" localSheetId="6" hidden="1">'OFFERT 4'!#REF!</definedName>
    <definedName name="Z_B83AD736_B578_4981_A8D9_D460B2451401_.wvu.PrintArea" localSheetId="7" hidden="1">'OFFERT 5'!#REF!</definedName>
    <definedName name="Z_B83AD736_B578_4981_A8D9_D460B2451401_.wvu.PrintArea" localSheetId="8" hidden="1">VZ!#REF!</definedName>
    <definedName name="ZU" localSheetId="15">'OFFERT 1'!#REF!</definedName>
    <definedName name="ZU" localSheetId="4">'OFFERT 2'!#REF!</definedName>
    <definedName name="ZU" localSheetId="5">'OFFERT 3'!#REF!</definedName>
    <definedName name="ZU" localSheetId="6">'OFFERT 4'!#REF!</definedName>
    <definedName name="ZU" localSheetId="7">'OFFERT 5'!#REF!</definedName>
    <definedName name="ZU" localSheetId="10">'OFFERT 1'!#REF!</definedName>
    <definedName name="ZU" localSheetId="11">'OFFERT 1'!#REF!</definedName>
    <definedName name="ZU" localSheetId="12">'[1]OFFERT 1'!#REF!</definedName>
    <definedName name="ZU" localSheetId="16">'[2]OFFERT 1'!#REF!</definedName>
    <definedName name="ZU" localSheetId="8">VZ!$N$9</definedName>
    <definedName name="ZU">'OFFERT 1'!#REF!</definedName>
  </definedNames>
  <calcPr calcId="179021"/>
</workbook>
</file>

<file path=xl/calcChain.xml><?xml version="1.0" encoding="utf-8"?>
<calcChain xmlns="http://schemas.openxmlformats.org/spreadsheetml/2006/main">
  <c r="B142" i="26" l="1"/>
  <c r="AX6" i="1" l="1"/>
  <c r="AH10" i="7" s="1"/>
  <c r="AX7" i="1"/>
  <c r="AX8" i="1"/>
  <c r="AH12" i="7" s="1"/>
  <c r="AX9" i="1"/>
  <c r="AH13" i="7" s="1"/>
  <c r="AX10" i="1"/>
  <c r="AH14" i="7" s="1"/>
  <c r="AX11" i="1"/>
  <c r="AH15" i="7" s="1"/>
  <c r="AX12" i="1"/>
  <c r="AH16" i="7" s="1"/>
  <c r="AX13" i="1"/>
  <c r="AH17" i="7" s="1"/>
  <c r="AX14" i="1"/>
  <c r="AH18" i="7" s="1"/>
  <c r="AX15" i="1"/>
  <c r="AX16" i="1"/>
  <c r="AH20" i="7" s="1"/>
  <c r="AX17" i="1"/>
  <c r="AH21" i="7" s="1"/>
  <c r="AX18" i="1"/>
  <c r="AH22" i="7" s="1"/>
  <c r="AX19" i="1"/>
  <c r="AH23" i="7" s="1"/>
  <c r="AX20" i="1"/>
  <c r="AH24" i="7" s="1"/>
  <c r="AX21" i="1"/>
  <c r="AH25" i="7" s="1"/>
  <c r="AX22" i="1"/>
  <c r="AH26" i="7" s="1"/>
  <c r="AX23" i="1"/>
  <c r="AX24" i="1"/>
  <c r="AH28" i="7" s="1"/>
  <c r="AX25" i="1"/>
  <c r="AH29" i="7" s="1"/>
  <c r="AX26" i="1"/>
  <c r="AH30" i="7" s="1"/>
  <c r="AX27" i="1"/>
  <c r="AH31" i="7" s="1"/>
  <c r="AX28" i="1"/>
  <c r="AH32" i="7" s="1"/>
  <c r="AX29" i="1"/>
  <c r="AH33" i="7" s="1"/>
  <c r="AX30" i="1"/>
  <c r="AX31" i="1"/>
  <c r="AH35" i="7" s="1"/>
  <c r="AX32" i="1"/>
  <c r="AH36" i="7" s="1"/>
  <c r="AX33" i="1"/>
  <c r="AH37" i="7" s="1"/>
  <c r="AX34" i="1"/>
  <c r="AH38" i="7" s="1"/>
  <c r="AX35" i="1"/>
  <c r="AX36" i="1"/>
  <c r="AH40" i="7" s="1"/>
  <c r="AX37" i="1"/>
  <c r="AH41" i="7" s="1"/>
  <c r="AX38" i="1"/>
  <c r="AH42" i="7" s="1"/>
  <c r="AX39" i="1"/>
  <c r="AX40" i="1"/>
  <c r="AH44" i="7" s="1"/>
  <c r="AX41" i="1"/>
  <c r="AH45" i="7" s="1"/>
  <c r="AX42" i="1"/>
  <c r="AH46" i="7" s="1"/>
  <c r="AX43" i="1"/>
  <c r="AX44" i="1"/>
  <c r="AH48" i="7" s="1"/>
  <c r="AX45" i="1"/>
  <c r="AH49" i="7" s="1"/>
  <c r="AX5" i="1"/>
  <c r="C126" i="26"/>
  <c r="B126" i="26"/>
  <c r="D124" i="26"/>
  <c r="C124" i="26"/>
  <c r="C123" i="26"/>
  <c r="B123" i="26"/>
  <c r="D122" i="26"/>
  <c r="C122" i="26"/>
  <c r="C121" i="26"/>
  <c r="B121" i="26"/>
  <c r="D120" i="26"/>
  <c r="C120" i="26"/>
  <c r="C119" i="26"/>
  <c r="B119" i="26"/>
  <c r="D118" i="26"/>
  <c r="C118" i="26"/>
  <c r="C117" i="26"/>
  <c r="B117" i="26"/>
  <c r="D116" i="26"/>
  <c r="C116" i="26"/>
  <c r="C115" i="26"/>
  <c r="B115" i="26"/>
  <c r="D114" i="26"/>
  <c r="C114" i="26"/>
  <c r="C113" i="26"/>
  <c r="B113" i="26"/>
  <c r="D112" i="26"/>
  <c r="C112" i="26"/>
  <c r="C111" i="26"/>
  <c r="B111" i="26"/>
  <c r="D110" i="26"/>
  <c r="C110" i="26"/>
  <c r="C109" i="26"/>
  <c r="B109" i="26"/>
  <c r="D108" i="26"/>
  <c r="C108" i="26"/>
  <c r="C107" i="26"/>
  <c r="B107" i="26"/>
  <c r="D106" i="26"/>
  <c r="C106" i="26"/>
  <c r="C105" i="26"/>
  <c r="B105" i="26"/>
  <c r="D104" i="26"/>
  <c r="C104" i="26"/>
  <c r="C103" i="26"/>
  <c r="B103" i="26"/>
  <c r="D102" i="26"/>
  <c r="C101" i="26"/>
  <c r="B101" i="26"/>
  <c r="D100" i="26"/>
  <c r="C99" i="26"/>
  <c r="B99" i="26"/>
  <c r="D98" i="26"/>
  <c r="C98" i="26"/>
  <c r="C97" i="26"/>
  <c r="B97" i="26"/>
  <c r="D70" i="15"/>
  <c r="D68" i="15"/>
  <c r="D66" i="15"/>
  <c r="D64" i="15"/>
  <c r="D62" i="15"/>
  <c r="D60" i="15"/>
  <c r="D58" i="15"/>
  <c r="D56" i="15"/>
  <c r="D54" i="15"/>
  <c r="D52" i="15"/>
  <c r="D50" i="15"/>
  <c r="D48" i="15"/>
  <c r="D46" i="15"/>
  <c r="D44" i="15"/>
  <c r="D42" i="15"/>
  <c r="C70" i="15"/>
  <c r="C68" i="15"/>
  <c r="C66" i="15"/>
  <c r="C64" i="15"/>
  <c r="C62" i="15"/>
  <c r="C60" i="15"/>
  <c r="C58" i="15"/>
  <c r="C56" i="15"/>
  <c r="C54" i="15"/>
  <c r="C52" i="15"/>
  <c r="C50" i="15"/>
  <c r="C48" i="15"/>
  <c r="C46" i="15"/>
  <c r="C44" i="15"/>
  <c r="C42" i="15"/>
  <c r="C35" i="15"/>
  <c r="C69" i="15"/>
  <c r="C67" i="15"/>
  <c r="C65" i="15"/>
  <c r="C63" i="15"/>
  <c r="C61" i="15"/>
  <c r="C59" i="15"/>
  <c r="C57" i="15"/>
  <c r="C55" i="15"/>
  <c r="C53" i="15"/>
  <c r="C51" i="15"/>
  <c r="C49" i="15"/>
  <c r="C47" i="15"/>
  <c r="C45" i="15"/>
  <c r="C43" i="15"/>
  <c r="C41" i="15"/>
  <c r="B69" i="15"/>
  <c r="B67" i="15"/>
  <c r="B65" i="15"/>
  <c r="B63" i="15"/>
  <c r="B61" i="15"/>
  <c r="B59" i="15"/>
  <c r="B57" i="15"/>
  <c r="B55" i="15"/>
  <c r="B53" i="15"/>
  <c r="B51" i="15"/>
  <c r="B49" i="15"/>
  <c r="B47" i="15"/>
  <c r="B45" i="15"/>
  <c r="B43" i="15"/>
  <c r="B41" i="15"/>
  <c r="I113" i="8"/>
  <c r="I112" i="8"/>
  <c r="I111" i="8"/>
  <c r="I110" i="8"/>
  <c r="I109" i="8"/>
  <c r="I108" i="8"/>
  <c r="I107" i="8"/>
  <c r="I106" i="8"/>
  <c r="I105" i="8"/>
  <c r="I104" i="8"/>
  <c r="I103" i="8"/>
  <c r="I102" i="8"/>
  <c r="I101" i="8"/>
  <c r="I100" i="8"/>
  <c r="I99" i="8"/>
  <c r="I98" i="8"/>
  <c r="I97" i="8"/>
  <c r="I96" i="8"/>
  <c r="I95" i="8"/>
  <c r="I94" i="8"/>
  <c r="I93" i="8"/>
  <c r="AK7" i="10"/>
  <c r="AM7" i="10"/>
  <c r="AO7" i="10"/>
  <c r="AQ7" i="10"/>
  <c r="AS7" i="10"/>
  <c r="AU7" i="10"/>
  <c r="AW7" i="10"/>
  <c r="U7" i="10"/>
  <c r="W7" i="10"/>
  <c r="Y7" i="10"/>
  <c r="AA7" i="10"/>
  <c r="AC7" i="10"/>
  <c r="AE7" i="10"/>
  <c r="AG7" i="10"/>
  <c r="AI7" i="10"/>
  <c r="B23" i="15"/>
  <c r="CC6" i="4"/>
  <c r="AX7" i="10" s="1"/>
  <c r="CA6" i="4"/>
  <c r="AV7" i="10" s="1"/>
  <c r="BY6" i="4"/>
  <c r="AT7" i="10" s="1"/>
  <c r="BW6" i="4"/>
  <c r="AR7" i="10" s="1"/>
  <c r="BU6" i="4"/>
  <c r="AP7" i="10" s="1"/>
  <c r="BS6" i="4"/>
  <c r="AN7" i="10" s="1"/>
  <c r="BQ6" i="4"/>
  <c r="AL7" i="10" s="1"/>
  <c r="BO6" i="4"/>
  <c r="AJ7" i="10" s="1"/>
  <c r="BM6" i="4"/>
  <c r="AH7" i="10" s="1"/>
  <c r="BK6" i="4"/>
  <c r="AF7" i="10" s="1"/>
  <c r="BI6" i="4"/>
  <c r="AD7" i="10" s="1"/>
  <c r="BG6" i="4"/>
  <c r="AB7" i="10" s="1"/>
  <c r="BE6" i="4"/>
  <c r="Z7" i="10" s="1"/>
  <c r="BC6" i="4"/>
  <c r="X7" i="10" s="1"/>
  <c r="BA6" i="4"/>
  <c r="V7" i="10" s="1"/>
  <c r="W32" i="8"/>
  <c r="W31" i="8"/>
  <c r="W30" i="8"/>
  <c r="W29" i="8"/>
  <c r="W28" i="8"/>
  <c r="W27" i="8"/>
  <c r="W26" i="8"/>
  <c r="W25" i="8"/>
  <c r="W24" i="8"/>
  <c r="W23" i="8"/>
  <c r="W22" i="8"/>
  <c r="W21" i="8"/>
  <c r="W20" i="8"/>
  <c r="W19" i="8"/>
  <c r="W18" i="8"/>
  <c r="FI47" i="4"/>
  <c r="FI46" i="4"/>
  <c r="FI45" i="4"/>
  <c r="FI44" i="4"/>
  <c r="FI43" i="4"/>
  <c r="FI42" i="4"/>
  <c r="FI41" i="4"/>
  <c r="FI40" i="4"/>
  <c r="FI39" i="4"/>
  <c r="FI38" i="4"/>
  <c r="FI37" i="4"/>
  <c r="FI36" i="4"/>
  <c r="FI35" i="4"/>
  <c r="FI34" i="4"/>
  <c r="FI33" i="4"/>
  <c r="FI32" i="4"/>
  <c r="FI31" i="4"/>
  <c r="FI30" i="4"/>
  <c r="FI29" i="4"/>
  <c r="FI28" i="4"/>
  <c r="FI27" i="4"/>
  <c r="FI26" i="4"/>
  <c r="FI25" i="4"/>
  <c r="FI24" i="4"/>
  <c r="FI23" i="4"/>
  <c r="FI22" i="4"/>
  <c r="FI21" i="4"/>
  <c r="FI20" i="4"/>
  <c r="FI19" i="4"/>
  <c r="FI18" i="4"/>
  <c r="FI17" i="4"/>
  <c r="FI16" i="4"/>
  <c r="FI15" i="4"/>
  <c r="FI14" i="4"/>
  <c r="FI13" i="4"/>
  <c r="FI12" i="4"/>
  <c r="FI11" i="4"/>
  <c r="FI10" i="4"/>
  <c r="FI9" i="4"/>
  <c r="FI8" i="4"/>
  <c r="FI7" i="4"/>
  <c r="FG47" i="4"/>
  <c r="FG46" i="4"/>
  <c r="FG45" i="4"/>
  <c r="FG44" i="4"/>
  <c r="FG43" i="4"/>
  <c r="FG42" i="4"/>
  <c r="FG41" i="4"/>
  <c r="FG40" i="4"/>
  <c r="FG39" i="4"/>
  <c r="FG38" i="4"/>
  <c r="FG37" i="4"/>
  <c r="FG36" i="4"/>
  <c r="FG35" i="4"/>
  <c r="FG34" i="4"/>
  <c r="FG33" i="4"/>
  <c r="FG32" i="4"/>
  <c r="FG31" i="4"/>
  <c r="FG30" i="4"/>
  <c r="FG29" i="4"/>
  <c r="FG28" i="4"/>
  <c r="FG27" i="4"/>
  <c r="FG26" i="4"/>
  <c r="FG25" i="4"/>
  <c r="FG24" i="4"/>
  <c r="FG23" i="4"/>
  <c r="FG22" i="4"/>
  <c r="FG21" i="4"/>
  <c r="FG20" i="4"/>
  <c r="FG19" i="4"/>
  <c r="FG18" i="4"/>
  <c r="FG17" i="4"/>
  <c r="FG16" i="4"/>
  <c r="FG15" i="4"/>
  <c r="FG14" i="4"/>
  <c r="FG13" i="4"/>
  <c r="FG12" i="4"/>
  <c r="FG11" i="4"/>
  <c r="FG10" i="4"/>
  <c r="FG9" i="4"/>
  <c r="FG8" i="4"/>
  <c r="FG7" i="4"/>
  <c r="FE47" i="4"/>
  <c r="FE46" i="4"/>
  <c r="FE45" i="4"/>
  <c r="FE44" i="4"/>
  <c r="FE43" i="4"/>
  <c r="FE42" i="4"/>
  <c r="FE41" i="4"/>
  <c r="FE40" i="4"/>
  <c r="FE39" i="4"/>
  <c r="FE38" i="4"/>
  <c r="FE37" i="4"/>
  <c r="FE36" i="4"/>
  <c r="FE35" i="4"/>
  <c r="FE34" i="4"/>
  <c r="FE33" i="4"/>
  <c r="FE32" i="4"/>
  <c r="FE31" i="4"/>
  <c r="FE30" i="4"/>
  <c r="FE29" i="4"/>
  <c r="FE28" i="4"/>
  <c r="FE27" i="4"/>
  <c r="FE26" i="4"/>
  <c r="FE25" i="4"/>
  <c r="FE24" i="4"/>
  <c r="FE23" i="4"/>
  <c r="FE22" i="4"/>
  <c r="FE21" i="4"/>
  <c r="FE20" i="4"/>
  <c r="FE19" i="4"/>
  <c r="FE18" i="4"/>
  <c r="FE17" i="4"/>
  <c r="FE16" i="4"/>
  <c r="FE15" i="4"/>
  <c r="FE14" i="4"/>
  <c r="FE13" i="4"/>
  <c r="FE12" i="4"/>
  <c r="FE11" i="4"/>
  <c r="FE10" i="4"/>
  <c r="FE9" i="4"/>
  <c r="FE8" i="4"/>
  <c r="FE7" i="4"/>
  <c r="FC47" i="4"/>
  <c r="FC46" i="4"/>
  <c r="FC45" i="4"/>
  <c r="FC44" i="4"/>
  <c r="FC43" i="4"/>
  <c r="FC42" i="4"/>
  <c r="FC41" i="4"/>
  <c r="FC40" i="4"/>
  <c r="FC39" i="4"/>
  <c r="FC38" i="4"/>
  <c r="FC37" i="4"/>
  <c r="FC36" i="4"/>
  <c r="FC35" i="4"/>
  <c r="FC34" i="4"/>
  <c r="FC33" i="4"/>
  <c r="FC32" i="4"/>
  <c r="FC31" i="4"/>
  <c r="FC30" i="4"/>
  <c r="FC29" i="4"/>
  <c r="FC28" i="4"/>
  <c r="FC27" i="4"/>
  <c r="FC26" i="4"/>
  <c r="FC25" i="4"/>
  <c r="FC24" i="4"/>
  <c r="FC23" i="4"/>
  <c r="FC22" i="4"/>
  <c r="FC21" i="4"/>
  <c r="FC20" i="4"/>
  <c r="FC19" i="4"/>
  <c r="FC18" i="4"/>
  <c r="FC17" i="4"/>
  <c r="FC16" i="4"/>
  <c r="FC15" i="4"/>
  <c r="FC14" i="4"/>
  <c r="FC13" i="4"/>
  <c r="FC12" i="4"/>
  <c r="FC11" i="4"/>
  <c r="FC10" i="4"/>
  <c r="FC9" i="4"/>
  <c r="FC8" i="4"/>
  <c r="FC7" i="4"/>
  <c r="FA47" i="4"/>
  <c r="FA46" i="4"/>
  <c r="FA45" i="4"/>
  <c r="FA44" i="4"/>
  <c r="FA43" i="4"/>
  <c r="FA42" i="4"/>
  <c r="FA41" i="4"/>
  <c r="FA40" i="4"/>
  <c r="FA39" i="4"/>
  <c r="FA38" i="4"/>
  <c r="FA37" i="4"/>
  <c r="FA36" i="4"/>
  <c r="FA35" i="4"/>
  <c r="FA34" i="4"/>
  <c r="FA33" i="4"/>
  <c r="FA32" i="4"/>
  <c r="FA31" i="4"/>
  <c r="FA30" i="4"/>
  <c r="FA29" i="4"/>
  <c r="FA28" i="4"/>
  <c r="FA27" i="4"/>
  <c r="FA26" i="4"/>
  <c r="FA25" i="4"/>
  <c r="FA24" i="4"/>
  <c r="FA23" i="4"/>
  <c r="FA22" i="4"/>
  <c r="FA21" i="4"/>
  <c r="FA20" i="4"/>
  <c r="FA19" i="4"/>
  <c r="FA18" i="4"/>
  <c r="FA17" i="4"/>
  <c r="FA16" i="4"/>
  <c r="FA15" i="4"/>
  <c r="FA14" i="4"/>
  <c r="FA13" i="4"/>
  <c r="FA12" i="4"/>
  <c r="FA11" i="4"/>
  <c r="FA10" i="4"/>
  <c r="FA9" i="4"/>
  <c r="FA8" i="4"/>
  <c r="FA7" i="4"/>
  <c r="EY47" i="4"/>
  <c r="EY46" i="4"/>
  <c r="EY45" i="4"/>
  <c r="EY44" i="4"/>
  <c r="EY43" i="4"/>
  <c r="EY42" i="4"/>
  <c r="EY41" i="4"/>
  <c r="EY40" i="4"/>
  <c r="EY39" i="4"/>
  <c r="EY38" i="4"/>
  <c r="EY37" i="4"/>
  <c r="EY36" i="4"/>
  <c r="EY35" i="4"/>
  <c r="EY34" i="4"/>
  <c r="EY33" i="4"/>
  <c r="EY32" i="4"/>
  <c r="EY31" i="4"/>
  <c r="EY30" i="4"/>
  <c r="EY29" i="4"/>
  <c r="EY28" i="4"/>
  <c r="EY27" i="4"/>
  <c r="EY26" i="4"/>
  <c r="EY25" i="4"/>
  <c r="EY24" i="4"/>
  <c r="EY23" i="4"/>
  <c r="EY22" i="4"/>
  <c r="EY21" i="4"/>
  <c r="EY20" i="4"/>
  <c r="EY19" i="4"/>
  <c r="EY18" i="4"/>
  <c r="EY17" i="4"/>
  <c r="EY16" i="4"/>
  <c r="EY15" i="4"/>
  <c r="EY14" i="4"/>
  <c r="EY13" i="4"/>
  <c r="EY12" i="4"/>
  <c r="EY11" i="4"/>
  <c r="EY10" i="4"/>
  <c r="EY9" i="4"/>
  <c r="EY8" i="4"/>
  <c r="EY7" i="4"/>
  <c r="EW47" i="4"/>
  <c r="EW46" i="4"/>
  <c r="EW45" i="4"/>
  <c r="EW44" i="4"/>
  <c r="EW43" i="4"/>
  <c r="EW42" i="4"/>
  <c r="EW41" i="4"/>
  <c r="EW40" i="4"/>
  <c r="EW39" i="4"/>
  <c r="EW38" i="4"/>
  <c r="EW37" i="4"/>
  <c r="EW36" i="4"/>
  <c r="EW35" i="4"/>
  <c r="EW34" i="4"/>
  <c r="EW33" i="4"/>
  <c r="EW32" i="4"/>
  <c r="EW31" i="4"/>
  <c r="EW30" i="4"/>
  <c r="EW29" i="4"/>
  <c r="EW28" i="4"/>
  <c r="EW27" i="4"/>
  <c r="EW26" i="4"/>
  <c r="EW25" i="4"/>
  <c r="EW24" i="4"/>
  <c r="EW23" i="4"/>
  <c r="EW22" i="4"/>
  <c r="EW21" i="4"/>
  <c r="EW20" i="4"/>
  <c r="EW19" i="4"/>
  <c r="EW18" i="4"/>
  <c r="EW17" i="4"/>
  <c r="EW16" i="4"/>
  <c r="EW15" i="4"/>
  <c r="EW14" i="4"/>
  <c r="EW13" i="4"/>
  <c r="EW12" i="4"/>
  <c r="EW11" i="4"/>
  <c r="EW10" i="4"/>
  <c r="EW9" i="4"/>
  <c r="EW8" i="4"/>
  <c r="EW7" i="4"/>
  <c r="EU47" i="4"/>
  <c r="EU46" i="4"/>
  <c r="EU45" i="4"/>
  <c r="EU44" i="4"/>
  <c r="EU43" i="4"/>
  <c r="EU42" i="4"/>
  <c r="EU41" i="4"/>
  <c r="EU40" i="4"/>
  <c r="EU39" i="4"/>
  <c r="EU38" i="4"/>
  <c r="EU37" i="4"/>
  <c r="EU36" i="4"/>
  <c r="EU35" i="4"/>
  <c r="EU34" i="4"/>
  <c r="EU33" i="4"/>
  <c r="EU32" i="4"/>
  <c r="EU31" i="4"/>
  <c r="EU30" i="4"/>
  <c r="EU29" i="4"/>
  <c r="EU28" i="4"/>
  <c r="EU27" i="4"/>
  <c r="EU26" i="4"/>
  <c r="EU25" i="4"/>
  <c r="EU24" i="4"/>
  <c r="EU23" i="4"/>
  <c r="EU22" i="4"/>
  <c r="EU21" i="4"/>
  <c r="EU20" i="4"/>
  <c r="EU19" i="4"/>
  <c r="EU18" i="4"/>
  <c r="EU17" i="4"/>
  <c r="EU16" i="4"/>
  <c r="EU15" i="4"/>
  <c r="EU14" i="4"/>
  <c r="EU13" i="4"/>
  <c r="EU12" i="4"/>
  <c r="EU11" i="4"/>
  <c r="EU10" i="4"/>
  <c r="EU9" i="4"/>
  <c r="EU8" i="4"/>
  <c r="EU7" i="4"/>
  <c r="ES47" i="4"/>
  <c r="ES46" i="4"/>
  <c r="ES45" i="4"/>
  <c r="ES44" i="4"/>
  <c r="ES43" i="4"/>
  <c r="ES42" i="4"/>
  <c r="ES41" i="4"/>
  <c r="ES40" i="4"/>
  <c r="ES39" i="4"/>
  <c r="ES38" i="4"/>
  <c r="ES37" i="4"/>
  <c r="ES36" i="4"/>
  <c r="ES35" i="4"/>
  <c r="ES34" i="4"/>
  <c r="ES33" i="4"/>
  <c r="ES32" i="4"/>
  <c r="ES31" i="4"/>
  <c r="ES30" i="4"/>
  <c r="ES29" i="4"/>
  <c r="ES28" i="4"/>
  <c r="ES27" i="4"/>
  <c r="ES26" i="4"/>
  <c r="ES25" i="4"/>
  <c r="ES24" i="4"/>
  <c r="ES23" i="4"/>
  <c r="ES22" i="4"/>
  <c r="ES21" i="4"/>
  <c r="ES20" i="4"/>
  <c r="ES19" i="4"/>
  <c r="ES18" i="4"/>
  <c r="ES17" i="4"/>
  <c r="ES16" i="4"/>
  <c r="ES15" i="4"/>
  <c r="ES14" i="4"/>
  <c r="ES13" i="4"/>
  <c r="ES12" i="4"/>
  <c r="ES11" i="4"/>
  <c r="ES10" i="4"/>
  <c r="ES9" i="4"/>
  <c r="ES8" i="4"/>
  <c r="ES7" i="4"/>
  <c r="EQ47" i="4"/>
  <c r="EQ46" i="4"/>
  <c r="EQ45" i="4"/>
  <c r="EQ44" i="4"/>
  <c r="EQ43" i="4"/>
  <c r="EQ42" i="4"/>
  <c r="EQ41" i="4"/>
  <c r="EQ40" i="4"/>
  <c r="EQ39" i="4"/>
  <c r="EQ38" i="4"/>
  <c r="EQ37" i="4"/>
  <c r="EQ36" i="4"/>
  <c r="EQ35" i="4"/>
  <c r="EQ34" i="4"/>
  <c r="EQ33" i="4"/>
  <c r="EQ32" i="4"/>
  <c r="EQ31" i="4"/>
  <c r="EQ30" i="4"/>
  <c r="EQ29" i="4"/>
  <c r="EQ28" i="4"/>
  <c r="EQ27" i="4"/>
  <c r="EQ26" i="4"/>
  <c r="EQ25" i="4"/>
  <c r="EQ24" i="4"/>
  <c r="EQ23" i="4"/>
  <c r="EQ22" i="4"/>
  <c r="EQ21" i="4"/>
  <c r="EQ20" i="4"/>
  <c r="EQ19" i="4"/>
  <c r="EQ18" i="4"/>
  <c r="EQ17" i="4"/>
  <c r="EQ16" i="4"/>
  <c r="EQ15" i="4"/>
  <c r="EQ14" i="4"/>
  <c r="EQ13" i="4"/>
  <c r="EQ12" i="4"/>
  <c r="EQ11" i="4"/>
  <c r="EQ10" i="4"/>
  <c r="EQ9" i="4"/>
  <c r="EQ8" i="4"/>
  <c r="EQ7" i="4"/>
  <c r="EO47" i="4"/>
  <c r="EO46" i="4"/>
  <c r="EO45" i="4"/>
  <c r="EO44" i="4"/>
  <c r="EO43" i="4"/>
  <c r="EO42" i="4"/>
  <c r="EO41" i="4"/>
  <c r="EO40" i="4"/>
  <c r="EO39" i="4"/>
  <c r="EO38" i="4"/>
  <c r="EO37" i="4"/>
  <c r="EO36" i="4"/>
  <c r="EO35" i="4"/>
  <c r="EO34" i="4"/>
  <c r="EO33" i="4"/>
  <c r="EO32" i="4"/>
  <c r="EO31" i="4"/>
  <c r="EO30" i="4"/>
  <c r="EO29" i="4"/>
  <c r="EO28" i="4"/>
  <c r="EO27" i="4"/>
  <c r="EO26" i="4"/>
  <c r="EO25" i="4"/>
  <c r="EO24" i="4"/>
  <c r="EO23" i="4"/>
  <c r="EO22" i="4"/>
  <c r="EO21" i="4"/>
  <c r="EO20" i="4"/>
  <c r="EO19" i="4"/>
  <c r="EO18" i="4"/>
  <c r="EO17" i="4"/>
  <c r="EO16" i="4"/>
  <c r="EO15" i="4"/>
  <c r="EO14" i="4"/>
  <c r="EO13" i="4"/>
  <c r="EO12" i="4"/>
  <c r="EO11" i="4"/>
  <c r="EO10" i="4"/>
  <c r="EO9" i="4"/>
  <c r="EO8" i="4"/>
  <c r="EO7" i="4"/>
  <c r="EM47" i="4"/>
  <c r="EM46" i="4"/>
  <c r="EM45" i="4"/>
  <c r="EM44" i="4"/>
  <c r="EM43" i="4"/>
  <c r="EM42" i="4"/>
  <c r="EM41" i="4"/>
  <c r="EM40" i="4"/>
  <c r="EM39" i="4"/>
  <c r="EM38" i="4"/>
  <c r="EM37" i="4"/>
  <c r="EM36" i="4"/>
  <c r="EM35" i="4"/>
  <c r="EM34" i="4"/>
  <c r="EM33" i="4"/>
  <c r="EM32" i="4"/>
  <c r="EM31" i="4"/>
  <c r="EM30" i="4"/>
  <c r="EM29" i="4"/>
  <c r="EM28" i="4"/>
  <c r="EM27" i="4"/>
  <c r="EM26" i="4"/>
  <c r="EM25" i="4"/>
  <c r="EM24" i="4"/>
  <c r="EM23" i="4"/>
  <c r="EM22" i="4"/>
  <c r="EM21" i="4"/>
  <c r="EM20" i="4"/>
  <c r="EM19" i="4"/>
  <c r="EM18" i="4"/>
  <c r="EM17" i="4"/>
  <c r="EM16" i="4"/>
  <c r="EM15" i="4"/>
  <c r="EM14" i="4"/>
  <c r="EM13" i="4"/>
  <c r="EM12" i="4"/>
  <c r="EM11" i="4"/>
  <c r="EM10" i="4"/>
  <c r="EM9" i="4"/>
  <c r="EM8" i="4"/>
  <c r="EM7" i="4"/>
  <c r="EK47" i="4"/>
  <c r="EK46" i="4"/>
  <c r="EK45" i="4"/>
  <c r="EK44" i="4"/>
  <c r="EK43" i="4"/>
  <c r="EK42" i="4"/>
  <c r="EK41" i="4"/>
  <c r="EK40" i="4"/>
  <c r="EK39" i="4"/>
  <c r="EK38" i="4"/>
  <c r="EK37" i="4"/>
  <c r="EK36" i="4"/>
  <c r="EK35" i="4"/>
  <c r="EK34" i="4"/>
  <c r="EK33" i="4"/>
  <c r="EK32" i="4"/>
  <c r="EK31" i="4"/>
  <c r="EK30" i="4"/>
  <c r="EK29" i="4"/>
  <c r="EK28" i="4"/>
  <c r="EK27" i="4"/>
  <c r="EK26" i="4"/>
  <c r="EK25" i="4"/>
  <c r="EK24" i="4"/>
  <c r="EK23" i="4"/>
  <c r="EK22" i="4"/>
  <c r="EK21" i="4"/>
  <c r="EK20" i="4"/>
  <c r="EK19" i="4"/>
  <c r="EK18" i="4"/>
  <c r="EK17" i="4"/>
  <c r="EK16" i="4"/>
  <c r="EK15" i="4"/>
  <c r="EK14" i="4"/>
  <c r="EK13" i="4"/>
  <c r="EK12" i="4"/>
  <c r="EK11" i="4"/>
  <c r="EK10" i="4"/>
  <c r="EK9" i="4"/>
  <c r="EK8" i="4"/>
  <c r="EK7" i="4"/>
  <c r="EI47" i="4"/>
  <c r="EI46" i="4"/>
  <c r="EI45" i="4"/>
  <c r="EI44" i="4"/>
  <c r="EI43" i="4"/>
  <c r="EI42" i="4"/>
  <c r="EI41" i="4"/>
  <c r="EI40" i="4"/>
  <c r="EI39" i="4"/>
  <c r="EI38" i="4"/>
  <c r="EI37" i="4"/>
  <c r="EI36" i="4"/>
  <c r="EI35" i="4"/>
  <c r="EI34" i="4"/>
  <c r="EI33" i="4"/>
  <c r="EI32" i="4"/>
  <c r="EI31" i="4"/>
  <c r="EI30" i="4"/>
  <c r="EI29" i="4"/>
  <c r="EI28" i="4"/>
  <c r="EI27" i="4"/>
  <c r="EI26" i="4"/>
  <c r="EI25" i="4"/>
  <c r="EI24" i="4"/>
  <c r="EI23" i="4"/>
  <c r="EI22" i="4"/>
  <c r="EI21" i="4"/>
  <c r="EI20" i="4"/>
  <c r="EI19" i="4"/>
  <c r="EI18" i="4"/>
  <c r="EI17" i="4"/>
  <c r="EI16" i="4"/>
  <c r="EI15" i="4"/>
  <c r="EI14" i="4"/>
  <c r="EI13" i="4"/>
  <c r="EI12" i="4"/>
  <c r="EI11" i="4"/>
  <c r="EI10" i="4"/>
  <c r="EI9" i="4"/>
  <c r="EI8" i="4"/>
  <c r="EI7" i="4"/>
  <c r="EG47" i="4"/>
  <c r="EG46" i="4"/>
  <c r="EG45" i="4"/>
  <c r="EG44" i="4"/>
  <c r="EG43" i="4"/>
  <c r="EG42" i="4"/>
  <c r="EG41" i="4"/>
  <c r="EG40" i="4"/>
  <c r="EG39" i="4"/>
  <c r="EG38" i="4"/>
  <c r="EG37" i="4"/>
  <c r="EG36" i="4"/>
  <c r="EG35" i="4"/>
  <c r="EG34" i="4"/>
  <c r="EG33" i="4"/>
  <c r="EG32" i="4"/>
  <c r="EG31" i="4"/>
  <c r="EG30" i="4"/>
  <c r="EG29" i="4"/>
  <c r="EG28" i="4"/>
  <c r="EG27" i="4"/>
  <c r="EG26" i="4"/>
  <c r="EG25" i="4"/>
  <c r="EG24" i="4"/>
  <c r="EG23" i="4"/>
  <c r="EG22" i="4"/>
  <c r="EG21" i="4"/>
  <c r="EG20" i="4"/>
  <c r="EG19" i="4"/>
  <c r="EG18" i="4"/>
  <c r="EG17" i="4"/>
  <c r="EG16" i="4"/>
  <c r="EG15" i="4"/>
  <c r="EG14" i="4"/>
  <c r="EG13" i="4"/>
  <c r="EG12" i="4"/>
  <c r="EG11" i="4"/>
  <c r="EG10" i="4"/>
  <c r="EG9" i="4"/>
  <c r="EG8" i="4"/>
  <c r="EG7" i="4"/>
  <c r="ET3" i="4"/>
  <c r="EV3" i="4"/>
  <c r="EX3" i="4"/>
  <c r="EZ3" i="4"/>
  <c r="FB3" i="4"/>
  <c r="FD3" i="4"/>
  <c r="FF3" i="4"/>
  <c r="FH3" i="4"/>
  <c r="EH3" i="4"/>
  <c r="EJ3" i="4"/>
  <c r="EL3" i="4"/>
  <c r="EN3" i="4"/>
  <c r="EP3" i="4"/>
  <c r="ER3" i="4"/>
  <c r="EF3" i="4"/>
  <c r="CU56" i="1"/>
  <c r="DI6" i="1"/>
  <c r="DI7" i="1"/>
  <c r="DI8" i="1"/>
  <c r="DI9" i="1"/>
  <c r="DI10" i="1"/>
  <c r="DI11" i="1"/>
  <c r="DI12" i="1"/>
  <c r="DI13" i="1"/>
  <c r="DI14" i="1"/>
  <c r="DI15" i="1"/>
  <c r="DI16" i="1"/>
  <c r="DI17" i="1"/>
  <c r="DI18" i="1"/>
  <c r="DI19" i="1"/>
  <c r="DI20" i="1"/>
  <c r="DI21" i="1"/>
  <c r="DI22" i="1"/>
  <c r="DI23" i="1"/>
  <c r="DI24" i="1"/>
  <c r="DI25" i="1"/>
  <c r="DI26" i="1"/>
  <c r="DI27" i="1"/>
  <c r="DI28" i="1"/>
  <c r="DI29" i="1"/>
  <c r="DI30" i="1"/>
  <c r="DI31" i="1"/>
  <c r="DI32" i="1"/>
  <c r="DI33" i="1"/>
  <c r="DI34" i="1"/>
  <c r="DI35" i="1"/>
  <c r="DI36" i="1"/>
  <c r="DI37" i="1"/>
  <c r="DI38" i="1"/>
  <c r="DI39" i="1"/>
  <c r="DI40" i="1"/>
  <c r="DI41" i="1"/>
  <c r="DI42" i="1"/>
  <c r="DI43" i="1"/>
  <c r="DI44" i="1"/>
  <c r="DI45" i="1"/>
  <c r="AH34" i="7"/>
  <c r="AH9" i="7"/>
  <c r="DI4" i="1"/>
  <c r="AY5" i="1"/>
  <c r="GQ7" i="4" s="1"/>
  <c r="M8" i="1"/>
  <c r="GA10" i="4" s="1"/>
  <c r="M7" i="1"/>
  <c r="GA9" i="4" s="1"/>
  <c r="M6" i="1"/>
  <c r="M5" i="1"/>
  <c r="GA7" i="4" s="1"/>
  <c r="M16" i="1"/>
  <c r="GA18" i="4" s="1"/>
  <c r="M15" i="1"/>
  <c r="GA17" i="4" s="1"/>
  <c r="AC10" i="7"/>
  <c r="AC11" i="7"/>
  <c r="AC12" i="7"/>
  <c r="AC13" i="7"/>
  <c r="AC14" i="7"/>
  <c r="AC15" i="7"/>
  <c r="AC16" i="7"/>
  <c r="AC17" i="7"/>
  <c r="AC18" i="7"/>
  <c r="AC19" i="7"/>
  <c r="AC20" i="7"/>
  <c r="AC21" i="7"/>
  <c r="AC22" i="7"/>
  <c r="AC23" i="7"/>
  <c r="AC24" i="7"/>
  <c r="AC25" i="7"/>
  <c r="AC26" i="7"/>
  <c r="AC27" i="7"/>
  <c r="AC28" i="7"/>
  <c r="AC29" i="7"/>
  <c r="AC30" i="7"/>
  <c r="AC31" i="7"/>
  <c r="AC32" i="7"/>
  <c r="AC33" i="7"/>
  <c r="AC34" i="7"/>
  <c r="AC35" i="7"/>
  <c r="AC36" i="7"/>
  <c r="AC37" i="7"/>
  <c r="AC38" i="7"/>
  <c r="AC39" i="7"/>
  <c r="AC40" i="7"/>
  <c r="AC41" i="7"/>
  <c r="AC42" i="7"/>
  <c r="AC43" i="7"/>
  <c r="AC44" i="7"/>
  <c r="AC45" i="7"/>
  <c r="AC46" i="7"/>
  <c r="AC47" i="7"/>
  <c r="AC48" i="7"/>
  <c r="AC49" i="7"/>
  <c r="AZ65" i="21"/>
  <c r="AZ64" i="21"/>
  <c r="AZ63" i="21"/>
  <c r="AZ62" i="21"/>
  <c r="BC56" i="21"/>
  <c r="AZ56" i="21"/>
  <c r="AZ55" i="21"/>
  <c r="BC51" i="21"/>
  <c r="AZ51" i="21"/>
  <c r="AZ50" i="21"/>
  <c r="BA46" i="21"/>
  <c r="AZ46" i="21"/>
  <c r="AZ45" i="21"/>
  <c r="AZ42" i="21"/>
  <c r="AZ36" i="21"/>
  <c r="AZ31" i="21"/>
  <c r="AZ26" i="21"/>
  <c r="AZ21" i="21"/>
  <c r="AZ16" i="21"/>
  <c r="AZ11" i="21"/>
  <c r="BF45" i="21"/>
  <c r="BE45" i="21"/>
  <c r="BD45" i="21"/>
  <c r="BC45" i="21"/>
  <c r="BB45" i="21"/>
  <c r="BA45" i="21"/>
  <c r="BC3" i="21"/>
  <c r="BR65" i="17"/>
  <c r="AZ65" i="17"/>
  <c r="CJ65" i="17" s="1"/>
  <c r="BR64" i="17"/>
  <c r="AZ64" i="17"/>
  <c r="BR63" i="17"/>
  <c r="AZ63" i="17"/>
  <c r="CJ63" i="17" s="1"/>
  <c r="BR62" i="17"/>
  <c r="AZ62" i="17"/>
  <c r="BS56" i="17"/>
  <c r="BR56" i="17"/>
  <c r="BA56" i="17"/>
  <c r="AZ56" i="17"/>
  <c r="BR55" i="17"/>
  <c r="AZ55" i="17"/>
  <c r="CJ55" i="17" s="1"/>
  <c r="BS51" i="17"/>
  <c r="BR51" i="17"/>
  <c r="BA51" i="17"/>
  <c r="AZ51" i="17"/>
  <c r="CJ51" i="17" s="1"/>
  <c r="BR50" i="17"/>
  <c r="AZ50" i="17"/>
  <c r="BS46" i="17"/>
  <c r="BR46" i="17"/>
  <c r="BA46" i="17"/>
  <c r="AZ46" i="17"/>
  <c r="BR45" i="17"/>
  <c r="AZ45" i="17"/>
  <c r="BR42" i="17"/>
  <c r="AZ42" i="17"/>
  <c r="BR36" i="17"/>
  <c r="AZ36" i="17"/>
  <c r="BR31" i="17"/>
  <c r="AZ31" i="17"/>
  <c r="BR26" i="17"/>
  <c r="AZ26" i="17"/>
  <c r="BR21" i="17"/>
  <c r="AZ21" i="17"/>
  <c r="AX21" i="17"/>
  <c r="AX20" i="17"/>
  <c r="BR16" i="17"/>
  <c r="AZ16" i="17"/>
  <c r="AX16" i="17"/>
  <c r="AX15" i="17"/>
  <c r="BR11" i="17"/>
  <c r="AZ11" i="17"/>
  <c r="AX11" i="17"/>
  <c r="AX10" i="17"/>
  <c r="CA6" i="17"/>
  <c r="CK56" i="17"/>
  <c r="CK51" i="17"/>
  <c r="CK46" i="17"/>
  <c r="CS45" i="17"/>
  <c r="CR45" i="17"/>
  <c r="CQ45" i="17"/>
  <c r="CP45" i="17"/>
  <c r="CO45" i="17"/>
  <c r="CN45" i="17"/>
  <c r="CM45" i="17"/>
  <c r="CL45" i="17"/>
  <c r="CK45" i="17"/>
  <c r="CA45" i="17"/>
  <c r="BZ45" i="17"/>
  <c r="BY45" i="17"/>
  <c r="BX45" i="17"/>
  <c r="BW45" i="17"/>
  <c r="BV45" i="17"/>
  <c r="BU45" i="17"/>
  <c r="BT45" i="17"/>
  <c r="BS45" i="17"/>
  <c r="BH45" i="17"/>
  <c r="BG45" i="17"/>
  <c r="BF45" i="17"/>
  <c r="BE45" i="17"/>
  <c r="BD45" i="17"/>
  <c r="BC45" i="17"/>
  <c r="BB45" i="17"/>
  <c r="BA45" i="17"/>
  <c r="BX20" i="17"/>
  <c r="BW20" i="17"/>
  <c r="BV20" i="17"/>
  <c r="BU20" i="17"/>
  <c r="BT20" i="17"/>
  <c r="BS20" i="17"/>
  <c r="BF20" i="17"/>
  <c r="BE20" i="17"/>
  <c r="BD20" i="17"/>
  <c r="BC20" i="17"/>
  <c r="BB20" i="17"/>
  <c r="BA20" i="17"/>
  <c r="BY15" i="17"/>
  <c r="BY10" i="17"/>
  <c r="BC3" i="17"/>
  <c r="BH21" i="17" s="1"/>
  <c r="BR65" i="18"/>
  <c r="AZ65" i="18"/>
  <c r="CJ65" i="18" s="1"/>
  <c r="BR64" i="18"/>
  <c r="AZ64" i="18"/>
  <c r="CJ64" i="18" s="1"/>
  <c r="BR63" i="18"/>
  <c r="AZ63" i="18"/>
  <c r="CJ63" i="18" s="1"/>
  <c r="BR62" i="18"/>
  <c r="AZ62" i="18"/>
  <c r="CJ62" i="18" s="1"/>
  <c r="BR56" i="18"/>
  <c r="AZ56" i="18"/>
  <c r="CJ56" i="18" s="1"/>
  <c r="BR55" i="18"/>
  <c r="AZ55" i="18"/>
  <c r="CJ55" i="18" s="1"/>
  <c r="BR51" i="18"/>
  <c r="AZ51" i="18"/>
  <c r="CJ51" i="18" s="1"/>
  <c r="BR50" i="18"/>
  <c r="AZ50" i="18"/>
  <c r="CJ50" i="18" s="1"/>
  <c r="BR46" i="18"/>
  <c r="AZ46" i="18"/>
  <c r="CJ46" i="18" s="1"/>
  <c r="BR45" i="18"/>
  <c r="AZ45" i="18"/>
  <c r="CJ45" i="18" s="1"/>
  <c r="BR42" i="18"/>
  <c r="AZ42" i="18"/>
  <c r="CJ42" i="18" s="1"/>
  <c r="BR36" i="18"/>
  <c r="AZ36" i="18"/>
  <c r="BR31" i="18"/>
  <c r="AZ31" i="18"/>
  <c r="BR26" i="18"/>
  <c r="AZ26" i="18"/>
  <c r="AZ21" i="18"/>
  <c r="AX21" i="18"/>
  <c r="AX20" i="18"/>
  <c r="AZ16" i="18"/>
  <c r="AX16" i="18"/>
  <c r="AX15" i="18"/>
  <c r="AZ11" i="18"/>
  <c r="AX11" i="18"/>
  <c r="AX10" i="18"/>
  <c r="AX5" i="18"/>
  <c r="CK56" i="18"/>
  <c r="BA56" i="18"/>
  <c r="CK51" i="18"/>
  <c r="BA51" i="18"/>
  <c r="CK46" i="18"/>
  <c r="BA46" i="18"/>
  <c r="CU45" i="18"/>
  <c r="CT45" i="18"/>
  <c r="CS45" i="18"/>
  <c r="CR45" i="18"/>
  <c r="CQ45" i="18"/>
  <c r="CP45" i="18"/>
  <c r="CO45" i="18"/>
  <c r="CN45" i="18"/>
  <c r="CM45" i="18"/>
  <c r="CL45" i="18"/>
  <c r="CK45" i="18"/>
  <c r="BI45" i="18"/>
  <c r="BH45" i="18"/>
  <c r="BG45" i="18"/>
  <c r="BF45" i="18"/>
  <c r="BE45" i="18"/>
  <c r="BD45" i="18"/>
  <c r="BC45" i="18"/>
  <c r="BB45" i="18"/>
  <c r="BA45" i="18"/>
  <c r="BH21" i="18"/>
  <c r="BU21" i="18" s="1"/>
  <c r="BF21" i="18"/>
  <c r="BE21" i="18"/>
  <c r="BS21" i="18" s="1"/>
  <c r="BI20" i="18"/>
  <c r="BG20" i="18"/>
  <c r="BD20" i="18"/>
  <c r="BC20" i="18"/>
  <c r="BB20" i="18"/>
  <c r="BA20" i="18"/>
  <c r="BH16" i="18"/>
  <c r="BU16" i="18" s="1"/>
  <c r="BF16" i="18"/>
  <c r="BT16" i="18" s="1"/>
  <c r="BE16" i="18"/>
  <c r="BS16" i="18" s="1"/>
  <c r="BI15" i="18"/>
  <c r="BS11" i="18"/>
  <c r="BH11" i="18"/>
  <c r="BU11" i="18" s="1"/>
  <c r="BF11" i="18"/>
  <c r="BI10" i="18"/>
  <c r="AB52" i="7"/>
  <c r="AA52" i="7"/>
  <c r="Z52" i="7"/>
  <c r="Y52" i="7"/>
  <c r="X52" i="7"/>
  <c r="A9" i="20"/>
  <c r="B9" i="20"/>
  <c r="C9" i="20"/>
  <c r="A10" i="20"/>
  <c r="B10" i="20"/>
  <c r="C10" i="20"/>
  <c r="A11" i="20"/>
  <c r="B11" i="20"/>
  <c r="C11" i="20"/>
  <c r="A12" i="20"/>
  <c r="B12" i="20"/>
  <c r="C12" i="20"/>
  <c r="A13" i="20"/>
  <c r="B13" i="20"/>
  <c r="C13" i="20"/>
  <c r="A14" i="20"/>
  <c r="B14" i="20"/>
  <c r="C14" i="20"/>
  <c r="A15" i="20"/>
  <c r="B15" i="20"/>
  <c r="C15" i="20"/>
  <c r="A16" i="20"/>
  <c r="B16" i="20"/>
  <c r="C16" i="20"/>
  <c r="A17" i="20"/>
  <c r="B17" i="20"/>
  <c r="C17" i="20"/>
  <c r="A18" i="20"/>
  <c r="B18" i="20"/>
  <c r="C18" i="20"/>
  <c r="A19" i="20"/>
  <c r="B19" i="20"/>
  <c r="C19" i="20"/>
  <c r="A20" i="20"/>
  <c r="B20" i="20"/>
  <c r="C20" i="20"/>
  <c r="A21" i="20"/>
  <c r="B21" i="20"/>
  <c r="C21" i="20"/>
  <c r="A22" i="20"/>
  <c r="B22" i="20"/>
  <c r="C22" i="20"/>
  <c r="A23" i="20"/>
  <c r="B23" i="20"/>
  <c r="C23" i="20"/>
  <c r="A24" i="20"/>
  <c r="B24" i="20"/>
  <c r="C24" i="20"/>
  <c r="A25" i="20"/>
  <c r="B25" i="20"/>
  <c r="C25" i="20"/>
  <c r="A26" i="20"/>
  <c r="B26" i="20"/>
  <c r="C26" i="20"/>
  <c r="A27" i="20"/>
  <c r="B27" i="20"/>
  <c r="C27" i="20"/>
  <c r="A28" i="20"/>
  <c r="B28" i="20"/>
  <c r="C28" i="20"/>
  <c r="A29" i="20"/>
  <c r="B29" i="20"/>
  <c r="C29" i="20"/>
  <c r="A30" i="20"/>
  <c r="B30" i="20"/>
  <c r="C30" i="20"/>
  <c r="A31" i="20"/>
  <c r="B31" i="20"/>
  <c r="C31" i="20"/>
  <c r="A32" i="20"/>
  <c r="B32" i="20"/>
  <c r="C32" i="20"/>
  <c r="A33" i="20"/>
  <c r="B33" i="20"/>
  <c r="C33" i="20"/>
  <c r="A34" i="20"/>
  <c r="B34" i="20"/>
  <c r="C34" i="20"/>
  <c r="A35" i="20"/>
  <c r="B35" i="20"/>
  <c r="C35" i="20"/>
  <c r="A36" i="20"/>
  <c r="B36" i="20"/>
  <c r="C36" i="20"/>
  <c r="A37" i="20"/>
  <c r="B37" i="20"/>
  <c r="C37" i="20"/>
  <c r="A38" i="20"/>
  <c r="B38" i="20"/>
  <c r="C38" i="20"/>
  <c r="A39" i="20"/>
  <c r="B39" i="20"/>
  <c r="C39" i="20"/>
  <c r="A40" i="20"/>
  <c r="B40" i="20"/>
  <c r="C40" i="20"/>
  <c r="A41" i="20"/>
  <c r="B41" i="20"/>
  <c r="C41" i="20"/>
  <c r="A42" i="20"/>
  <c r="B42" i="20"/>
  <c r="C42" i="20"/>
  <c r="A43" i="20"/>
  <c r="B43" i="20"/>
  <c r="C43" i="20"/>
  <c r="A44" i="20"/>
  <c r="B44" i="20"/>
  <c r="C44" i="20"/>
  <c r="A45" i="20"/>
  <c r="B45" i="20"/>
  <c r="C45" i="20"/>
  <c r="A46" i="20"/>
  <c r="B46" i="20"/>
  <c r="C46" i="20"/>
  <c r="A47" i="20"/>
  <c r="B47" i="20"/>
  <c r="C47" i="20"/>
  <c r="B91" i="5"/>
  <c r="P11" i="7"/>
  <c r="AO11" i="7"/>
  <c r="P12" i="7"/>
  <c r="AO12" i="7"/>
  <c r="P13" i="7"/>
  <c r="AO13" i="7"/>
  <c r="P14" i="7"/>
  <c r="AO14" i="7"/>
  <c r="P15" i="7"/>
  <c r="AO15" i="7"/>
  <c r="P16" i="7"/>
  <c r="AO16" i="7"/>
  <c r="P17" i="7"/>
  <c r="AO17" i="7"/>
  <c r="P18" i="7"/>
  <c r="AO18" i="7"/>
  <c r="P19" i="7"/>
  <c r="AO19" i="7"/>
  <c r="P20" i="7"/>
  <c r="AO20" i="7"/>
  <c r="P21" i="7"/>
  <c r="AO21" i="7"/>
  <c r="P22" i="7"/>
  <c r="AO22" i="7"/>
  <c r="P23" i="7"/>
  <c r="AO23" i="7"/>
  <c r="P24" i="7"/>
  <c r="AO24" i="7"/>
  <c r="P25" i="7"/>
  <c r="AO25" i="7"/>
  <c r="P26" i="7"/>
  <c r="AO26" i="7"/>
  <c r="P27" i="7"/>
  <c r="AO27" i="7"/>
  <c r="P28" i="7"/>
  <c r="AO28" i="7"/>
  <c r="P29" i="7"/>
  <c r="AO29" i="7"/>
  <c r="P30" i="7"/>
  <c r="AO30" i="7"/>
  <c r="P31" i="7"/>
  <c r="AO31" i="7"/>
  <c r="P32" i="7"/>
  <c r="AO32" i="7"/>
  <c r="P33" i="7"/>
  <c r="AO33" i="7"/>
  <c r="P34" i="7"/>
  <c r="AO34" i="7"/>
  <c r="P35" i="7"/>
  <c r="AO35" i="7"/>
  <c r="P36" i="7"/>
  <c r="AO36" i="7"/>
  <c r="P37" i="7"/>
  <c r="AO37" i="7"/>
  <c r="P38" i="7"/>
  <c r="AO38" i="7"/>
  <c r="P39" i="7"/>
  <c r="AO39" i="7"/>
  <c r="P40" i="7"/>
  <c r="AO40" i="7"/>
  <c r="P41" i="7"/>
  <c r="AO41" i="7"/>
  <c r="P42" i="7"/>
  <c r="AO42" i="7"/>
  <c r="P43" i="7"/>
  <c r="AO43" i="7"/>
  <c r="P44" i="7"/>
  <c r="AO44" i="7"/>
  <c r="P45" i="7"/>
  <c r="AO45" i="7"/>
  <c r="P46" i="7"/>
  <c r="AO46" i="7"/>
  <c r="P47" i="7"/>
  <c r="AO47" i="7"/>
  <c r="P48" i="7"/>
  <c r="AO48" i="7"/>
  <c r="P49" i="7"/>
  <c r="AO49" i="7"/>
  <c r="B14" i="4"/>
  <c r="B16" i="7" s="1"/>
  <c r="B23" i="26" s="1"/>
  <c r="C14" i="4"/>
  <c r="DG14" i="4"/>
  <c r="DI14" i="4"/>
  <c r="DK14" i="4"/>
  <c r="DM14" i="4"/>
  <c r="DO14" i="4"/>
  <c r="DQ14" i="4"/>
  <c r="DS14" i="4"/>
  <c r="DU14" i="4"/>
  <c r="DW14" i="4"/>
  <c r="DY14" i="4"/>
  <c r="EA14" i="4"/>
  <c r="EC14" i="4"/>
  <c r="EE14" i="4"/>
  <c r="FZ14" i="4"/>
  <c r="GC14" i="4"/>
  <c r="GI14" i="4"/>
  <c r="B15" i="4"/>
  <c r="C15" i="4"/>
  <c r="DG15" i="4"/>
  <c r="DI15" i="4"/>
  <c r="DK15" i="4"/>
  <c r="DM15" i="4"/>
  <c r="DO15" i="4"/>
  <c r="DQ15" i="4"/>
  <c r="DS15" i="4"/>
  <c r="DU15" i="4"/>
  <c r="DW15" i="4"/>
  <c r="DY15" i="4"/>
  <c r="EA15" i="4"/>
  <c r="EC15" i="4"/>
  <c r="EE15" i="4"/>
  <c r="FZ15" i="4"/>
  <c r="GC15" i="4"/>
  <c r="GI15" i="4"/>
  <c r="B16" i="4"/>
  <c r="B18" i="7" s="1"/>
  <c r="C16" i="4"/>
  <c r="DG16" i="4"/>
  <c r="DI16" i="4"/>
  <c r="DK16" i="4"/>
  <c r="DM16" i="4"/>
  <c r="DO16" i="4"/>
  <c r="DQ16" i="4"/>
  <c r="DS16" i="4"/>
  <c r="DU16" i="4"/>
  <c r="DW16" i="4"/>
  <c r="DY16" i="4"/>
  <c r="EA16" i="4"/>
  <c r="EC16" i="4"/>
  <c r="EE16" i="4"/>
  <c r="FZ16" i="4"/>
  <c r="GC16" i="4"/>
  <c r="GI16" i="4"/>
  <c r="B17" i="4"/>
  <c r="B19" i="7" s="1"/>
  <c r="B29" i="26" s="1"/>
  <c r="C17" i="4"/>
  <c r="DG17" i="4"/>
  <c r="DI17" i="4"/>
  <c r="DK17" i="4"/>
  <c r="DM17" i="4"/>
  <c r="DO17" i="4"/>
  <c r="DQ17" i="4"/>
  <c r="DS17" i="4"/>
  <c r="DU17" i="4"/>
  <c r="DW17" i="4"/>
  <c r="DY17" i="4"/>
  <c r="EA17" i="4"/>
  <c r="EC17" i="4"/>
  <c r="EE17" i="4"/>
  <c r="FZ17" i="4"/>
  <c r="GC17" i="4"/>
  <c r="GI17" i="4"/>
  <c r="B18" i="4"/>
  <c r="B20" i="7" s="1"/>
  <c r="C18" i="4"/>
  <c r="DG18" i="4"/>
  <c r="DI18" i="4"/>
  <c r="DK18" i="4"/>
  <c r="DM18" i="4"/>
  <c r="DO18" i="4"/>
  <c r="DQ18" i="4"/>
  <c r="DS18" i="4"/>
  <c r="DU18" i="4"/>
  <c r="DW18" i="4"/>
  <c r="DY18" i="4"/>
  <c r="EA18" i="4"/>
  <c r="EC18" i="4"/>
  <c r="EE18" i="4"/>
  <c r="FZ18" i="4"/>
  <c r="GC18" i="4"/>
  <c r="GI18" i="4"/>
  <c r="B19" i="4"/>
  <c r="B20" i="14" s="1"/>
  <c r="C19" i="4"/>
  <c r="DG19" i="4"/>
  <c r="DI19" i="4"/>
  <c r="DK19" i="4"/>
  <c r="DM19" i="4"/>
  <c r="DO19" i="4"/>
  <c r="DQ19" i="4"/>
  <c r="DS19" i="4"/>
  <c r="DU19" i="4"/>
  <c r="DW19" i="4"/>
  <c r="DY19" i="4"/>
  <c r="EA19" i="4"/>
  <c r="EC19" i="4"/>
  <c r="EE19" i="4"/>
  <c r="FZ19" i="4"/>
  <c r="GC19" i="4"/>
  <c r="GI19" i="4"/>
  <c r="B20" i="4"/>
  <c r="C20" i="4"/>
  <c r="DG20" i="4"/>
  <c r="DI20" i="4"/>
  <c r="DK20" i="4"/>
  <c r="DM20" i="4"/>
  <c r="DO20" i="4"/>
  <c r="DQ20" i="4"/>
  <c r="DS20" i="4"/>
  <c r="DU20" i="4"/>
  <c r="DW20" i="4"/>
  <c r="DY20" i="4"/>
  <c r="EA20" i="4"/>
  <c r="EC20" i="4"/>
  <c r="EE20" i="4"/>
  <c r="FZ20" i="4"/>
  <c r="GC20" i="4"/>
  <c r="GI20" i="4"/>
  <c r="B21" i="4"/>
  <c r="B22" i="14" s="1"/>
  <c r="C21" i="4"/>
  <c r="DG21" i="4"/>
  <c r="DI21" i="4"/>
  <c r="DK21" i="4"/>
  <c r="DM21" i="4"/>
  <c r="DO21" i="4"/>
  <c r="DQ21" i="4"/>
  <c r="DS21" i="4"/>
  <c r="DU21" i="4"/>
  <c r="DW21" i="4"/>
  <c r="DY21" i="4"/>
  <c r="EA21" i="4"/>
  <c r="EC21" i="4"/>
  <c r="EE21" i="4"/>
  <c r="FZ21" i="4"/>
  <c r="GC21" i="4"/>
  <c r="GI21" i="4"/>
  <c r="B22" i="4"/>
  <c r="C22" i="4"/>
  <c r="DG22" i="4"/>
  <c r="DI22" i="4"/>
  <c r="DK22" i="4"/>
  <c r="DM22" i="4"/>
  <c r="DO22" i="4"/>
  <c r="DQ22" i="4"/>
  <c r="DS22" i="4"/>
  <c r="DU22" i="4"/>
  <c r="DW22" i="4"/>
  <c r="DY22" i="4"/>
  <c r="EA22" i="4"/>
  <c r="EC22" i="4"/>
  <c r="EE22" i="4"/>
  <c r="FZ22" i="4"/>
  <c r="GC22" i="4"/>
  <c r="GI22" i="4"/>
  <c r="B23" i="4"/>
  <c r="B25" i="7" s="1"/>
  <c r="B41" i="26" s="1"/>
  <c r="C23" i="4"/>
  <c r="DG23" i="4"/>
  <c r="DI23" i="4"/>
  <c r="DK23" i="4"/>
  <c r="DM23" i="4"/>
  <c r="DO23" i="4"/>
  <c r="DQ23" i="4"/>
  <c r="DS23" i="4"/>
  <c r="DU23" i="4"/>
  <c r="DW23" i="4"/>
  <c r="DY23" i="4"/>
  <c r="EA23" i="4"/>
  <c r="EC23" i="4"/>
  <c r="EE23" i="4"/>
  <c r="FZ23" i="4"/>
  <c r="GC23" i="4"/>
  <c r="GI23" i="4"/>
  <c r="B24" i="4"/>
  <c r="CM24" i="4" s="1"/>
  <c r="C24" i="4"/>
  <c r="DG24" i="4"/>
  <c r="DI24" i="4"/>
  <c r="DK24" i="4"/>
  <c r="DM24" i="4"/>
  <c r="DO24" i="4"/>
  <c r="DQ24" i="4"/>
  <c r="DS24" i="4"/>
  <c r="DU24" i="4"/>
  <c r="DW24" i="4"/>
  <c r="DY24" i="4"/>
  <c r="EA24" i="4"/>
  <c r="EC24" i="4"/>
  <c r="EE24" i="4"/>
  <c r="FZ24" i="4"/>
  <c r="GC24" i="4"/>
  <c r="GI24" i="4"/>
  <c r="B25" i="4"/>
  <c r="CM25" i="4" s="1"/>
  <c r="C25" i="4"/>
  <c r="DG25" i="4"/>
  <c r="DI25" i="4"/>
  <c r="DK25" i="4"/>
  <c r="DM25" i="4"/>
  <c r="DO25" i="4"/>
  <c r="DQ25" i="4"/>
  <c r="DS25" i="4"/>
  <c r="DU25" i="4"/>
  <c r="DW25" i="4"/>
  <c r="DY25" i="4"/>
  <c r="EA25" i="4"/>
  <c r="EC25" i="4"/>
  <c r="EE25" i="4"/>
  <c r="FZ25" i="4"/>
  <c r="GC25" i="4"/>
  <c r="GI25" i="4"/>
  <c r="B26" i="4"/>
  <c r="B27" i="14" s="1"/>
  <c r="C26" i="4"/>
  <c r="DG26" i="4"/>
  <c r="DI26" i="4"/>
  <c r="DK26" i="4"/>
  <c r="DM26" i="4"/>
  <c r="DO26" i="4"/>
  <c r="DQ26" i="4"/>
  <c r="DS26" i="4"/>
  <c r="DU26" i="4"/>
  <c r="DW26" i="4"/>
  <c r="DY26" i="4"/>
  <c r="EA26" i="4"/>
  <c r="EC26" i="4"/>
  <c r="EE26" i="4"/>
  <c r="FZ26" i="4"/>
  <c r="GC26" i="4"/>
  <c r="GI26" i="4"/>
  <c r="B27" i="4"/>
  <c r="B28" i="14" s="1"/>
  <c r="C27" i="4"/>
  <c r="DG27" i="4"/>
  <c r="DI27" i="4"/>
  <c r="DK27" i="4"/>
  <c r="DM27" i="4"/>
  <c r="DO27" i="4"/>
  <c r="DQ27" i="4"/>
  <c r="DS27" i="4"/>
  <c r="DU27" i="4"/>
  <c r="DW27" i="4"/>
  <c r="DY27" i="4"/>
  <c r="EA27" i="4"/>
  <c r="EC27" i="4"/>
  <c r="EE27" i="4"/>
  <c r="FZ27" i="4"/>
  <c r="GC27" i="4"/>
  <c r="GI27" i="4"/>
  <c r="B28" i="4"/>
  <c r="C28" i="4"/>
  <c r="DG28" i="4"/>
  <c r="DI28" i="4"/>
  <c r="DK28" i="4"/>
  <c r="DM28" i="4"/>
  <c r="DO28" i="4"/>
  <c r="DQ28" i="4"/>
  <c r="DS28" i="4"/>
  <c r="DU28" i="4"/>
  <c r="DW28" i="4"/>
  <c r="DY28" i="4"/>
  <c r="EA28" i="4"/>
  <c r="EC28" i="4"/>
  <c r="EE28" i="4"/>
  <c r="FZ28" i="4"/>
  <c r="GC28" i="4"/>
  <c r="GI28" i="4"/>
  <c r="B29" i="4"/>
  <c r="B30" i="14" s="1"/>
  <c r="C29" i="4"/>
  <c r="DG29" i="4"/>
  <c r="DI29" i="4"/>
  <c r="DK29" i="4"/>
  <c r="DM29" i="4"/>
  <c r="DO29" i="4"/>
  <c r="DQ29" i="4"/>
  <c r="DS29" i="4"/>
  <c r="DU29" i="4"/>
  <c r="DW29" i="4"/>
  <c r="DY29" i="4"/>
  <c r="EA29" i="4"/>
  <c r="EC29" i="4"/>
  <c r="EE29" i="4"/>
  <c r="FZ29" i="4"/>
  <c r="GC29" i="4"/>
  <c r="GI29" i="4"/>
  <c r="B30" i="4"/>
  <c r="C30" i="4"/>
  <c r="DG30" i="4"/>
  <c r="DI30" i="4"/>
  <c r="DK30" i="4"/>
  <c r="DM30" i="4"/>
  <c r="DO30" i="4"/>
  <c r="DQ30" i="4"/>
  <c r="DS30" i="4"/>
  <c r="DU30" i="4"/>
  <c r="DW30" i="4"/>
  <c r="DY30" i="4"/>
  <c r="EA30" i="4"/>
  <c r="EC30" i="4"/>
  <c r="EE30" i="4"/>
  <c r="FZ30" i="4"/>
  <c r="GC30" i="4"/>
  <c r="GI30" i="4"/>
  <c r="B31" i="4"/>
  <c r="B33" i="7" s="1"/>
  <c r="C31" i="4"/>
  <c r="DG31" i="4"/>
  <c r="DI31" i="4"/>
  <c r="DK31" i="4"/>
  <c r="DM31" i="4"/>
  <c r="DO31" i="4"/>
  <c r="DQ31" i="4"/>
  <c r="DS31" i="4"/>
  <c r="DU31" i="4"/>
  <c r="DW31" i="4"/>
  <c r="DY31" i="4"/>
  <c r="EA31" i="4"/>
  <c r="EC31" i="4"/>
  <c r="EE31" i="4"/>
  <c r="FZ31" i="4"/>
  <c r="GC31" i="4"/>
  <c r="GI31" i="4"/>
  <c r="B32" i="4"/>
  <c r="C32" i="4"/>
  <c r="DG32" i="4"/>
  <c r="DI32" i="4"/>
  <c r="DK32" i="4"/>
  <c r="DM32" i="4"/>
  <c r="DO32" i="4"/>
  <c r="DQ32" i="4"/>
  <c r="DS32" i="4"/>
  <c r="DU32" i="4"/>
  <c r="DW32" i="4"/>
  <c r="DY32" i="4"/>
  <c r="EA32" i="4"/>
  <c r="EC32" i="4"/>
  <c r="EE32" i="4"/>
  <c r="FZ32" i="4"/>
  <c r="GC32" i="4"/>
  <c r="GI32" i="4"/>
  <c r="B33" i="4"/>
  <c r="CM33" i="4" s="1"/>
  <c r="C33" i="4"/>
  <c r="DG33" i="4"/>
  <c r="DI33" i="4"/>
  <c r="DK33" i="4"/>
  <c r="DM33" i="4"/>
  <c r="DO33" i="4"/>
  <c r="DQ33" i="4"/>
  <c r="DS33" i="4"/>
  <c r="DU33" i="4"/>
  <c r="DW33" i="4"/>
  <c r="DY33" i="4"/>
  <c r="EA33" i="4"/>
  <c r="EC33" i="4"/>
  <c r="EE33" i="4"/>
  <c r="FZ33" i="4"/>
  <c r="GC33" i="4"/>
  <c r="GI33" i="4"/>
  <c r="B34" i="4"/>
  <c r="B35" i="14" s="1"/>
  <c r="C34" i="4"/>
  <c r="DG34" i="4"/>
  <c r="DI34" i="4"/>
  <c r="DK34" i="4"/>
  <c r="DM34" i="4"/>
  <c r="DO34" i="4"/>
  <c r="DQ34" i="4"/>
  <c r="DS34" i="4"/>
  <c r="DU34" i="4"/>
  <c r="DW34" i="4"/>
  <c r="DY34" i="4"/>
  <c r="EA34" i="4"/>
  <c r="EC34" i="4"/>
  <c r="EE34" i="4"/>
  <c r="FZ34" i="4"/>
  <c r="GC34" i="4"/>
  <c r="GI34" i="4"/>
  <c r="B35" i="4"/>
  <c r="B36" i="14" s="1"/>
  <c r="C35" i="4"/>
  <c r="DG35" i="4"/>
  <c r="DI35" i="4"/>
  <c r="DK35" i="4"/>
  <c r="DM35" i="4"/>
  <c r="DO35" i="4"/>
  <c r="DQ35" i="4"/>
  <c r="DS35" i="4"/>
  <c r="DU35" i="4"/>
  <c r="DW35" i="4"/>
  <c r="DY35" i="4"/>
  <c r="EA35" i="4"/>
  <c r="EC35" i="4"/>
  <c r="EE35" i="4"/>
  <c r="FZ35" i="4"/>
  <c r="GC35" i="4"/>
  <c r="GI35" i="4"/>
  <c r="B36" i="4"/>
  <c r="C36" i="4"/>
  <c r="DG36" i="4"/>
  <c r="DI36" i="4"/>
  <c r="DK36" i="4"/>
  <c r="DM36" i="4"/>
  <c r="DO36" i="4"/>
  <c r="DQ36" i="4"/>
  <c r="DS36" i="4"/>
  <c r="DU36" i="4"/>
  <c r="DW36" i="4"/>
  <c r="DY36" i="4"/>
  <c r="EA36" i="4"/>
  <c r="EC36" i="4"/>
  <c r="EE36" i="4"/>
  <c r="FZ36" i="4"/>
  <c r="GC36" i="4"/>
  <c r="GI36" i="4"/>
  <c r="B37" i="4"/>
  <c r="B38" i="14" s="1"/>
  <c r="C37" i="4"/>
  <c r="DG37" i="4"/>
  <c r="DI37" i="4"/>
  <c r="DK37" i="4"/>
  <c r="DM37" i="4"/>
  <c r="DO37" i="4"/>
  <c r="DQ37" i="4"/>
  <c r="DS37" i="4"/>
  <c r="DU37" i="4"/>
  <c r="DW37" i="4"/>
  <c r="DY37" i="4"/>
  <c r="EA37" i="4"/>
  <c r="EC37" i="4"/>
  <c r="EE37" i="4"/>
  <c r="FZ37" i="4"/>
  <c r="GC37" i="4"/>
  <c r="GI37" i="4"/>
  <c r="B38" i="4"/>
  <c r="CM38" i="4" s="1"/>
  <c r="C38" i="4"/>
  <c r="DG38" i="4"/>
  <c r="DI38" i="4"/>
  <c r="DK38" i="4"/>
  <c r="DM38" i="4"/>
  <c r="DO38" i="4"/>
  <c r="DQ38" i="4"/>
  <c r="DS38" i="4"/>
  <c r="DU38" i="4"/>
  <c r="DW38" i="4"/>
  <c r="DY38" i="4"/>
  <c r="EA38" i="4"/>
  <c r="EC38" i="4"/>
  <c r="EE38" i="4"/>
  <c r="FZ38" i="4"/>
  <c r="GC38" i="4"/>
  <c r="GI38" i="4"/>
  <c r="B39" i="4"/>
  <c r="C39" i="4"/>
  <c r="DG39" i="4"/>
  <c r="DI39" i="4"/>
  <c r="DK39" i="4"/>
  <c r="DM39" i="4"/>
  <c r="DO39" i="4"/>
  <c r="DQ39" i="4"/>
  <c r="DS39" i="4"/>
  <c r="DU39" i="4"/>
  <c r="DW39" i="4"/>
  <c r="DY39" i="4"/>
  <c r="EA39" i="4"/>
  <c r="EC39" i="4"/>
  <c r="EE39" i="4"/>
  <c r="FZ39" i="4"/>
  <c r="GC39" i="4"/>
  <c r="GI39" i="4"/>
  <c r="B40" i="4"/>
  <c r="B41" i="14" s="1"/>
  <c r="C40" i="4"/>
  <c r="DG40" i="4"/>
  <c r="DI40" i="4"/>
  <c r="DK40" i="4"/>
  <c r="DM40" i="4"/>
  <c r="DO40" i="4"/>
  <c r="DQ40" i="4"/>
  <c r="DS40" i="4"/>
  <c r="DU40" i="4"/>
  <c r="DW40" i="4"/>
  <c r="DY40" i="4"/>
  <c r="EA40" i="4"/>
  <c r="EC40" i="4"/>
  <c r="EE40" i="4"/>
  <c r="FZ40" i="4"/>
  <c r="GC40" i="4"/>
  <c r="GI40" i="4"/>
  <c r="B41" i="4"/>
  <c r="C41" i="4"/>
  <c r="DG41" i="4"/>
  <c r="DI41" i="4"/>
  <c r="DK41" i="4"/>
  <c r="DM41" i="4"/>
  <c r="DO41" i="4"/>
  <c r="DQ41" i="4"/>
  <c r="DS41" i="4"/>
  <c r="DU41" i="4"/>
  <c r="DW41" i="4"/>
  <c r="DY41" i="4"/>
  <c r="EA41" i="4"/>
  <c r="EC41" i="4"/>
  <c r="EE41" i="4"/>
  <c r="FZ41" i="4"/>
  <c r="GC41" i="4"/>
  <c r="GI41" i="4"/>
  <c r="B42" i="4"/>
  <c r="B44" i="7" s="1"/>
  <c r="C42" i="4"/>
  <c r="DG42" i="4"/>
  <c r="DI42" i="4"/>
  <c r="DK42" i="4"/>
  <c r="DM42" i="4"/>
  <c r="DO42" i="4"/>
  <c r="DQ42" i="4"/>
  <c r="DS42" i="4"/>
  <c r="DU42" i="4"/>
  <c r="DW42" i="4"/>
  <c r="DY42" i="4"/>
  <c r="EA42" i="4"/>
  <c r="EC42" i="4"/>
  <c r="EE42" i="4"/>
  <c r="FZ42" i="4"/>
  <c r="GC42" i="4"/>
  <c r="GI42" i="4"/>
  <c r="B43" i="4"/>
  <c r="C43" i="4"/>
  <c r="DG43" i="4"/>
  <c r="DI43" i="4"/>
  <c r="DK43" i="4"/>
  <c r="DM43" i="4"/>
  <c r="DO43" i="4"/>
  <c r="DQ43" i="4"/>
  <c r="DS43" i="4"/>
  <c r="DU43" i="4"/>
  <c r="DW43" i="4"/>
  <c r="DY43" i="4"/>
  <c r="EA43" i="4"/>
  <c r="EC43" i="4"/>
  <c r="EE43" i="4"/>
  <c r="FZ43" i="4"/>
  <c r="GC43" i="4"/>
  <c r="GI43" i="4"/>
  <c r="B44" i="4"/>
  <c r="B46" i="7" s="1"/>
  <c r="B83" i="5" s="1"/>
  <c r="C44" i="4"/>
  <c r="DG44" i="4"/>
  <c r="DI44" i="4"/>
  <c r="DK44" i="4"/>
  <c r="DM44" i="4"/>
  <c r="DO44" i="4"/>
  <c r="DQ44" i="4"/>
  <c r="DS44" i="4"/>
  <c r="DU44" i="4"/>
  <c r="DW44" i="4"/>
  <c r="DY44" i="4"/>
  <c r="EA44" i="4"/>
  <c r="EC44" i="4"/>
  <c r="EE44" i="4"/>
  <c r="FZ44" i="4"/>
  <c r="GC44" i="4"/>
  <c r="GI44" i="4"/>
  <c r="B45" i="4"/>
  <c r="B47" i="7" s="1"/>
  <c r="C45" i="4"/>
  <c r="DG45" i="4"/>
  <c r="DI45" i="4"/>
  <c r="DK45" i="4"/>
  <c r="DM45" i="4"/>
  <c r="DO45" i="4"/>
  <c r="DQ45" i="4"/>
  <c r="DS45" i="4"/>
  <c r="DU45" i="4"/>
  <c r="DW45" i="4"/>
  <c r="DY45" i="4"/>
  <c r="EA45" i="4"/>
  <c r="EC45" i="4"/>
  <c r="EE45" i="4"/>
  <c r="FZ45" i="4"/>
  <c r="GC45" i="4"/>
  <c r="GI45" i="4"/>
  <c r="B46" i="4"/>
  <c r="B47" i="14" s="1"/>
  <c r="C46" i="4"/>
  <c r="DG46" i="4"/>
  <c r="DI46" i="4"/>
  <c r="DK46" i="4"/>
  <c r="DM46" i="4"/>
  <c r="DO46" i="4"/>
  <c r="DQ46" i="4"/>
  <c r="DS46" i="4"/>
  <c r="DU46" i="4"/>
  <c r="DW46" i="4"/>
  <c r="DY46" i="4"/>
  <c r="EA46" i="4"/>
  <c r="EC46" i="4"/>
  <c r="EE46" i="4"/>
  <c r="FZ46" i="4"/>
  <c r="GC46" i="4"/>
  <c r="GI46" i="4"/>
  <c r="B47" i="4"/>
  <c r="C47" i="4"/>
  <c r="DG47" i="4"/>
  <c r="DI47" i="4"/>
  <c r="DK47" i="4"/>
  <c r="DM47" i="4"/>
  <c r="DO47" i="4"/>
  <c r="DQ47" i="4"/>
  <c r="DS47" i="4"/>
  <c r="DU47" i="4"/>
  <c r="DW47" i="4"/>
  <c r="DY47" i="4"/>
  <c r="EA47" i="4"/>
  <c r="EC47" i="4"/>
  <c r="EE47" i="4"/>
  <c r="FZ47" i="4"/>
  <c r="GC47" i="4"/>
  <c r="GI47" i="4"/>
  <c r="FF9" i="1"/>
  <c r="FL9" i="1"/>
  <c r="FP9" i="1"/>
  <c r="GA9" i="1"/>
  <c r="D9" i="1" s="1"/>
  <c r="AY13" i="7" s="1"/>
  <c r="AZ13" i="7" s="1"/>
  <c r="GE9" i="1"/>
  <c r="E9" i="1" s="1"/>
  <c r="BA13" i="7" s="1"/>
  <c r="BB13" i="7" s="1"/>
  <c r="FF10" i="1"/>
  <c r="FL10" i="1"/>
  <c r="FP10" i="1"/>
  <c r="GA10" i="1"/>
  <c r="D10" i="1" s="1"/>
  <c r="AY14" i="7" s="1"/>
  <c r="AZ14" i="7" s="1"/>
  <c r="GE10" i="1"/>
  <c r="E10" i="1" s="1"/>
  <c r="BA14" i="7" s="1"/>
  <c r="BB14" i="7" s="1"/>
  <c r="FF11" i="1"/>
  <c r="FL11" i="1"/>
  <c r="FP11" i="1"/>
  <c r="GA11" i="1"/>
  <c r="D11" i="1" s="1"/>
  <c r="GE11" i="1"/>
  <c r="E11" i="1" s="1"/>
  <c r="BA15" i="7" s="1"/>
  <c r="BB15" i="7" s="1"/>
  <c r="FF12" i="1"/>
  <c r="FL12" i="1"/>
  <c r="FP12" i="1"/>
  <c r="GA12" i="1"/>
  <c r="D12" i="1" s="1"/>
  <c r="AY16" i="7" s="1"/>
  <c r="AZ16" i="7" s="1"/>
  <c r="GE12" i="1"/>
  <c r="E12" i="1" s="1"/>
  <c r="BA16" i="7" s="1"/>
  <c r="BB16" i="7" s="1"/>
  <c r="FF13" i="1"/>
  <c r="FL13" i="1"/>
  <c r="GA13" i="1"/>
  <c r="D13" i="1" s="1"/>
  <c r="AY17" i="7" s="1"/>
  <c r="AZ17" i="7" s="1"/>
  <c r="GE13" i="1"/>
  <c r="E13" i="1" s="1"/>
  <c r="E15" i="4" s="1"/>
  <c r="GR15" i="4" s="1"/>
  <c r="FF14" i="1"/>
  <c r="FL14" i="1"/>
  <c r="FP14" i="1"/>
  <c r="GA14" i="1"/>
  <c r="D14" i="1" s="1"/>
  <c r="D16" i="4" s="1"/>
  <c r="GE14" i="1"/>
  <c r="E14" i="1" s="1"/>
  <c r="E16" i="4" s="1"/>
  <c r="FF15" i="1"/>
  <c r="FL15" i="1"/>
  <c r="GA15" i="1"/>
  <c r="D15" i="1" s="1"/>
  <c r="AY19" i="7" s="1"/>
  <c r="AZ19" i="7" s="1"/>
  <c r="GE15" i="1"/>
  <c r="E15" i="1" s="1"/>
  <c r="BA19" i="7" s="1"/>
  <c r="BB19" i="7" s="1"/>
  <c r="FF16" i="1"/>
  <c r="FL16" i="1"/>
  <c r="FP16" i="1"/>
  <c r="GA16" i="1"/>
  <c r="D16" i="1" s="1"/>
  <c r="D18" i="4" s="1"/>
  <c r="DE18" i="4" s="1"/>
  <c r="GE16" i="1"/>
  <c r="E16" i="1" s="1"/>
  <c r="E18" i="4" s="1"/>
  <c r="FF17" i="1"/>
  <c r="FL17" i="1"/>
  <c r="FP17" i="1"/>
  <c r="GA17" i="1"/>
  <c r="D17" i="1" s="1"/>
  <c r="GE17" i="1"/>
  <c r="E17" i="1" s="1"/>
  <c r="BA21" i="7" s="1"/>
  <c r="BB21" i="7" s="1"/>
  <c r="FF18" i="1"/>
  <c r="FL18" i="1"/>
  <c r="FP18" i="1"/>
  <c r="GA18" i="1"/>
  <c r="D18" i="1" s="1"/>
  <c r="D20" i="4" s="1"/>
  <c r="DE20" i="4" s="1"/>
  <c r="GE18" i="1"/>
  <c r="E18" i="1" s="1"/>
  <c r="E20" i="4" s="1"/>
  <c r="FF19" i="1"/>
  <c r="FL19" i="1"/>
  <c r="FP19" i="1"/>
  <c r="GA19" i="1"/>
  <c r="D19" i="1" s="1"/>
  <c r="AY23" i="7" s="1"/>
  <c r="AZ23" i="7" s="1"/>
  <c r="GE19" i="1"/>
  <c r="E19" i="1" s="1"/>
  <c r="BA23" i="7" s="1"/>
  <c r="BB23" i="7" s="1"/>
  <c r="FF20" i="1"/>
  <c r="FL20" i="1"/>
  <c r="FP20" i="1"/>
  <c r="GA20" i="1"/>
  <c r="D20" i="1" s="1"/>
  <c r="D22" i="4" s="1"/>
  <c r="DE22" i="4" s="1"/>
  <c r="GE20" i="1"/>
  <c r="E20" i="1" s="1"/>
  <c r="FF21" i="1"/>
  <c r="FL21" i="1"/>
  <c r="FP21" i="1"/>
  <c r="GA21" i="1"/>
  <c r="D21" i="1" s="1"/>
  <c r="GE21" i="1"/>
  <c r="E21" i="1" s="1"/>
  <c r="BA25" i="7" s="1"/>
  <c r="BB25" i="7" s="1"/>
  <c r="FF22" i="1"/>
  <c r="FL22" i="1"/>
  <c r="FP22" i="1"/>
  <c r="GA22" i="1"/>
  <c r="D22" i="1" s="1"/>
  <c r="D24" i="4" s="1"/>
  <c r="DE24" i="4" s="1"/>
  <c r="GE22" i="1"/>
  <c r="E22" i="1" s="1"/>
  <c r="E24" i="4" s="1"/>
  <c r="FF23" i="1"/>
  <c r="FL23" i="1"/>
  <c r="FP23" i="1"/>
  <c r="GA23" i="1"/>
  <c r="D23" i="1" s="1"/>
  <c r="AY27" i="7" s="1"/>
  <c r="AZ27" i="7" s="1"/>
  <c r="GE23" i="1"/>
  <c r="E23" i="1" s="1"/>
  <c r="E25" i="4" s="1"/>
  <c r="FF24" i="1"/>
  <c r="FL24" i="1"/>
  <c r="FP24" i="1"/>
  <c r="GA24" i="1"/>
  <c r="D24" i="1" s="1"/>
  <c r="D26" i="4" s="1"/>
  <c r="DE26" i="4" s="1"/>
  <c r="GE24" i="1"/>
  <c r="E24" i="1" s="1"/>
  <c r="FF25" i="1"/>
  <c r="FL25" i="1"/>
  <c r="FP25" i="1"/>
  <c r="GA25" i="1"/>
  <c r="D25" i="1" s="1"/>
  <c r="GE25" i="1"/>
  <c r="E25" i="1" s="1"/>
  <c r="BA29" i="7" s="1"/>
  <c r="BB29" i="7" s="1"/>
  <c r="FF26" i="1"/>
  <c r="FL26" i="1"/>
  <c r="FP26" i="1"/>
  <c r="GA26" i="1"/>
  <c r="D26" i="1" s="1"/>
  <c r="D28" i="4" s="1"/>
  <c r="DE28" i="4" s="1"/>
  <c r="GE26" i="1"/>
  <c r="E26" i="1" s="1"/>
  <c r="E28" i="4" s="1"/>
  <c r="FF27" i="1"/>
  <c r="FL27" i="1"/>
  <c r="FP27" i="1"/>
  <c r="GA27" i="1"/>
  <c r="D27" i="1" s="1"/>
  <c r="AY31" i="7" s="1"/>
  <c r="AZ31" i="7" s="1"/>
  <c r="GE27" i="1"/>
  <c r="E27" i="1" s="1"/>
  <c r="E29" i="4" s="1"/>
  <c r="FF28" i="1"/>
  <c r="FL28" i="1"/>
  <c r="FP28" i="1"/>
  <c r="GA28" i="1"/>
  <c r="D28" i="1" s="1"/>
  <c r="D30" i="4" s="1"/>
  <c r="DE30" i="4" s="1"/>
  <c r="GE28" i="1"/>
  <c r="E28" i="1" s="1"/>
  <c r="FF29" i="1"/>
  <c r="FL29" i="1"/>
  <c r="FP29" i="1"/>
  <c r="GA29" i="1"/>
  <c r="D29" i="1" s="1"/>
  <c r="GE29" i="1"/>
  <c r="E29" i="1" s="1"/>
  <c r="E31" i="4" s="1"/>
  <c r="GR31" i="4" s="1"/>
  <c r="FF30" i="1"/>
  <c r="FL30" i="1"/>
  <c r="FP30" i="1"/>
  <c r="GA30" i="1"/>
  <c r="D30" i="1" s="1"/>
  <c r="D32" i="4" s="1"/>
  <c r="DE32" i="4" s="1"/>
  <c r="GE30" i="1"/>
  <c r="E30" i="1" s="1"/>
  <c r="E32" i="4" s="1"/>
  <c r="FF31" i="1"/>
  <c r="FL31" i="1"/>
  <c r="FP31" i="1"/>
  <c r="GA31" i="1"/>
  <c r="D31" i="1" s="1"/>
  <c r="AY35" i="7" s="1"/>
  <c r="AZ35" i="7" s="1"/>
  <c r="GE31" i="1"/>
  <c r="E31" i="1" s="1"/>
  <c r="BA35" i="7" s="1"/>
  <c r="BB35" i="7" s="1"/>
  <c r="FF32" i="1"/>
  <c r="FL32" i="1"/>
  <c r="FP32" i="1"/>
  <c r="GA32" i="1"/>
  <c r="D32" i="1" s="1"/>
  <c r="D34" i="4" s="1"/>
  <c r="DE34" i="4" s="1"/>
  <c r="GE32" i="1"/>
  <c r="E32" i="1" s="1"/>
  <c r="FF33" i="1"/>
  <c r="FL33" i="1"/>
  <c r="FP33" i="1"/>
  <c r="GA33" i="1"/>
  <c r="D33" i="1" s="1"/>
  <c r="GE33" i="1"/>
  <c r="E33" i="1" s="1"/>
  <c r="BA37" i="7" s="1"/>
  <c r="BB37" i="7" s="1"/>
  <c r="FF34" i="1"/>
  <c r="FL34" i="1"/>
  <c r="FP34" i="1"/>
  <c r="GA34" i="1"/>
  <c r="D34" i="1" s="1"/>
  <c r="D36" i="4" s="1"/>
  <c r="DE36" i="4" s="1"/>
  <c r="GE34" i="1"/>
  <c r="E34" i="1" s="1"/>
  <c r="E36" i="4" s="1"/>
  <c r="FF35" i="1"/>
  <c r="FL35" i="1"/>
  <c r="FP35" i="1"/>
  <c r="GA35" i="1"/>
  <c r="D35" i="1" s="1"/>
  <c r="AY39" i="7" s="1"/>
  <c r="AZ39" i="7" s="1"/>
  <c r="GE35" i="1"/>
  <c r="E35" i="1" s="1"/>
  <c r="BA39" i="7" s="1"/>
  <c r="BB39" i="7" s="1"/>
  <c r="FF36" i="1"/>
  <c r="FL36" i="1"/>
  <c r="FP36" i="1"/>
  <c r="GA36" i="1"/>
  <c r="D36" i="1" s="1"/>
  <c r="D38" i="4" s="1"/>
  <c r="DE38" i="4" s="1"/>
  <c r="GE36" i="1"/>
  <c r="E36" i="1" s="1"/>
  <c r="FF37" i="1"/>
  <c r="FL37" i="1"/>
  <c r="FP37" i="1"/>
  <c r="GA37" i="1"/>
  <c r="D37" i="1" s="1"/>
  <c r="GE37" i="1"/>
  <c r="E37" i="1" s="1"/>
  <c r="BA41" i="7" s="1"/>
  <c r="BB41" i="7" s="1"/>
  <c r="FF38" i="1"/>
  <c r="FL38" i="1"/>
  <c r="FP38" i="1"/>
  <c r="GA38" i="1"/>
  <c r="D38" i="1" s="1"/>
  <c r="D40" i="4" s="1"/>
  <c r="DE40" i="4" s="1"/>
  <c r="GE38" i="1"/>
  <c r="E38" i="1" s="1"/>
  <c r="E40" i="4" s="1"/>
  <c r="GR40" i="4" s="1"/>
  <c r="FF39" i="1"/>
  <c r="FL39" i="1"/>
  <c r="FP39" i="1"/>
  <c r="GA39" i="1"/>
  <c r="D39" i="1" s="1"/>
  <c r="AY43" i="7" s="1"/>
  <c r="AZ43" i="7" s="1"/>
  <c r="GE39" i="1"/>
  <c r="E39" i="1" s="1"/>
  <c r="E41" i="4" s="1"/>
  <c r="FF40" i="1"/>
  <c r="FL40" i="1"/>
  <c r="FP40" i="1"/>
  <c r="GA40" i="1"/>
  <c r="D40" i="1" s="1"/>
  <c r="D42" i="4" s="1"/>
  <c r="DE42" i="4" s="1"/>
  <c r="GE40" i="1"/>
  <c r="E40" i="1" s="1"/>
  <c r="E42" i="4" s="1"/>
  <c r="GR42" i="4" s="1"/>
  <c r="FF41" i="1"/>
  <c r="FL41" i="1"/>
  <c r="FP41" i="1"/>
  <c r="GA41" i="1"/>
  <c r="D41" i="1" s="1"/>
  <c r="GE41" i="1"/>
  <c r="E41" i="1" s="1"/>
  <c r="BA45" i="7" s="1"/>
  <c r="BB45" i="7" s="1"/>
  <c r="FF42" i="1"/>
  <c r="FL42" i="1"/>
  <c r="FP42" i="1"/>
  <c r="GA42" i="1"/>
  <c r="D42" i="1" s="1"/>
  <c r="D44" i="4" s="1"/>
  <c r="DE44" i="4" s="1"/>
  <c r="GE42" i="1"/>
  <c r="E42" i="1" s="1"/>
  <c r="E44" i="4" s="1"/>
  <c r="GR44" i="4" s="1"/>
  <c r="FF43" i="1"/>
  <c r="FL43" i="1"/>
  <c r="FP43" i="1"/>
  <c r="GA43" i="1"/>
  <c r="D43" i="1" s="1"/>
  <c r="AY47" i="7" s="1"/>
  <c r="AZ47" i="7" s="1"/>
  <c r="GE43" i="1"/>
  <c r="E43" i="1" s="1"/>
  <c r="E45" i="4" s="1"/>
  <c r="FF44" i="1"/>
  <c r="FL44" i="1"/>
  <c r="FP44" i="1"/>
  <c r="GA44" i="1"/>
  <c r="D44" i="1" s="1"/>
  <c r="D46" i="4" s="1"/>
  <c r="DE46" i="4" s="1"/>
  <c r="GE44" i="1"/>
  <c r="E44" i="1" s="1"/>
  <c r="FF45" i="1"/>
  <c r="FL45" i="1"/>
  <c r="FP45" i="1"/>
  <c r="GA45" i="1"/>
  <c r="D45" i="1" s="1"/>
  <c r="GE45" i="1"/>
  <c r="E45" i="1" s="1"/>
  <c r="E47" i="4" s="1"/>
  <c r="GR47" i="4" s="1"/>
  <c r="AM10" i="1"/>
  <c r="AP10" i="1"/>
  <c r="AR10" i="1"/>
  <c r="FY12" i="4" s="1"/>
  <c r="AW10" i="1"/>
  <c r="AY10" i="1"/>
  <c r="GQ12" i="4" s="1"/>
  <c r="BA10" i="1"/>
  <c r="BB10" i="1"/>
  <c r="AD14" i="7" s="1"/>
  <c r="BD10" i="1"/>
  <c r="AG14" i="7" s="1"/>
  <c r="AM11" i="1"/>
  <c r="AP11" i="1"/>
  <c r="AR11" i="1"/>
  <c r="FY13" i="4" s="1"/>
  <c r="AW11" i="1"/>
  <c r="AY11" i="1"/>
  <c r="GQ13" i="4" s="1"/>
  <c r="BA11" i="1"/>
  <c r="BB11" i="1"/>
  <c r="AD15" i="7" s="1"/>
  <c r="BD11" i="1"/>
  <c r="AG15" i="7" s="1"/>
  <c r="AM12" i="1"/>
  <c r="AN12" i="1"/>
  <c r="AP12" i="1"/>
  <c r="AR12" i="1"/>
  <c r="AW12" i="1"/>
  <c r="AY12" i="1"/>
  <c r="BA12" i="1"/>
  <c r="BB12" i="1"/>
  <c r="AD16" i="7" s="1"/>
  <c r="BD12" i="1"/>
  <c r="AM13" i="1"/>
  <c r="AN13" i="1"/>
  <c r="AP13" i="1"/>
  <c r="AR13" i="1"/>
  <c r="FY15" i="4" s="1"/>
  <c r="AW13" i="1"/>
  <c r="AY13" i="1"/>
  <c r="BA13" i="1"/>
  <c r="BB13" i="1"/>
  <c r="AD17" i="7" s="1"/>
  <c r="BD13" i="1"/>
  <c r="AM14" i="1"/>
  <c r="AN14" i="1"/>
  <c r="AP14" i="1"/>
  <c r="AR14" i="1"/>
  <c r="FY16" i="4" s="1"/>
  <c r="AW14" i="1"/>
  <c r="AY14" i="1"/>
  <c r="GQ16" i="4" s="1"/>
  <c r="BA14" i="1"/>
  <c r="BB14" i="1"/>
  <c r="AD18" i="7" s="1"/>
  <c r="BD14" i="1"/>
  <c r="AM15" i="1"/>
  <c r="AN15" i="1"/>
  <c r="AP15" i="1"/>
  <c r="AR15" i="1"/>
  <c r="FY17" i="4" s="1"/>
  <c r="AW15" i="1"/>
  <c r="AH19" i="7"/>
  <c r="AY15" i="1"/>
  <c r="BA15" i="1"/>
  <c r="BB15" i="1"/>
  <c r="AD19" i="7" s="1"/>
  <c r="BD15" i="1"/>
  <c r="AM16" i="1"/>
  <c r="AN16" i="1"/>
  <c r="AP16" i="1"/>
  <c r="AR16" i="1"/>
  <c r="FY18" i="4" s="1"/>
  <c r="AW16" i="1"/>
  <c r="AY16" i="1"/>
  <c r="GQ18" i="4" s="1"/>
  <c r="BA16" i="1"/>
  <c r="BB16" i="1"/>
  <c r="AD20" i="7" s="1"/>
  <c r="BD16" i="1"/>
  <c r="AM17" i="1"/>
  <c r="AN17" i="1"/>
  <c r="AO17" i="1"/>
  <c r="H19" i="4" s="1"/>
  <c r="AP17" i="1"/>
  <c r="AR17" i="1"/>
  <c r="AW17" i="1"/>
  <c r="AY17" i="1"/>
  <c r="BA17" i="1"/>
  <c r="BB17" i="1"/>
  <c r="AD21" i="7" s="1"/>
  <c r="BD17" i="1"/>
  <c r="AM18" i="1"/>
  <c r="AN18" i="1"/>
  <c r="AP18" i="1"/>
  <c r="AR18" i="1"/>
  <c r="FY20" i="4" s="1"/>
  <c r="AW18" i="1"/>
  <c r="AY18" i="1"/>
  <c r="GQ20" i="4" s="1"/>
  <c r="BA18" i="1"/>
  <c r="BB18" i="1"/>
  <c r="AD22" i="7" s="1"/>
  <c r="BD18" i="1"/>
  <c r="AM19" i="1"/>
  <c r="AN19" i="1"/>
  <c r="AP19" i="1"/>
  <c r="AR19" i="1"/>
  <c r="FY21" i="4" s="1"/>
  <c r="AW19" i="1"/>
  <c r="AY19" i="1"/>
  <c r="BA19" i="1"/>
  <c r="BB19" i="1"/>
  <c r="AD23" i="7" s="1"/>
  <c r="BD19" i="1"/>
  <c r="AM20" i="1"/>
  <c r="AN20" i="1"/>
  <c r="AP20" i="1"/>
  <c r="AR20" i="1"/>
  <c r="FY22" i="4" s="1"/>
  <c r="AW20" i="1"/>
  <c r="AY20" i="1"/>
  <c r="BA20" i="1"/>
  <c r="BB20" i="1"/>
  <c r="AD24" i="7" s="1"/>
  <c r="BD20" i="1"/>
  <c r="AM21" i="1"/>
  <c r="AN21" i="1"/>
  <c r="AO21" i="1"/>
  <c r="CR23" i="20" s="1"/>
  <c r="V23" i="20" s="1"/>
  <c r="AP21" i="1"/>
  <c r="AR21" i="1"/>
  <c r="FY23" i="4" s="1"/>
  <c r="AW21" i="1"/>
  <c r="AY21" i="1"/>
  <c r="BA21" i="1"/>
  <c r="BB21" i="1"/>
  <c r="AD25" i="7" s="1"/>
  <c r="BD21" i="1"/>
  <c r="AM22" i="1"/>
  <c r="AN22" i="1"/>
  <c r="AP22" i="1"/>
  <c r="AR22" i="1"/>
  <c r="FY24" i="4" s="1"/>
  <c r="AW22" i="1"/>
  <c r="AY22" i="1"/>
  <c r="BA22" i="1"/>
  <c r="BB22" i="1"/>
  <c r="AD26" i="7" s="1"/>
  <c r="BD22" i="1"/>
  <c r="AM23" i="1"/>
  <c r="AN23" i="1"/>
  <c r="AO23" i="1"/>
  <c r="AA23" i="1" s="1"/>
  <c r="AP23" i="1"/>
  <c r="DB23" i="1" s="1"/>
  <c r="AR23" i="1"/>
  <c r="FY25" i="4" s="1"/>
  <c r="AW23" i="1"/>
  <c r="AH27" i="7"/>
  <c r="AY23" i="1"/>
  <c r="GQ25" i="4" s="1"/>
  <c r="BA23" i="1"/>
  <c r="BB23" i="1"/>
  <c r="AD27" i="7" s="1"/>
  <c r="BD23" i="1"/>
  <c r="AM24" i="1"/>
  <c r="AN24" i="1"/>
  <c r="AP24" i="1"/>
  <c r="AR24" i="1"/>
  <c r="AW24" i="1"/>
  <c r="AY24" i="1"/>
  <c r="GQ26" i="4" s="1"/>
  <c r="BA24" i="1"/>
  <c r="BB24" i="1"/>
  <c r="AD28" i="7" s="1"/>
  <c r="BD24" i="1"/>
  <c r="AM25" i="1"/>
  <c r="AN25" i="1"/>
  <c r="AP25" i="1"/>
  <c r="DB25" i="1" s="1"/>
  <c r="AR25" i="1"/>
  <c r="FY27" i="4" s="1"/>
  <c r="AW25" i="1"/>
  <c r="AY25" i="1"/>
  <c r="GQ27" i="4" s="1"/>
  <c r="BA25" i="1"/>
  <c r="BB25" i="1"/>
  <c r="AD29" i="7" s="1"/>
  <c r="BD25" i="1"/>
  <c r="AM26" i="1"/>
  <c r="AN26" i="1"/>
  <c r="AP26" i="1"/>
  <c r="AR26" i="1"/>
  <c r="FY28" i="4" s="1"/>
  <c r="AW26" i="1"/>
  <c r="AY26" i="1"/>
  <c r="BA26" i="1"/>
  <c r="BB26" i="1"/>
  <c r="AD30" i="7" s="1"/>
  <c r="BD26" i="1"/>
  <c r="AM27" i="1"/>
  <c r="AN27" i="1"/>
  <c r="AP27" i="1"/>
  <c r="AR27" i="1"/>
  <c r="AW27" i="1"/>
  <c r="AY27" i="1"/>
  <c r="BA27" i="1"/>
  <c r="BB27" i="1"/>
  <c r="AD31" i="7" s="1"/>
  <c r="BD27" i="1"/>
  <c r="AM28" i="1"/>
  <c r="AN28" i="1"/>
  <c r="AP28" i="1"/>
  <c r="AR28" i="1"/>
  <c r="FY30" i="4" s="1"/>
  <c r="AW28" i="1"/>
  <c r="AY28" i="1"/>
  <c r="GQ30" i="4" s="1"/>
  <c r="BA28" i="1"/>
  <c r="BB28" i="1"/>
  <c r="AD32" i="7" s="1"/>
  <c r="BD28" i="1"/>
  <c r="AM29" i="1"/>
  <c r="AN29" i="1"/>
  <c r="AO29" i="1"/>
  <c r="AP29" i="1"/>
  <c r="AR29" i="1"/>
  <c r="FY31" i="4" s="1"/>
  <c r="AW29" i="1"/>
  <c r="AY29" i="1"/>
  <c r="GQ31" i="4" s="1"/>
  <c r="BA29" i="1"/>
  <c r="BB29" i="1"/>
  <c r="BD29" i="1"/>
  <c r="AM30" i="1"/>
  <c r="AN30" i="1"/>
  <c r="AP30" i="1"/>
  <c r="AR30" i="1"/>
  <c r="FY32" i="4" s="1"/>
  <c r="AW30" i="1"/>
  <c r="AY30" i="1"/>
  <c r="BA30" i="1"/>
  <c r="BB30" i="1"/>
  <c r="AD34" i="7" s="1"/>
  <c r="BD30" i="1"/>
  <c r="AM31" i="1"/>
  <c r="AN31" i="1"/>
  <c r="AO31" i="1"/>
  <c r="CU33" i="20" s="1"/>
  <c r="Y33" i="20" s="1"/>
  <c r="AP31" i="1"/>
  <c r="AR31" i="1"/>
  <c r="FY33" i="4" s="1"/>
  <c r="AW31" i="1"/>
  <c r="AY31" i="1"/>
  <c r="BA31" i="1"/>
  <c r="AE35" i="7" s="1"/>
  <c r="BB31" i="1"/>
  <c r="AD35" i="7" s="1"/>
  <c r="BD31" i="1"/>
  <c r="AG35" i="7" s="1"/>
  <c r="AM32" i="1"/>
  <c r="AN32" i="1"/>
  <c r="AP32" i="1"/>
  <c r="AR32" i="1"/>
  <c r="FY34" i="4" s="1"/>
  <c r="AW32" i="1"/>
  <c r="AY32" i="1"/>
  <c r="GQ34" i="4" s="1"/>
  <c r="BA32" i="1"/>
  <c r="BB32" i="1"/>
  <c r="AD36" i="7" s="1"/>
  <c r="BD32" i="1"/>
  <c r="AM33" i="1"/>
  <c r="AN33" i="1"/>
  <c r="AP33" i="1"/>
  <c r="AR33" i="1"/>
  <c r="FY35" i="4" s="1"/>
  <c r="AW33" i="1"/>
  <c r="AY33" i="1"/>
  <c r="BA33" i="1"/>
  <c r="BB33" i="1"/>
  <c r="AD37" i="7" s="1"/>
  <c r="BD33" i="1"/>
  <c r="AM34" i="1"/>
  <c r="AN34" i="1"/>
  <c r="AP34" i="1"/>
  <c r="AR34" i="1"/>
  <c r="FY36" i="4" s="1"/>
  <c r="AW34" i="1"/>
  <c r="AY34" i="1"/>
  <c r="GQ36" i="4" s="1"/>
  <c r="BA34" i="1"/>
  <c r="BB34" i="1"/>
  <c r="AD38" i="7" s="1"/>
  <c r="BD34" i="1"/>
  <c r="AM35" i="1"/>
  <c r="AN35" i="1"/>
  <c r="AP35" i="1"/>
  <c r="CO35" i="1" s="1"/>
  <c r="AR35" i="1"/>
  <c r="FY37" i="4" s="1"/>
  <c r="AW35" i="1"/>
  <c r="AH39" i="7"/>
  <c r="AY35" i="1"/>
  <c r="GQ37" i="4" s="1"/>
  <c r="BA35" i="1"/>
  <c r="BB35" i="1"/>
  <c r="AD39" i="7" s="1"/>
  <c r="BD35" i="1"/>
  <c r="AM36" i="1"/>
  <c r="AN36" i="1"/>
  <c r="AP36" i="1"/>
  <c r="AR36" i="1"/>
  <c r="FY38" i="4" s="1"/>
  <c r="AW36" i="1"/>
  <c r="AY36" i="1"/>
  <c r="GQ38" i="4" s="1"/>
  <c r="BA36" i="1"/>
  <c r="BB36" i="1"/>
  <c r="BD36" i="1"/>
  <c r="AM37" i="1"/>
  <c r="AN37" i="1"/>
  <c r="AP37" i="1"/>
  <c r="AR37" i="1"/>
  <c r="FY39" i="4" s="1"/>
  <c r="AW37" i="1"/>
  <c r="AY37" i="1"/>
  <c r="BA37" i="1"/>
  <c r="BB37" i="1"/>
  <c r="AD41" i="7" s="1"/>
  <c r="BD37" i="1"/>
  <c r="AM38" i="1"/>
  <c r="AN38" i="1"/>
  <c r="AP38" i="1"/>
  <c r="AR38" i="1"/>
  <c r="FY40" i="4" s="1"/>
  <c r="AW38" i="1"/>
  <c r="AY38" i="1"/>
  <c r="GQ40" i="4" s="1"/>
  <c r="BA38" i="1"/>
  <c r="BB38" i="1"/>
  <c r="AD42" i="7" s="1"/>
  <c r="BD38" i="1"/>
  <c r="AM39" i="1"/>
  <c r="AN39" i="1"/>
  <c r="AP39" i="1"/>
  <c r="DB39" i="1" s="1"/>
  <c r="AR39" i="1"/>
  <c r="FY41" i="4" s="1"/>
  <c r="AW39" i="1"/>
  <c r="AH43" i="7"/>
  <c r="AY39" i="1"/>
  <c r="BA39" i="1"/>
  <c r="BB39" i="1"/>
  <c r="AD43" i="7" s="1"/>
  <c r="BD39" i="1"/>
  <c r="AM40" i="1"/>
  <c r="AN40" i="1"/>
  <c r="AP40" i="1"/>
  <c r="AR40" i="1"/>
  <c r="FY42" i="4" s="1"/>
  <c r="AW40" i="1"/>
  <c r="AY40" i="1"/>
  <c r="BA40" i="1"/>
  <c r="BB40" i="1"/>
  <c r="BD40" i="1"/>
  <c r="AM41" i="1"/>
  <c r="AN41" i="1"/>
  <c r="AP41" i="1"/>
  <c r="CF41" i="1" s="1"/>
  <c r="AR41" i="1"/>
  <c r="FY43" i="4" s="1"/>
  <c r="AW41" i="1"/>
  <c r="AY41" i="1"/>
  <c r="GQ43" i="4" s="1"/>
  <c r="BA41" i="1"/>
  <c r="AE45" i="7" s="1"/>
  <c r="BB41" i="1"/>
  <c r="AD45" i="7" s="1"/>
  <c r="BD41" i="1"/>
  <c r="AM42" i="1"/>
  <c r="AN42" i="1"/>
  <c r="AP42" i="1"/>
  <c r="AR42" i="1"/>
  <c r="AW42" i="1"/>
  <c r="AY42" i="1"/>
  <c r="GQ44" i="4" s="1"/>
  <c r="BA42" i="1"/>
  <c r="BB42" i="1"/>
  <c r="AD46" i="7" s="1"/>
  <c r="BD42" i="1"/>
  <c r="AM43" i="1"/>
  <c r="AN43" i="1"/>
  <c r="AP43" i="1"/>
  <c r="AR43" i="1"/>
  <c r="FY45" i="4" s="1"/>
  <c r="AW43" i="1"/>
  <c r="AH47" i="7"/>
  <c r="AY43" i="1"/>
  <c r="GQ45" i="4" s="1"/>
  <c r="BA43" i="1"/>
  <c r="BB43" i="1"/>
  <c r="AD47" i="7" s="1"/>
  <c r="BD43" i="1"/>
  <c r="AM44" i="1"/>
  <c r="AN44" i="1"/>
  <c r="AP44" i="1"/>
  <c r="AR44" i="1"/>
  <c r="FY46" i="4" s="1"/>
  <c r="AW44" i="1"/>
  <c r="AY44" i="1"/>
  <c r="GQ46" i="4" s="1"/>
  <c r="BA44" i="1"/>
  <c r="BB44" i="1"/>
  <c r="AD48" i="7" s="1"/>
  <c r="BD44" i="1"/>
  <c r="AM45" i="1"/>
  <c r="AN45" i="1"/>
  <c r="AO45" i="1"/>
  <c r="CV47" i="20" s="1"/>
  <c r="Z47" i="20" s="1"/>
  <c r="AP45" i="1"/>
  <c r="AR45" i="1"/>
  <c r="FY47" i="4" s="1"/>
  <c r="AW45" i="1"/>
  <c r="AY45" i="1"/>
  <c r="GQ47" i="4" s="1"/>
  <c r="BA45" i="1"/>
  <c r="BB45" i="1"/>
  <c r="AD49" i="7" s="1"/>
  <c r="BD45" i="1"/>
  <c r="M11" i="1"/>
  <c r="GA13" i="4" s="1"/>
  <c r="M12" i="1"/>
  <c r="GA14" i="4" s="1"/>
  <c r="M13" i="1"/>
  <c r="GA15" i="4" s="1"/>
  <c r="M14" i="1"/>
  <c r="GA16" i="4" s="1"/>
  <c r="M17" i="1"/>
  <c r="GA19" i="4" s="1"/>
  <c r="M18" i="1"/>
  <c r="M19" i="1"/>
  <c r="M20" i="1"/>
  <c r="GA22" i="4" s="1"/>
  <c r="M21" i="1"/>
  <c r="GA23" i="4" s="1"/>
  <c r="M22" i="1"/>
  <c r="GA24" i="4" s="1"/>
  <c r="M23" i="1"/>
  <c r="GA25" i="4" s="1"/>
  <c r="M24" i="1"/>
  <c r="GA26" i="4" s="1"/>
  <c r="M25" i="1"/>
  <c r="GA27" i="4" s="1"/>
  <c r="M26" i="1"/>
  <c r="GA28" i="4" s="1"/>
  <c r="M27" i="1"/>
  <c r="GA29" i="4" s="1"/>
  <c r="M28" i="1"/>
  <c r="GA30" i="4" s="1"/>
  <c r="M29" i="1"/>
  <c r="GA31" i="4" s="1"/>
  <c r="M30" i="1"/>
  <c r="GA32" i="4" s="1"/>
  <c r="M31" i="1"/>
  <c r="GA33" i="4" s="1"/>
  <c r="M32" i="1"/>
  <c r="GA34" i="4" s="1"/>
  <c r="M33" i="1"/>
  <c r="GA35" i="4" s="1"/>
  <c r="M34" i="1"/>
  <c r="M35" i="1"/>
  <c r="GA37" i="4" s="1"/>
  <c r="M36" i="1"/>
  <c r="GA38" i="4" s="1"/>
  <c r="M37" i="1"/>
  <c r="GA39" i="4" s="1"/>
  <c r="M38" i="1"/>
  <c r="GA40" i="4" s="1"/>
  <c r="M39" i="1"/>
  <c r="GA41" i="4" s="1"/>
  <c r="M40" i="1"/>
  <c r="GA42" i="4" s="1"/>
  <c r="M41" i="1"/>
  <c r="GA43" i="4" s="1"/>
  <c r="M42" i="1"/>
  <c r="GA44" i="4" s="1"/>
  <c r="M43" i="1"/>
  <c r="GA45" i="4" s="1"/>
  <c r="M44" i="1"/>
  <c r="GA46" i="4" s="1"/>
  <c r="M45" i="1"/>
  <c r="GA47" i="4" s="1"/>
  <c r="M9" i="1"/>
  <c r="GA11" i="4" s="1"/>
  <c r="M10" i="1"/>
  <c r="GA12" i="4" s="1"/>
  <c r="BF331" i="1"/>
  <c r="BF332" i="1"/>
  <c r="BF333" i="1"/>
  <c r="BF334" i="1"/>
  <c r="BF335" i="1"/>
  <c r="BF336" i="1"/>
  <c r="BF337" i="1"/>
  <c r="BF338" i="1"/>
  <c r="BF339" i="1"/>
  <c r="BF340" i="1"/>
  <c r="BF341" i="1"/>
  <c r="BF342" i="1"/>
  <c r="BF343" i="1"/>
  <c r="BF344" i="1"/>
  <c r="BF345" i="1"/>
  <c r="BF346" i="1"/>
  <c r="BF347" i="1"/>
  <c r="BF348" i="1"/>
  <c r="BF349" i="1"/>
  <c r="BF350" i="1"/>
  <c r="BF351" i="1"/>
  <c r="BF352" i="1"/>
  <c r="BF353" i="1"/>
  <c r="BF354" i="1"/>
  <c r="BF355" i="1"/>
  <c r="BF356" i="1"/>
  <c r="BF357" i="1"/>
  <c r="BF358" i="1"/>
  <c r="BF359" i="1"/>
  <c r="BF360" i="1"/>
  <c r="BF361" i="1"/>
  <c r="BF362" i="1"/>
  <c r="BF363" i="1"/>
  <c r="BF364" i="1"/>
  <c r="BF365" i="1"/>
  <c r="BF366" i="1"/>
  <c r="BF367" i="1"/>
  <c r="BF368" i="1"/>
  <c r="BF369" i="1"/>
  <c r="BF370" i="1"/>
  <c r="BF288" i="1"/>
  <c r="BF289" i="1"/>
  <c r="BF290" i="1"/>
  <c r="BF291" i="1"/>
  <c r="BF292" i="1"/>
  <c r="BF293" i="1"/>
  <c r="BF294" i="1"/>
  <c r="BF295" i="1"/>
  <c r="BF296" i="1"/>
  <c r="BF297" i="1"/>
  <c r="BF298" i="1"/>
  <c r="BF299" i="1"/>
  <c r="BF300" i="1"/>
  <c r="BF301" i="1"/>
  <c r="BF302" i="1"/>
  <c r="BF303" i="1"/>
  <c r="BF304" i="1"/>
  <c r="BF305" i="1"/>
  <c r="BF306" i="1"/>
  <c r="BF307" i="1"/>
  <c r="BF308" i="1"/>
  <c r="BF309" i="1"/>
  <c r="BF310" i="1"/>
  <c r="BF311" i="1"/>
  <c r="BF312" i="1"/>
  <c r="BF313" i="1"/>
  <c r="BF314" i="1"/>
  <c r="BF315" i="1"/>
  <c r="BF316" i="1"/>
  <c r="BF317" i="1"/>
  <c r="BF318" i="1"/>
  <c r="BF319" i="1"/>
  <c r="BF320" i="1"/>
  <c r="BF321" i="1"/>
  <c r="BF322" i="1"/>
  <c r="BF323" i="1"/>
  <c r="BF324" i="1"/>
  <c r="BF325" i="1"/>
  <c r="BG325" i="1"/>
  <c r="BF326" i="1"/>
  <c r="BG326" i="1"/>
  <c r="BF246" i="1"/>
  <c r="BF247" i="1"/>
  <c r="BF248" i="1"/>
  <c r="BF249" i="1"/>
  <c r="BF250" i="1"/>
  <c r="BF251" i="1"/>
  <c r="BF252" i="1"/>
  <c r="BF253" i="1"/>
  <c r="BF254" i="1"/>
  <c r="BF255" i="1"/>
  <c r="BF256" i="1"/>
  <c r="BF257" i="1"/>
  <c r="BF258" i="1"/>
  <c r="BF259" i="1"/>
  <c r="BF260" i="1"/>
  <c r="BF261" i="1"/>
  <c r="BF262" i="1"/>
  <c r="BF263" i="1"/>
  <c r="BF264" i="1"/>
  <c r="BF265" i="1"/>
  <c r="BF266" i="1"/>
  <c r="BF267" i="1"/>
  <c r="BF268" i="1"/>
  <c r="BF269" i="1"/>
  <c r="BF270" i="1"/>
  <c r="BF271" i="1"/>
  <c r="BF272" i="1"/>
  <c r="BF273" i="1"/>
  <c r="BF274" i="1"/>
  <c r="BF275" i="1"/>
  <c r="BF276" i="1"/>
  <c r="BF277" i="1"/>
  <c r="BF278" i="1"/>
  <c r="BF279" i="1"/>
  <c r="BF280" i="1"/>
  <c r="BF281" i="1"/>
  <c r="BF282" i="1"/>
  <c r="BF283" i="1"/>
  <c r="BF204" i="1"/>
  <c r="BF205" i="1"/>
  <c r="BF206" i="1"/>
  <c r="BF207" i="1"/>
  <c r="BF208" i="1"/>
  <c r="BF209" i="1"/>
  <c r="BF210" i="1"/>
  <c r="BF211" i="1"/>
  <c r="BF212" i="1"/>
  <c r="BF213" i="1"/>
  <c r="BF214" i="1"/>
  <c r="BF215" i="1"/>
  <c r="BF216" i="1"/>
  <c r="BF217" i="1"/>
  <c r="BF218" i="1"/>
  <c r="BF219" i="1"/>
  <c r="BF220" i="1"/>
  <c r="BF221" i="1"/>
  <c r="BF222" i="1"/>
  <c r="BF223" i="1"/>
  <c r="BF224" i="1"/>
  <c r="BF225" i="1"/>
  <c r="BF226" i="1"/>
  <c r="BF227" i="1"/>
  <c r="BF228" i="1"/>
  <c r="BF229" i="1"/>
  <c r="BF230" i="1"/>
  <c r="BF231" i="1"/>
  <c r="BF232" i="1"/>
  <c r="BF233" i="1"/>
  <c r="BF234" i="1"/>
  <c r="BF235" i="1"/>
  <c r="BF236" i="1"/>
  <c r="BF237" i="1"/>
  <c r="BF238" i="1"/>
  <c r="BF239" i="1"/>
  <c r="BF240" i="1"/>
  <c r="BF241" i="1"/>
  <c r="BF242" i="1"/>
  <c r="BF165" i="1"/>
  <c r="CB165" i="1" s="1"/>
  <c r="BF166" i="1"/>
  <c r="CB166" i="1" s="1"/>
  <c r="BF167" i="1"/>
  <c r="CB167" i="1" s="1"/>
  <c r="BF168" i="1"/>
  <c r="CB168" i="1" s="1"/>
  <c r="BF169" i="1"/>
  <c r="CB169" i="1" s="1"/>
  <c r="BF170" i="1"/>
  <c r="CB170" i="1" s="1"/>
  <c r="BF171" i="1"/>
  <c r="CB171" i="1" s="1"/>
  <c r="BF172" i="1"/>
  <c r="CB172" i="1" s="1"/>
  <c r="BF173" i="1"/>
  <c r="CB173" i="1" s="1"/>
  <c r="BF174" i="1"/>
  <c r="CB174" i="1" s="1"/>
  <c r="BF175" i="1"/>
  <c r="CB175" i="1" s="1"/>
  <c r="BF176" i="1"/>
  <c r="CB176" i="1" s="1"/>
  <c r="BF177" i="1"/>
  <c r="CB177" i="1" s="1"/>
  <c r="BF178" i="1"/>
  <c r="CB178" i="1" s="1"/>
  <c r="BF179" i="1"/>
  <c r="CB179" i="1" s="1"/>
  <c r="BF180" i="1"/>
  <c r="CB180" i="1" s="1"/>
  <c r="BF181" i="1"/>
  <c r="CB181" i="1" s="1"/>
  <c r="BF182" i="1"/>
  <c r="CB182" i="1" s="1"/>
  <c r="BF183" i="1"/>
  <c r="CB183" i="1" s="1"/>
  <c r="BF184" i="1"/>
  <c r="CB184" i="1" s="1"/>
  <c r="BF185" i="1"/>
  <c r="CB185" i="1" s="1"/>
  <c r="BF186" i="1"/>
  <c r="CB186" i="1" s="1"/>
  <c r="BF187" i="1"/>
  <c r="CB187" i="1" s="1"/>
  <c r="BF188" i="1"/>
  <c r="CB188" i="1" s="1"/>
  <c r="BF189" i="1"/>
  <c r="CB189" i="1" s="1"/>
  <c r="BF190" i="1"/>
  <c r="CB190" i="1" s="1"/>
  <c r="BF191" i="1"/>
  <c r="CB191" i="1" s="1"/>
  <c r="BF192" i="1"/>
  <c r="CB192" i="1" s="1"/>
  <c r="BF193" i="1"/>
  <c r="CB193" i="1" s="1"/>
  <c r="BF194" i="1"/>
  <c r="CB194" i="1" s="1"/>
  <c r="BF195" i="1"/>
  <c r="CB195" i="1" s="1"/>
  <c r="BF196" i="1"/>
  <c r="CB196" i="1" s="1"/>
  <c r="BF197" i="1"/>
  <c r="CB197" i="1" s="1"/>
  <c r="BF198" i="1"/>
  <c r="CB198" i="1" s="1"/>
  <c r="BF199" i="1"/>
  <c r="CB199" i="1" s="1"/>
  <c r="BF200" i="1"/>
  <c r="CB200" i="1" s="1"/>
  <c r="BF201" i="1"/>
  <c r="CB201" i="1" s="1"/>
  <c r="DH169" i="1"/>
  <c r="DH170" i="1"/>
  <c r="DH171" i="1"/>
  <c r="DH172" i="1"/>
  <c r="DH173" i="1"/>
  <c r="DH174" i="1"/>
  <c r="DH175" i="1"/>
  <c r="DH176" i="1"/>
  <c r="DH177" i="1"/>
  <c r="DH178" i="1"/>
  <c r="DH179" i="1"/>
  <c r="DH180" i="1"/>
  <c r="DH181" i="1"/>
  <c r="DH182" i="1"/>
  <c r="DH183" i="1"/>
  <c r="DH184" i="1"/>
  <c r="DH185" i="1"/>
  <c r="DH186" i="1"/>
  <c r="DH187" i="1"/>
  <c r="DH188" i="1"/>
  <c r="DH189" i="1"/>
  <c r="DH190" i="1"/>
  <c r="DH191" i="1"/>
  <c r="DH192" i="1"/>
  <c r="DH193" i="1"/>
  <c r="DH194" i="1"/>
  <c r="DH195" i="1"/>
  <c r="DH196" i="1"/>
  <c r="DH197" i="1"/>
  <c r="DH198" i="1"/>
  <c r="DH199" i="1"/>
  <c r="DH200" i="1"/>
  <c r="DH201" i="1"/>
  <c r="DH202" i="1"/>
  <c r="DH203" i="1"/>
  <c r="DH204" i="1"/>
  <c r="DH205" i="1"/>
  <c r="AX124" i="1"/>
  <c r="BF124" i="1"/>
  <c r="AX125" i="1"/>
  <c r="BF125" i="1"/>
  <c r="CA125" i="1" s="1"/>
  <c r="CB207" i="1" s="1"/>
  <c r="CB333" i="1" s="1"/>
  <c r="AX126" i="1"/>
  <c r="BF126" i="1"/>
  <c r="AX127" i="1"/>
  <c r="BF127" i="1"/>
  <c r="AX128" i="1"/>
  <c r="BF128" i="1"/>
  <c r="AX129" i="1"/>
  <c r="BF129" i="1"/>
  <c r="BK129" i="1" s="1"/>
  <c r="BL252" i="1" s="1"/>
  <c r="AX130" i="1"/>
  <c r="BF130" i="1"/>
  <c r="BM130" i="1" s="1"/>
  <c r="AX131" i="1"/>
  <c r="BF131" i="1"/>
  <c r="AX132" i="1"/>
  <c r="BF132" i="1"/>
  <c r="AX133" i="1"/>
  <c r="BF133" i="1"/>
  <c r="BP133" i="1" s="1"/>
  <c r="BQ215" i="1" s="1"/>
  <c r="BQ341" i="1" s="1"/>
  <c r="AX134" i="1"/>
  <c r="BF134" i="1"/>
  <c r="AX135" i="1"/>
  <c r="BF135" i="1"/>
  <c r="AX136" i="1"/>
  <c r="BF136" i="1"/>
  <c r="AX137" i="1"/>
  <c r="BF137" i="1"/>
  <c r="AX138" i="1"/>
  <c r="BF138" i="1"/>
  <c r="AX139" i="1"/>
  <c r="BF139" i="1"/>
  <c r="AX140" i="1"/>
  <c r="BF140" i="1"/>
  <c r="AX141" i="1"/>
  <c r="BF141" i="1"/>
  <c r="BI141" i="1" s="1"/>
  <c r="AX142" i="1"/>
  <c r="BF142" i="1"/>
  <c r="AX143" i="1"/>
  <c r="BF143" i="1"/>
  <c r="AX144" i="1"/>
  <c r="BF144" i="1"/>
  <c r="BG144" i="1" s="1"/>
  <c r="AX145" i="1"/>
  <c r="BF145" i="1"/>
  <c r="AX146" i="1"/>
  <c r="BF146" i="1"/>
  <c r="BI146" i="1" s="1"/>
  <c r="AX147" i="1"/>
  <c r="BF147" i="1"/>
  <c r="AX148" i="1"/>
  <c r="BF148" i="1"/>
  <c r="AX149" i="1"/>
  <c r="BF149" i="1"/>
  <c r="BP149" i="1" s="1"/>
  <c r="BQ272" i="1" s="1"/>
  <c r="AX150" i="1"/>
  <c r="BF150" i="1"/>
  <c r="BP150" i="1" s="1"/>
  <c r="AX151" i="1"/>
  <c r="BF151" i="1"/>
  <c r="AX152" i="1"/>
  <c r="BF152" i="1"/>
  <c r="AX153" i="1"/>
  <c r="BF153" i="1"/>
  <c r="AX154" i="1"/>
  <c r="BF154" i="1"/>
  <c r="AX155" i="1"/>
  <c r="BF155" i="1"/>
  <c r="AX156" i="1"/>
  <c r="BF156" i="1"/>
  <c r="AX157" i="1"/>
  <c r="BF157" i="1"/>
  <c r="AX158" i="1"/>
  <c r="BF158" i="1"/>
  <c r="AX159" i="1"/>
  <c r="BF159" i="1"/>
  <c r="AX160" i="1"/>
  <c r="BF160" i="1"/>
  <c r="W4" i="8"/>
  <c r="W5" i="8"/>
  <c r="W6" i="8"/>
  <c r="W7" i="8"/>
  <c r="W8" i="8"/>
  <c r="W9" i="8"/>
  <c r="W10" i="8"/>
  <c r="W11" i="8"/>
  <c r="W12" i="8"/>
  <c r="W13" i="8"/>
  <c r="W14" i="8"/>
  <c r="W15" i="8"/>
  <c r="W16" i="8"/>
  <c r="W17" i="8"/>
  <c r="W3" i="8"/>
  <c r="GA4" i="1"/>
  <c r="GE4" i="1"/>
  <c r="GE6" i="1"/>
  <c r="E6" i="1" s="1"/>
  <c r="BA10" i="7" s="1"/>
  <c r="BB10" i="7" s="1"/>
  <c r="GE7" i="1"/>
  <c r="E7" i="1" s="1"/>
  <c r="BA11" i="7" s="1"/>
  <c r="BB11" i="7" s="1"/>
  <c r="GE8" i="1"/>
  <c r="E8" i="1" s="1"/>
  <c r="BA12" i="7" s="1"/>
  <c r="BB12" i="7" s="1"/>
  <c r="GE5" i="1"/>
  <c r="E5" i="1" s="1"/>
  <c r="AT9" i="7" s="1"/>
  <c r="AW9" i="7" s="1"/>
  <c r="GA6" i="1"/>
  <c r="D6" i="1" s="1"/>
  <c r="D8" i="4" s="1"/>
  <c r="GA7" i="1"/>
  <c r="D7" i="1" s="1"/>
  <c r="GA8" i="1"/>
  <c r="D8" i="1" s="1"/>
  <c r="AY12" i="7" s="1"/>
  <c r="AZ12" i="7" s="1"/>
  <c r="GA5" i="1"/>
  <c r="D5" i="1" s="1"/>
  <c r="D7" i="4" s="1"/>
  <c r="W7" i="4" s="1"/>
  <c r="E13" i="4"/>
  <c r="GR13" i="4" s="1"/>
  <c r="GD4" i="1"/>
  <c r="GH4" i="1" s="1"/>
  <c r="GG4" i="1"/>
  <c r="GF4" i="1"/>
  <c r="GC4" i="1"/>
  <c r="GB4" i="1"/>
  <c r="AZ8" i="7"/>
  <c r="AU2" i="20"/>
  <c r="CH78" i="1"/>
  <c r="Z47" i="21"/>
  <c r="Z46" i="21"/>
  <c r="AH5" i="21"/>
  <c r="AO36" i="21" s="1"/>
  <c r="FF6" i="1"/>
  <c r="FF7" i="1"/>
  <c r="FF8" i="1"/>
  <c r="FF5" i="1"/>
  <c r="L1" i="6"/>
  <c r="K1" i="6" s="1"/>
  <c r="J1" i="6" s="1"/>
  <c r="B4" i="20"/>
  <c r="BF36" i="1"/>
  <c r="S36" i="18" s="1"/>
  <c r="T66" i="17"/>
  <c r="V66" i="17"/>
  <c r="W66" i="17"/>
  <c r="X66" i="17"/>
  <c r="Y66" i="17"/>
  <c r="Z66" i="17"/>
  <c r="AB66" i="17"/>
  <c r="BG60" i="1"/>
  <c r="BH60" i="1"/>
  <c r="BI60" i="1"/>
  <c r="V60" i="21" s="1"/>
  <c r="BJ60" i="1"/>
  <c r="W60" i="18" s="1"/>
  <c r="BK60" i="1"/>
  <c r="BL60" i="1"/>
  <c r="Y60" i="21" s="1"/>
  <c r="BM60" i="1"/>
  <c r="BN60" i="1"/>
  <c r="AA60" i="17" s="1"/>
  <c r="BO60" i="1"/>
  <c r="BG66" i="1"/>
  <c r="BH66" i="1"/>
  <c r="U66" i="18" s="1"/>
  <c r="BI66" i="1"/>
  <c r="BJ66" i="1"/>
  <c r="BK66" i="1"/>
  <c r="BL66" i="1"/>
  <c r="BM66" i="1"/>
  <c r="Z66" i="21" s="1"/>
  <c r="BN66" i="1"/>
  <c r="BO66" i="1"/>
  <c r="BK31" i="1"/>
  <c r="X31" i="18" s="1"/>
  <c r="BN73" i="1"/>
  <c r="V48" i="18"/>
  <c r="BF37" i="1"/>
  <c r="BF38" i="1"/>
  <c r="BF39" i="1"/>
  <c r="S39" i="17" s="1"/>
  <c r="BF40" i="1"/>
  <c r="BF41" i="1"/>
  <c r="S41" i="18" s="1"/>
  <c r="BF42" i="1"/>
  <c r="BF43" i="1"/>
  <c r="BF44" i="1"/>
  <c r="BF45" i="1"/>
  <c r="BF46" i="1"/>
  <c r="BF47" i="1"/>
  <c r="BF48" i="1"/>
  <c r="BF49" i="1"/>
  <c r="BF50" i="1"/>
  <c r="BF51" i="1"/>
  <c r="BF52" i="1"/>
  <c r="BF53" i="1"/>
  <c r="BF54" i="1"/>
  <c r="BF55" i="1"/>
  <c r="BF57" i="1"/>
  <c r="BF58" i="1"/>
  <c r="BF59" i="1"/>
  <c r="BF60" i="1"/>
  <c r="BF61" i="1"/>
  <c r="BF62" i="1"/>
  <c r="BF63" i="1"/>
  <c r="BF64" i="1"/>
  <c r="BF65" i="1"/>
  <c r="S65" i="17" s="1"/>
  <c r="BF66" i="1"/>
  <c r="BF67" i="1"/>
  <c r="BF68" i="1"/>
  <c r="S68" i="17" s="1"/>
  <c r="BF69" i="1"/>
  <c r="S69" i="18" s="1"/>
  <c r="BF70" i="1"/>
  <c r="BF71" i="1"/>
  <c r="S71" i="21" s="1"/>
  <c r="BF73" i="1"/>
  <c r="BF74" i="1"/>
  <c r="BF75" i="1"/>
  <c r="BF76" i="1"/>
  <c r="BF77" i="1"/>
  <c r="BF78" i="1"/>
  <c r="BF79" i="1"/>
  <c r="BF80" i="1"/>
  <c r="BF81" i="1"/>
  <c r="BF82" i="1"/>
  <c r="BF83" i="1"/>
  <c r="AH4" i="1"/>
  <c r="BL49" i="1" s="1"/>
  <c r="FL7" i="1"/>
  <c r="FL46" i="1"/>
  <c r="FL5" i="1"/>
  <c r="CM58" i="20"/>
  <c r="CL58" i="20"/>
  <c r="S72" i="21"/>
  <c r="AH65" i="21"/>
  <c r="AH64" i="21"/>
  <c r="AH63" i="21"/>
  <c r="AH62" i="21"/>
  <c r="AH56" i="21"/>
  <c r="S56" i="21"/>
  <c r="AH55" i="21"/>
  <c r="AH51" i="21"/>
  <c r="AH50" i="21"/>
  <c r="AH46" i="21"/>
  <c r="AH45" i="21"/>
  <c r="S33" i="21"/>
  <c r="Y32" i="21"/>
  <c r="X32" i="21"/>
  <c r="AB31" i="21"/>
  <c r="Z31" i="21"/>
  <c r="Y31" i="21"/>
  <c r="X31" i="21"/>
  <c r="W31" i="21"/>
  <c r="V31" i="21"/>
  <c r="U31" i="21"/>
  <c r="T31" i="21"/>
  <c r="S31" i="21"/>
  <c r="S30" i="21"/>
  <c r="S29" i="21"/>
  <c r="S5" i="21"/>
  <c r="CH84" i="1"/>
  <c r="CH82" i="1"/>
  <c r="CH79" i="1"/>
  <c r="BL49" i="20"/>
  <c r="BL48" i="20"/>
  <c r="A8" i="20"/>
  <c r="B8" i="20"/>
  <c r="C8" i="20"/>
  <c r="BK50" i="20"/>
  <c r="C7" i="20"/>
  <c r="B7" i="20"/>
  <c r="A7" i="20"/>
  <c r="P1" i="20"/>
  <c r="AV3" i="20"/>
  <c r="Y5" i="20"/>
  <c r="I6" i="20"/>
  <c r="DM164" i="1"/>
  <c r="CU85" i="1"/>
  <c r="BR41" i="18" s="1"/>
  <c r="BB5" i="1"/>
  <c r="AD9" i="7" s="1"/>
  <c r="AM5" i="1"/>
  <c r="AP5" i="1"/>
  <c r="CF5" i="1" s="1"/>
  <c r="AR5" i="1"/>
  <c r="FY7" i="4" s="1"/>
  <c r="AW5" i="1"/>
  <c r="BA5" i="1"/>
  <c r="BD5" i="1"/>
  <c r="GJ7" i="4" s="1"/>
  <c r="AM6" i="1"/>
  <c r="AP6" i="1"/>
  <c r="AR6" i="1"/>
  <c r="FY8" i="4" s="1"/>
  <c r="AW6" i="1"/>
  <c r="AY6" i="1"/>
  <c r="GQ8" i="4" s="1"/>
  <c r="BA6" i="1"/>
  <c r="BB6" i="1"/>
  <c r="AD10" i="7" s="1"/>
  <c r="BD6" i="1"/>
  <c r="GJ8" i="4" s="1"/>
  <c r="AM7" i="1"/>
  <c r="AP7" i="1"/>
  <c r="AR7" i="1"/>
  <c r="FY9" i="4" s="1"/>
  <c r="AW7" i="1"/>
  <c r="AH11" i="7"/>
  <c r="AY7" i="1"/>
  <c r="GQ9" i="4" s="1"/>
  <c r="BA7" i="1"/>
  <c r="AE11" i="7" s="1"/>
  <c r="BB7" i="1"/>
  <c r="AD11" i="7" s="1"/>
  <c r="BD7" i="1"/>
  <c r="CM48" i="4"/>
  <c r="CM6" i="4" s="1"/>
  <c r="AM8" i="1"/>
  <c r="AM9" i="1"/>
  <c r="DH166" i="1"/>
  <c r="DH167" i="1"/>
  <c r="DH168" i="1"/>
  <c r="DH165" i="1"/>
  <c r="FP8" i="1"/>
  <c r="DL4" i="1"/>
  <c r="FT4" i="1"/>
  <c r="AM4" i="1"/>
  <c r="CC66" i="1"/>
  <c r="DU164" i="1"/>
  <c r="DU119" i="1"/>
  <c r="DT164" i="1" s="1"/>
  <c r="DT119" i="1"/>
  <c r="DS164" i="1" s="1"/>
  <c r="DS119" i="1"/>
  <c r="DR118" i="1"/>
  <c r="DR119" i="1"/>
  <c r="DQ119" i="1"/>
  <c r="DP119" i="1"/>
  <c r="DP118" i="1"/>
  <c r="DP117" i="1"/>
  <c r="DO119" i="1"/>
  <c r="DN119" i="1"/>
  <c r="DM119" i="1"/>
  <c r="DL119" i="1"/>
  <c r="DN118" i="1"/>
  <c r="DK119" i="1"/>
  <c r="DJ119" i="1"/>
  <c r="DI119" i="1"/>
  <c r="DK118" i="1"/>
  <c r="DJ118" i="1"/>
  <c r="AC9" i="7"/>
  <c r="AP8" i="1"/>
  <c r="DB8" i="1" s="1"/>
  <c r="AP9" i="1"/>
  <c r="AP46" i="1"/>
  <c r="FP46" i="1"/>
  <c r="FP1" i="1"/>
  <c r="Y32" i="17"/>
  <c r="X32" i="17"/>
  <c r="CC65" i="1"/>
  <c r="DM4" i="1"/>
  <c r="DN4" i="1"/>
  <c r="AY4" i="1"/>
  <c r="GQ6" i="4" s="1"/>
  <c r="AY9" i="1"/>
  <c r="GQ11" i="4" s="1"/>
  <c r="AY8" i="1"/>
  <c r="GQ10" i="4" s="1"/>
  <c r="CJ76" i="1"/>
  <c r="AY3" i="7"/>
  <c r="AY7" i="7" s="1"/>
  <c r="AZ7" i="7" s="1"/>
  <c r="AV2" i="7"/>
  <c r="AV7" i="7"/>
  <c r="AV8" i="7"/>
  <c r="B1" i="6"/>
  <c r="AW8" i="1"/>
  <c r="AW9" i="1"/>
  <c r="BF330" i="1"/>
  <c r="BF329" i="1"/>
  <c r="AV4" i="1"/>
  <c r="CJ4" i="1"/>
  <c r="CI4" i="1"/>
  <c r="CC51" i="1"/>
  <c r="CC52" i="1"/>
  <c r="CC53" i="1"/>
  <c r="CC54" i="1"/>
  <c r="CC55" i="1"/>
  <c r="CC56" i="1"/>
  <c r="CC57" i="1"/>
  <c r="CC58" i="1"/>
  <c r="CC59" i="1"/>
  <c r="CC60" i="1"/>
  <c r="CC61" i="1"/>
  <c r="CC62" i="1"/>
  <c r="CC63" i="1"/>
  <c r="CC64" i="1"/>
  <c r="CC50" i="1"/>
  <c r="CM4" i="1"/>
  <c r="CK4" i="1"/>
  <c r="CS4" i="1"/>
  <c r="BP4" i="1"/>
  <c r="CL4" i="1"/>
  <c r="CT4" i="1"/>
  <c r="AN4" i="1"/>
  <c r="C8" i="16"/>
  <c r="AH5" i="18"/>
  <c r="AU38" i="18" s="1"/>
  <c r="AH5" i="17"/>
  <c r="AN31" i="17" s="1"/>
  <c r="EM47" i="1"/>
  <c r="EI4" i="1"/>
  <c r="FI46" i="1"/>
  <c r="AQ162" i="1"/>
  <c r="AP162" i="1"/>
  <c r="AR161" i="1"/>
  <c r="AQ161" i="1"/>
  <c r="AP161" i="1"/>
  <c r="AO4" i="1"/>
  <c r="U48" i="18"/>
  <c r="AH65" i="18"/>
  <c r="AH64" i="18"/>
  <c r="AH63" i="18"/>
  <c r="AH62" i="18"/>
  <c r="AH56" i="18"/>
  <c r="AH55" i="18"/>
  <c r="AH51" i="18"/>
  <c r="AH50" i="18"/>
  <c r="AH46" i="18"/>
  <c r="S72" i="18"/>
  <c r="S56" i="18"/>
  <c r="S33" i="18"/>
  <c r="S31" i="18"/>
  <c r="S30" i="18"/>
  <c r="S29" i="18"/>
  <c r="S5" i="18"/>
  <c r="S72" i="17"/>
  <c r="S56" i="17"/>
  <c r="S33" i="17"/>
  <c r="S31" i="17"/>
  <c r="S30" i="17"/>
  <c r="S29" i="17"/>
  <c r="S5" i="17"/>
  <c r="AB31" i="17"/>
  <c r="Z31" i="17"/>
  <c r="Y31" i="17"/>
  <c r="X31" i="17"/>
  <c r="W31" i="17"/>
  <c r="V31" i="17"/>
  <c r="T31" i="17"/>
  <c r="C27" i="16"/>
  <c r="C28" i="16"/>
  <c r="C26" i="16"/>
  <c r="B28" i="16"/>
  <c r="B27" i="16"/>
  <c r="D27" i="16" s="1"/>
  <c r="B26" i="16"/>
  <c r="D25" i="16"/>
  <c r="B7" i="4"/>
  <c r="C7" i="4"/>
  <c r="B8" i="4"/>
  <c r="B10" i="7" s="1"/>
  <c r="B11" i="26" s="1"/>
  <c r="C8" i="4"/>
  <c r="B9" i="4"/>
  <c r="C9" i="4"/>
  <c r="B10" i="4"/>
  <c r="CM10" i="4" s="1"/>
  <c r="C10" i="4"/>
  <c r="B11" i="4"/>
  <c r="C11" i="4"/>
  <c r="B12" i="4"/>
  <c r="B14" i="7" s="1"/>
  <c r="C12" i="4"/>
  <c r="B13" i="4"/>
  <c r="CM13" i="4" s="1"/>
  <c r="C13" i="4"/>
  <c r="C9" i="16"/>
  <c r="C4" i="16"/>
  <c r="D40" i="15"/>
  <c r="D38" i="15"/>
  <c r="D36" i="15"/>
  <c r="D34" i="15"/>
  <c r="D32" i="15"/>
  <c r="D30" i="15"/>
  <c r="D28" i="15"/>
  <c r="D26" i="15"/>
  <c r="D24" i="15"/>
  <c r="D22" i="15"/>
  <c r="D20" i="15"/>
  <c r="D18" i="15"/>
  <c r="D16" i="15"/>
  <c r="D14" i="15"/>
  <c r="D12" i="15"/>
  <c r="ED3" i="4"/>
  <c r="EB3" i="4"/>
  <c r="DZ3" i="4"/>
  <c r="DX3" i="4"/>
  <c r="DV3" i="4"/>
  <c r="DT3" i="4"/>
  <c r="DR3" i="4"/>
  <c r="DP3" i="4"/>
  <c r="DN3" i="4"/>
  <c r="DL3" i="4"/>
  <c r="DJ3" i="4"/>
  <c r="DH3" i="4"/>
  <c r="DF3" i="4"/>
  <c r="DD3" i="4"/>
  <c r="FO4" i="1"/>
  <c r="EB162" i="1"/>
  <c r="CU87" i="1"/>
  <c r="CU88" i="1"/>
  <c r="AZ44" i="17" s="1"/>
  <c r="C24" i="15"/>
  <c r="C26" i="15"/>
  <c r="P2" i="4"/>
  <c r="N2" i="4" s="1"/>
  <c r="C7" i="16" s="1"/>
  <c r="C25" i="15"/>
  <c r="GV30" i="4"/>
  <c r="GV31" i="4"/>
  <c r="GV32" i="4"/>
  <c r="GY32" i="4"/>
  <c r="GY33" i="4"/>
  <c r="GV34" i="4"/>
  <c r="GX34" i="4"/>
  <c r="GY34" i="4"/>
  <c r="GY35" i="4"/>
  <c r="GY36" i="4"/>
  <c r="GY37" i="4"/>
  <c r="GY49" i="4"/>
  <c r="GY50" i="4"/>
  <c r="GY51" i="4"/>
  <c r="GY52" i="4"/>
  <c r="GY53" i="4"/>
  <c r="GY54" i="4"/>
  <c r="C40" i="15"/>
  <c r="C39" i="15"/>
  <c r="B39" i="15"/>
  <c r="C38" i="15"/>
  <c r="C37" i="15"/>
  <c r="B37" i="15"/>
  <c r="C36" i="15"/>
  <c r="B35" i="15"/>
  <c r="C34" i="15"/>
  <c r="C33" i="15"/>
  <c r="B33" i="15"/>
  <c r="C32" i="15"/>
  <c r="C31" i="15"/>
  <c r="B31" i="15"/>
  <c r="C30" i="15"/>
  <c r="C29" i="15"/>
  <c r="B29" i="15"/>
  <c r="C28" i="15"/>
  <c r="C27" i="15"/>
  <c r="B27" i="15"/>
  <c r="B25" i="15"/>
  <c r="C23" i="15"/>
  <c r="C22" i="15"/>
  <c r="C21" i="15"/>
  <c r="B21" i="15"/>
  <c r="C20" i="15"/>
  <c r="C19" i="15"/>
  <c r="B19" i="15"/>
  <c r="C18" i="15"/>
  <c r="C17" i="15"/>
  <c r="B17" i="15"/>
  <c r="C16" i="15"/>
  <c r="C15" i="15"/>
  <c r="B15" i="15"/>
  <c r="C14" i="15"/>
  <c r="C13" i="15"/>
  <c r="B13" i="15"/>
  <c r="C12" i="15"/>
  <c r="C11" i="15"/>
  <c r="B11" i="15"/>
  <c r="B5" i="14"/>
  <c r="AY6" i="4"/>
  <c r="AW6" i="4"/>
  <c r="AU6" i="4"/>
  <c r="R7" i="14" s="1"/>
  <c r="AS6" i="4"/>
  <c r="AQ6" i="4"/>
  <c r="P7" i="10" s="1"/>
  <c r="AO6" i="4"/>
  <c r="O7" i="14" s="1"/>
  <c r="AM6" i="4"/>
  <c r="AK6" i="4"/>
  <c r="AI6" i="4"/>
  <c r="AG6" i="4"/>
  <c r="K7" i="14" s="1"/>
  <c r="DG7" i="4"/>
  <c r="DI7" i="4"/>
  <c r="DK7" i="4"/>
  <c r="DM7" i="4"/>
  <c r="DO7" i="4"/>
  <c r="DQ7" i="4"/>
  <c r="DS7" i="4"/>
  <c r="DU7" i="4"/>
  <c r="DW7" i="4"/>
  <c r="DY7" i="4"/>
  <c r="EA7" i="4"/>
  <c r="EC7" i="4"/>
  <c r="EE7" i="4"/>
  <c r="DG9" i="4"/>
  <c r="DI9" i="4"/>
  <c r="DK9" i="4"/>
  <c r="DM9" i="4"/>
  <c r="DO9" i="4"/>
  <c r="DQ9" i="4"/>
  <c r="DS9" i="4"/>
  <c r="DU9" i="4"/>
  <c r="DW9" i="4"/>
  <c r="DY9" i="4"/>
  <c r="EA9" i="4"/>
  <c r="EC9" i="4"/>
  <c r="EE9" i="4"/>
  <c r="DG10" i="4"/>
  <c r="DI10" i="4"/>
  <c r="DK10" i="4"/>
  <c r="DM10" i="4"/>
  <c r="DO10" i="4"/>
  <c r="DQ10" i="4"/>
  <c r="DS10" i="4"/>
  <c r="DU10" i="4"/>
  <c r="DW10" i="4"/>
  <c r="DY10" i="4"/>
  <c r="EA10" i="4"/>
  <c r="EC10" i="4"/>
  <c r="EE10" i="4"/>
  <c r="DG11" i="4"/>
  <c r="DI11" i="4"/>
  <c r="DK11" i="4"/>
  <c r="DM11" i="4"/>
  <c r="DO11" i="4"/>
  <c r="DQ11" i="4"/>
  <c r="DS11" i="4"/>
  <c r="DU11" i="4"/>
  <c r="DW11" i="4"/>
  <c r="DY11" i="4"/>
  <c r="EA11" i="4"/>
  <c r="EC11" i="4"/>
  <c r="EE11" i="4"/>
  <c r="DG12" i="4"/>
  <c r="DI12" i="4"/>
  <c r="DK12" i="4"/>
  <c r="DM12" i="4"/>
  <c r="DO12" i="4"/>
  <c r="DQ12" i="4"/>
  <c r="DS12" i="4"/>
  <c r="DU12" i="4"/>
  <c r="DW12" i="4"/>
  <c r="DY12" i="4"/>
  <c r="EA12" i="4"/>
  <c r="EC12" i="4"/>
  <c r="EE12" i="4"/>
  <c r="DG13" i="4"/>
  <c r="DI13" i="4"/>
  <c r="DK13" i="4"/>
  <c r="DM13" i="4"/>
  <c r="DO13" i="4"/>
  <c r="DQ13" i="4"/>
  <c r="DS13" i="4"/>
  <c r="DU13" i="4"/>
  <c r="DW13" i="4"/>
  <c r="DY13" i="4"/>
  <c r="EA13" i="4"/>
  <c r="EC13" i="4"/>
  <c r="EE13" i="4"/>
  <c r="S48" i="4"/>
  <c r="EF46" i="1"/>
  <c r="A1" i="8"/>
  <c r="AE6" i="4"/>
  <c r="J7" i="10" s="1"/>
  <c r="AC6" i="4"/>
  <c r="Y6" i="4"/>
  <c r="W6" i="4"/>
  <c r="AA6" i="4"/>
  <c r="H7" i="10" s="1"/>
  <c r="CB4" i="1"/>
  <c r="EH4" i="1"/>
  <c r="AW4" i="1"/>
  <c r="CV106" i="1"/>
  <c r="DD1" i="1"/>
  <c r="DH4" i="1"/>
  <c r="CJ72" i="1"/>
  <c r="CJ68" i="1"/>
  <c r="CJ66" i="1"/>
  <c r="CJ64" i="1"/>
  <c r="CJ62" i="1"/>
  <c r="CJ60" i="1"/>
  <c r="CJ58" i="1"/>
  <c r="CJ56" i="1"/>
  <c r="CJ54" i="1"/>
  <c r="CJ51" i="1"/>
  <c r="DA4" i="1"/>
  <c r="CN4" i="1"/>
  <c r="CE4" i="1"/>
  <c r="BU4" i="1"/>
  <c r="CV100" i="1"/>
  <c r="CV95" i="1"/>
  <c r="CV90" i="1"/>
  <c r="DL2" i="1"/>
  <c r="DM2" i="1"/>
  <c r="DM3" i="1"/>
  <c r="DY3" i="1"/>
  <c r="AQ4" i="1"/>
  <c r="AR4" i="1"/>
  <c r="AS4" i="1"/>
  <c r="AT4" i="1"/>
  <c r="AU4" i="1"/>
  <c r="GP6" i="4" s="1"/>
  <c r="AX4" i="1"/>
  <c r="AZ4" i="1"/>
  <c r="BA4" i="1"/>
  <c r="BB4" i="1"/>
  <c r="BC4" i="1"/>
  <c r="BD4" i="1"/>
  <c r="GJ6" i="4" s="1"/>
  <c r="BE4" i="1"/>
  <c r="GS6" i="4" s="1"/>
  <c r="BF4" i="1"/>
  <c r="BG4" i="1"/>
  <c r="T4" i="17" s="1"/>
  <c r="BH4" i="1"/>
  <c r="BI4" i="1"/>
  <c r="BJ4" i="1"/>
  <c r="BK4" i="1"/>
  <c r="BL4" i="1"/>
  <c r="BM4" i="1"/>
  <c r="BN4" i="1"/>
  <c r="BO4" i="1"/>
  <c r="AB4" i="17" s="1"/>
  <c r="BQ4" i="1"/>
  <c r="BR4" i="1"/>
  <c r="BS4" i="1"/>
  <c r="BT4" i="1"/>
  <c r="BV4" i="1"/>
  <c r="BW4" i="1"/>
  <c r="BX4" i="1"/>
  <c r="BY4" i="1"/>
  <c r="BZ4" i="1"/>
  <c r="CA4" i="1"/>
  <c r="CC4" i="1"/>
  <c r="CD4" i="1"/>
  <c r="CF4" i="1"/>
  <c r="CG4" i="1"/>
  <c r="CH4" i="1"/>
  <c r="CO4" i="1"/>
  <c r="CP4" i="1"/>
  <c r="CQ4" i="1"/>
  <c r="CR4" i="1"/>
  <c r="CU4" i="1"/>
  <c r="CV4" i="1"/>
  <c r="CW4" i="1"/>
  <c r="CX4" i="1"/>
  <c r="CY4" i="1"/>
  <c r="CZ4" i="1"/>
  <c r="DB4" i="1"/>
  <c r="DC4" i="1"/>
  <c r="DD4" i="1"/>
  <c r="DE4" i="1"/>
  <c r="DF4" i="1"/>
  <c r="DG4" i="1"/>
  <c r="DO4" i="1"/>
  <c r="DP4" i="1"/>
  <c r="DQ4" i="1"/>
  <c r="DR4" i="1"/>
  <c r="DS4" i="1"/>
  <c r="DT4" i="1"/>
  <c r="DU4" i="1"/>
  <c r="DV4" i="1"/>
  <c r="DW4" i="1"/>
  <c r="DX4" i="1"/>
  <c r="DY4" i="1"/>
  <c r="DZ4" i="1"/>
  <c r="EA4" i="1"/>
  <c r="EB4" i="1"/>
  <c r="CH81" i="1" s="1"/>
  <c r="EC4" i="1"/>
  <c r="ED4" i="1"/>
  <c r="CH80" i="1" s="1"/>
  <c r="EE4" i="1"/>
  <c r="EF4" i="1"/>
  <c r="EJ4" i="1"/>
  <c r="EK4" i="1"/>
  <c r="EL4" i="1"/>
  <c r="EM4" i="1"/>
  <c r="EN4" i="1"/>
  <c r="EO4" i="1"/>
  <c r="EP4" i="1"/>
  <c r="EQ4" i="1"/>
  <c r="ER4" i="1"/>
  <c r="ES4" i="1"/>
  <c r="ET4" i="1"/>
  <c r="EU4" i="1"/>
  <c r="EV4" i="1"/>
  <c r="EW4" i="1"/>
  <c r="EX4" i="1"/>
  <c r="EY4" i="1"/>
  <c r="EZ4" i="1"/>
  <c r="FA4" i="1"/>
  <c r="FV4" i="1"/>
  <c r="FW4" i="1"/>
  <c r="BF6" i="1"/>
  <c r="BF7" i="1"/>
  <c r="AR8" i="1"/>
  <c r="BA8" i="1"/>
  <c r="BB8" i="1"/>
  <c r="AD12" i="7" s="1"/>
  <c r="BD8" i="1"/>
  <c r="BF8" i="1"/>
  <c r="AR9" i="1"/>
  <c r="FY11" i="4" s="1"/>
  <c r="BA9" i="1"/>
  <c r="BB9" i="1"/>
  <c r="AD13" i="7" s="1"/>
  <c r="BD9" i="1"/>
  <c r="BF9" i="1"/>
  <c r="BF10" i="1"/>
  <c r="BF11" i="1"/>
  <c r="S11" i="18" s="1"/>
  <c r="BF12" i="1"/>
  <c r="BF13" i="1"/>
  <c r="BF14" i="1"/>
  <c r="BF15" i="1"/>
  <c r="S15" i="18" s="1"/>
  <c r="BF16" i="1"/>
  <c r="BF17" i="1"/>
  <c r="BF18" i="1"/>
  <c r="S18" i="18" s="1"/>
  <c r="BF19" i="1"/>
  <c r="BF20" i="1"/>
  <c r="GV21" i="4" s="1"/>
  <c r="BF21" i="1"/>
  <c r="BF22" i="1"/>
  <c r="BF23" i="1"/>
  <c r="GV24" i="4" s="1"/>
  <c r="BF24" i="1"/>
  <c r="BF25" i="1"/>
  <c r="BF26" i="1"/>
  <c r="BF27" i="1"/>
  <c r="S27" i="17" s="1"/>
  <c r="BF28" i="1"/>
  <c r="GV29" i="4" s="1"/>
  <c r="C46" i="1"/>
  <c r="C48" i="20" s="1"/>
  <c r="BG31" i="1"/>
  <c r="T31" i="18" s="1"/>
  <c r="BH31" i="1"/>
  <c r="U31" i="18" s="1"/>
  <c r="BI31" i="1"/>
  <c r="V31" i="18" s="1"/>
  <c r="BJ31" i="1"/>
  <c r="W31" i="18" s="1"/>
  <c r="BL31" i="1"/>
  <c r="Y31" i="18" s="1"/>
  <c r="BM31" i="1"/>
  <c r="Z31" i="18" s="1"/>
  <c r="BN31" i="1"/>
  <c r="AA31" i="18" s="1"/>
  <c r="BO31" i="1"/>
  <c r="AB31" i="18" s="1"/>
  <c r="CS51" i="1"/>
  <c r="CU54" i="1"/>
  <c r="CU57" i="1"/>
  <c r="AZ13" i="18" s="1"/>
  <c r="CU58" i="1"/>
  <c r="AZ14" i="18" s="1"/>
  <c r="CU59" i="1"/>
  <c r="AZ15" i="21" s="1"/>
  <c r="CU61" i="1"/>
  <c r="BR17" i="17" s="1"/>
  <c r="CU62" i="1"/>
  <c r="CU63" i="1"/>
  <c r="BR19" i="18" s="1"/>
  <c r="CU64" i="1"/>
  <c r="CJ65" i="1"/>
  <c r="CK65" i="1"/>
  <c r="CL65" i="1"/>
  <c r="CM65" i="1"/>
  <c r="CN65" i="1"/>
  <c r="CO65" i="1"/>
  <c r="CP65" i="1"/>
  <c r="CQ65" i="1"/>
  <c r="CU66" i="1"/>
  <c r="AZ22" i="18" s="1"/>
  <c r="CU67" i="1"/>
  <c r="BR23" i="17" s="1"/>
  <c r="CU68" i="1"/>
  <c r="AZ24" i="18" s="1"/>
  <c r="CJ69" i="1"/>
  <c r="CK69" i="1"/>
  <c r="CL69" i="1"/>
  <c r="CM69" i="1"/>
  <c r="CN69" i="1"/>
  <c r="CU69" i="1"/>
  <c r="BR25" i="18" s="1"/>
  <c r="CU71" i="1"/>
  <c r="AZ27" i="18" s="1"/>
  <c r="CU72" i="1"/>
  <c r="AZ28" i="18" s="1"/>
  <c r="CU73" i="1"/>
  <c r="CU74" i="1"/>
  <c r="BR30" i="17" s="1"/>
  <c r="CU76" i="1"/>
  <c r="AZ32" i="21" s="1"/>
  <c r="CU77" i="1"/>
  <c r="BR33" i="18" s="1"/>
  <c r="CU78" i="1"/>
  <c r="BR34" i="17" s="1"/>
  <c r="CU79" i="1"/>
  <c r="BR35" i="17" s="1"/>
  <c r="CU81" i="1"/>
  <c r="CU82" i="1"/>
  <c r="CU83" i="1"/>
  <c r="AZ39" i="18" s="1"/>
  <c r="CU84" i="1"/>
  <c r="AZ40" i="18" s="1"/>
  <c r="CU91" i="1"/>
  <c r="AZ47" i="17" s="1"/>
  <c r="CU92" i="1"/>
  <c r="BR48" i="18" s="1"/>
  <c r="CU93" i="1"/>
  <c r="CU96" i="1"/>
  <c r="AH52" i="18" s="1"/>
  <c r="CU97" i="1"/>
  <c r="BR53" i="17" s="1"/>
  <c r="CU98" i="1"/>
  <c r="CU101" i="1"/>
  <c r="BR57" i="18" s="1"/>
  <c r="CU102" i="1"/>
  <c r="BR58" i="17" s="1"/>
  <c r="CU103" i="1"/>
  <c r="BR59" i="17" s="1"/>
  <c r="CU104" i="1"/>
  <c r="AZ60" i="21" s="1"/>
  <c r="CU105" i="1"/>
  <c r="AZ61" i="17" s="1"/>
  <c r="CJ61" i="17" s="1"/>
  <c r="BQ111" i="1"/>
  <c r="BR111" i="1"/>
  <c r="BS111" i="1"/>
  <c r="BT111" i="1"/>
  <c r="BU111" i="1"/>
  <c r="BV111" i="1"/>
  <c r="BW111" i="1"/>
  <c r="BX111" i="1"/>
  <c r="BY111" i="1"/>
  <c r="BZ111" i="1"/>
  <c r="CA111" i="1"/>
  <c r="CB111" i="1"/>
  <c r="BQ112" i="1"/>
  <c r="BR112" i="1"/>
  <c r="BS112" i="1"/>
  <c r="BT112" i="1"/>
  <c r="BU112" i="1"/>
  <c r="BV112" i="1"/>
  <c r="BW112" i="1"/>
  <c r="BX112" i="1"/>
  <c r="BY112" i="1"/>
  <c r="BZ112" i="1"/>
  <c r="CA112" i="1"/>
  <c r="CB112" i="1"/>
  <c r="BQ113" i="1"/>
  <c r="BR113" i="1"/>
  <c r="BS113" i="1"/>
  <c r="BT113" i="1"/>
  <c r="BU113" i="1"/>
  <c r="BV113" i="1"/>
  <c r="BW113" i="1"/>
  <c r="BX113" i="1"/>
  <c r="BY113" i="1"/>
  <c r="BZ113" i="1"/>
  <c r="CA113" i="1"/>
  <c r="CB113" i="1"/>
  <c r="BQ114" i="1"/>
  <c r="BR114" i="1"/>
  <c r="BS114" i="1"/>
  <c r="BT114" i="1"/>
  <c r="BU114" i="1"/>
  <c r="BV114" i="1"/>
  <c r="BW114" i="1"/>
  <c r="BX114" i="1"/>
  <c r="BY114" i="1"/>
  <c r="BZ114" i="1"/>
  <c r="CA114" i="1"/>
  <c r="CB114" i="1"/>
  <c r="BQ115" i="1"/>
  <c r="BR115" i="1"/>
  <c r="BS115" i="1"/>
  <c r="BT115" i="1"/>
  <c r="BU115" i="1"/>
  <c r="BV115" i="1"/>
  <c r="BW115" i="1"/>
  <c r="BX115" i="1"/>
  <c r="BY115" i="1"/>
  <c r="BZ115" i="1"/>
  <c r="CA115" i="1"/>
  <c r="CB115" i="1"/>
  <c r="BQ116" i="1"/>
  <c r="BR116" i="1"/>
  <c r="BS116" i="1"/>
  <c r="BT116" i="1"/>
  <c r="BU116" i="1"/>
  <c r="BV116" i="1"/>
  <c r="BW116" i="1"/>
  <c r="BX116" i="1"/>
  <c r="BY116" i="1"/>
  <c r="BZ116" i="1"/>
  <c r="CA116" i="1"/>
  <c r="CB116" i="1"/>
  <c r="BQ117" i="1"/>
  <c r="BR117" i="1"/>
  <c r="BS117" i="1"/>
  <c r="BT117" i="1"/>
  <c r="BU117" i="1"/>
  <c r="BV117" i="1"/>
  <c r="BW117" i="1"/>
  <c r="BX117" i="1"/>
  <c r="BY117" i="1"/>
  <c r="BZ117" i="1"/>
  <c r="CA117" i="1"/>
  <c r="CB117" i="1"/>
  <c r="BQ118" i="1"/>
  <c r="BR118" i="1"/>
  <c r="BS118" i="1"/>
  <c r="BT118" i="1"/>
  <c r="BU118" i="1"/>
  <c r="BV118" i="1"/>
  <c r="BW118" i="1"/>
  <c r="BX118" i="1"/>
  <c r="BY118" i="1"/>
  <c r="BZ118" i="1"/>
  <c r="CA118" i="1"/>
  <c r="CB118" i="1"/>
  <c r="CB119" i="1"/>
  <c r="AX120" i="1"/>
  <c r="BF120" i="1"/>
  <c r="AX121" i="1"/>
  <c r="BF121" i="1"/>
  <c r="BZ121" i="1" s="1"/>
  <c r="CA162" i="1" s="1"/>
  <c r="CA326" i="1" s="1"/>
  <c r="AX122" i="1"/>
  <c r="BF122" i="1"/>
  <c r="AX123" i="1"/>
  <c r="BF123" i="1"/>
  <c r="BO123" i="1" s="1"/>
  <c r="CB161" i="1"/>
  <c r="CB325" i="1" s="1"/>
  <c r="BF162" i="1"/>
  <c r="CB162" i="1" s="1"/>
  <c r="BF163" i="1"/>
  <c r="CB163" i="1" s="1"/>
  <c r="DI163" i="1"/>
  <c r="BF164" i="1"/>
  <c r="CB164" i="1" s="1"/>
  <c r="DI164" i="1"/>
  <c r="DJ164" i="1"/>
  <c r="DK164" i="1"/>
  <c r="DL164" i="1"/>
  <c r="DN164" i="1"/>
  <c r="BF203" i="1"/>
  <c r="BF244" i="1"/>
  <c r="BF245" i="1"/>
  <c r="BF285" i="1"/>
  <c r="BF286" i="1"/>
  <c r="BF287" i="1"/>
  <c r="FZ7" i="4"/>
  <c r="GC7" i="4"/>
  <c r="GI7" i="4"/>
  <c r="FZ8" i="4"/>
  <c r="GC8" i="4"/>
  <c r="GI8" i="4"/>
  <c r="FZ9" i="4"/>
  <c r="GC9" i="4"/>
  <c r="GI9" i="4"/>
  <c r="FZ10" i="4"/>
  <c r="GC10" i="4"/>
  <c r="GI10" i="4"/>
  <c r="FZ11" i="4"/>
  <c r="GC11" i="4"/>
  <c r="GI11" i="4"/>
  <c r="FZ12" i="4"/>
  <c r="GC12" i="4"/>
  <c r="GI12" i="4"/>
  <c r="FZ13" i="4"/>
  <c r="GC13" i="4"/>
  <c r="GI13" i="4"/>
  <c r="B5" i="10"/>
  <c r="B6" i="7"/>
  <c r="B6" i="15" s="1"/>
  <c r="P9" i="7"/>
  <c r="AO9" i="7"/>
  <c r="P10" i="7"/>
  <c r="AO10" i="7"/>
  <c r="DK8" i="4"/>
  <c r="DW8" i="4"/>
  <c r="DY8" i="4"/>
  <c r="EA8" i="4"/>
  <c r="EC8" i="4"/>
  <c r="EE8" i="4"/>
  <c r="AC51" i="7"/>
  <c r="DO8" i="4"/>
  <c r="DQ8" i="4"/>
  <c r="DS8" i="4"/>
  <c r="DU8" i="4"/>
  <c r="DM8" i="4"/>
  <c r="DG8" i="4"/>
  <c r="DI8" i="4"/>
  <c r="DE8" i="4"/>
  <c r="FL6" i="1"/>
  <c r="FL8" i="1"/>
  <c r="D13" i="4"/>
  <c r="E10" i="4"/>
  <c r="GR10" i="4" s="1"/>
  <c r="D12" i="4"/>
  <c r="DE12" i="4" s="1"/>
  <c r="GY43" i="4"/>
  <c r="GY45" i="4"/>
  <c r="GY46" i="4"/>
  <c r="GY47" i="4"/>
  <c r="GY42" i="4"/>
  <c r="GY44" i="4"/>
  <c r="GY48" i="4"/>
  <c r="W46" i="7"/>
  <c r="W47" i="7"/>
  <c r="W45" i="7"/>
  <c r="W49" i="7"/>
  <c r="W44" i="7"/>
  <c r="W48" i="7"/>
  <c r="B37" i="7"/>
  <c r="B26" i="14"/>
  <c r="GA8" i="4"/>
  <c r="DB27" i="1"/>
  <c r="CM14" i="4"/>
  <c r="B35" i="7"/>
  <c r="B61" i="5" s="1"/>
  <c r="W28" i="7"/>
  <c r="W20" i="7"/>
  <c r="W34" i="7"/>
  <c r="W35" i="7"/>
  <c r="W27" i="7"/>
  <c r="W13" i="7"/>
  <c r="W30" i="7"/>
  <c r="W37" i="7"/>
  <c r="W40" i="7"/>
  <c r="W32" i="7"/>
  <c r="W43" i="7"/>
  <c r="W41" i="7"/>
  <c r="W39" i="7"/>
  <c r="W22" i="7"/>
  <c r="W23" i="7"/>
  <c r="W24" i="7"/>
  <c r="W14" i="7"/>
  <c r="W26" i="7"/>
  <c r="W15" i="7"/>
  <c r="W19" i="7"/>
  <c r="W31" i="7"/>
  <c r="W42" i="7"/>
  <c r="W29" i="7"/>
  <c r="W38" i="7"/>
  <c r="W25" i="7"/>
  <c r="W36" i="7"/>
  <c r="W16" i="7"/>
  <c r="W21" i="7"/>
  <c r="W33" i="7"/>
  <c r="W9" i="7"/>
  <c r="CJ45" i="17"/>
  <c r="W10" i="7"/>
  <c r="B97" i="6"/>
  <c r="W11" i="7"/>
  <c r="FP15" i="1"/>
  <c r="W17" i="7"/>
  <c r="W12" i="7"/>
  <c r="W18" i="7"/>
  <c r="FP13" i="1"/>
  <c r="FP7" i="1"/>
  <c r="DI5" i="1"/>
  <c r="B23" i="7"/>
  <c r="B39" i="7"/>
  <c r="I58" i="8"/>
  <c r="I131" i="8"/>
  <c r="I70" i="8"/>
  <c r="I57" i="8"/>
  <c r="I129" i="8"/>
  <c r="I68" i="8"/>
  <c r="I81" i="8"/>
  <c r="C30" i="16"/>
  <c r="I128" i="8"/>
  <c r="I119" i="8"/>
  <c r="I76" i="8"/>
  <c r="I62" i="8"/>
  <c r="I132" i="8"/>
  <c r="I54" i="8"/>
  <c r="I45" i="8"/>
  <c r="I116" i="8"/>
  <c r="I118" i="8"/>
  <c r="I46" i="8"/>
  <c r="I41" i="8"/>
  <c r="I35" i="8"/>
  <c r="I79" i="8"/>
  <c r="I59" i="8"/>
  <c r="I92" i="8"/>
  <c r="I82" i="8"/>
  <c r="I115" i="8"/>
  <c r="I88" i="8"/>
  <c r="I44" i="8"/>
  <c r="I91" i="8"/>
  <c r="I124" i="8"/>
  <c r="I61" i="8"/>
  <c r="I86" i="8"/>
  <c r="I126" i="8"/>
  <c r="I51" i="8"/>
  <c r="I65" i="8"/>
  <c r="I120" i="8"/>
  <c r="I87" i="8"/>
  <c r="I134" i="8"/>
  <c r="I90" i="8"/>
  <c r="I60" i="8"/>
  <c r="I63" i="8"/>
  <c r="I49" i="8"/>
  <c r="I67" i="8"/>
  <c r="I69" i="8"/>
  <c r="I77" i="8"/>
  <c r="I37" i="8"/>
  <c r="I117" i="8"/>
  <c r="I50" i="8"/>
  <c r="I121" i="8"/>
  <c r="I52" i="8"/>
  <c r="I42" i="8"/>
  <c r="I75" i="8"/>
  <c r="I133" i="8"/>
  <c r="I123" i="8"/>
  <c r="I74" i="8"/>
  <c r="I55" i="8"/>
  <c r="I72" i="8"/>
  <c r="I114" i="8"/>
  <c r="I122" i="8"/>
  <c r="I89" i="8"/>
  <c r="I36" i="8"/>
  <c r="I48" i="8"/>
  <c r="I78" i="8"/>
  <c r="I39" i="8"/>
  <c r="I40" i="8"/>
  <c r="I73" i="8"/>
  <c r="I43" i="8"/>
  <c r="I84" i="8"/>
  <c r="I38" i="8"/>
  <c r="I56" i="8"/>
  <c r="I53" i="8"/>
  <c r="I127" i="8"/>
  <c r="I83" i="8"/>
  <c r="I85" i="8"/>
  <c r="I130" i="8"/>
  <c r="C14" i="16"/>
  <c r="I66" i="8"/>
  <c r="I47" i="8"/>
  <c r="I64" i="8"/>
  <c r="I125" i="8"/>
  <c r="I71" i="8"/>
  <c r="I80" i="8"/>
  <c r="B31" i="7"/>
  <c r="AZ41" i="17"/>
  <c r="BY159" i="1"/>
  <c r="FP5" i="1"/>
  <c r="W13" i="4" l="1"/>
  <c r="DC13" i="4" s="1"/>
  <c r="L13" i="4"/>
  <c r="CV16" i="4"/>
  <c r="L16" i="4"/>
  <c r="W16" i="4"/>
  <c r="DC16" i="4" s="1"/>
  <c r="DE16" i="4"/>
  <c r="CV8" i="4"/>
  <c r="W8" i="4"/>
  <c r="DC8" i="4" s="1"/>
  <c r="CV44" i="4"/>
  <c r="L44" i="4"/>
  <c r="W44" i="4"/>
  <c r="DC44" i="4" s="1"/>
  <c r="L40" i="4"/>
  <c r="W40" i="4"/>
  <c r="DC40" i="4" s="1"/>
  <c r="CV36" i="4"/>
  <c r="L36" i="4"/>
  <c r="W36" i="4"/>
  <c r="DC36" i="4" s="1"/>
  <c r="CV32" i="4"/>
  <c r="L32" i="4"/>
  <c r="W32" i="4"/>
  <c r="DC32" i="4" s="1"/>
  <c r="CV28" i="4"/>
  <c r="L28" i="4"/>
  <c r="W28" i="4"/>
  <c r="DC28" i="4" s="1"/>
  <c r="CV24" i="4"/>
  <c r="L24" i="4"/>
  <c r="W24" i="4"/>
  <c r="DC24" i="4" s="1"/>
  <c r="CV20" i="4"/>
  <c r="L20" i="4"/>
  <c r="W20" i="4"/>
  <c r="DC20" i="4" s="1"/>
  <c r="DE13" i="4"/>
  <c r="W46" i="4"/>
  <c r="DC46" i="4" s="1"/>
  <c r="L42" i="4"/>
  <c r="W42" i="4"/>
  <c r="DC42" i="4" s="1"/>
  <c r="W38" i="4"/>
  <c r="DC38" i="4" s="1"/>
  <c r="CV34" i="4"/>
  <c r="W34" i="4"/>
  <c r="DC34" i="4" s="1"/>
  <c r="CV30" i="4"/>
  <c r="W30" i="4"/>
  <c r="DC30" i="4" s="1"/>
  <c r="CV26" i="4"/>
  <c r="W26" i="4"/>
  <c r="DC26" i="4" s="1"/>
  <c r="CV22" i="4"/>
  <c r="W22" i="4"/>
  <c r="DC22" i="4" s="1"/>
  <c r="CV18" i="4"/>
  <c r="L18" i="4"/>
  <c r="W18" i="4"/>
  <c r="DC18" i="4" s="1"/>
  <c r="AO5" i="1"/>
  <c r="D8" i="10" s="1"/>
  <c r="AA8" i="10" s="1"/>
  <c r="W12" i="4"/>
  <c r="DC12" i="4" s="1"/>
  <c r="DC7" i="4"/>
  <c r="X7" i="4" s="1"/>
  <c r="DE7" i="4"/>
  <c r="Z7" i="4" s="1"/>
  <c r="BE20" i="18"/>
  <c r="BL38" i="4"/>
  <c r="CM29" i="4"/>
  <c r="AS9" i="7"/>
  <c r="AV9" i="7" s="1"/>
  <c r="CM19" i="4"/>
  <c r="B18" i="14"/>
  <c r="E7" i="4"/>
  <c r="GR7" i="4" s="1"/>
  <c r="AO39" i="1"/>
  <c r="DG199" i="1" s="1"/>
  <c r="AO14" i="1"/>
  <c r="DG174" i="1" s="1"/>
  <c r="AX46" i="4"/>
  <c r="AP46" i="4"/>
  <c r="AH46" i="4"/>
  <c r="AX43" i="4"/>
  <c r="AP33" i="4"/>
  <c r="AX32" i="4"/>
  <c r="AP32" i="4"/>
  <c r="AH32" i="4"/>
  <c r="Z32" i="4"/>
  <c r="AX31" i="4"/>
  <c r="AP31" i="4"/>
  <c r="AH31" i="4"/>
  <c r="AX30" i="4"/>
  <c r="AP30" i="4"/>
  <c r="AX27" i="4"/>
  <c r="AP27" i="4"/>
  <c r="AH27" i="4"/>
  <c r="AX25" i="4"/>
  <c r="AP25" i="4"/>
  <c r="AH25" i="4"/>
  <c r="AP24" i="4"/>
  <c r="AH24" i="4"/>
  <c r="Z24" i="4"/>
  <c r="AX23" i="4"/>
  <c r="AP23" i="4"/>
  <c r="AH23" i="4"/>
  <c r="AX19" i="4"/>
  <c r="AP19" i="4"/>
  <c r="AH19" i="4"/>
  <c r="AX17" i="4"/>
  <c r="AP17" i="4"/>
  <c r="AH17" i="4"/>
  <c r="AH16" i="4"/>
  <c r="BL14" i="4"/>
  <c r="CM21" i="4"/>
  <c r="B21" i="7"/>
  <c r="B33" i="26" s="1"/>
  <c r="CM31" i="4"/>
  <c r="CM27" i="4"/>
  <c r="CM17" i="4"/>
  <c r="B29" i="7"/>
  <c r="B32" i="14"/>
  <c r="B34" i="14"/>
  <c r="AY9" i="7"/>
  <c r="AZ9" i="7" s="1"/>
  <c r="BA9" i="7"/>
  <c r="BB9" i="7" s="1"/>
  <c r="AO43" i="1"/>
  <c r="AG43" i="1" s="1"/>
  <c r="AO40" i="1"/>
  <c r="AO27" i="1"/>
  <c r="Y27" i="1" s="1"/>
  <c r="EK27" i="1" s="1"/>
  <c r="AO19" i="1"/>
  <c r="DL21" i="20" s="1"/>
  <c r="AR21" i="20" s="1"/>
  <c r="AO15" i="1"/>
  <c r="Z15" i="1" s="1"/>
  <c r="CM37" i="4"/>
  <c r="B27" i="7"/>
  <c r="CM35" i="4"/>
  <c r="AO9" i="1"/>
  <c r="E11" i="4"/>
  <c r="AO35" i="1"/>
  <c r="DG195" i="1" s="1"/>
  <c r="BB47" i="4"/>
  <c r="BB43" i="4"/>
  <c r="BP40" i="4"/>
  <c r="BX28" i="4"/>
  <c r="BL26" i="4"/>
  <c r="BX24" i="4"/>
  <c r="B23" i="5"/>
  <c r="B15" i="14"/>
  <c r="AO6" i="1"/>
  <c r="D9" i="14" s="1"/>
  <c r="AO33" i="1"/>
  <c r="AO25" i="1"/>
  <c r="DY27" i="20" s="1"/>
  <c r="BE27" i="20" s="1"/>
  <c r="BD36" i="4"/>
  <c r="AO41" i="1"/>
  <c r="EG43" i="20" s="1"/>
  <c r="BM43" i="20" s="1"/>
  <c r="AO37" i="1"/>
  <c r="AO11" i="1"/>
  <c r="CN13" i="20" s="1"/>
  <c r="Q13" i="20" s="1"/>
  <c r="AZ15" i="4"/>
  <c r="AJ15" i="4"/>
  <c r="FL15" i="4" s="1"/>
  <c r="AM10" i="17"/>
  <c r="AO8" i="1"/>
  <c r="AN8" i="1" s="1"/>
  <c r="AO26" i="1"/>
  <c r="DS28" i="20" s="1"/>
  <c r="AY28" i="20" s="1"/>
  <c r="AO22" i="1"/>
  <c r="CU24" i="20" s="1"/>
  <c r="Y24" i="20" s="1"/>
  <c r="AO18" i="1"/>
  <c r="AJ14" i="4"/>
  <c r="FL14" i="4" s="1"/>
  <c r="AB14" i="4"/>
  <c r="AE15" i="1"/>
  <c r="D10" i="4"/>
  <c r="AX41" i="4"/>
  <c r="AP41" i="4"/>
  <c r="AH41" i="4"/>
  <c r="AX39" i="4"/>
  <c r="AP39" i="4"/>
  <c r="AH39" i="4"/>
  <c r="E19" i="4"/>
  <c r="GR19" i="4" s="1"/>
  <c r="BA27" i="7"/>
  <c r="BB27" i="7" s="1"/>
  <c r="E43" i="4"/>
  <c r="BA49" i="7"/>
  <c r="BB49" i="7" s="1"/>
  <c r="E35" i="4"/>
  <c r="GR35" i="4" s="1"/>
  <c r="BA43" i="7"/>
  <c r="BB43" i="7" s="1"/>
  <c r="Z46" i="4"/>
  <c r="AP43" i="4"/>
  <c r="AH43" i="4"/>
  <c r="E27" i="4"/>
  <c r="GR27" i="4" s="1"/>
  <c r="Z16" i="4"/>
  <c r="BA33" i="7"/>
  <c r="BB33" i="7" s="1"/>
  <c r="BA46" i="7"/>
  <c r="BB46" i="7" s="1"/>
  <c r="B9" i="10"/>
  <c r="DV39" i="20"/>
  <c r="BA39" i="20" s="1"/>
  <c r="AQ39" i="1"/>
  <c r="B41" i="5"/>
  <c r="CM23" i="4"/>
  <c r="AY10" i="7"/>
  <c r="AZ10" i="7" s="1"/>
  <c r="X10" i="7" s="1"/>
  <c r="AO42" i="1"/>
  <c r="CI44" i="20" s="1"/>
  <c r="F44" i="20" s="1"/>
  <c r="AO30" i="1"/>
  <c r="AA30" i="1" s="1"/>
  <c r="AO12" i="1"/>
  <c r="CR14" i="20" s="1"/>
  <c r="V14" i="20" s="1"/>
  <c r="AX37" i="4"/>
  <c r="AH37" i="4"/>
  <c r="E33" i="4"/>
  <c r="GR33" i="4" s="1"/>
  <c r="Z30" i="4"/>
  <c r="AX29" i="4"/>
  <c r="AP29" i="4"/>
  <c r="AH29" i="4"/>
  <c r="AP22" i="4"/>
  <c r="AX21" i="4"/>
  <c r="AP21" i="4"/>
  <c r="AH21" i="4"/>
  <c r="E17" i="4"/>
  <c r="D15" i="4"/>
  <c r="E14" i="4"/>
  <c r="GR14" i="4" s="1"/>
  <c r="BA47" i="7"/>
  <c r="BB47" i="7" s="1"/>
  <c r="BA34" i="7"/>
  <c r="BB34" i="7" s="1"/>
  <c r="BA31" i="7"/>
  <c r="BB31" i="7" s="1"/>
  <c r="X31" i="7" s="1"/>
  <c r="BA18" i="7"/>
  <c r="BB18" i="7" s="1"/>
  <c r="BA30" i="7"/>
  <c r="BB30" i="7" s="1"/>
  <c r="BA17" i="7"/>
  <c r="BB17" i="7" s="1"/>
  <c r="X17" i="7" s="1"/>
  <c r="AG26" i="1"/>
  <c r="B24" i="14"/>
  <c r="E8" i="4"/>
  <c r="CT8" i="4" s="1"/>
  <c r="AO38" i="1"/>
  <c r="AO34" i="1"/>
  <c r="CO36" i="20" s="1"/>
  <c r="R36" i="20" s="1"/>
  <c r="E39" i="4"/>
  <c r="E23" i="4"/>
  <c r="BA38" i="7"/>
  <c r="BB38" i="7" s="1"/>
  <c r="BA22" i="7"/>
  <c r="BB22" i="7" s="1"/>
  <c r="AF39" i="1"/>
  <c r="D11" i="4"/>
  <c r="AO13" i="1"/>
  <c r="E37" i="4"/>
  <c r="E21" i="4"/>
  <c r="GR21" i="4" s="1"/>
  <c r="BA42" i="7"/>
  <c r="BB42" i="7" s="1"/>
  <c r="BA26" i="7"/>
  <c r="BB26" i="7" s="1"/>
  <c r="D9" i="4"/>
  <c r="AY11" i="7"/>
  <c r="AZ11" i="7" s="1"/>
  <c r="AY49" i="7"/>
  <c r="AZ49" i="7" s="1"/>
  <c r="D47" i="4"/>
  <c r="AO44" i="1"/>
  <c r="FM44" i="1" s="1"/>
  <c r="E46" i="4"/>
  <c r="GR46" i="4" s="1"/>
  <c r="AY45" i="7"/>
  <c r="AZ45" i="7" s="1"/>
  <c r="X45" i="7" s="1"/>
  <c r="D43" i="4"/>
  <c r="E38" i="4"/>
  <c r="GR38" i="4" s="1"/>
  <c r="AO36" i="1"/>
  <c r="EG38" i="20" s="1"/>
  <c r="BM38" i="20" s="1"/>
  <c r="AY37" i="7"/>
  <c r="AZ37" i="7" s="1"/>
  <c r="X37" i="7" s="1"/>
  <c r="D35" i="4"/>
  <c r="E34" i="4"/>
  <c r="L34" i="4" s="1"/>
  <c r="FP34" i="4" s="1"/>
  <c r="AO32" i="1"/>
  <c r="EG34" i="20" s="1"/>
  <c r="BM34" i="20" s="1"/>
  <c r="AY33" i="7"/>
  <c r="AZ33" i="7" s="1"/>
  <c r="X33" i="7" s="1"/>
  <c r="D31" i="4"/>
  <c r="E30" i="4"/>
  <c r="CT30" i="4" s="1"/>
  <c r="AO28" i="1"/>
  <c r="AQ28" i="1" s="1"/>
  <c r="AY29" i="7"/>
  <c r="AZ29" i="7" s="1"/>
  <c r="X29" i="7" s="1"/>
  <c r="D27" i="4"/>
  <c r="E26" i="4"/>
  <c r="L26" i="4" s="1"/>
  <c r="FP26" i="4" s="1"/>
  <c r="AO24" i="1"/>
  <c r="DN26" i="20" s="1"/>
  <c r="AS26" i="20" s="1"/>
  <c r="AY25" i="7"/>
  <c r="AZ25" i="7" s="1"/>
  <c r="X25" i="7" s="1"/>
  <c r="D23" i="4"/>
  <c r="AO20" i="1"/>
  <c r="DJ22" i="20" s="1"/>
  <c r="AO22" i="20" s="1"/>
  <c r="E22" i="4"/>
  <c r="L22" i="4" s="1"/>
  <c r="FP22" i="4" s="1"/>
  <c r="AY21" i="7"/>
  <c r="AZ21" i="7" s="1"/>
  <c r="X21" i="7" s="1"/>
  <c r="D19" i="4"/>
  <c r="AY15" i="7"/>
  <c r="AZ15" i="7" s="1"/>
  <c r="E12" i="4"/>
  <c r="GR12" i="4" s="1"/>
  <c r="AO10" i="1"/>
  <c r="CL12" i="20" s="1"/>
  <c r="O12" i="20" s="1"/>
  <c r="AX44" i="4"/>
  <c r="AP44" i="4"/>
  <c r="AH44" i="4"/>
  <c r="Z44" i="4"/>
  <c r="AP36" i="4"/>
  <c r="AH36" i="4"/>
  <c r="AX28" i="4"/>
  <c r="AP28" i="4"/>
  <c r="Z28" i="4"/>
  <c r="AX20" i="4"/>
  <c r="AP20" i="4"/>
  <c r="AH20" i="4"/>
  <c r="Z20" i="4"/>
  <c r="AR26" i="18"/>
  <c r="AK34" i="18"/>
  <c r="E9" i="4"/>
  <c r="GR9" i="4" s="1"/>
  <c r="AO7" i="1"/>
  <c r="AY41" i="7"/>
  <c r="AZ41" i="7" s="1"/>
  <c r="X41" i="7" s="1"/>
  <c r="D39" i="4"/>
  <c r="AO16" i="1"/>
  <c r="B19" i="10" s="1"/>
  <c r="AX42" i="4"/>
  <c r="AP42" i="4"/>
  <c r="AH42" i="4"/>
  <c r="Z42" i="4"/>
  <c r="CB38" i="4"/>
  <c r="BD38" i="4"/>
  <c r="BT38" i="4"/>
  <c r="BX38" i="4"/>
  <c r="AH34" i="4"/>
  <c r="AX26" i="4"/>
  <c r="AP26" i="4"/>
  <c r="AH26" i="4"/>
  <c r="Z26" i="4"/>
  <c r="AX18" i="4"/>
  <c r="AP18" i="4"/>
  <c r="AH18" i="4"/>
  <c r="Z18" i="4"/>
  <c r="BA48" i="7"/>
  <c r="BB48" i="7" s="1"/>
  <c r="BA44" i="7"/>
  <c r="BB44" i="7" s="1"/>
  <c r="BA40" i="7"/>
  <c r="BB40" i="7" s="1"/>
  <c r="BA36" i="7"/>
  <c r="BB36" i="7" s="1"/>
  <c r="BA32" i="7"/>
  <c r="BB32" i="7" s="1"/>
  <c r="BA28" i="7"/>
  <c r="BB28" i="7" s="1"/>
  <c r="BA24" i="7"/>
  <c r="BB24" i="7" s="1"/>
  <c r="BA20" i="7"/>
  <c r="BB20" i="7" s="1"/>
  <c r="AB8" i="4"/>
  <c r="D45" i="4"/>
  <c r="D41" i="4"/>
  <c r="AV38" i="4"/>
  <c r="AN38" i="4"/>
  <c r="AF38" i="4"/>
  <c r="X38" i="4"/>
  <c r="D37" i="4"/>
  <c r="D33" i="4"/>
  <c r="D29" i="4"/>
  <c r="D25" i="4"/>
  <c r="D21" i="4"/>
  <c r="D17" i="4"/>
  <c r="D14" i="4"/>
  <c r="AY48" i="7"/>
  <c r="AZ48" i="7" s="1"/>
  <c r="AY46" i="7"/>
  <c r="AZ46" i="7" s="1"/>
  <c r="X46" i="7" s="1"/>
  <c r="AY44" i="7"/>
  <c r="AZ44" i="7" s="1"/>
  <c r="AY42" i="7"/>
  <c r="AZ42" i="7" s="1"/>
  <c r="X42" i="7" s="1"/>
  <c r="AY40" i="7"/>
  <c r="AZ40" i="7" s="1"/>
  <c r="X40" i="7" s="1"/>
  <c r="AY38" i="7"/>
  <c r="AZ38" i="7" s="1"/>
  <c r="AY36" i="7"/>
  <c r="AZ36" i="7" s="1"/>
  <c r="AY34" i="7"/>
  <c r="AZ34" i="7" s="1"/>
  <c r="X34" i="7" s="1"/>
  <c r="AY32" i="7"/>
  <c r="AZ32" i="7" s="1"/>
  <c r="AY30" i="7"/>
  <c r="AZ30" i="7" s="1"/>
  <c r="AY28" i="7"/>
  <c r="AZ28" i="7" s="1"/>
  <c r="AY26" i="7"/>
  <c r="AZ26" i="7" s="1"/>
  <c r="AY24" i="7"/>
  <c r="AZ24" i="7" s="1"/>
  <c r="X24" i="7" s="1"/>
  <c r="AY22" i="7"/>
  <c r="AZ22" i="7" s="1"/>
  <c r="AY20" i="7"/>
  <c r="AZ20" i="7" s="1"/>
  <c r="AY18" i="7"/>
  <c r="AZ18" i="7" s="1"/>
  <c r="EE23" i="20"/>
  <c r="EF23" i="20" s="1"/>
  <c r="BL23" i="20" s="1"/>
  <c r="DV25" i="20"/>
  <c r="BA25" i="20" s="1"/>
  <c r="CM40" i="4"/>
  <c r="DN25" i="20"/>
  <c r="AS25" i="20" s="1"/>
  <c r="DP23" i="20"/>
  <c r="AU23" i="20" s="1"/>
  <c r="DE23" i="20"/>
  <c r="AJ23" i="20" s="1"/>
  <c r="BR47" i="18"/>
  <c r="S71" i="17"/>
  <c r="CV23" i="20"/>
  <c r="Z23" i="20" s="1"/>
  <c r="B43" i="14"/>
  <c r="FO8" i="1"/>
  <c r="BK11" i="1"/>
  <c r="CM46" i="4"/>
  <c r="CQ25" i="20"/>
  <c r="U25" i="20" s="1"/>
  <c r="DY23" i="20"/>
  <c r="BE23" i="20" s="1"/>
  <c r="CN23" i="20"/>
  <c r="Q23" i="20" s="1"/>
  <c r="CM42" i="4"/>
  <c r="B45" i="14"/>
  <c r="B48" i="7"/>
  <c r="B87" i="5" s="1"/>
  <c r="DX25" i="20"/>
  <c r="BC25" i="20" s="1"/>
  <c r="CK25" i="20"/>
  <c r="N25" i="20" s="1"/>
  <c r="Y21" i="1"/>
  <c r="CW23" i="20"/>
  <c r="AA23" i="20" s="1"/>
  <c r="AZ32" i="18"/>
  <c r="AH32" i="18" s="1"/>
  <c r="DK23" i="20"/>
  <c r="AP23" i="20" s="1"/>
  <c r="DG181" i="1"/>
  <c r="CM44" i="4"/>
  <c r="GJ13" i="4"/>
  <c r="CW25" i="20"/>
  <c r="AA25" i="20" s="1"/>
  <c r="AS23" i="1"/>
  <c r="FD23" i="1" s="1"/>
  <c r="DE19" i="1"/>
  <c r="J21" i="4" s="1"/>
  <c r="FQ21" i="4" s="1"/>
  <c r="BU121" i="1"/>
  <c r="B83" i="26"/>
  <c r="B42" i="7"/>
  <c r="AO27" i="21"/>
  <c r="FB45" i="1"/>
  <c r="DX38" i="20"/>
  <c r="BC38" i="20" s="1"/>
  <c r="AZ13" i="17"/>
  <c r="AH13" i="17" s="1"/>
  <c r="AP40" i="21"/>
  <c r="CI47" i="20"/>
  <c r="F47" i="20" s="1"/>
  <c r="BR53" i="18"/>
  <c r="AS42" i="21"/>
  <c r="DZ47" i="20"/>
  <c r="BF47" i="20" s="1"/>
  <c r="DC38" i="1"/>
  <c r="DH17" i="20"/>
  <c r="AM17" i="20" s="1"/>
  <c r="AM23" i="21"/>
  <c r="V46" i="4"/>
  <c r="AL15" i="4"/>
  <c r="AD15" i="4"/>
  <c r="X19" i="7"/>
  <c r="X13" i="7"/>
  <c r="FQ11" i="1"/>
  <c r="BR41" i="17"/>
  <c r="AR62" i="18"/>
  <c r="AN5" i="1"/>
  <c r="V20" i="4"/>
  <c r="BH20" i="18"/>
  <c r="AG9" i="7"/>
  <c r="AZ41" i="21"/>
  <c r="AH41" i="21" s="1"/>
  <c r="AL44" i="4"/>
  <c r="AZ41" i="18"/>
  <c r="CJ41" i="18" s="1"/>
  <c r="AM37" i="18"/>
  <c r="BK123" i="1"/>
  <c r="BR22" i="18"/>
  <c r="V16" i="4"/>
  <c r="AZ35" i="17"/>
  <c r="AH35" i="17" s="1"/>
  <c r="BD15" i="4"/>
  <c r="BL15" i="4"/>
  <c r="BZ123" i="1"/>
  <c r="BI123" i="1"/>
  <c r="BR40" i="18"/>
  <c r="FY41" i="1"/>
  <c r="AZ22" i="17"/>
  <c r="AH22" i="17" s="1"/>
  <c r="BH121" i="1"/>
  <c r="AH21" i="18"/>
  <c r="AL45" i="21"/>
  <c r="AH16" i="21"/>
  <c r="AH36" i="21"/>
  <c r="AI46" i="21"/>
  <c r="BB8" i="4"/>
  <c r="BB12" i="4"/>
  <c r="BF10" i="4"/>
  <c r="BJ8" i="4"/>
  <c r="BJ12" i="4"/>
  <c r="BN10" i="4"/>
  <c r="BN38" i="4"/>
  <c r="BR8" i="4"/>
  <c r="BR12" i="4"/>
  <c r="BT15" i="4"/>
  <c r="BV10" i="4"/>
  <c r="BV38" i="4"/>
  <c r="BZ8" i="4"/>
  <c r="BZ12" i="4"/>
  <c r="CB15" i="4"/>
  <c r="CD10" i="4"/>
  <c r="AJ41" i="4"/>
  <c r="AB39" i="4"/>
  <c r="AD38" i="4"/>
  <c r="CW22" i="4"/>
  <c r="AJ18" i="4"/>
  <c r="FL18" i="4" s="1"/>
  <c r="X11" i="7"/>
  <c r="C52" i="7"/>
  <c r="BW123" i="1"/>
  <c r="BR25" i="17"/>
  <c r="AZ40" i="17"/>
  <c r="AH40" i="17" s="1"/>
  <c r="BY123" i="1"/>
  <c r="AZ30" i="21"/>
  <c r="AH30" i="21" s="1"/>
  <c r="AZ52" i="17"/>
  <c r="GV28" i="4"/>
  <c r="S41" i="21"/>
  <c r="S55" i="18"/>
  <c r="S55" i="21"/>
  <c r="S55" i="17"/>
  <c r="GV48" i="4"/>
  <c r="S47" i="17"/>
  <c r="S47" i="18"/>
  <c r="DE46" i="20"/>
  <c r="AJ46" i="20" s="1"/>
  <c r="FJ42" i="1"/>
  <c r="AE46" i="7"/>
  <c r="AG45" i="7"/>
  <c r="GJ43" i="4"/>
  <c r="AG43" i="7"/>
  <c r="GJ41" i="4"/>
  <c r="DH39" i="20"/>
  <c r="AM39" i="20" s="1"/>
  <c r="AT37" i="1"/>
  <c r="CH39" i="20" s="1"/>
  <c r="E39" i="20" s="1"/>
  <c r="AB37" i="1"/>
  <c r="AG38" i="7"/>
  <c r="GJ36" i="4"/>
  <c r="GJ32" i="4"/>
  <c r="AG34" i="7"/>
  <c r="AG32" i="7"/>
  <c r="GJ30" i="4"/>
  <c r="CF27" i="1"/>
  <c r="CO27" i="1"/>
  <c r="FO27" i="1"/>
  <c r="D29" i="14"/>
  <c r="Z26" i="1"/>
  <c r="AQ26" i="1"/>
  <c r="DI141" i="1" s="1"/>
  <c r="CP26" i="1"/>
  <c r="CO28" i="20"/>
  <c r="R28" i="20" s="1"/>
  <c r="CQ28" i="20"/>
  <c r="U28" i="20" s="1"/>
  <c r="CM28" i="20"/>
  <c r="P28" i="20" s="1"/>
  <c r="CL28" i="20"/>
  <c r="O28" i="20" s="1"/>
  <c r="FM26" i="1"/>
  <c r="Y26" i="1"/>
  <c r="FT26" i="1" s="1"/>
  <c r="B29" i="10"/>
  <c r="AS26" i="1"/>
  <c r="DN26" i="1"/>
  <c r="DM26" i="1" s="1"/>
  <c r="CC28" i="20"/>
  <c r="I28" i="20" s="1"/>
  <c r="DG186" i="1"/>
  <c r="CP28" i="20"/>
  <c r="T28" i="20" s="1"/>
  <c r="DK28" i="20"/>
  <c r="AP28" i="20" s="1"/>
  <c r="CK28" i="20"/>
  <c r="N28" i="20" s="1"/>
  <c r="CX28" i="20"/>
  <c r="AB28" i="20" s="1"/>
  <c r="CU28" i="20"/>
  <c r="Y28" i="20" s="1"/>
  <c r="DE26" i="1"/>
  <c r="J28" i="4" s="1"/>
  <c r="FQ28" i="4" s="1"/>
  <c r="FC26" i="1"/>
  <c r="EA28" i="20"/>
  <c r="BG28" i="20" s="1"/>
  <c r="DD28" i="20"/>
  <c r="AH28" i="20" s="1"/>
  <c r="CF28" i="20"/>
  <c r="L28" i="20" s="1"/>
  <c r="BE26" i="1"/>
  <c r="DU26" i="1"/>
  <c r="AA26" i="1"/>
  <c r="CN28" i="20"/>
  <c r="Q28" i="20" s="1"/>
  <c r="DJ28" i="20"/>
  <c r="AO28" i="20" s="1"/>
  <c r="CR28" i="20"/>
  <c r="V28" i="20" s="1"/>
  <c r="DC26" i="1"/>
  <c r="DN28" i="20"/>
  <c r="AS28" i="20" s="1"/>
  <c r="DC28" i="20"/>
  <c r="AG28" i="20" s="1"/>
  <c r="FI26" i="1"/>
  <c r="DT26" i="1"/>
  <c r="DL26" i="1" s="1"/>
  <c r="AE26" i="1"/>
  <c r="DB28" i="20"/>
  <c r="AF28" i="20" s="1"/>
  <c r="EB28" i="20"/>
  <c r="BH28" i="20" s="1"/>
  <c r="DV28" i="20"/>
  <c r="BA28" i="20" s="1"/>
  <c r="DW26" i="1"/>
  <c r="C29" i="14"/>
  <c r="DV26" i="1"/>
  <c r="CR26" i="1"/>
  <c r="DH28" i="20"/>
  <c r="AM28" i="20" s="1"/>
  <c r="CS28" i="20"/>
  <c r="W28" i="20" s="1"/>
  <c r="DS26" i="1"/>
  <c r="CZ28" i="20"/>
  <c r="AD28" i="20" s="1"/>
  <c r="DX28" i="20"/>
  <c r="BC28" i="20" s="1"/>
  <c r="C29" i="10"/>
  <c r="AT26" i="1"/>
  <c r="CH28" i="20" s="1"/>
  <c r="E28" i="20" s="1"/>
  <c r="GQ21" i="4"/>
  <c r="FB19" i="1"/>
  <c r="AI21" i="7"/>
  <c r="CO17" i="1"/>
  <c r="FO17" i="1"/>
  <c r="DB17" i="1"/>
  <c r="CF17" i="1"/>
  <c r="AE19" i="7"/>
  <c r="FJ15" i="1"/>
  <c r="GJ15" i="4"/>
  <c r="AG17" i="7"/>
  <c r="AE16" i="7"/>
  <c r="FJ12" i="1"/>
  <c r="DB12" i="1"/>
  <c r="FO12" i="1"/>
  <c r="CO12" i="1"/>
  <c r="AI16" i="7"/>
  <c r="CF12" i="1"/>
  <c r="DP25" i="20"/>
  <c r="AU25" i="20" s="1"/>
  <c r="CS25" i="20"/>
  <c r="W25" i="20" s="1"/>
  <c r="AF26" i="1"/>
  <c r="DG39" i="1"/>
  <c r="DT41" i="20"/>
  <c r="AX41" i="20" s="1"/>
  <c r="AG19" i="1"/>
  <c r="DB41" i="20"/>
  <c r="AF41" i="20" s="1"/>
  <c r="EA41" i="20"/>
  <c r="BG41" i="20" s="1"/>
  <c r="FQ26" i="1"/>
  <c r="DA28" i="20"/>
  <c r="AE28" i="20" s="1"/>
  <c r="H28" i="4"/>
  <c r="DL28" i="20"/>
  <c r="AR28" i="20" s="1"/>
  <c r="BE39" i="1"/>
  <c r="GS41" i="4" s="1"/>
  <c r="DG41" i="20"/>
  <c r="AL41" i="20" s="1"/>
  <c r="CM41" i="20"/>
  <c r="P41" i="20" s="1"/>
  <c r="DK41" i="20"/>
  <c r="AP41" i="20" s="1"/>
  <c r="FJ31" i="1"/>
  <c r="AN6" i="1"/>
  <c r="AN9" i="1"/>
  <c r="FM9" i="1"/>
  <c r="D12" i="14"/>
  <c r="S64" i="18"/>
  <c r="S64" i="21"/>
  <c r="S64" i="17"/>
  <c r="S51" i="18"/>
  <c r="S51" i="17"/>
  <c r="AI46" i="7"/>
  <c r="CO42" i="1"/>
  <c r="DB42" i="1"/>
  <c r="CF42" i="1"/>
  <c r="AI44" i="7"/>
  <c r="CO40" i="1"/>
  <c r="FO40" i="1"/>
  <c r="CF40" i="1"/>
  <c r="DB40" i="1"/>
  <c r="D42" i="14"/>
  <c r="B42" i="10"/>
  <c r="AS39" i="1"/>
  <c r="FD39" i="1" s="1"/>
  <c r="AB39" i="1"/>
  <c r="DU39" i="1"/>
  <c r="DH41" i="20"/>
  <c r="AM41" i="20" s="1"/>
  <c r="CP41" i="20"/>
  <c r="T41" i="20" s="1"/>
  <c r="FM39" i="1"/>
  <c r="C42" i="10"/>
  <c r="CC41" i="20"/>
  <c r="I41" i="20" s="1"/>
  <c r="AT39" i="1"/>
  <c r="CH41" i="20" s="1"/>
  <c r="E41" i="20" s="1"/>
  <c r="AA39" i="1"/>
  <c r="CK41" i="20"/>
  <c r="N41" i="20" s="1"/>
  <c r="CV41" i="20"/>
  <c r="Z41" i="20" s="1"/>
  <c r="CX41" i="20"/>
  <c r="AB41" i="20" s="1"/>
  <c r="DL41" i="20"/>
  <c r="AR41" i="20" s="1"/>
  <c r="FS41" i="4"/>
  <c r="DC39" i="1"/>
  <c r="CZ41" i="20"/>
  <c r="AD41" i="20" s="1"/>
  <c r="CF41" i="20"/>
  <c r="L41" i="20" s="1"/>
  <c r="CO41" i="20"/>
  <c r="R41" i="20" s="1"/>
  <c r="DJ41" i="20"/>
  <c r="AO41" i="20" s="1"/>
  <c r="CS41" i="20"/>
  <c r="W41" i="20" s="1"/>
  <c r="CL41" i="20"/>
  <c r="O41" i="20" s="1"/>
  <c r="Z39" i="1"/>
  <c r="CW41" i="20"/>
  <c r="AA41" i="20" s="1"/>
  <c r="DC41" i="20"/>
  <c r="AG41" i="20" s="1"/>
  <c r="FC39" i="1"/>
  <c r="Y39" i="1"/>
  <c r="FT39" i="1" s="1"/>
  <c r="DS41" i="20"/>
  <c r="AY41" i="20" s="1"/>
  <c r="EB41" i="20"/>
  <c r="BH41" i="20" s="1"/>
  <c r="FI39" i="1"/>
  <c r="DD41" i="20"/>
  <c r="AH41" i="20" s="1"/>
  <c r="DP41" i="20"/>
  <c r="AU41" i="20" s="1"/>
  <c r="DV41" i="20"/>
  <c r="BA41" i="20" s="1"/>
  <c r="DT39" i="1"/>
  <c r="DL39" i="1" s="1"/>
  <c r="C42" i="14"/>
  <c r="DN39" i="1"/>
  <c r="DM39" i="1" s="1"/>
  <c r="D42" i="10"/>
  <c r="S42" i="10" s="1"/>
  <c r="CR41" i="20"/>
  <c r="V41" i="20" s="1"/>
  <c r="CU41" i="20"/>
  <c r="Y41" i="20" s="1"/>
  <c r="H41" i="4"/>
  <c r="DX41" i="20"/>
  <c r="BC41" i="20" s="1"/>
  <c r="CI41" i="20"/>
  <c r="F41" i="20" s="1"/>
  <c r="DA41" i="20"/>
  <c r="AE41" i="20" s="1"/>
  <c r="CP39" i="1"/>
  <c r="DE41" i="20"/>
  <c r="AJ41" i="20" s="1"/>
  <c r="EE41" i="20"/>
  <c r="BK41" i="20" s="1"/>
  <c r="DV39" i="1"/>
  <c r="GQ39" i="4"/>
  <c r="CF35" i="1"/>
  <c r="AI39" i="7"/>
  <c r="FO35" i="1"/>
  <c r="AE33" i="7"/>
  <c r="FJ29" i="1"/>
  <c r="AE28" i="7"/>
  <c r="FJ24" i="1"/>
  <c r="GJ25" i="4"/>
  <c r="AG27" i="7"/>
  <c r="B26" i="10"/>
  <c r="D26" i="10"/>
  <c r="BE23" i="1"/>
  <c r="CC25" i="20"/>
  <c r="I25" i="20" s="1"/>
  <c r="DG183" i="1"/>
  <c r="DK25" i="20"/>
  <c r="AP25" i="20" s="1"/>
  <c r="CM25" i="20"/>
  <c r="P25" i="20" s="1"/>
  <c r="DS23" i="1"/>
  <c r="EA25" i="20"/>
  <c r="BG25" i="20" s="1"/>
  <c r="DC23" i="1"/>
  <c r="CU25" i="20"/>
  <c r="Y25" i="20" s="1"/>
  <c r="FS25" i="4"/>
  <c r="DS25" i="20"/>
  <c r="AY25" i="20" s="1"/>
  <c r="DZ25" i="20"/>
  <c r="BF25" i="20" s="1"/>
  <c r="DC25" i="20"/>
  <c r="AG25" i="20" s="1"/>
  <c r="DE23" i="1"/>
  <c r="J25" i="4" s="1"/>
  <c r="FQ25" i="4" s="1"/>
  <c r="EE25" i="20"/>
  <c r="BK25" i="20" s="1"/>
  <c r="FQ23" i="1"/>
  <c r="DN23" i="1"/>
  <c r="DM23" i="1" s="1"/>
  <c r="DJ25" i="20"/>
  <c r="AO25" i="20" s="1"/>
  <c r="CP25" i="20"/>
  <c r="T25" i="20" s="1"/>
  <c r="FC23" i="1"/>
  <c r="CX25" i="20"/>
  <c r="AB25" i="20" s="1"/>
  <c r="CV25" i="20"/>
  <c r="Z25" i="20" s="1"/>
  <c r="CI25" i="20"/>
  <c r="F25" i="20" s="1"/>
  <c r="Z23" i="1"/>
  <c r="CZ25" i="20"/>
  <c r="AD25" i="20" s="1"/>
  <c r="DA25" i="20"/>
  <c r="AE25" i="20" s="1"/>
  <c r="DW23" i="1"/>
  <c r="C26" i="10"/>
  <c r="FM23" i="1"/>
  <c r="CN25" i="20"/>
  <c r="Q25" i="20" s="1"/>
  <c r="DU23" i="1"/>
  <c r="C26" i="14"/>
  <c r="DT25" i="20"/>
  <c r="AX25" i="20" s="1"/>
  <c r="FI23" i="1"/>
  <c r="CF23" i="20"/>
  <c r="L23" i="20" s="1"/>
  <c r="AS21" i="1"/>
  <c r="CG23" i="20" s="1"/>
  <c r="D23" i="20" s="1"/>
  <c r="AB21" i="1"/>
  <c r="CL23" i="20"/>
  <c r="O23" i="20" s="1"/>
  <c r="DG23" i="20"/>
  <c r="AL23" i="20" s="1"/>
  <c r="C24" i="10"/>
  <c r="D24" i="10"/>
  <c r="AT21" i="1"/>
  <c r="CH23" i="20" s="1"/>
  <c r="E23" i="20" s="1"/>
  <c r="DJ23" i="20"/>
  <c r="AO23" i="20" s="1"/>
  <c r="CK23" i="20"/>
  <c r="N23" i="20" s="1"/>
  <c r="CS23" i="20"/>
  <c r="W23" i="20" s="1"/>
  <c r="DV21" i="1"/>
  <c r="H23" i="4"/>
  <c r="DX23" i="20"/>
  <c r="BC23" i="20" s="1"/>
  <c r="CZ23" i="20"/>
  <c r="AD23" i="20" s="1"/>
  <c r="FQ21" i="1"/>
  <c r="CP21" i="1"/>
  <c r="EA23" i="20"/>
  <c r="BG23" i="20" s="1"/>
  <c r="DB23" i="20"/>
  <c r="AF23" i="20" s="1"/>
  <c r="B24" i="10"/>
  <c r="D24" i="14"/>
  <c r="CC23" i="20"/>
  <c r="I23" i="20" s="1"/>
  <c r="C24" i="14"/>
  <c r="CO23" i="20"/>
  <c r="R23" i="20" s="1"/>
  <c r="BE21" i="1"/>
  <c r="CX23" i="20"/>
  <c r="AB23" i="20" s="1"/>
  <c r="CU23" i="20"/>
  <c r="Y23" i="20" s="1"/>
  <c r="FS23" i="4"/>
  <c r="CI23" i="20"/>
  <c r="F23" i="20" s="1"/>
  <c r="FC21" i="1"/>
  <c r="DC21" i="1"/>
  <c r="DG21" i="1"/>
  <c r="DV23" i="20"/>
  <c r="BA23" i="20" s="1"/>
  <c r="DW21" i="1"/>
  <c r="AE21" i="1"/>
  <c r="DA23" i="20"/>
  <c r="AE23" i="20" s="1"/>
  <c r="CR21" i="1"/>
  <c r="DN23" i="20"/>
  <c r="AS23" i="20" s="1"/>
  <c r="DT23" i="20"/>
  <c r="AX23" i="20" s="1"/>
  <c r="AG21" i="1"/>
  <c r="DT21" i="1"/>
  <c r="DL21" i="1" s="1"/>
  <c r="DN21" i="1"/>
  <c r="DM21" i="1" s="1"/>
  <c r="CM23" i="20"/>
  <c r="P23" i="20" s="1"/>
  <c r="CP23" i="20"/>
  <c r="T23" i="20" s="1"/>
  <c r="DH23" i="20"/>
  <c r="AM23" i="20" s="1"/>
  <c r="DS21" i="1"/>
  <c r="DE21" i="1"/>
  <c r="J23" i="4" s="1"/>
  <c r="FQ23" i="4" s="1"/>
  <c r="DS23" i="20"/>
  <c r="AY23" i="20" s="1"/>
  <c r="AT19" i="1"/>
  <c r="CH21" i="20" s="1"/>
  <c r="E21" i="20" s="1"/>
  <c r="DH21" i="20"/>
  <c r="AM21" i="20" s="1"/>
  <c r="C22" i="10"/>
  <c r="DG21" i="20"/>
  <c r="AL21" i="20" s="1"/>
  <c r="DS21" i="20"/>
  <c r="AY21" i="20" s="1"/>
  <c r="CU21" i="20"/>
  <c r="Y21" i="20" s="1"/>
  <c r="DE21" i="20"/>
  <c r="AJ21" i="20" s="1"/>
  <c r="DA21" i="20"/>
  <c r="AE21" i="20" s="1"/>
  <c r="D22" i="14"/>
  <c r="DG179" i="1"/>
  <c r="FQ19" i="1"/>
  <c r="AE19" i="1"/>
  <c r="GJ18" i="4"/>
  <c r="AG20" i="7"/>
  <c r="FO14" i="1"/>
  <c r="CF14" i="1"/>
  <c r="AI18" i="7"/>
  <c r="CO14" i="1"/>
  <c r="DB14" i="1"/>
  <c r="EG25" i="20"/>
  <c r="BM25" i="20" s="1"/>
  <c r="AE39" i="1"/>
  <c r="CR25" i="20"/>
  <c r="V25" i="20" s="1"/>
  <c r="DT23" i="1"/>
  <c r="DL23" i="1" s="1"/>
  <c r="DH25" i="20"/>
  <c r="AM25" i="20" s="1"/>
  <c r="DL25" i="20"/>
  <c r="AR25" i="20" s="1"/>
  <c r="DG25" i="20"/>
  <c r="AL25" i="20" s="1"/>
  <c r="D26" i="14"/>
  <c r="K26" i="14" s="1"/>
  <c r="EG41" i="20"/>
  <c r="BM41" i="20" s="1"/>
  <c r="DW39" i="1"/>
  <c r="EG23" i="20"/>
  <c r="BM23" i="20" s="1"/>
  <c r="DD25" i="20"/>
  <c r="AH25" i="20" s="1"/>
  <c r="Y23" i="1"/>
  <c r="EK23" i="1" s="1"/>
  <c r="AG23" i="1"/>
  <c r="AF23" i="1"/>
  <c r="DG23" i="1"/>
  <c r="DV23" i="1"/>
  <c r="CR23" i="1"/>
  <c r="CL25" i="20"/>
  <c r="O25" i="20" s="1"/>
  <c r="AQ23" i="1"/>
  <c r="DI138" i="1" s="1"/>
  <c r="CF25" i="20"/>
  <c r="L25" i="20" s="1"/>
  <c r="EE28" i="20"/>
  <c r="BK28" i="20" s="1"/>
  <c r="DY28" i="20"/>
  <c r="BE28" i="20" s="1"/>
  <c r="DZ41" i="20"/>
  <c r="BF41" i="20" s="1"/>
  <c r="DZ28" i="20"/>
  <c r="BF28" i="20" s="1"/>
  <c r="FI21" i="1"/>
  <c r="AF21" i="1"/>
  <c r="DT28" i="20"/>
  <c r="AX28" i="20" s="1"/>
  <c r="EB46" i="20"/>
  <c r="BH46" i="20" s="1"/>
  <c r="DC23" i="20"/>
  <c r="AG23" i="20" s="1"/>
  <c r="DN41" i="20"/>
  <c r="AS41" i="20" s="1"/>
  <c r="FQ39" i="1"/>
  <c r="CV28" i="20"/>
  <c r="Z28" i="20" s="1"/>
  <c r="DS39" i="1"/>
  <c r="DU21" i="1"/>
  <c r="CQ23" i="20"/>
  <c r="U23" i="20" s="1"/>
  <c r="CN41" i="20"/>
  <c r="Q41" i="20" s="1"/>
  <c r="DG28" i="20"/>
  <c r="AL28" i="20" s="1"/>
  <c r="CQ41" i="20"/>
  <c r="U41" i="20" s="1"/>
  <c r="AB26" i="1"/>
  <c r="AA21" i="1"/>
  <c r="D29" i="10"/>
  <c r="DN19" i="1"/>
  <c r="DM19" i="1" s="1"/>
  <c r="FO42" i="1"/>
  <c r="AE44" i="7"/>
  <c r="FJ40" i="1"/>
  <c r="CF31" i="1"/>
  <c r="FO31" i="1"/>
  <c r="CO31" i="1"/>
  <c r="AI35" i="7"/>
  <c r="CF29" i="1"/>
  <c r="FO29" i="1"/>
  <c r="CO29" i="1"/>
  <c r="AI33" i="7"/>
  <c r="DB29" i="1"/>
  <c r="AE31" i="7"/>
  <c r="FJ27" i="1"/>
  <c r="AG30" i="7"/>
  <c r="GJ28" i="4"/>
  <c r="CO24" i="1"/>
  <c r="CF24" i="1"/>
  <c r="FO24" i="1"/>
  <c r="AI28" i="7"/>
  <c r="DB24" i="1"/>
  <c r="GQ23" i="4"/>
  <c r="FB21" i="1"/>
  <c r="AE21" i="7"/>
  <c r="FJ17" i="1"/>
  <c r="AE23" i="1"/>
  <c r="DE25" i="20"/>
  <c r="AJ25" i="20" s="1"/>
  <c r="DY25" i="20"/>
  <c r="BE25" i="20" s="1"/>
  <c r="DB25" i="20"/>
  <c r="AF25" i="20" s="1"/>
  <c r="CP23" i="1"/>
  <c r="H25" i="4"/>
  <c r="EB25" i="20"/>
  <c r="BH25" i="20" s="1"/>
  <c r="CO25" i="20"/>
  <c r="R25" i="20" s="1"/>
  <c r="AB23" i="1"/>
  <c r="AT23" i="1"/>
  <c r="CH25" i="20" s="1"/>
  <c r="EE21" i="20"/>
  <c r="EF21" i="20" s="1"/>
  <c r="BL21" i="20" s="1"/>
  <c r="DY41" i="20"/>
  <c r="BE41" i="20" s="1"/>
  <c r="DZ23" i="20"/>
  <c r="BF23" i="20" s="1"/>
  <c r="DP21" i="20"/>
  <c r="AU21" i="20" s="1"/>
  <c r="AG39" i="1"/>
  <c r="DE39" i="1"/>
  <c r="J41" i="4" s="1"/>
  <c r="FQ41" i="4" s="1"/>
  <c r="DD23" i="20"/>
  <c r="AH23" i="20" s="1"/>
  <c r="DE28" i="20"/>
  <c r="AJ28" i="20" s="1"/>
  <c r="EB23" i="20"/>
  <c r="BH23" i="20" s="1"/>
  <c r="CR39" i="1"/>
  <c r="DX21" i="20"/>
  <c r="BC21" i="20" s="1"/>
  <c r="CI28" i="20"/>
  <c r="F28" i="20" s="1"/>
  <c r="DS37" i="1"/>
  <c r="DL23" i="20"/>
  <c r="AR23" i="20" s="1"/>
  <c r="CW28" i="20"/>
  <c r="AA28" i="20" s="1"/>
  <c r="DG26" i="1"/>
  <c r="Z21" i="1"/>
  <c r="CK21" i="20"/>
  <c r="N21" i="20" s="1"/>
  <c r="AQ21" i="1"/>
  <c r="DI136" i="1" s="1"/>
  <c r="FM21" i="1"/>
  <c r="W8" i="10"/>
  <c r="AE8" i="10"/>
  <c r="S67" i="18"/>
  <c r="S67" i="21"/>
  <c r="S67" i="17"/>
  <c r="AC23" i="1"/>
  <c r="Y27" i="7" s="1"/>
  <c r="FY21" i="1"/>
  <c r="AE14" i="1"/>
  <c r="AQ10" i="18"/>
  <c r="AQ15" i="18"/>
  <c r="AL20" i="18"/>
  <c r="AQ20" i="18"/>
  <c r="AI45" i="18"/>
  <c r="AM45" i="18"/>
  <c r="AQ45" i="18"/>
  <c r="AI46" i="18"/>
  <c r="AI56" i="18"/>
  <c r="AP24" i="18"/>
  <c r="AI12" i="18"/>
  <c r="AS30" i="18"/>
  <c r="AR52" i="18"/>
  <c r="AV28" i="18"/>
  <c r="CO5" i="1"/>
  <c r="AI9" i="7"/>
  <c r="DB5" i="1"/>
  <c r="FO5" i="1"/>
  <c r="S70" i="21"/>
  <c r="S70" i="17"/>
  <c r="BK121" i="1"/>
  <c r="BL244" i="1" s="1"/>
  <c r="BL370" i="1" s="1"/>
  <c r="BT121" i="1"/>
  <c r="BV121" i="1"/>
  <c r="CR121" i="1" s="1"/>
  <c r="AH58" i="18"/>
  <c r="AH58" i="21"/>
  <c r="AZ38" i="4"/>
  <c r="AR38" i="4"/>
  <c r="AB38" i="4"/>
  <c r="AH28" i="18"/>
  <c r="AH24" i="18"/>
  <c r="V47" i="4"/>
  <c r="V24" i="4"/>
  <c r="V22" i="4"/>
  <c r="BU123" i="1"/>
  <c r="BQ123" i="1"/>
  <c r="BV123" i="1"/>
  <c r="AZ25" i="18"/>
  <c r="AH25" i="18" s="1"/>
  <c r="AZ30" i="18"/>
  <c r="AH30" i="18" s="1"/>
  <c r="BR40" i="17"/>
  <c r="BR52" i="17"/>
  <c r="AZ58" i="18"/>
  <c r="CJ58" i="18" s="1"/>
  <c r="AI8" i="10"/>
  <c r="BW121" i="1"/>
  <c r="CS121" i="1" s="1"/>
  <c r="CF11" i="20"/>
  <c r="L11" i="20" s="1"/>
  <c r="C10" i="14"/>
  <c r="BN123" i="1"/>
  <c r="BO246" i="1" s="1"/>
  <c r="BT123" i="1"/>
  <c r="BM123" i="1"/>
  <c r="BM287" i="1" s="1"/>
  <c r="BJ123" i="1"/>
  <c r="BK246" i="1" s="1"/>
  <c r="BL123" i="1"/>
  <c r="CH123" i="1" s="1"/>
  <c r="DE15" i="1"/>
  <c r="J17" i="4" s="1"/>
  <c r="FQ17" i="4" s="1"/>
  <c r="FB36" i="1"/>
  <c r="DD47" i="20"/>
  <c r="AH47" i="20" s="1"/>
  <c r="AZ22" i="21"/>
  <c r="AH22" i="21" s="1"/>
  <c r="AZ25" i="17"/>
  <c r="AH25" i="17" s="1"/>
  <c r="BR30" i="18"/>
  <c r="AZ30" i="17"/>
  <c r="AH30" i="17" s="1"/>
  <c r="BR35" i="18"/>
  <c r="AZ40" i="21"/>
  <c r="AH40" i="21" s="1"/>
  <c r="AZ52" i="21"/>
  <c r="AZ13" i="21"/>
  <c r="AZ58" i="17"/>
  <c r="Y8" i="10"/>
  <c r="AU8" i="10"/>
  <c r="AQ8" i="10"/>
  <c r="C12" i="14"/>
  <c r="BR121" i="1"/>
  <c r="BS203" i="1" s="1"/>
  <c r="BS329" i="1" s="1"/>
  <c r="BO121" i="1"/>
  <c r="BP162" i="1" s="1"/>
  <c r="BP326" i="1" s="1"/>
  <c r="BS121" i="1"/>
  <c r="BQ121" i="1"/>
  <c r="BQ285" i="1" s="1"/>
  <c r="AS8" i="10"/>
  <c r="AT9" i="1"/>
  <c r="AK7" i="21"/>
  <c r="AQ12" i="21"/>
  <c r="CO8" i="1"/>
  <c r="AH52" i="21"/>
  <c r="T4" i="21"/>
  <c r="BM121" i="1"/>
  <c r="BN162" i="1" s="1"/>
  <c r="BN326" i="1" s="1"/>
  <c r="CT12" i="4"/>
  <c r="FJ7" i="1"/>
  <c r="AH15" i="21"/>
  <c r="B12" i="10"/>
  <c r="D28" i="16"/>
  <c r="BS123" i="1"/>
  <c r="BR123" i="1"/>
  <c r="BS246" i="1" s="1"/>
  <c r="BH123" i="1"/>
  <c r="BR22" i="17"/>
  <c r="AZ25" i="21"/>
  <c r="AH25" i="21" s="1"/>
  <c r="AZ35" i="21"/>
  <c r="AH35" i="21" s="1"/>
  <c r="AZ52" i="18"/>
  <c r="CJ52" i="18" s="1"/>
  <c r="BR13" i="17"/>
  <c r="U8" i="10"/>
  <c r="BY121" i="1"/>
  <c r="BJ121" i="1"/>
  <c r="BK203" i="1" s="1"/>
  <c r="BK329" i="1" s="1"/>
  <c r="BP121" i="1"/>
  <c r="AM8" i="10"/>
  <c r="D12" i="10"/>
  <c r="U12" i="10" s="1"/>
  <c r="AI12" i="7"/>
  <c r="CF8" i="1"/>
  <c r="BP123" i="1"/>
  <c r="BG123" i="1"/>
  <c r="CC123" i="1" s="1"/>
  <c r="BD123" i="1" s="1"/>
  <c r="BX123" i="1"/>
  <c r="BX287" i="1" s="1"/>
  <c r="CA123" i="1"/>
  <c r="CF8" i="20"/>
  <c r="L8" i="20" s="1"/>
  <c r="AZ35" i="18"/>
  <c r="AH35" i="18" s="1"/>
  <c r="BR52" i="18"/>
  <c r="BR13" i="18"/>
  <c r="BR58" i="18"/>
  <c r="AZ58" i="21"/>
  <c r="AO8" i="10"/>
  <c r="AK8" i="10"/>
  <c r="AW8" i="10"/>
  <c r="CM16" i="4"/>
  <c r="CA121" i="1"/>
  <c r="CA285" i="1" s="1"/>
  <c r="BI121" i="1"/>
  <c r="BJ203" i="1" s="1"/>
  <c r="BJ329" i="1" s="1"/>
  <c r="BX121" i="1"/>
  <c r="CT121" i="1" s="1"/>
  <c r="BG121" i="1"/>
  <c r="C12" i="10"/>
  <c r="AS9" i="1"/>
  <c r="CG11" i="20" s="1"/>
  <c r="D11" i="20" s="1"/>
  <c r="AM44" i="21"/>
  <c r="AK26" i="21"/>
  <c r="AS36" i="21"/>
  <c r="T4" i="18"/>
  <c r="BL121" i="1"/>
  <c r="CB8" i="4"/>
  <c r="BL32" i="1"/>
  <c r="AZ28" i="17"/>
  <c r="AH28" i="17" s="1"/>
  <c r="AU25" i="17"/>
  <c r="DH69" i="1" s="1"/>
  <c r="AZ15" i="17"/>
  <c r="AH15" i="17" s="1"/>
  <c r="AS9" i="17"/>
  <c r="DF53" i="1" s="1"/>
  <c r="N6" i="19" s="1"/>
  <c r="AZ24" i="21"/>
  <c r="AH24" i="21" s="1"/>
  <c r="AS8" i="1"/>
  <c r="D32" i="10"/>
  <c r="AG32" i="10" s="1"/>
  <c r="DA31" i="20"/>
  <c r="AE31" i="20" s="1"/>
  <c r="H14" i="4"/>
  <c r="AH53" i="18"/>
  <c r="AH53" i="21"/>
  <c r="AZ53" i="18"/>
  <c r="CJ53" i="18" s="1"/>
  <c r="AZ53" i="21"/>
  <c r="AZ37" i="21"/>
  <c r="AH37" i="21" s="1"/>
  <c r="AZ37" i="18"/>
  <c r="AH37" i="18" s="1"/>
  <c r="BR37" i="17"/>
  <c r="AZ27" i="21"/>
  <c r="AH27" i="21" s="1"/>
  <c r="AZ27" i="17"/>
  <c r="AH27" i="17" s="1"/>
  <c r="B27" i="5"/>
  <c r="B27" i="26"/>
  <c r="AO11" i="17"/>
  <c r="DB55" i="1" s="1"/>
  <c r="AU39" i="17"/>
  <c r="DH83" i="1" s="1"/>
  <c r="AI43" i="17"/>
  <c r="CV87" i="1" s="1"/>
  <c r="AQ63" i="17"/>
  <c r="DD107" i="1" s="1"/>
  <c r="AP31" i="17"/>
  <c r="DC75" i="1" s="1"/>
  <c r="AI10" i="17"/>
  <c r="CV54" i="1" s="1"/>
  <c r="AT63" i="17"/>
  <c r="DG107" i="1" s="1"/>
  <c r="AQ22" i="17"/>
  <c r="DD66" i="1" s="1"/>
  <c r="L18" i="19" s="1"/>
  <c r="AM29" i="17"/>
  <c r="CZ73" i="1" s="1"/>
  <c r="AP33" i="17"/>
  <c r="DC77" i="1" s="1"/>
  <c r="AR23" i="17"/>
  <c r="DE67" i="1" s="1"/>
  <c r="M19" i="19" s="1"/>
  <c r="AI32" i="17"/>
  <c r="CV76" i="1" s="1"/>
  <c r="AS44" i="17"/>
  <c r="DF88" i="1" s="1"/>
  <c r="AL35" i="17"/>
  <c r="CY79" i="1" s="1"/>
  <c r="AS52" i="17"/>
  <c r="DF96" i="1" s="1"/>
  <c r="AT40" i="17"/>
  <c r="DG84" i="1" s="1"/>
  <c r="AO60" i="17"/>
  <c r="DB104" i="1" s="1"/>
  <c r="AV61" i="17"/>
  <c r="DI105" i="1" s="1"/>
  <c r="AM33" i="17"/>
  <c r="CZ77" i="1" s="1"/>
  <c r="AQ26" i="17"/>
  <c r="DD70" i="1" s="1"/>
  <c r="AI16" i="17"/>
  <c r="CV60" i="1" s="1"/>
  <c r="AI33" i="17"/>
  <c r="CV77" i="1" s="1"/>
  <c r="AP63" i="17"/>
  <c r="DC107" i="1" s="1"/>
  <c r="AL15" i="17"/>
  <c r="CY59" i="1" s="1"/>
  <c r="AV50" i="17"/>
  <c r="DI94" i="1" s="1"/>
  <c r="AK63" i="17"/>
  <c r="CX107" i="1" s="1"/>
  <c r="AV47" i="17"/>
  <c r="DI91" i="1" s="1"/>
  <c r="AR19" i="17"/>
  <c r="DE63" i="1" s="1"/>
  <c r="M16" i="19" s="1"/>
  <c r="AK62" i="17"/>
  <c r="AK65" i="17"/>
  <c r="CX109" i="1" s="1"/>
  <c r="AK18" i="17"/>
  <c r="CX62" i="1" s="1"/>
  <c r="F15" i="19" s="1"/>
  <c r="AQ19" i="17"/>
  <c r="DD63" i="1" s="1"/>
  <c r="L16" i="19" s="1"/>
  <c r="AO48" i="17"/>
  <c r="DB92" i="1" s="1"/>
  <c r="AJ36" i="17"/>
  <c r="CW80" i="1" s="1"/>
  <c r="AL31" i="17"/>
  <c r="CY75" i="1" s="1"/>
  <c r="AI25" i="17"/>
  <c r="CV69" i="1" s="1"/>
  <c r="AS59" i="17"/>
  <c r="DF103" i="1" s="1"/>
  <c r="AJ52" i="17"/>
  <c r="CW96" i="1" s="1"/>
  <c r="AQ37" i="17"/>
  <c r="DD81" i="1" s="1"/>
  <c r="AJ50" i="17"/>
  <c r="CW94" i="1" s="1"/>
  <c r="AO36" i="17"/>
  <c r="DB80" i="1" s="1"/>
  <c r="AV60" i="17"/>
  <c r="DI104" i="1" s="1"/>
  <c r="AS50" i="17"/>
  <c r="DF94" i="1" s="1"/>
  <c r="AK11" i="17"/>
  <c r="CX55" i="1" s="1"/>
  <c r="AK54" i="17"/>
  <c r="CX98" i="1" s="1"/>
  <c r="AL8" i="17"/>
  <c r="CY52" i="1" s="1"/>
  <c r="G5" i="19" s="1"/>
  <c r="AI17" i="17"/>
  <c r="CV61" i="1" s="1"/>
  <c r="D14" i="19" s="1"/>
  <c r="AO47" i="17"/>
  <c r="DB91" i="1" s="1"/>
  <c r="AK14" i="17"/>
  <c r="CX58" i="1" s="1"/>
  <c r="F11" i="19" s="1"/>
  <c r="AM36" i="17"/>
  <c r="CZ80" i="1" s="1"/>
  <c r="FQ29" i="1"/>
  <c r="FS29" i="4"/>
  <c r="AZ33" i="21"/>
  <c r="AH33" i="21" s="1"/>
  <c r="AI63" i="17"/>
  <c r="CV107" i="1" s="1"/>
  <c r="AK20" i="17"/>
  <c r="CX64" i="1" s="1"/>
  <c r="B45" i="26"/>
  <c r="B45" i="5"/>
  <c r="BR59" i="18"/>
  <c r="AZ59" i="17"/>
  <c r="AH47" i="18"/>
  <c r="AH47" i="21"/>
  <c r="AZ47" i="21"/>
  <c r="BR47" i="17"/>
  <c r="BR32" i="17"/>
  <c r="AZ32" i="17"/>
  <c r="AH32" i="17" s="1"/>
  <c r="BR32" i="18"/>
  <c r="AZ18" i="17"/>
  <c r="AH18" i="17" s="1"/>
  <c r="BR18" i="17"/>
  <c r="L7" i="10"/>
  <c r="L7" i="14"/>
  <c r="T7" i="10"/>
  <c r="T7" i="14"/>
  <c r="AK14" i="18"/>
  <c r="AU29" i="18"/>
  <c r="AI29" i="18"/>
  <c r="AS50" i="18"/>
  <c r="AK59" i="18"/>
  <c r="AR48" i="18"/>
  <c r="AK52" i="18"/>
  <c r="AM21" i="18"/>
  <c r="AM51" i="18"/>
  <c r="AK28" i="18"/>
  <c r="AU15" i="18"/>
  <c r="AJ5" i="18"/>
  <c r="AJ40" i="18"/>
  <c r="AR10" i="18"/>
  <c r="AO13" i="18"/>
  <c r="AP65" i="18"/>
  <c r="AU58" i="18"/>
  <c r="AU43" i="18"/>
  <c r="AJ15" i="18"/>
  <c r="AJ55" i="18"/>
  <c r="AN19" i="18"/>
  <c r="AT32" i="18"/>
  <c r="AM49" i="18"/>
  <c r="AL24" i="18"/>
  <c r="AU10" i="18"/>
  <c r="AO9" i="18"/>
  <c r="AQ60" i="18"/>
  <c r="AV17" i="18"/>
  <c r="AJ58" i="18"/>
  <c r="AO37" i="18"/>
  <c r="AS7" i="18"/>
  <c r="AT28" i="18"/>
  <c r="AO12" i="18"/>
  <c r="AM60" i="18"/>
  <c r="AS62" i="18"/>
  <c r="AJ52" i="18"/>
  <c r="AI58" i="18"/>
  <c r="AO16" i="18"/>
  <c r="AO59" i="18"/>
  <c r="AU12" i="18"/>
  <c r="AL52" i="18"/>
  <c r="AN57" i="18"/>
  <c r="AI33" i="18"/>
  <c r="AR12" i="18"/>
  <c r="AQ40" i="18"/>
  <c r="AN18" i="18"/>
  <c r="AV26" i="18"/>
  <c r="AL39" i="18"/>
  <c r="AJ50" i="18"/>
  <c r="AK65" i="18"/>
  <c r="AT29" i="18"/>
  <c r="AO8" i="18"/>
  <c r="AN52" i="18"/>
  <c r="AL9" i="18"/>
  <c r="AM24" i="18"/>
  <c r="AK22" i="18"/>
  <c r="AO57" i="18"/>
  <c r="AK46" i="18"/>
  <c r="AS8" i="18"/>
  <c r="AR37" i="18"/>
  <c r="AJ44" i="18"/>
  <c r="AN55" i="18"/>
  <c r="AQ26" i="18"/>
  <c r="AP30" i="18"/>
  <c r="AI54" i="18"/>
  <c r="B139" i="6"/>
  <c r="A4" i="1" s="1"/>
  <c r="A6" i="20" s="1"/>
  <c r="B96" i="6"/>
  <c r="I4" i="1" s="1"/>
  <c r="B6" i="6"/>
  <c r="B92" i="6"/>
  <c r="B33" i="6"/>
  <c r="B126" i="6"/>
  <c r="B197" i="6"/>
  <c r="B65" i="6"/>
  <c r="B141" i="6"/>
  <c r="GJ9" i="4"/>
  <c r="AG11" i="7"/>
  <c r="C8" i="10"/>
  <c r="C8" i="14"/>
  <c r="CQ47" i="20"/>
  <c r="U47" i="20" s="1"/>
  <c r="AS45" i="1"/>
  <c r="AU45" i="1" s="1"/>
  <c r="GP47" i="4" s="1"/>
  <c r="CP47" i="20"/>
  <c r="T47" i="20" s="1"/>
  <c r="CP45" i="1"/>
  <c r="DT47" i="20"/>
  <c r="AX47" i="20" s="1"/>
  <c r="EE47" i="20"/>
  <c r="EF47" i="20" s="1"/>
  <c r="BL47" i="20" s="1"/>
  <c r="CO47" i="20"/>
  <c r="R47" i="20" s="1"/>
  <c r="CX47" i="20"/>
  <c r="AB47" i="20" s="1"/>
  <c r="FC45" i="1"/>
  <c r="EB47" i="20"/>
  <c r="BH47" i="20" s="1"/>
  <c r="AE45" i="1"/>
  <c r="AG19" i="7"/>
  <c r="GJ17" i="4"/>
  <c r="AG15" i="1"/>
  <c r="DZ33" i="20"/>
  <c r="BF33" i="20" s="1"/>
  <c r="EB40" i="20"/>
  <c r="BH40" i="20" s="1"/>
  <c r="BR27" i="18"/>
  <c r="AZ37" i="17"/>
  <c r="AH37" i="17" s="1"/>
  <c r="AZ47" i="18"/>
  <c r="CJ47" i="18" s="1"/>
  <c r="AZ59" i="21"/>
  <c r="AV55" i="18"/>
  <c r="AK13" i="18"/>
  <c r="AL8" i="18"/>
  <c r="AN41" i="18"/>
  <c r="AQ7" i="18"/>
  <c r="AP25" i="17"/>
  <c r="DC69" i="1" s="1"/>
  <c r="AR55" i="17"/>
  <c r="AT57" i="17"/>
  <c r="DG101" i="1" s="1"/>
  <c r="AV17" i="17"/>
  <c r="DI61" i="1" s="1"/>
  <c r="CL71" i="1" s="1"/>
  <c r="AM60" i="21"/>
  <c r="AV60" i="21"/>
  <c r="AL10" i="21"/>
  <c r="B128" i="6"/>
  <c r="Q4" i="1" s="1"/>
  <c r="G6" i="4" s="1"/>
  <c r="AH54" i="21"/>
  <c r="BR54" i="17"/>
  <c r="BR38" i="17"/>
  <c r="AZ38" i="17"/>
  <c r="AH38" i="17" s="1"/>
  <c r="DX42" i="20"/>
  <c r="BC42" i="20" s="1"/>
  <c r="DL42" i="20"/>
  <c r="AR42" i="20" s="1"/>
  <c r="AF24" i="1"/>
  <c r="AQ24" i="1"/>
  <c r="DI139" i="1" s="1"/>
  <c r="AP61" i="17"/>
  <c r="DC105" i="1" s="1"/>
  <c r="AQ5" i="21"/>
  <c r="AM21" i="21"/>
  <c r="AL22" i="21"/>
  <c r="AQ44" i="21"/>
  <c r="AV8" i="21"/>
  <c r="AU41" i="21"/>
  <c r="AQ40" i="21"/>
  <c r="AS39" i="21"/>
  <c r="AI11" i="21"/>
  <c r="AJ7" i="21"/>
  <c r="AS55" i="21"/>
  <c r="AJ55" i="21"/>
  <c r="AU19" i="21"/>
  <c r="AK52" i="21"/>
  <c r="AH11" i="21"/>
  <c r="AL28" i="21"/>
  <c r="AP19" i="21"/>
  <c r="AR41" i="21"/>
  <c r="AO19" i="21"/>
  <c r="AN29" i="21"/>
  <c r="AN38" i="21"/>
  <c r="AK36" i="21"/>
  <c r="AK32" i="21"/>
  <c r="AV27" i="21"/>
  <c r="AN25" i="21"/>
  <c r="AJ10" i="21"/>
  <c r="AU17" i="21"/>
  <c r="AL27" i="21"/>
  <c r="AV63" i="21"/>
  <c r="AS60" i="21"/>
  <c r="AS11" i="21"/>
  <c r="AQ64" i="21"/>
  <c r="AS6" i="21"/>
  <c r="AP24" i="21"/>
  <c r="AQ38" i="21"/>
  <c r="AI32" i="21"/>
  <c r="AL58" i="21"/>
  <c r="AM33" i="21"/>
  <c r="AP56" i="21"/>
  <c r="AQ7" i="21"/>
  <c r="AT38" i="21"/>
  <c r="AN34" i="21"/>
  <c r="AU59" i="21"/>
  <c r="AM64" i="21"/>
  <c r="AN5" i="21"/>
  <c r="CP40" i="20"/>
  <c r="T40" i="20" s="1"/>
  <c r="FS40" i="4"/>
  <c r="C18" i="10"/>
  <c r="AB15" i="1"/>
  <c r="H17" i="4"/>
  <c r="DN17" i="20"/>
  <c r="AS17" i="20" s="1"/>
  <c r="DZ17" i="20"/>
  <c r="BF17" i="20" s="1"/>
  <c r="DW15" i="1"/>
  <c r="EG17" i="20"/>
  <c r="BM17" i="20" s="1"/>
  <c r="CR15" i="1"/>
  <c r="EE38" i="20"/>
  <c r="BK38" i="20" s="1"/>
  <c r="B29" i="5"/>
  <c r="DY40" i="20"/>
  <c r="BE40" i="20" s="1"/>
  <c r="DC45" i="1"/>
  <c r="CC47" i="20"/>
  <c r="I47" i="20" s="1"/>
  <c r="CV38" i="20"/>
  <c r="Z38" i="20" s="1"/>
  <c r="BR44" i="17"/>
  <c r="BR27" i="17"/>
  <c r="BR37" i="18"/>
  <c r="AZ53" i="17"/>
  <c r="CJ53" i="17" s="1"/>
  <c r="AZ59" i="18"/>
  <c r="CJ59" i="18" s="1"/>
  <c r="DU45" i="1"/>
  <c r="B17" i="14"/>
  <c r="AT39" i="18"/>
  <c r="AN8" i="18"/>
  <c r="AJ45" i="18"/>
  <c r="AM32" i="18"/>
  <c r="AH16" i="18"/>
  <c r="AV22" i="17"/>
  <c r="DI66" i="1" s="1"/>
  <c r="AU22" i="17"/>
  <c r="DH66" i="1" s="1"/>
  <c r="P18" i="19" s="1"/>
  <c r="AI36" i="17"/>
  <c r="CV80" i="1" s="1"/>
  <c r="AU26" i="17"/>
  <c r="DH70" i="1" s="1"/>
  <c r="AR42" i="21"/>
  <c r="AT23" i="21"/>
  <c r="AR51" i="21"/>
  <c r="AT41" i="21"/>
  <c r="B186" i="6"/>
  <c r="DV6" i="20" s="1"/>
  <c r="BA6" i="20" s="1"/>
  <c r="BL12" i="4"/>
  <c r="BN121" i="1"/>
  <c r="BG122" i="1"/>
  <c r="BB122" i="1" s="1"/>
  <c r="BX122" i="1"/>
  <c r="BY204" i="1" s="1"/>
  <c r="BY330" i="1" s="1"/>
  <c r="BZ122" i="1"/>
  <c r="CA204" i="1" s="1"/>
  <c r="BT122" i="1"/>
  <c r="AH60" i="18"/>
  <c r="AH60" i="21"/>
  <c r="DO164" i="1"/>
  <c r="AI45" i="17"/>
  <c r="CV89" i="1" s="1"/>
  <c r="AH11" i="17"/>
  <c r="BM144" i="1"/>
  <c r="BN267" i="1" s="1"/>
  <c r="DZ16" i="20"/>
  <c r="BF16" i="20" s="1"/>
  <c r="DS44" i="20"/>
  <c r="AY44" i="20" s="1"/>
  <c r="AG27" i="1"/>
  <c r="DT19" i="20"/>
  <c r="AX19" i="20" s="1"/>
  <c r="BR15" i="18"/>
  <c r="AZ60" i="18"/>
  <c r="CJ60" i="18" s="1"/>
  <c r="AZ44" i="18"/>
  <c r="AZ44" i="21"/>
  <c r="AH44" i="21" s="1"/>
  <c r="AZ24" i="17"/>
  <c r="AH24" i="17" s="1"/>
  <c r="BR28" i="18"/>
  <c r="AZ33" i="18"/>
  <c r="AH33" i="18" s="1"/>
  <c r="BR38" i="18"/>
  <c r="BR48" i="17"/>
  <c r="AZ54" i="18"/>
  <c r="CJ54" i="18" s="1"/>
  <c r="DV40" i="1"/>
  <c r="BE24" i="1"/>
  <c r="AZ24" i="1" s="1"/>
  <c r="BV39" i="4"/>
  <c r="AS35" i="1"/>
  <c r="AU35" i="1" s="1"/>
  <c r="GP37" i="4" s="1"/>
  <c r="AL20" i="17"/>
  <c r="CY64" i="1" s="1"/>
  <c r="AR44" i="17"/>
  <c r="DE88" i="1" s="1"/>
  <c r="AM47" i="17"/>
  <c r="CZ91" i="1" s="1"/>
  <c r="AS21" i="17"/>
  <c r="DF65" i="1" s="1"/>
  <c r="AQ39" i="17"/>
  <c r="DD83" i="1" s="1"/>
  <c r="AO49" i="17"/>
  <c r="DB93" i="1" s="1"/>
  <c r="AQ57" i="17"/>
  <c r="DD101" i="1" s="1"/>
  <c r="AL63" i="17"/>
  <c r="CY107" i="1" s="1"/>
  <c r="AL28" i="17"/>
  <c r="CY72" i="1" s="1"/>
  <c r="AK16" i="17"/>
  <c r="CX60" i="1" s="1"/>
  <c r="AP55" i="17"/>
  <c r="DC99" i="1" s="1"/>
  <c r="AM13" i="17"/>
  <c r="CZ57" i="1" s="1"/>
  <c r="H10" i="19" s="1"/>
  <c r="AS23" i="17"/>
  <c r="DF67" i="1" s="1"/>
  <c r="N19" i="19" s="1"/>
  <c r="AI8" i="17"/>
  <c r="CV52" i="1" s="1"/>
  <c r="D5" i="19" s="1"/>
  <c r="AN33" i="17"/>
  <c r="DA77" i="1" s="1"/>
  <c r="AS31" i="17"/>
  <c r="DF75" i="1" s="1"/>
  <c r="AI50" i="17"/>
  <c r="CV94" i="1" s="1"/>
  <c r="AR16" i="17"/>
  <c r="DE60" i="1" s="1"/>
  <c r="AM55" i="17"/>
  <c r="CZ99" i="1" s="1"/>
  <c r="AK36" i="17"/>
  <c r="AM34" i="17"/>
  <c r="CZ78" i="1" s="1"/>
  <c r="AN7" i="17"/>
  <c r="DA51" i="1" s="1"/>
  <c r="I4" i="19" s="1"/>
  <c r="AQ53" i="17"/>
  <c r="DD97" i="1" s="1"/>
  <c r="AQ32" i="17"/>
  <c r="DD76" i="1" s="1"/>
  <c r="AQ38" i="17"/>
  <c r="DD82" i="1" s="1"/>
  <c r="AJ65" i="17"/>
  <c r="CW109" i="1" s="1"/>
  <c r="AU14" i="17"/>
  <c r="DH58" i="1" s="1"/>
  <c r="P11" i="19" s="1"/>
  <c r="AJ49" i="17"/>
  <c r="AJ61" i="17"/>
  <c r="CW105" i="1" s="1"/>
  <c r="AJ55" i="17"/>
  <c r="CW99" i="1" s="1"/>
  <c r="AR17" i="17"/>
  <c r="DE61" i="1" s="1"/>
  <c r="M14" i="19" s="1"/>
  <c r="AM65" i="17"/>
  <c r="CZ109" i="1" s="1"/>
  <c r="AL54" i="17"/>
  <c r="CY98" i="1" s="1"/>
  <c r="AU52" i="17"/>
  <c r="DH96" i="1" s="1"/>
  <c r="AP42" i="17"/>
  <c r="AM5" i="17"/>
  <c r="CZ49" i="1" s="1"/>
  <c r="H2" i="19" s="1"/>
  <c r="AT12" i="17"/>
  <c r="DG56" i="1" s="1"/>
  <c r="O9" i="19" s="1"/>
  <c r="AV64" i="17"/>
  <c r="DI108" i="1" s="1"/>
  <c r="AM15" i="17"/>
  <c r="CZ59" i="1" s="1"/>
  <c r="AK35" i="17"/>
  <c r="CX79" i="1" s="1"/>
  <c r="AK13" i="17"/>
  <c r="CX57" i="1" s="1"/>
  <c r="F10" i="19" s="1"/>
  <c r="AO31" i="17"/>
  <c r="DB75" i="1" s="1"/>
  <c r="AV42" i="17"/>
  <c r="DI86" i="1" s="1"/>
  <c r="AR36" i="17"/>
  <c r="AU37" i="17"/>
  <c r="DH81" i="1" s="1"/>
  <c r="AP35" i="17"/>
  <c r="DC79" i="1" s="1"/>
  <c r="AM60" i="17"/>
  <c r="CZ104" i="1" s="1"/>
  <c r="AJ15" i="17"/>
  <c r="CW59" i="1" s="1"/>
  <c r="AT7" i="17"/>
  <c r="DG51" i="1" s="1"/>
  <c r="O4" i="19" s="1"/>
  <c r="AT11" i="17"/>
  <c r="DG55" i="1" s="1"/>
  <c r="AK51" i="17"/>
  <c r="AS57" i="17"/>
  <c r="DF101" i="1" s="1"/>
  <c r="AV15" i="17"/>
  <c r="DI59" i="1" s="1"/>
  <c r="AS17" i="17"/>
  <c r="DF61" i="1" s="1"/>
  <c r="N14" i="19" s="1"/>
  <c r="AP29" i="17"/>
  <c r="DC73" i="1" s="1"/>
  <c r="AR40" i="17"/>
  <c r="DE84" i="1" s="1"/>
  <c r="AP36" i="17"/>
  <c r="DC80" i="1" s="1"/>
  <c r="AU9" i="17"/>
  <c r="DH53" i="1" s="1"/>
  <c r="P6" i="19" s="1"/>
  <c r="AN29" i="17"/>
  <c r="DA73" i="1" s="1"/>
  <c r="AN49" i="17"/>
  <c r="DA93" i="1" s="1"/>
  <c r="AI60" i="17"/>
  <c r="CV104" i="1" s="1"/>
  <c r="AR37" i="17"/>
  <c r="DE81" i="1" s="1"/>
  <c r="AO40" i="17"/>
  <c r="DB84" i="1" s="1"/>
  <c r="AR29" i="17"/>
  <c r="BW120" i="1"/>
  <c r="BX161" i="1" s="1"/>
  <c r="BX325" i="1" s="1"/>
  <c r="BI120" i="1"/>
  <c r="BU120" i="1"/>
  <c r="BV202" i="1" s="1"/>
  <c r="BV328" i="1" s="1"/>
  <c r="BJ120" i="1"/>
  <c r="BJ284" i="1" s="1"/>
  <c r="BQ120" i="1"/>
  <c r="CM120" i="1" s="1"/>
  <c r="AA4" i="21"/>
  <c r="AA4" i="17"/>
  <c r="AA4" i="18"/>
  <c r="CM11" i="4"/>
  <c r="B13" i="7"/>
  <c r="CM9" i="4"/>
  <c r="B10" i="14"/>
  <c r="B11" i="7"/>
  <c r="B8" i="14"/>
  <c r="CM7" i="4"/>
  <c r="B9" i="7"/>
  <c r="B9" i="5" s="1"/>
  <c r="AP62" i="17"/>
  <c r="AT51" i="17"/>
  <c r="AT27" i="17"/>
  <c r="DG71" i="1" s="1"/>
  <c r="AI41" i="17"/>
  <c r="CV85" i="1" s="1"/>
  <c r="AV18" i="17"/>
  <c r="DI62" i="1" s="1"/>
  <c r="AR63" i="17"/>
  <c r="DE107" i="1" s="1"/>
  <c r="AL62" i="17"/>
  <c r="AS55" i="17"/>
  <c r="DF99" i="1" s="1"/>
  <c r="AN9" i="17"/>
  <c r="DA53" i="1" s="1"/>
  <c r="I6" i="19" s="1"/>
  <c r="AO30" i="17"/>
  <c r="DB74" i="1" s="1"/>
  <c r="AS19" i="17"/>
  <c r="DF63" i="1" s="1"/>
  <c r="N16" i="19" s="1"/>
  <c r="AQ58" i="17"/>
  <c r="DD102" i="1" s="1"/>
  <c r="AO7" i="17"/>
  <c r="DB51" i="1" s="1"/>
  <c r="J4" i="19" s="1"/>
  <c r="AO16" i="17"/>
  <c r="DB60" i="1" s="1"/>
  <c r="AI27" i="17"/>
  <c r="CV71" i="1" s="1"/>
  <c r="AJ12" i="17"/>
  <c r="CW56" i="1" s="1"/>
  <c r="E9" i="19" s="1"/>
  <c r="AR48" i="17"/>
  <c r="DE92" i="1" s="1"/>
  <c r="AS51" i="17"/>
  <c r="AN19" i="17"/>
  <c r="DA63" i="1" s="1"/>
  <c r="I16" i="19" s="1"/>
  <c r="AR14" i="17"/>
  <c r="DE58" i="1" s="1"/>
  <c r="M11" i="19" s="1"/>
  <c r="AO33" i="17"/>
  <c r="DB77" i="1" s="1"/>
  <c r="AM8" i="17"/>
  <c r="CZ52" i="1" s="1"/>
  <c r="H5" i="19" s="1"/>
  <c r="AS14" i="17"/>
  <c r="DF58" i="1" s="1"/>
  <c r="N11" i="19" s="1"/>
  <c r="AU8" i="17"/>
  <c r="DH52" i="1" s="1"/>
  <c r="P5" i="19" s="1"/>
  <c r="AK34" i="17"/>
  <c r="CX78" i="1" s="1"/>
  <c r="AK44" i="17"/>
  <c r="CX88" i="1" s="1"/>
  <c r="AT14" i="17"/>
  <c r="DG58" i="1" s="1"/>
  <c r="O11" i="19" s="1"/>
  <c r="AK39" i="17"/>
  <c r="CX83" i="1" s="1"/>
  <c r="AR13" i="17"/>
  <c r="DE57" i="1" s="1"/>
  <c r="M10" i="19" s="1"/>
  <c r="AM57" i="17"/>
  <c r="CZ101" i="1" s="1"/>
  <c r="AR12" i="17"/>
  <c r="DE56" i="1" s="1"/>
  <c r="M9" i="19" s="1"/>
  <c r="AR62" i="17"/>
  <c r="AN34" i="17"/>
  <c r="DA78" i="1" s="1"/>
  <c r="AR65" i="17"/>
  <c r="DE109" i="1" s="1"/>
  <c r="AP17" i="17"/>
  <c r="DC61" i="1" s="1"/>
  <c r="K14" i="19" s="1"/>
  <c r="AQ43" i="17"/>
  <c r="AL46" i="17"/>
  <c r="AV53" i="17"/>
  <c r="DI97" i="1" s="1"/>
  <c r="AO64" i="17"/>
  <c r="DB108" i="1" s="1"/>
  <c r="AS46" i="17"/>
  <c r="AU63" i="17"/>
  <c r="DH107" i="1" s="1"/>
  <c r="AJ32" i="17"/>
  <c r="CW76" i="1" s="1"/>
  <c r="AT39" i="17"/>
  <c r="DG83" i="1" s="1"/>
  <c r="AL53" i="17"/>
  <c r="CY97" i="1" s="1"/>
  <c r="AR34" i="17"/>
  <c r="DE78" i="1" s="1"/>
  <c r="AU38" i="17"/>
  <c r="DH82" i="1" s="1"/>
  <c r="AN38" i="17"/>
  <c r="DA82" i="1" s="1"/>
  <c r="AK48" i="17"/>
  <c r="CX92" i="1" s="1"/>
  <c r="AL37" i="17"/>
  <c r="CY81" i="1" s="1"/>
  <c r="AN21" i="17"/>
  <c r="DA65" i="1" s="1"/>
  <c r="AP12" i="17"/>
  <c r="DC56" i="1" s="1"/>
  <c r="K9" i="19" s="1"/>
  <c r="AN18" i="17"/>
  <c r="DA62" i="1" s="1"/>
  <c r="I15" i="19" s="1"/>
  <c r="AR60" i="17"/>
  <c r="DE104" i="1" s="1"/>
  <c r="AJ43" i="17"/>
  <c r="CW87" i="1" s="1"/>
  <c r="AQ49" i="17"/>
  <c r="DD93" i="1" s="1"/>
  <c r="AK42" i="17"/>
  <c r="CX86" i="1" s="1"/>
  <c r="AV55" i="17"/>
  <c r="DI99" i="1" s="1"/>
  <c r="AH55" i="17"/>
  <c r="AP43" i="17"/>
  <c r="DC87" i="1" s="1"/>
  <c r="AM31" i="17"/>
  <c r="CZ75" i="1" s="1"/>
  <c r="AU45" i="17"/>
  <c r="DH89" i="1" s="1"/>
  <c r="AP57" i="17"/>
  <c r="DC101" i="1" s="1"/>
  <c r="AJ54" i="17"/>
  <c r="CW98" i="1" s="1"/>
  <c r="AO43" i="17"/>
  <c r="DB87" i="1" s="1"/>
  <c r="AQ59" i="17"/>
  <c r="DD103" i="1" s="1"/>
  <c r="AP41" i="17"/>
  <c r="DC85" i="1" s="1"/>
  <c r="AS42" i="17"/>
  <c r="DF86" i="1" s="1"/>
  <c r="AL39" i="17"/>
  <c r="CY83" i="1" s="1"/>
  <c r="AI65" i="17"/>
  <c r="CV109" i="1" s="1"/>
  <c r="AR50" i="17"/>
  <c r="DE94" i="1" s="1"/>
  <c r="AP27" i="17"/>
  <c r="DC71" i="1" s="1"/>
  <c r="AS43" i="17"/>
  <c r="DF87" i="1" s="1"/>
  <c r="AQ20" i="17"/>
  <c r="DD64" i="1" s="1"/>
  <c r="AU11" i="17"/>
  <c r="DH55" i="1" s="1"/>
  <c r="AJ37" i="17"/>
  <c r="CW81" i="1" s="1"/>
  <c r="AT24" i="17"/>
  <c r="DG68" i="1" s="1"/>
  <c r="O20" i="19" s="1"/>
  <c r="AS47" i="17"/>
  <c r="DF91" i="1" s="1"/>
  <c r="AQ33" i="17"/>
  <c r="DD77" i="1" s="1"/>
  <c r="AQ61" i="17"/>
  <c r="DD105" i="1" s="1"/>
  <c r="AL61" i="17"/>
  <c r="CY105" i="1" s="1"/>
  <c r="AQ56" i="17"/>
  <c r="AV48" i="17"/>
  <c r="DI92" i="1" s="1"/>
  <c r="AQ27" i="17"/>
  <c r="DD71" i="1" s="1"/>
  <c r="AT36" i="17"/>
  <c r="DG80" i="1" s="1"/>
  <c r="AP15" i="17"/>
  <c r="DC59" i="1" s="1"/>
  <c r="AN25" i="17"/>
  <c r="DA69" i="1" s="1"/>
  <c r="AV27" i="17"/>
  <c r="DI71" i="1" s="1"/>
  <c r="CN71" i="1" s="1"/>
  <c r="AQ10" i="17"/>
  <c r="AO26" i="17"/>
  <c r="DB70" i="1" s="1"/>
  <c r="AS20" i="17"/>
  <c r="DF64" i="1" s="1"/>
  <c r="AI37" i="17"/>
  <c r="CV81" i="1" s="1"/>
  <c r="AQ62" i="17"/>
  <c r="AU7" i="17"/>
  <c r="DH51" i="1" s="1"/>
  <c r="P4" i="19" s="1"/>
  <c r="AL34" i="17"/>
  <c r="CY78" i="1" s="1"/>
  <c r="AS65" i="17"/>
  <c r="DF109" i="1" s="1"/>
  <c r="AP28" i="17"/>
  <c r="DC72" i="1" s="1"/>
  <c r="AL24" i="17"/>
  <c r="CY68" i="1" s="1"/>
  <c r="G20" i="19" s="1"/>
  <c r="AR39" i="17"/>
  <c r="DE83" i="1" s="1"/>
  <c r="AN15" i="17"/>
  <c r="DA59" i="1" s="1"/>
  <c r="AU48" i="17"/>
  <c r="DH92" i="1" s="1"/>
  <c r="AL17" i="17"/>
  <c r="CY61" i="1" s="1"/>
  <c r="G14" i="19" s="1"/>
  <c r="AM48" i="17"/>
  <c r="CZ92" i="1" s="1"/>
  <c r="AH63" i="17"/>
  <c r="AM53" i="17"/>
  <c r="CZ97" i="1" s="1"/>
  <c r="AV21" i="17"/>
  <c r="DI65" i="1" s="1"/>
  <c r="AS32" i="17"/>
  <c r="DF76" i="1" s="1"/>
  <c r="AV16" i="17"/>
  <c r="DI60" i="1" s="1"/>
  <c r="AM44" i="17"/>
  <c r="CZ88" i="1" s="1"/>
  <c r="AL59" i="17"/>
  <c r="CY103" i="1" s="1"/>
  <c r="AM26" i="17"/>
  <c r="CZ70" i="1" s="1"/>
  <c r="AT58" i="17"/>
  <c r="DG102" i="1" s="1"/>
  <c r="AI39" i="17"/>
  <c r="CV83" i="1" s="1"/>
  <c r="AO50" i="17"/>
  <c r="DB94" i="1" s="1"/>
  <c r="AU65" i="17"/>
  <c r="DH109" i="1" s="1"/>
  <c r="AV65" i="17"/>
  <c r="DI109" i="1" s="1"/>
  <c r="AS54" i="17"/>
  <c r="DF98" i="1" s="1"/>
  <c r="AV30" i="17"/>
  <c r="DI74" i="1" s="1"/>
  <c r="AU57" i="17"/>
  <c r="DH101" i="1" s="1"/>
  <c r="AR30" i="17"/>
  <c r="DE74" i="1" s="1"/>
  <c r="AT60" i="17"/>
  <c r="DG104" i="1" s="1"/>
  <c r="AJ30" i="17"/>
  <c r="CW74" i="1" s="1"/>
  <c r="AM46" i="17"/>
  <c r="AI7" i="17"/>
  <c r="CV51" i="1" s="1"/>
  <c r="D4" i="19" s="1"/>
  <c r="AJ41" i="17"/>
  <c r="CW85" i="1" s="1"/>
  <c r="AK58" i="17"/>
  <c r="CX102" i="1" s="1"/>
  <c r="AU49" i="17"/>
  <c r="DH93" i="1" s="1"/>
  <c r="AJ48" i="17"/>
  <c r="CW92" i="1" s="1"/>
  <c r="AP30" i="17"/>
  <c r="DC74" i="1" s="1"/>
  <c r="AS63" i="17"/>
  <c r="DF107" i="1" s="1"/>
  <c r="AT61" i="17"/>
  <c r="DG105" i="1" s="1"/>
  <c r="AM23" i="17"/>
  <c r="CZ67" i="1" s="1"/>
  <c r="H19" i="19" s="1"/>
  <c r="AT41" i="17"/>
  <c r="DG85" i="1" s="1"/>
  <c r="AT50" i="17"/>
  <c r="DG94" i="1" s="1"/>
  <c r="AJ64" i="17"/>
  <c r="CW108" i="1" s="1"/>
  <c r="AP56" i="17"/>
  <c r="AN58" i="17"/>
  <c r="DA102" i="1" s="1"/>
  <c r="AV37" i="17"/>
  <c r="DI81" i="1" s="1"/>
  <c r="CP71" i="1" s="1"/>
  <c r="AI35" i="17"/>
  <c r="CV79" i="1" s="1"/>
  <c r="AJ44" i="17"/>
  <c r="CW88" i="1" s="1"/>
  <c r="AP23" i="17"/>
  <c r="DC67" i="1" s="1"/>
  <c r="K19" i="19" s="1"/>
  <c r="AN51" i="17"/>
  <c r="AR56" i="17"/>
  <c r="AO46" i="17"/>
  <c r="AR24" i="17"/>
  <c r="DE68" i="1" s="1"/>
  <c r="M20" i="19" s="1"/>
  <c r="AM54" i="17"/>
  <c r="CZ98" i="1" s="1"/>
  <c r="AM56" i="17"/>
  <c r="AU30" i="17"/>
  <c r="DH74" i="1" s="1"/>
  <c r="AT19" i="17"/>
  <c r="DG63" i="1" s="1"/>
  <c r="O16" i="19" s="1"/>
  <c r="AN26" i="17"/>
  <c r="DA70" i="1" s="1"/>
  <c r="AP65" i="17"/>
  <c r="DC109" i="1" s="1"/>
  <c r="AS36" i="17"/>
  <c r="DF80" i="1" s="1"/>
  <c r="AH45" i="17"/>
  <c r="AP54" i="17"/>
  <c r="DC98" i="1" s="1"/>
  <c r="AV39" i="17"/>
  <c r="DI83" i="1" s="1"/>
  <c r="AS30" i="17"/>
  <c r="DF74" i="1" s="1"/>
  <c r="AM27" i="17"/>
  <c r="CZ71" i="1" s="1"/>
  <c r="AI23" i="17"/>
  <c r="CV67" i="1" s="1"/>
  <c r="D19" i="19" s="1"/>
  <c r="AO14" i="17"/>
  <c r="DB58" i="1" s="1"/>
  <c r="J11" i="19" s="1"/>
  <c r="AK5" i="17"/>
  <c r="CX49" i="1" s="1"/>
  <c r="F2" i="19" s="1"/>
  <c r="AL14" i="17"/>
  <c r="CY58" i="1" s="1"/>
  <c r="G11" i="19" s="1"/>
  <c r="AU15" i="17"/>
  <c r="DH59" i="1" s="1"/>
  <c r="AR9" i="17"/>
  <c r="DE53" i="1" s="1"/>
  <c r="M6" i="19" s="1"/>
  <c r="AV54" i="17"/>
  <c r="DI98" i="1" s="1"/>
  <c r="AP47" i="17"/>
  <c r="DC91" i="1" s="1"/>
  <c r="AK40" i="17"/>
  <c r="CX84" i="1" s="1"/>
  <c r="AN54" i="17"/>
  <c r="DA98" i="1" s="1"/>
  <c r="AU10" i="17"/>
  <c r="DH54" i="1" s="1"/>
  <c r="AQ5" i="17"/>
  <c r="DD49" i="1" s="1"/>
  <c r="L2" i="19" s="1"/>
  <c r="AO8" i="17"/>
  <c r="DB52" i="1" s="1"/>
  <c r="J5" i="19" s="1"/>
  <c r="AQ6" i="17"/>
  <c r="DD50" i="1" s="1"/>
  <c r="L3" i="19" s="1"/>
  <c r="AM38" i="17"/>
  <c r="CZ82" i="1" s="1"/>
  <c r="AQ46" i="17"/>
  <c r="AO51" i="17"/>
  <c r="AN39" i="17"/>
  <c r="DA83" i="1" s="1"/>
  <c r="AN55" i="17"/>
  <c r="DA99" i="1" s="1"/>
  <c r="AR61" i="17"/>
  <c r="DE105" i="1" s="1"/>
  <c r="AO62" i="17"/>
  <c r="AS11" i="17"/>
  <c r="DF55" i="1" s="1"/>
  <c r="AN47" i="17"/>
  <c r="DA91" i="1" s="1"/>
  <c r="AI12" i="17"/>
  <c r="CV56" i="1" s="1"/>
  <c r="D9" i="19" s="1"/>
  <c r="AK33" i="17"/>
  <c r="CX77" i="1" s="1"/>
  <c r="AK27" i="17"/>
  <c r="CX71" i="1" s="1"/>
  <c r="AJ47" i="17"/>
  <c r="CW91" i="1" s="1"/>
  <c r="AN44" i="17"/>
  <c r="DA88" i="1" s="1"/>
  <c r="AQ50" i="17"/>
  <c r="DD94" i="1" s="1"/>
  <c r="AU32" i="17"/>
  <c r="DH76" i="1" s="1"/>
  <c r="AK64" i="17"/>
  <c r="CX108" i="1" s="1"/>
  <c r="AK56" i="17"/>
  <c r="AV44" i="17"/>
  <c r="DI88" i="1" s="1"/>
  <c r="AS61" i="17"/>
  <c r="DF105" i="1" s="1"/>
  <c r="AT25" i="17"/>
  <c r="DG69" i="1" s="1"/>
  <c r="AN61" i="17"/>
  <c r="DA105" i="1" s="1"/>
  <c r="AL21" i="17"/>
  <c r="CY65" i="1" s="1"/>
  <c r="AU46" i="17"/>
  <c r="AU35" i="17"/>
  <c r="DH79" i="1" s="1"/>
  <c r="AJ8" i="17"/>
  <c r="CW52" i="1" s="1"/>
  <c r="E5" i="19" s="1"/>
  <c r="AV13" i="17"/>
  <c r="DI57" i="1" s="1"/>
  <c r="AU62" i="17"/>
  <c r="AN24" i="17"/>
  <c r="DA68" i="1" s="1"/>
  <c r="I20" i="19" s="1"/>
  <c r="AO58" i="17"/>
  <c r="DB102" i="1" s="1"/>
  <c r="AQ65" i="17"/>
  <c r="DD109" i="1" s="1"/>
  <c r="AT53" i="17"/>
  <c r="DG97" i="1" s="1"/>
  <c r="AK28" i="17"/>
  <c r="CX72" i="1" s="1"/>
  <c r="AO54" i="17"/>
  <c r="DB98" i="1" s="1"/>
  <c r="AT23" i="17"/>
  <c r="DG67" i="1" s="1"/>
  <c r="O19" i="19" s="1"/>
  <c r="AQ34" i="17"/>
  <c r="DD78" i="1" s="1"/>
  <c r="AL52" i="17"/>
  <c r="CY96" i="1" s="1"/>
  <c r="AR52" i="17"/>
  <c r="DE96" i="1" s="1"/>
  <c r="AT37" i="17"/>
  <c r="DG81" i="1" s="1"/>
  <c r="AK55" i="17"/>
  <c r="CX99" i="1" s="1"/>
  <c r="AI61" i="17"/>
  <c r="CV105" i="1" s="1"/>
  <c r="AL47" i="17"/>
  <c r="CY91" i="1" s="1"/>
  <c r="AI40" i="17"/>
  <c r="CV84" i="1" s="1"/>
  <c r="AT56" i="17"/>
  <c r="AK43" i="17"/>
  <c r="CX87" i="1" s="1"/>
  <c r="AT48" i="17"/>
  <c r="DG92" i="1" s="1"/>
  <c r="AV41" i="17"/>
  <c r="DI85" i="1" s="1"/>
  <c r="AK47" i="17"/>
  <c r="CX91" i="1" s="1"/>
  <c r="AV38" i="17"/>
  <c r="DI82" i="1" s="1"/>
  <c r="AS26" i="17"/>
  <c r="DF70" i="1" s="1"/>
  <c r="AT29" i="17"/>
  <c r="DG73" i="1" s="1"/>
  <c r="AM59" i="17"/>
  <c r="CZ103" i="1" s="1"/>
  <c r="AO38" i="17"/>
  <c r="DB82" i="1" s="1"/>
  <c r="AO45" i="17"/>
  <c r="DB89" i="1" s="1"/>
  <c r="AL27" i="17"/>
  <c r="CY71" i="1" s="1"/>
  <c r="AJ11" i="17"/>
  <c r="CW55" i="1" s="1"/>
  <c r="AK41" i="17"/>
  <c r="CX85" i="1" s="1"/>
  <c r="AS48" i="17"/>
  <c r="DF92" i="1" s="1"/>
  <c r="AU41" i="17"/>
  <c r="DH85" i="1" s="1"/>
  <c r="AI62" i="17"/>
  <c r="AL41" i="17"/>
  <c r="CY85" i="1" s="1"/>
  <c r="AN16" i="17"/>
  <c r="DA60" i="1" s="1"/>
  <c r="AT26" i="17"/>
  <c r="DG70" i="1" s="1"/>
  <c r="AQ41" i="17"/>
  <c r="DD85" i="1" s="1"/>
  <c r="AK30" i="17"/>
  <c r="CX74" i="1" s="1"/>
  <c r="AU59" i="17"/>
  <c r="DH103" i="1" s="1"/>
  <c r="AU61" i="17"/>
  <c r="DH105" i="1" s="1"/>
  <c r="AH6" i="17"/>
  <c r="CU50" i="1" s="1"/>
  <c r="AA7" i="7" s="1"/>
  <c r="AH51" i="17"/>
  <c r="AU31" i="17"/>
  <c r="DH75" i="1" s="1"/>
  <c r="AM63" i="17"/>
  <c r="CZ107" i="1" s="1"/>
  <c r="AU60" i="17"/>
  <c r="DH104" i="1" s="1"/>
  <c r="AO37" i="17"/>
  <c r="DB81" i="1" s="1"/>
  <c r="AV40" i="17"/>
  <c r="DI84" i="1" s="1"/>
  <c r="AQ15" i="17"/>
  <c r="DD59" i="1" s="1"/>
  <c r="AU58" i="17"/>
  <c r="DH102" i="1" s="1"/>
  <c r="AI59" i="17"/>
  <c r="CV103" i="1" s="1"/>
  <c r="AL51" i="17"/>
  <c r="AU55" i="17"/>
  <c r="DH99" i="1" s="1"/>
  <c r="AI28" i="17"/>
  <c r="CV72" i="1" s="1"/>
  <c r="AU42" i="17"/>
  <c r="DH86" i="1" s="1"/>
  <c r="AS12" i="17"/>
  <c r="DF56" i="1" s="1"/>
  <c r="N9" i="19" s="1"/>
  <c r="AQ30" i="17"/>
  <c r="DD74" i="1" s="1"/>
  <c r="AK12" i="17"/>
  <c r="CX56" i="1" s="1"/>
  <c r="F9" i="19" s="1"/>
  <c r="AI11" i="17"/>
  <c r="CV55" i="1" s="1"/>
  <c r="AI15" i="17"/>
  <c r="CV59" i="1" s="1"/>
  <c r="AL10" i="17"/>
  <c r="CY54" i="1" s="1"/>
  <c r="AJ63" i="17"/>
  <c r="CW107" i="1" s="1"/>
  <c r="AO41" i="17"/>
  <c r="DB85" i="1" s="1"/>
  <c r="AT17" i="17"/>
  <c r="DG61" i="1" s="1"/>
  <c r="O14" i="19" s="1"/>
  <c r="AJ14" i="17"/>
  <c r="CW58" i="1" s="1"/>
  <c r="E11" i="19" s="1"/>
  <c r="AR35" i="17"/>
  <c r="DE79" i="1" s="1"/>
  <c r="AN23" i="17"/>
  <c r="DA67" i="1" s="1"/>
  <c r="I19" i="19" s="1"/>
  <c r="AS41" i="17"/>
  <c r="DF85" i="1" s="1"/>
  <c r="AV29" i="17"/>
  <c r="DI73" i="1" s="1"/>
  <c r="AT38" i="17"/>
  <c r="DG82" i="1" s="1"/>
  <c r="AH26" i="17"/>
  <c r="AL30" i="17"/>
  <c r="CY74" i="1" s="1"/>
  <c r="AU20" i="17"/>
  <c r="DH64" i="1" s="1"/>
  <c r="AK26" i="17"/>
  <c r="CX70" i="1" s="1"/>
  <c r="AN46" i="17"/>
  <c r="AR7" i="17"/>
  <c r="AN37" i="17"/>
  <c r="DA81" i="1" s="1"/>
  <c r="AL50" i="17"/>
  <c r="CY94" i="1" s="1"/>
  <c r="AS49" i="17"/>
  <c r="DF93" i="1" s="1"/>
  <c r="AI38" i="17"/>
  <c r="CV82" i="1" s="1"/>
  <c r="AQ60" i="17"/>
  <c r="DD104" i="1" s="1"/>
  <c r="AK57" i="17"/>
  <c r="CX101" i="1" s="1"/>
  <c r="AP32" i="17"/>
  <c r="DC76" i="1" s="1"/>
  <c r="AR27" i="17"/>
  <c r="DE71" i="1" s="1"/>
  <c r="AR42" i="17"/>
  <c r="DE86" i="1" s="1"/>
  <c r="AV32" i="17"/>
  <c r="DI76" i="1" s="1"/>
  <c r="CO71" i="1" s="1"/>
  <c r="AV43" i="17"/>
  <c r="DI87" i="1" s="1"/>
  <c r="AP44" i="17"/>
  <c r="DC88" i="1" s="1"/>
  <c r="AO5" i="17"/>
  <c r="DB49" i="1" s="1"/>
  <c r="J2" i="19" s="1"/>
  <c r="AM14" i="17"/>
  <c r="CZ58" i="1" s="1"/>
  <c r="H11" i="19" s="1"/>
  <c r="AO29" i="17"/>
  <c r="DB73" i="1" s="1"/>
  <c r="AL23" i="17"/>
  <c r="CY67" i="1" s="1"/>
  <c r="G19" i="19" s="1"/>
  <c r="AO23" i="17"/>
  <c r="DB67" i="1" s="1"/>
  <c r="J19" i="19" s="1"/>
  <c r="AL40" i="17"/>
  <c r="CY84" i="1" s="1"/>
  <c r="AP24" i="17"/>
  <c r="DC68" i="1" s="1"/>
  <c r="K20" i="19" s="1"/>
  <c r="AP38" i="17"/>
  <c r="DC82" i="1" s="1"/>
  <c r="AR51" i="17"/>
  <c r="AV10" i="17"/>
  <c r="DI54" i="1" s="1"/>
  <c r="AP53" i="17"/>
  <c r="DC97" i="1" s="1"/>
  <c r="AI57" i="17"/>
  <c r="CV101" i="1" s="1"/>
  <c r="AK46" i="17"/>
  <c r="AS56" i="17"/>
  <c r="AL44" i="17"/>
  <c r="CY88" i="1" s="1"/>
  <c r="AL5" i="17"/>
  <c r="CY49" i="1" s="1"/>
  <c r="G2" i="19" s="1"/>
  <c r="AO15" i="17"/>
  <c r="DB59" i="1" s="1"/>
  <c r="AT62" i="17"/>
  <c r="AO22" i="17"/>
  <c r="DB66" i="1" s="1"/>
  <c r="J18" i="19" s="1"/>
  <c r="AP8" i="17"/>
  <c r="DC52" i="1" s="1"/>
  <c r="K5" i="19" s="1"/>
  <c r="AQ31" i="17"/>
  <c r="DD75" i="1" s="1"/>
  <c r="AK50" i="17"/>
  <c r="CX94" i="1" s="1"/>
  <c r="AJ17" i="17"/>
  <c r="CW61" i="1" s="1"/>
  <c r="E14" i="19" s="1"/>
  <c r="AK61" i="17"/>
  <c r="CX105" i="1" s="1"/>
  <c r="AL55" i="17"/>
  <c r="CY99" i="1" s="1"/>
  <c r="AI54" i="17"/>
  <c r="CV98" i="1" s="1"/>
  <c r="AU34" i="17"/>
  <c r="DH78" i="1" s="1"/>
  <c r="AU19" i="17"/>
  <c r="DH63" i="1" s="1"/>
  <c r="P16" i="19" s="1"/>
  <c r="AM51" i="17"/>
  <c r="AK49" i="17"/>
  <c r="CX93" i="1" s="1"/>
  <c r="AL19" i="17"/>
  <c r="CY63" i="1" s="1"/>
  <c r="G16" i="19" s="1"/>
  <c r="AV49" i="17"/>
  <c r="AM35" i="17"/>
  <c r="CZ79" i="1" s="1"/>
  <c r="AR22" i="17"/>
  <c r="DE66" i="1" s="1"/>
  <c r="M18" i="19" s="1"/>
  <c r="AP45" i="17"/>
  <c r="DC89" i="1" s="1"/>
  <c r="AT45" i="17"/>
  <c r="DG89" i="1" s="1"/>
  <c r="AN48" i="17"/>
  <c r="DA92" i="1" s="1"/>
  <c r="AN50" i="17"/>
  <c r="DA94" i="1" s="1"/>
  <c r="AJ26" i="17"/>
  <c r="CW70" i="1" s="1"/>
  <c r="AL58" i="17"/>
  <c r="CY102" i="1" s="1"/>
  <c r="AP14" i="17"/>
  <c r="DC58" i="1" s="1"/>
  <c r="K11" i="19" s="1"/>
  <c r="AV36" i="17"/>
  <c r="DI80" i="1" s="1"/>
  <c r="AM62" i="17"/>
  <c r="AQ29" i="17"/>
  <c r="DD73" i="1" s="1"/>
  <c r="AV23" i="17"/>
  <c r="DI67" i="1" s="1"/>
  <c r="AJ58" i="17"/>
  <c r="CW102" i="1" s="1"/>
  <c r="AT28" i="17"/>
  <c r="DG72" i="1" s="1"/>
  <c r="AQ40" i="17"/>
  <c r="DD84" i="1" s="1"/>
  <c r="AJ29" i="17"/>
  <c r="CW73" i="1" s="1"/>
  <c r="AQ21" i="17"/>
  <c r="DD65" i="1" s="1"/>
  <c r="AT65" i="17"/>
  <c r="DG109" i="1" s="1"/>
  <c r="AI49" i="17"/>
  <c r="CV93" i="1" s="1"/>
  <c r="AI26" i="17"/>
  <c r="CV70" i="1" s="1"/>
  <c r="AP64" i="17"/>
  <c r="DC108" i="1" s="1"/>
  <c r="AT9" i="17"/>
  <c r="DG53" i="1" s="1"/>
  <c r="O6" i="19" s="1"/>
  <c r="AP51" i="17"/>
  <c r="AT46" i="17"/>
  <c r="AQ23" i="17"/>
  <c r="DD67" i="1" s="1"/>
  <c r="L19" i="19" s="1"/>
  <c r="AL12" i="17"/>
  <c r="CY56" i="1" s="1"/>
  <c r="G9" i="19" s="1"/>
  <c r="AJ21" i="17"/>
  <c r="CW65" i="1" s="1"/>
  <c r="AR28" i="17"/>
  <c r="DE72" i="1" s="1"/>
  <c r="AI51" i="17"/>
  <c r="AT16" i="17"/>
  <c r="DG60" i="1" s="1"/>
  <c r="AL33" i="17"/>
  <c r="CY77" i="1" s="1"/>
  <c r="AR31" i="17"/>
  <c r="DE75" i="1" s="1"/>
  <c r="AS40" i="17"/>
  <c r="DF84" i="1" s="1"/>
  <c r="AV63" i="17"/>
  <c r="DI107" i="1" s="1"/>
  <c r="AK29" i="17"/>
  <c r="CX73" i="1" s="1"/>
  <c r="AU29" i="17"/>
  <c r="DH73" i="1" s="1"/>
  <c r="AP37" i="17"/>
  <c r="DC81" i="1" s="1"/>
  <c r="AR33" i="17"/>
  <c r="DE77" i="1" s="1"/>
  <c r="AM28" i="17"/>
  <c r="CZ72" i="1" s="1"/>
  <c r="AV45" i="17"/>
  <c r="DI89" i="1" s="1"/>
  <c r="AN32" i="17"/>
  <c r="DA76" i="1" s="1"/>
  <c r="AT44" i="17"/>
  <c r="DG88" i="1" s="1"/>
  <c r="AV7" i="17"/>
  <c r="DI51" i="1" s="1"/>
  <c r="FR17" i="1" s="1"/>
  <c r="AS37" i="17"/>
  <c r="DF81" i="1" s="1"/>
  <c r="AT42" i="17"/>
  <c r="DG86" i="1" s="1"/>
  <c r="AL49" i="17"/>
  <c r="CY93" i="1" s="1"/>
  <c r="AR58" i="17"/>
  <c r="AI5" i="17"/>
  <c r="AQ54" i="17"/>
  <c r="DD98" i="1" s="1"/>
  <c r="AQ16" i="17"/>
  <c r="DD60" i="1" s="1"/>
  <c r="AI18" i="17"/>
  <c r="CV62" i="1" s="1"/>
  <c r="D15" i="19" s="1"/>
  <c r="AL48" i="17"/>
  <c r="CY92" i="1" s="1"/>
  <c r="AV8" i="17"/>
  <c r="DI52" i="1" s="1"/>
  <c r="AQ12" i="17"/>
  <c r="DD56" i="1" s="1"/>
  <c r="L9" i="19" s="1"/>
  <c r="AS16" i="17"/>
  <c r="DF60" i="1" s="1"/>
  <c r="AM17" i="17"/>
  <c r="CZ61" i="1" s="1"/>
  <c r="H14" i="19" s="1"/>
  <c r="AI34" i="17"/>
  <c r="CV78" i="1" s="1"/>
  <c r="AU40" i="17"/>
  <c r="DH84" i="1" s="1"/>
  <c r="AS34" i="17"/>
  <c r="DF78" i="1" s="1"/>
  <c r="AV24" i="17"/>
  <c r="DI68" i="1" s="1"/>
  <c r="AT35" i="17"/>
  <c r="DG79" i="1" s="1"/>
  <c r="AO52" i="17"/>
  <c r="DB96" i="1" s="1"/>
  <c r="AI42" i="17"/>
  <c r="CV86" i="1" s="1"/>
  <c r="AR32" i="17"/>
  <c r="DE76" i="1" s="1"/>
  <c r="AT22" i="17"/>
  <c r="DG66" i="1" s="1"/>
  <c r="O18" i="19" s="1"/>
  <c r="AJ5" i="17"/>
  <c r="CW49" i="1" s="1"/>
  <c r="AI21" i="17"/>
  <c r="CV65" i="1" s="1"/>
  <c r="AP48" i="17"/>
  <c r="DC92" i="1" s="1"/>
  <c r="AL22" i="17"/>
  <c r="CY66" i="1" s="1"/>
  <c r="G18" i="19" s="1"/>
  <c r="AR57" i="17"/>
  <c r="DE101" i="1" s="1"/>
  <c r="AO32" i="17"/>
  <c r="DB76" i="1" s="1"/>
  <c r="AO19" i="17"/>
  <c r="DB63" i="1" s="1"/>
  <c r="J16" i="19" s="1"/>
  <c r="AJ57" i="17"/>
  <c r="CW101" i="1" s="1"/>
  <c r="AK31" i="17"/>
  <c r="CX75" i="1" s="1"/>
  <c r="AJ9" i="17"/>
  <c r="CW53" i="1" s="1"/>
  <c r="E6" i="19" s="1"/>
  <c r="AK19" i="17"/>
  <c r="CX63" i="1" s="1"/>
  <c r="F16" i="19" s="1"/>
  <c r="AT18" i="17"/>
  <c r="DG62" i="1" s="1"/>
  <c r="O15" i="19" s="1"/>
  <c r="AQ44" i="17"/>
  <c r="DD88" i="1" s="1"/>
  <c r="AL56" i="17"/>
  <c r="AJ46" i="17"/>
  <c r="AV59" i="17"/>
  <c r="DI103" i="1" s="1"/>
  <c r="AU23" i="17"/>
  <c r="DH67" i="1" s="1"/>
  <c r="P19" i="19" s="1"/>
  <c r="AJ16" i="17"/>
  <c r="CW60" i="1" s="1"/>
  <c r="AP26" i="17"/>
  <c r="DC70" i="1" s="1"/>
  <c r="AU21" i="17"/>
  <c r="DH65" i="1" s="1"/>
  <c r="AL43" i="17"/>
  <c r="CY87" i="1" s="1"/>
  <c r="AM30" i="17"/>
  <c r="CZ74" i="1" s="1"/>
  <c r="AM32" i="17"/>
  <c r="CZ76" i="1" s="1"/>
  <c r="AO18" i="17"/>
  <c r="DB62" i="1" s="1"/>
  <c r="J15" i="19" s="1"/>
  <c r="AS25" i="17"/>
  <c r="DF69" i="1" s="1"/>
  <c r="AN59" i="17"/>
  <c r="AN30" i="17"/>
  <c r="DA74" i="1" s="1"/>
  <c r="AS18" i="17"/>
  <c r="DF62" i="1" s="1"/>
  <c r="N15" i="19" s="1"/>
  <c r="AJ33" i="17"/>
  <c r="CW77" i="1" s="1"/>
  <c r="AO53" i="17"/>
  <c r="AQ64" i="17"/>
  <c r="DD108" i="1" s="1"/>
  <c r="AQ28" i="17"/>
  <c r="DD72" i="1" s="1"/>
  <c r="AR15" i="17"/>
  <c r="DE59" i="1" s="1"/>
  <c r="AJ51" i="17"/>
  <c r="AM39" i="17"/>
  <c r="CZ83" i="1" s="1"/>
  <c r="AM49" i="17"/>
  <c r="CZ93" i="1" s="1"/>
  <c r="AJ38" i="17"/>
  <c r="CW82" i="1" s="1"/>
  <c r="AL32" i="17"/>
  <c r="CY76" i="1" s="1"/>
  <c r="AQ14" i="17"/>
  <c r="DD58" i="1" s="1"/>
  <c r="L11" i="19" s="1"/>
  <c r="AM7" i="17"/>
  <c r="CZ51" i="1" s="1"/>
  <c r="H4" i="19" s="1"/>
  <c r="AQ13" i="17"/>
  <c r="DD57" i="1" s="1"/>
  <c r="L10" i="19" s="1"/>
  <c r="AS5" i="17"/>
  <c r="DF49" i="1" s="1"/>
  <c r="N2" i="19" s="1"/>
  <c r="AK7" i="17"/>
  <c r="CX51" i="1" s="1"/>
  <c r="F4" i="19" s="1"/>
  <c r="AL57" i="17"/>
  <c r="CY101" i="1" s="1"/>
  <c r="AV9" i="17"/>
  <c r="DI53" i="1" s="1"/>
  <c r="AS13" i="17"/>
  <c r="DF57" i="1" s="1"/>
  <c r="N10" i="19" s="1"/>
  <c r="AP59" i="17"/>
  <c r="DC103" i="1" s="1"/>
  <c r="AK32" i="17"/>
  <c r="CX76" i="1" s="1"/>
  <c r="AR41" i="17"/>
  <c r="DE85" i="1" s="1"/>
  <c r="AV58" i="17"/>
  <c r="DI102" i="1" s="1"/>
  <c r="AN10" i="17"/>
  <c r="DA54" i="1" s="1"/>
  <c r="AR46" i="17"/>
  <c r="AO35" i="17"/>
  <c r="DB79" i="1" s="1"/>
  <c r="AK60" i="17"/>
  <c r="CX104" i="1" s="1"/>
  <c r="AV57" i="17"/>
  <c r="DI101" i="1" s="1"/>
  <c r="AS45" i="17"/>
  <c r="DF89" i="1" s="1"/>
  <c r="AT32" i="17"/>
  <c r="DG76" i="1" s="1"/>
  <c r="AS7" i="17"/>
  <c r="DF51" i="1" s="1"/>
  <c r="N4" i="19" s="1"/>
  <c r="AI9" i="17"/>
  <c r="CV53" i="1" s="1"/>
  <c r="D6" i="19" s="1"/>
  <c r="AM52" i="17"/>
  <c r="CZ96" i="1" s="1"/>
  <c r="AP52" i="17"/>
  <c r="DC96" i="1" s="1"/>
  <c r="AM37" i="17"/>
  <c r="CZ81" i="1" s="1"/>
  <c r="AU13" i="17"/>
  <c r="DH57" i="1" s="1"/>
  <c r="P10" i="19" s="1"/>
  <c r="AN52" i="17"/>
  <c r="DA96" i="1" s="1"/>
  <c r="AK52" i="17"/>
  <c r="CX96" i="1" s="1"/>
  <c r="AP40" i="17"/>
  <c r="DC84" i="1" s="1"/>
  <c r="AT54" i="17"/>
  <c r="DG98" i="1" s="1"/>
  <c r="AS53" i="17"/>
  <c r="DF97" i="1" s="1"/>
  <c r="AK24" i="17"/>
  <c r="CX68" i="1" s="1"/>
  <c r="F20" i="19" s="1"/>
  <c r="AL60" i="17"/>
  <c r="CY104" i="1" s="1"/>
  <c r="AJ35" i="17"/>
  <c r="CW79" i="1" s="1"/>
  <c r="AM58" i="17"/>
  <c r="CZ102" i="1" s="1"/>
  <c r="AH36" i="17"/>
  <c r="AU56" i="17"/>
  <c r="AQ25" i="17"/>
  <c r="DD69" i="1" s="1"/>
  <c r="AO56" i="17"/>
  <c r="AR38" i="17"/>
  <c r="DE82" i="1" s="1"/>
  <c r="AS58" i="17"/>
  <c r="DF102" i="1" s="1"/>
  <c r="AI31" i="17"/>
  <c r="CV75" i="1" s="1"/>
  <c r="AU18" i="17"/>
  <c r="DH62" i="1" s="1"/>
  <c r="P15" i="19" s="1"/>
  <c r="AR8" i="17"/>
  <c r="DE52" i="1" s="1"/>
  <c r="M5" i="19" s="1"/>
  <c r="AU36" i="17"/>
  <c r="DH80" i="1" s="1"/>
  <c r="AM22" i="17"/>
  <c r="CZ66" i="1" s="1"/>
  <c r="H18" i="19" s="1"/>
  <c r="AQ11" i="17"/>
  <c r="DD55" i="1" s="1"/>
  <c r="AI52" i="17"/>
  <c r="CV96" i="1" s="1"/>
  <c r="AJ7" i="17"/>
  <c r="CW51" i="1" s="1"/>
  <c r="E4" i="19" s="1"/>
  <c r="AV56" i="17"/>
  <c r="AQ8" i="17"/>
  <c r="DD52" i="1" s="1"/>
  <c r="L5" i="19" s="1"/>
  <c r="AP18" i="17"/>
  <c r="DC62" i="1" s="1"/>
  <c r="K15" i="19" s="1"/>
  <c r="AL18" i="17"/>
  <c r="CY62" i="1" s="1"/>
  <c r="G15" i="19" s="1"/>
  <c r="AS64" i="17"/>
  <c r="DF108" i="1" s="1"/>
  <c r="AR10" i="17"/>
  <c r="DE54" i="1" s="1"/>
  <c r="AO13" i="17"/>
  <c r="DB57" i="1" s="1"/>
  <c r="J10" i="19" s="1"/>
  <c r="AU16" i="17"/>
  <c r="DH60" i="1" s="1"/>
  <c r="AO57" i="17"/>
  <c r="DB101" i="1" s="1"/>
  <c r="AM42" i="17"/>
  <c r="CZ86" i="1" s="1"/>
  <c r="AJ28" i="17"/>
  <c r="CW72" i="1" s="1"/>
  <c r="AP19" i="17"/>
  <c r="DC63" i="1" s="1"/>
  <c r="K16" i="19" s="1"/>
  <c r="AU54" i="17"/>
  <c r="DH98" i="1" s="1"/>
  <c r="AN57" i="17"/>
  <c r="DA101" i="1" s="1"/>
  <c r="AU47" i="17"/>
  <c r="DH91" i="1" s="1"/>
  <c r="AN53" i="17"/>
  <c r="DA97" i="1" s="1"/>
  <c r="AV31" i="17"/>
  <c r="DI75" i="1" s="1"/>
  <c r="AN11" i="17"/>
  <c r="DA55" i="1" s="1"/>
  <c r="AT5" i="17"/>
  <c r="DG49" i="1" s="1"/>
  <c r="O2" i="19" s="1"/>
  <c r="AK23" i="17"/>
  <c r="CX67" i="1" s="1"/>
  <c r="F19" i="19" s="1"/>
  <c r="AK25" i="17"/>
  <c r="CX69" i="1" s="1"/>
  <c r="AN60" i="17"/>
  <c r="DA104" i="1" s="1"/>
  <c r="AM9" i="17"/>
  <c r="CZ53" i="1" s="1"/>
  <c r="H6" i="19" s="1"/>
  <c r="AV11" i="17"/>
  <c r="DI55" i="1" s="1"/>
  <c r="AR64" i="17"/>
  <c r="DE108" i="1" s="1"/>
  <c r="AR59" i="17"/>
  <c r="DE103" i="1" s="1"/>
  <c r="AM61" i="17"/>
  <c r="CZ105" i="1" s="1"/>
  <c r="AL29" i="17"/>
  <c r="CY73" i="1" s="1"/>
  <c r="AT59" i="17"/>
  <c r="DG103" i="1" s="1"/>
  <c r="AL36" i="17"/>
  <c r="CY80" i="1" s="1"/>
  <c r="AV6" i="17"/>
  <c r="DI50" i="1" s="1"/>
  <c r="CA2" i="20" s="1"/>
  <c r="CA4" i="20" s="1"/>
  <c r="CA3" i="20" s="1"/>
  <c r="DG11" i="20" s="1"/>
  <c r="AO42" i="17"/>
  <c r="DB86" i="1" s="1"/>
  <c r="AN8" i="17"/>
  <c r="DA52" i="1" s="1"/>
  <c r="I5" i="19" s="1"/>
  <c r="AU33" i="17"/>
  <c r="DH77" i="1" s="1"/>
  <c r="AL13" i="17"/>
  <c r="CY57" i="1" s="1"/>
  <c r="G10" i="19" s="1"/>
  <c r="AR49" i="17"/>
  <c r="DE93" i="1" s="1"/>
  <c r="AJ25" i="17"/>
  <c r="CW69" i="1" s="1"/>
  <c r="AL25" i="17"/>
  <c r="CY69" i="1" s="1"/>
  <c r="AL45" i="17"/>
  <c r="CY89" i="1" s="1"/>
  <c r="AQ17" i="17"/>
  <c r="DD61" i="1" s="1"/>
  <c r="L14" i="19" s="1"/>
  <c r="AR5" i="17"/>
  <c r="DE49" i="1" s="1"/>
  <c r="M2" i="19" s="1"/>
  <c r="AK10" i="17"/>
  <c r="CX54" i="1" s="1"/>
  <c r="AN65" i="17"/>
  <c r="DA109" i="1" s="1"/>
  <c r="AT33" i="17"/>
  <c r="DG77" i="1" s="1"/>
  <c r="AQ47" i="17"/>
  <c r="DD91" i="1" s="1"/>
  <c r="AN43" i="17"/>
  <c r="DA87" i="1" s="1"/>
  <c r="AN12" i="17"/>
  <c r="DA56" i="1" s="1"/>
  <c r="I9" i="19" s="1"/>
  <c r="AL7" i="17"/>
  <c r="CY51" i="1" s="1"/>
  <c r="G4" i="19" s="1"/>
  <c r="AS10" i="17"/>
  <c r="DF54" i="1" s="1"/>
  <c r="AN41" i="17"/>
  <c r="DA85" i="1" s="1"/>
  <c r="AU50" i="17"/>
  <c r="DH94" i="1" s="1"/>
  <c r="AI19" i="17"/>
  <c r="CV63" i="1" s="1"/>
  <c r="D16" i="19" s="1"/>
  <c r="AI53" i="17"/>
  <c r="CV97" i="1" s="1"/>
  <c r="AU24" i="17"/>
  <c r="AJ13" i="17"/>
  <c r="CW57" i="1" s="1"/>
  <c r="E10" i="19" s="1"/>
  <c r="AV52" i="17"/>
  <c r="DI96" i="1" s="1"/>
  <c r="AK22" i="17"/>
  <c r="CX66" i="1" s="1"/>
  <c r="F18" i="19" s="1"/>
  <c r="AU6" i="17"/>
  <c r="DH50" i="1" s="1"/>
  <c r="P3" i="19" s="1"/>
  <c r="AN62" i="17"/>
  <c r="AT43" i="17"/>
  <c r="DG87" i="1" s="1"/>
  <c r="AQ9" i="17"/>
  <c r="DD53" i="1" s="1"/>
  <c r="L6" i="19" s="1"/>
  <c r="AI47" i="17"/>
  <c r="CV91" i="1" s="1"/>
  <c r="AJ40" i="17"/>
  <c r="CW84" i="1" s="1"/>
  <c r="AV33" i="17"/>
  <c r="DI77" i="1" s="1"/>
  <c r="AP60" i="17"/>
  <c r="DC104" i="1" s="1"/>
  <c r="AV46" i="17"/>
  <c r="AT55" i="17"/>
  <c r="DG99" i="1" s="1"/>
  <c r="AO63" i="17"/>
  <c r="DB107" i="1" s="1"/>
  <c r="AI55" i="17"/>
  <c r="CV99" i="1" s="1"/>
  <c r="AI48" i="17"/>
  <c r="CV92" i="1" s="1"/>
  <c r="AR45" i="17"/>
  <c r="DE89" i="1" s="1"/>
  <c r="AN56" i="17"/>
  <c r="AO65" i="17"/>
  <c r="DB109" i="1" s="1"/>
  <c r="AO34" i="17"/>
  <c r="DB78" i="1" s="1"/>
  <c r="AN42" i="17"/>
  <c r="DA86" i="1" s="1"/>
  <c r="AL64" i="17"/>
  <c r="CY108" i="1" s="1"/>
  <c r="AT10" i="17"/>
  <c r="DG54" i="1" s="1"/>
  <c r="AJ60" i="17"/>
  <c r="CW104" i="1" s="1"/>
  <c r="AJ10" i="17"/>
  <c r="CW54" i="1" s="1"/>
  <c r="AN17" i="17"/>
  <c r="DA61" i="1" s="1"/>
  <c r="I14" i="19" s="1"/>
  <c r="AN27" i="17"/>
  <c r="DA71" i="1" s="1"/>
  <c r="AU17" i="17"/>
  <c r="DH61" i="1" s="1"/>
  <c r="P14" i="19" s="1"/>
  <c r="AO25" i="17"/>
  <c r="DB69" i="1" s="1"/>
  <c r="AO44" i="17"/>
  <c r="DB88" i="1" s="1"/>
  <c r="AN5" i="17"/>
  <c r="DA49" i="1" s="1"/>
  <c r="I2" i="19" s="1"/>
  <c r="AS29" i="17"/>
  <c r="DF73" i="1" s="1"/>
  <c r="AJ27" i="17"/>
  <c r="CW71" i="1" s="1"/>
  <c r="AR53" i="17"/>
  <c r="DE97" i="1" s="1"/>
  <c r="AR43" i="17"/>
  <c r="DE87" i="1" s="1"/>
  <c r="AS24" i="17"/>
  <c r="DF68" i="1" s="1"/>
  <c r="N20" i="19" s="1"/>
  <c r="AU53" i="17"/>
  <c r="DH97" i="1" s="1"/>
  <c r="AN40" i="17"/>
  <c r="DA84" i="1" s="1"/>
  <c r="AR18" i="17"/>
  <c r="DE62" i="1" s="1"/>
  <c r="M15" i="19" s="1"/>
  <c r="AV51" i="17"/>
  <c r="AT15" i="17"/>
  <c r="DG59" i="1" s="1"/>
  <c r="AI29" i="17"/>
  <c r="CV73" i="1" s="1"/>
  <c r="AU51" i="17"/>
  <c r="AQ36" i="17"/>
  <c r="DD80" i="1" s="1"/>
  <c r="AP50" i="17"/>
  <c r="DC94" i="1" s="1"/>
  <c r="AJ31" i="17"/>
  <c r="CW75" i="1" s="1"/>
  <c r="AQ24" i="17"/>
  <c r="DD68" i="1" s="1"/>
  <c r="L20" i="19" s="1"/>
  <c r="AS8" i="17"/>
  <c r="DF52" i="1" s="1"/>
  <c r="N5" i="19" s="1"/>
  <c r="AK45" i="17"/>
  <c r="CX89" i="1" s="1"/>
  <c r="AQ7" i="17"/>
  <c r="DD51" i="1" s="1"/>
  <c r="L4" i="19" s="1"/>
  <c r="AP11" i="17"/>
  <c r="DC55" i="1" s="1"/>
  <c r="AM24" i="17"/>
  <c r="CZ68" i="1" s="1"/>
  <c r="H20" i="19" s="1"/>
  <c r="AV14" i="17"/>
  <c r="DI58" i="1" s="1"/>
  <c r="AJ34" i="17"/>
  <c r="CW78" i="1" s="1"/>
  <c r="AH65" i="17"/>
  <c r="AV62" i="17"/>
  <c r="AN64" i="17"/>
  <c r="DA108" i="1" s="1"/>
  <c r="AJ53" i="17"/>
  <c r="CW97" i="1" s="1"/>
  <c r="AM20" i="17"/>
  <c r="CZ64" i="1" s="1"/>
  <c r="AM45" i="17"/>
  <c r="CZ89" i="1" s="1"/>
  <c r="AH16" i="17"/>
  <c r="AH21" i="17"/>
  <c r="DD37" i="20"/>
  <c r="AH37" i="20" s="1"/>
  <c r="FC35" i="1"/>
  <c r="DE40" i="1"/>
  <c r="J42" i="4" s="1"/>
  <c r="FQ42" i="4" s="1"/>
  <c r="H31" i="4"/>
  <c r="DL37" i="20"/>
  <c r="AR37" i="20" s="1"/>
  <c r="BR15" i="17"/>
  <c r="AZ60" i="17"/>
  <c r="BR44" i="18"/>
  <c r="AZ19" i="18"/>
  <c r="AH19" i="18" s="1"/>
  <c r="BR24" i="18"/>
  <c r="BR28" i="17"/>
  <c r="AZ33" i="17"/>
  <c r="AH33" i="17" s="1"/>
  <c r="AZ38" i="21"/>
  <c r="AH38" i="21" s="1"/>
  <c r="AZ48" i="18"/>
  <c r="CJ48" i="18" s="1"/>
  <c r="BR54" i="18"/>
  <c r="DJ26" i="20"/>
  <c r="AO26" i="20" s="1"/>
  <c r="CO16" i="20"/>
  <c r="R16" i="20" s="1"/>
  <c r="CQ42" i="20"/>
  <c r="U42" i="20" s="1"/>
  <c r="AR39" i="4"/>
  <c r="B12" i="14"/>
  <c r="AN13" i="17"/>
  <c r="DA57" i="1" s="1"/>
  <c r="I10" i="19" s="1"/>
  <c r="AT21" i="17"/>
  <c r="DG65" i="1" s="1"/>
  <c r="AS60" i="17"/>
  <c r="DF104" i="1" s="1"/>
  <c r="AL42" i="17"/>
  <c r="CY86" i="1" s="1"/>
  <c r="AQ35" i="17"/>
  <c r="DD79" i="1" s="1"/>
  <c r="AJ56" i="17"/>
  <c r="AV25" i="17"/>
  <c r="DI69" i="1" s="1"/>
  <c r="AN35" i="17"/>
  <c r="DA79" i="1" s="1"/>
  <c r="AR47" i="17"/>
  <c r="DE91" i="1" s="1"/>
  <c r="AN14" i="17"/>
  <c r="DA58" i="1" s="1"/>
  <c r="I11" i="19" s="1"/>
  <c r="AO24" i="17"/>
  <c r="DB68" i="1" s="1"/>
  <c r="J20" i="19" s="1"/>
  <c r="AT30" i="17"/>
  <c r="DG74" i="1" s="1"/>
  <c r="AT8" i="17"/>
  <c r="DG52" i="1" s="1"/>
  <c r="O5" i="19" s="1"/>
  <c r="AM12" i="17"/>
  <c r="CZ56" i="1" s="1"/>
  <c r="H9" i="19" s="1"/>
  <c r="AM16" i="17"/>
  <c r="CZ60" i="1" s="1"/>
  <c r="AM40" i="17"/>
  <c r="AT52" i="17"/>
  <c r="DG96" i="1" s="1"/>
  <c r="AV34" i="17"/>
  <c r="DI78" i="1" s="1"/>
  <c r="AQ55" i="17"/>
  <c r="DD99" i="1" s="1"/>
  <c r="AJ22" i="17"/>
  <c r="CW66" i="1" s="1"/>
  <c r="E18" i="19" s="1"/>
  <c r="AN36" i="17"/>
  <c r="AO9" i="17"/>
  <c r="DB53" i="1" s="1"/>
  <c r="J6" i="19" s="1"/>
  <c r="AV35" i="17"/>
  <c r="AP58" i="17"/>
  <c r="DC102" i="1" s="1"/>
  <c r="AV20" i="17"/>
  <c r="DI64" i="1" s="1"/>
  <c r="AI24" i="17"/>
  <c r="CV68" i="1" s="1"/>
  <c r="D20" i="19" s="1"/>
  <c r="AI22" i="17"/>
  <c r="CV66" i="1" s="1"/>
  <c r="D18" i="19" s="1"/>
  <c r="AM18" i="17"/>
  <c r="CZ62" i="1" s="1"/>
  <c r="H15" i="19" s="1"/>
  <c r="AO59" i="17"/>
  <c r="DB103" i="1" s="1"/>
  <c r="AS22" i="17"/>
  <c r="DF66" i="1" s="1"/>
  <c r="N18" i="19" s="1"/>
  <c r="AT6" i="17"/>
  <c r="DG50" i="1" s="1"/>
  <c r="O3" i="19" s="1"/>
  <c r="AS62" i="17"/>
  <c r="AN22" i="17"/>
  <c r="AL9" i="17"/>
  <c r="CY53" i="1" s="1"/>
  <c r="G6" i="19" s="1"/>
  <c r="AI30" i="17"/>
  <c r="CV74" i="1" s="1"/>
  <c r="AM41" i="17"/>
  <c r="AT34" i="17"/>
  <c r="DG78" i="1" s="1"/>
  <c r="AV19" i="17"/>
  <c r="DI63" i="1" s="1"/>
  <c r="AK15" i="17"/>
  <c r="CX59" i="1" s="1"/>
  <c r="AS15" i="17"/>
  <c r="DF59" i="1" s="1"/>
  <c r="AO10" i="17"/>
  <c r="AT13" i="17"/>
  <c r="DG57" i="1" s="1"/>
  <c r="O10" i="19" s="1"/>
  <c r="AT31" i="17"/>
  <c r="DG75" i="1" s="1"/>
  <c r="AQ48" i="17"/>
  <c r="DD92" i="1" s="1"/>
  <c r="AK17" i="17"/>
  <c r="CX61" i="1" s="1"/>
  <c r="F14" i="19" s="1"/>
  <c r="AQ42" i="17"/>
  <c r="DD86" i="1" s="1"/>
  <c r="AP7" i="17"/>
  <c r="DC51" i="1" s="1"/>
  <c r="K4" i="19" s="1"/>
  <c r="AK21" i="17"/>
  <c r="CX65" i="1" s="1"/>
  <c r="AP46" i="17"/>
  <c r="AM21" i="17"/>
  <c r="CZ65" i="1" s="1"/>
  <c r="AJ62" i="17"/>
  <c r="AM19" i="17"/>
  <c r="CZ63" i="1" s="1"/>
  <c r="H16" i="19" s="1"/>
  <c r="AU28" i="17"/>
  <c r="DH72" i="1" s="1"/>
  <c r="AM50" i="17"/>
  <c r="CZ94" i="1" s="1"/>
  <c r="AQ51" i="17"/>
  <c r="AT20" i="17"/>
  <c r="DG64" i="1" s="1"/>
  <c r="AT47" i="17"/>
  <c r="DG91" i="1" s="1"/>
  <c r="AS33" i="17"/>
  <c r="DF77" i="1" s="1"/>
  <c r="AL38" i="17"/>
  <c r="CY82" i="1" s="1"/>
  <c r="AN28" i="17"/>
  <c r="AJ18" i="17"/>
  <c r="CW62" i="1" s="1"/>
  <c r="E15" i="19" s="1"/>
  <c r="AR26" i="17"/>
  <c r="DE70" i="1" s="1"/>
  <c r="AJ59" i="17"/>
  <c r="CW103" i="1" s="1"/>
  <c r="AP34" i="17"/>
  <c r="AR21" i="17"/>
  <c r="B14" i="14"/>
  <c r="B15" i="7"/>
  <c r="AI20" i="17"/>
  <c r="CV64" i="1" s="1"/>
  <c r="AH31" i="17"/>
  <c r="AE24" i="1"/>
  <c r="AC35" i="1"/>
  <c r="Y39" i="7" s="1"/>
  <c r="EA37" i="20"/>
  <c r="BG37" i="20" s="1"/>
  <c r="DN42" i="20"/>
  <c r="AS42" i="20" s="1"/>
  <c r="BR60" i="18"/>
  <c r="BR24" i="17"/>
  <c r="AZ28" i="21"/>
  <c r="AH28" i="21" s="1"/>
  <c r="BR33" i="17"/>
  <c r="AZ38" i="18"/>
  <c r="AH38" i="18" s="1"/>
  <c r="AZ54" i="17"/>
  <c r="DJ33" i="20"/>
  <c r="AO33" i="20" s="1"/>
  <c r="AO61" i="17"/>
  <c r="DB105" i="1" s="1"/>
  <c r="AV26" i="17"/>
  <c r="DI70" i="1" s="1"/>
  <c r="AI64" i="17"/>
  <c r="AJ19" i="17"/>
  <c r="CW63" i="1" s="1"/>
  <c r="E16" i="19" s="1"/>
  <c r="AN63" i="17"/>
  <c r="DA107" i="1" s="1"/>
  <c r="AK8" i="17"/>
  <c r="CX52" i="1" s="1"/>
  <c r="F5" i="19" s="1"/>
  <c r="AR54" i="17"/>
  <c r="AU64" i="17"/>
  <c r="DH108" i="1" s="1"/>
  <c r="AQ18" i="17"/>
  <c r="DD62" i="1" s="1"/>
  <c r="L15" i="19" s="1"/>
  <c r="AO28" i="17"/>
  <c r="DB72" i="1" s="1"/>
  <c r="AU44" i="17"/>
  <c r="AK37" i="17"/>
  <c r="CX81" i="1" s="1"/>
  <c r="AU5" i="17"/>
  <c r="DH49" i="1" s="1"/>
  <c r="P2" i="19" s="1"/>
  <c r="AM43" i="17"/>
  <c r="CZ87" i="1" s="1"/>
  <c r="AS35" i="17"/>
  <c r="AS27" i="17"/>
  <c r="DF71" i="1" s="1"/>
  <c r="AP39" i="17"/>
  <c r="DC83" i="1" s="1"/>
  <c r="AP49" i="17"/>
  <c r="DC93" i="1" s="1"/>
  <c r="AQ45" i="17"/>
  <c r="DD89" i="1" s="1"/>
  <c r="AR11" i="17"/>
  <c r="DE55" i="1" s="1"/>
  <c r="AI44" i="17"/>
  <c r="CV88" i="1" s="1"/>
  <c r="AP5" i="17"/>
  <c r="DC49" i="1" s="1"/>
  <c r="K2" i="19" s="1"/>
  <c r="AI58" i="17"/>
  <c r="CV102" i="1" s="1"/>
  <c r="AK53" i="17"/>
  <c r="CX97" i="1" s="1"/>
  <c r="AJ23" i="17"/>
  <c r="CW67" i="1" s="1"/>
  <c r="E19" i="19" s="1"/>
  <c r="AL16" i="17"/>
  <c r="CY60" i="1" s="1"/>
  <c r="AP9" i="17"/>
  <c r="AR6" i="17"/>
  <c r="DE50" i="1" s="1"/>
  <c r="M3" i="19" s="1"/>
  <c r="AS38" i="17"/>
  <c r="DF82" i="1" s="1"/>
  <c r="AS28" i="17"/>
  <c r="DF72" i="1" s="1"/>
  <c r="AP22" i="17"/>
  <c r="AO39" i="17"/>
  <c r="DB83" i="1" s="1"/>
  <c r="AT49" i="17"/>
  <c r="DG93" i="1" s="1"/>
  <c r="AO12" i="17"/>
  <c r="DB56" i="1" s="1"/>
  <c r="J9" i="19" s="1"/>
  <c r="AJ39" i="17"/>
  <c r="AP13" i="17"/>
  <c r="DC57" i="1" s="1"/>
  <c r="K10" i="19" s="1"/>
  <c r="AO55" i="17"/>
  <c r="DB99" i="1" s="1"/>
  <c r="AV5" i="17"/>
  <c r="DI49" i="1" s="1"/>
  <c r="DS1" i="1" s="1"/>
  <c r="AL26" i="17"/>
  <c r="CY70" i="1" s="1"/>
  <c r="AI13" i="17"/>
  <c r="CV57" i="1" s="1"/>
  <c r="D10" i="19" s="1"/>
  <c r="AR25" i="17"/>
  <c r="DE69" i="1" s="1"/>
  <c r="AO17" i="17"/>
  <c r="DB61" i="1" s="1"/>
  <c r="J14" i="19" s="1"/>
  <c r="AJ42" i="17"/>
  <c r="AU43" i="17"/>
  <c r="DH87" i="1" s="1"/>
  <c r="AM11" i="17"/>
  <c r="CZ55" i="1" s="1"/>
  <c r="AK38" i="17"/>
  <c r="CX82" i="1" s="1"/>
  <c r="AL11" i="17"/>
  <c r="AL65" i="17"/>
  <c r="CY109" i="1" s="1"/>
  <c r="AS39" i="17"/>
  <c r="DF83" i="1" s="1"/>
  <c r="AM25" i="17"/>
  <c r="CZ69" i="1" s="1"/>
  <c r="AT64" i="17"/>
  <c r="AK9" i="17"/>
  <c r="CX53" i="1" s="1"/>
  <c r="F6" i="19" s="1"/>
  <c r="AS6" i="17"/>
  <c r="DF50" i="1" s="1"/>
  <c r="N3" i="19" s="1"/>
  <c r="AV28" i="17"/>
  <c r="DI72" i="1" s="1"/>
  <c r="AO27" i="17"/>
  <c r="AU12" i="17"/>
  <c r="DH56" i="1" s="1"/>
  <c r="P9" i="19" s="1"/>
  <c r="AK59" i="17"/>
  <c r="CX103" i="1" s="1"/>
  <c r="AI14" i="17"/>
  <c r="CV58" i="1" s="1"/>
  <c r="D11" i="19" s="1"/>
  <c r="AV12" i="17"/>
  <c r="AU27" i="17"/>
  <c r="DH71" i="1" s="1"/>
  <c r="AQ52" i="17"/>
  <c r="DD96" i="1" s="1"/>
  <c r="AJ24" i="17"/>
  <c r="CW68" i="1" s="1"/>
  <c r="E20" i="19" s="1"/>
  <c r="AR20" i="17"/>
  <c r="AM64" i="17"/>
  <c r="CZ108" i="1" s="1"/>
  <c r="AP10" i="17"/>
  <c r="DC54" i="1" s="1"/>
  <c r="AJ20" i="17"/>
  <c r="CW64" i="1" s="1"/>
  <c r="AN20" i="17"/>
  <c r="AJ45" i="17"/>
  <c r="CW89" i="1" s="1"/>
  <c r="AN45" i="17"/>
  <c r="DA89" i="1" s="1"/>
  <c r="AI46" i="17"/>
  <c r="AI56" i="17"/>
  <c r="BH38" i="4"/>
  <c r="BN212" i="1"/>
  <c r="BN338" i="1" s="1"/>
  <c r="BM294" i="1"/>
  <c r="S59" i="21"/>
  <c r="S59" i="17"/>
  <c r="S59" i="18"/>
  <c r="S38" i="18"/>
  <c r="S38" i="17"/>
  <c r="Y66" i="18"/>
  <c r="Y66" i="21"/>
  <c r="BO82" i="1"/>
  <c r="BO74" i="1"/>
  <c r="BO83" i="1"/>
  <c r="BO77" i="1"/>
  <c r="BO81" i="1"/>
  <c r="BI140" i="1"/>
  <c r="BU140" i="1"/>
  <c r="BU304" i="1" s="1"/>
  <c r="BN140" i="1"/>
  <c r="BL140" i="1"/>
  <c r="BM222" i="1" s="1"/>
  <c r="BM348" i="1" s="1"/>
  <c r="CA140" i="1"/>
  <c r="BS134" i="1"/>
  <c r="BT216" i="1" s="1"/>
  <c r="BT342" i="1" s="1"/>
  <c r="BU134" i="1"/>
  <c r="BJ134" i="1"/>
  <c r="CF134" i="1" s="1"/>
  <c r="BR134" i="1"/>
  <c r="AI49" i="7"/>
  <c r="CO45" i="1"/>
  <c r="DB45" i="1"/>
  <c r="FO45" i="1"/>
  <c r="CF45" i="1"/>
  <c r="AE42" i="7"/>
  <c r="FJ38" i="1"/>
  <c r="AG41" i="7"/>
  <c r="GJ39" i="4"/>
  <c r="FJ36" i="1"/>
  <c r="AE40" i="7"/>
  <c r="AG39" i="7"/>
  <c r="GJ37" i="4"/>
  <c r="C32" i="10"/>
  <c r="AQ29" i="1"/>
  <c r="DI144" i="1" s="1"/>
  <c r="CC31" i="20"/>
  <c r="I31" i="20" s="1"/>
  <c r="AB29" i="1"/>
  <c r="DN29" i="1"/>
  <c r="DM29" i="1" s="1"/>
  <c r="AS29" i="1"/>
  <c r="CG31" i="20" s="1"/>
  <c r="FM29" i="1"/>
  <c r="AA29" i="1"/>
  <c r="DG31" i="20"/>
  <c r="AL31" i="20" s="1"/>
  <c r="CS31" i="20"/>
  <c r="W31" i="20" s="1"/>
  <c r="CL31" i="20"/>
  <c r="O31" i="20" s="1"/>
  <c r="CN31" i="20"/>
  <c r="Q31" i="20" s="1"/>
  <c r="DU29" i="1"/>
  <c r="DS29" i="1"/>
  <c r="DC31" i="20"/>
  <c r="AG31" i="20" s="1"/>
  <c r="DN31" i="20"/>
  <c r="AS31" i="20" s="1"/>
  <c r="DE29" i="1"/>
  <c r="J31" i="4" s="1"/>
  <c r="FQ31" i="4" s="1"/>
  <c r="DC29" i="1"/>
  <c r="DD31" i="20"/>
  <c r="AH31" i="20" s="1"/>
  <c r="EB31" i="20"/>
  <c r="BH31" i="20" s="1"/>
  <c r="DP31" i="20"/>
  <c r="AU31" i="20" s="1"/>
  <c r="DV31" i="20"/>
  <c r="BA31" i="20" s="1"/>
  <c r="DW29" i="1"/>
  <c r="B32" i="10"/>
  <c r="BE29" i="1"/>
  <c r="CM31" i="20"/>
  <c r="P31" i="20" s="1"/>
  <c r="CQ31" i="20"/>
  <c r="U31" i="20" s="1"/>
  <c r="CK31" i="20"/>
  <c r="N31" i="20" s="1"/>
  <c r="CF31" i="20"/>
  <c r="L31" i="20" s="1"/>
  <c r="D32" i="14"/>
  <c r="K32" i="14" s="1"/>
  <c r="DH31" i="20"/>
  <c r="AM31" i="20" s="1"/>
  <c r="CX31" i="20"/>
  <c r="AB31" i="20" s="1"/>
  <c r="CV31" i="20"/>
  <c r="Z31" i="20" s="1"/>
  <c r="DL31" i="20"/>
  <c r="AR31" i="20" s="1"/>
  <c r="FS31" i="4"/>
  <c r="DX31" i="20"/>
  <c r="BC31" i="20" s="1"/>
  <c r="CP29" i="1"/>
  <c r="DS31" i="20"/>
  <c r="AY31" i="20" s="1"/>
  <c r="DE31" i="20"/>
  <c r="AJ31" i="20" s="1"/>
  <c r="DT31" i="20"/>
  <c r="AX31" i="20" s="1"/>
  <c r="DZ31" i="20"/>
  <c r="BF31" i="20" s="1"/>
  <c r="FI29" i="1"/>
  <c r="EG31" i="20"/>
  <c r="BM31" i="20" s="1"/>
  <c r="C32" i="14"/>
  <c r="DJ31" i="20"/>
  <c r="AO31" i="20" s="1"/>
  <c r="DV29" i="1"/>
  <c r="CI31" i="20"/>
  <c r="F31" i="20" s="1"/>
  <c r="AG29" i="1"/>
  <c r="DT29" i="1"/>
  <c r="DL29" i="1" s="1"/>
  <c r="FC29" i="1"/>
  <c r="AF29" i="1"/>
  <c r="DY31" i="20"/>
  <c r="BE31" i="20" s="1"/>
  <c r="EE31" i="20"/>
  <c r="AT29" i="1"/>
  <c r="CH31" i="20" s="1"/>
  <c r="E31" i="20" s="1"/>
  <c r="DG189" i="1"/>
  <c r="CP31" i="20"/>
  <c r="T31" i="20" s="1"/>
  <c r="DK31" i="20"/>
  <c r="AP31" i="20" s="1"/>
  <c r="CU31" i="20"/>
  <c r="Y31" i="20" s="1"/>
  <c r="D30" i="10"/>
  <c r="CF29" i="20"/>
  <c r="L29" i="20" s="1"/>
  <c r="C30" i="10"/>
  <c r="B30" i="10"/>
  <c r="AT27" i="1"/>
  <c r="CH29" i="20" s="1"/>
  <c r="E29" i="20" s="1"/>
  <c r="AA27" i="1"/>
  <c r="DV27" i="1"/>
  <c r="DG29" i="20"/>
  <c r="AL29" i="20" s="1"/>
  <c r="CQ29" i="20"/>
  <c r="U29" i="20" s="1"/>
  <c r="CR29" i="20"/>
  <c r="V29" i="20" s="1"/>
  <c r="CK29" i="20"/>
  <c r="N29" i="20" s="1"/>
  <c r="CM29" i="20"/>
  <c r="P29" i="20" s="1"/>
  <c r="D30" i="14"/>
  <c r="BE27" i="1"/>
  <c r="DL29" i="20"/>
  <c r="AR29" i="20" s="1"/>
  <c r="FC27" i="1"/>
  <c r="CZ29" i="20"/>
  <c r="AD29" i="20" s="1"/>
  <c r="CP27" i="1"/>
  <c r="DB29" i="20"/>
  <c r="AF29" i="20" s="1"/>
  <c r="DT29" i="20"/>
  <c r="AX29" i="20" s="1"/>
  <c r="DZ29" i="20"/>
  <c r="BF29" i="20" s="1"/>
  <c r="DV29" i="20"/>
  <c r="BA29" i="20" s="1"/>
  <c r="DW27" i="1"/>
  <c r="C30" i="14"/>
  <c r="DN27" i="1"/>
  <c r="DM27" i="1" s="1"/>
  <c r="AQ27" i="1"/>
  <c r="DI142" i="1" s="1"/>
  <c r="DU27" i="1"/>
  <c r="CS29" i="20"/>
  <c r="W29" i="20" s="1"/>
  <c r="CO29" i="20"/>
  <c r="R29" i="20" s="1"/>
  <c r="DS27" i="1"/>
  <c r="CU29" i="20"/>
  <c r="Y29" i="20" s="1"/>
  <c r="Z27" i="1"/>
  <c r="DN29" i="20"/>
  <c r="AS29" i="20" s="1"/>
  <c r="CC29" i="20"/>
  <c r="I29" i="20" s="1"/>
  <c r="DE27" i="1"/>
  <c r="J29" i="4" s="1"/>
  <c r="FQ29" i="4" s="1"/>
  <c r="EB29" i="20"/>
  <c r="BH29" i="20" s="1"/>
  <c r="DD29" i="20"/>
  <c r="AH29" i="20" s="1"/>
  <c r="DE29" i="20"/>
  <c r="AJ29" i="20" s="1"/>
  <c r="DT27" i="1"/>
  <c r="DY29" i="20"/>
  <c r="BE29" i="20" s="1"/>
  <c r="AS27" i="1"/>
  <c r="CG29" i="20" s="1"/>
  <c r="D29" i="20" s="1"/>
  <c r="CP29" i="20"/>
  <c r="T29" i="20" s="1"/>
  <c r="DJ29" i="20"/>
  <c r="AO29" i="20" s="1"/>
  <c r="CW29" i="20"/>
  <c r="AA29" i="20" s="1"/>
  <c r="CX29" i="20"/>
  <c r="AB29" i="20" s="1"/>
  <c r="DC29" i="20"/>
  <c r="AG29" i="20" s="1"/>
  <c r="CI29" i="20"/>
  <c r="F29" i="20" s="1"/>
  <c r="DX29" i="20"/>
  <c r="BC29" i="20" s="1"/>
  <c r="CR27" i="1"/>
  <c r="FI27" i="1"/>
  <c r="AE27" i="1"/>
  <c r="EE29" i="20"/>
  <c r="BK29" i="20" s="1"/>
  <c r="EG29" i="20"/>
  <c r="BM29" i="20" s="1"/>
  <c r="AB27" i="1"/>
  <c r="DG187" i="1"/>
  <c r="CL29" i="20"/>
  <c r="O29" i="20" s="1"/>
  <c r="DK29" i="20"/>
  <c r="AP29" i="20" s="1"/>
  <c r="DH29" i="20"/>
  <c r="AM29" i="20" s="1"/>
  <c r="AC26" i="1"/>
  <c r="U28" i="4" s="1"/>
  <c r="FY26" i="1"/>
  <c r="FJ25" i="1"/>
  <c r="AE29" i="7"/>
  <c r="D27" i="10"/>
  <c r="CF26" i="20"/>
  <c r="L26" i="20" s="1"/>
  <c r="B27" i="10"/>
  <c r="C27" i="10"/>
  <c r="AS24" i="1"/>
  <c r="CL26" i="20"/>
  <c r="O26" i="20" s="1"/>
  <c r="CO26" i="20"/>
  <c r="R26" i="20" s="1"/>
  <c r="D27" i="14"/>
  <c r="C27" i="14"/>
  <c r="DG184" i="1"/>
  <c r="CS26" i="20"/>
  <c r="W26" i="20" s="1"/>
  <c r="DH26" i="20"/>
  <c r="AM26" i="20" s="1"/>
  <c r="CK26" i="20"/>
  <c r="N26" i="20" s="1"/>
  <c r="CM26" i="20"/>
  <c r="P26" i="20" s="1"/>
  <c r="CP24" i="1"/>
  <c r="DE24" i="1"/>
  <c r="J26" i="4" s="1"/>
  <c r="FQ26" i="4" s="1"/>
  <c r="DS24" i="1"/>
  <c r="CI26" i="20"/>
  <c r="F26" i="20" s="1"/>
  <c r="EA26" i="20"/>
  <c r="BG26" i="20" s="1"/>
  <c r="DB26" i="20"/>
  <c r="AF26" i="20" s="1"/>
  <c r="DT26" i="20"/>
  <c r="AX26" i="20" s="1"/>
  <c r="DV26" i="20"/>
  <c r="BA26" i="20" s="1"/>
  <c r="AT24" i="1"/>
  <c r="CH26" i="20" s="1"/>
  <c r="E26" i="20" s="1"/>
  <c r="AA24" i="1"/>
  <c r="AB24" i="1"/>
  <c r="CC26" i="20"/>
  <c r="I26" i="20" s="1"/>
  <c r="DN24" i="1"/>
  <c r="DM24" i="1" s="1"/>
  <c r="DK26" i="20"/>
  <c r="AP26" i="20" s="1"/>
  <c r="CR26" i="20"/>
  <c r="V26" i="20" s="1"/>
  <c r="CR24" i="1"/>
  <c r="CQ26" i="20"/>
  <c r="U26" i="20" s="1"/>
  <c r="DG26" i="20"/>
  <c r="AL26" i="20" s="1"/>
  <c r="CN26" i="20"/>
  <c r="Q26" i="20" s="1"/>
  <c r="CP26" i="20"/>
  <c r="T26" i="20" s="1"/>
  <c r="H26" i="4"/>
  <c r="EB26" i="20"/>
  <c r="BH26" i="20" s="1"/>
  <c r="DT24" i="1"/>
  <c r="DL24" i="1" s="1"/>
  <c r="DW24" i="1"/>
  <c r="FM24" i="1"/>
  <c r="DV24" i="1"/>
  <c r="CW26" i="20"/>
  <c r="AA26" i="20" s="1"/>
  <c r="CZ26" i="20"/>
  <c r="AD26" i="20" s="1"/>
  <c r="DX26" i="20"/>
  <c r="BC26" i="20" s="1"/>
  <c r="DS26" i="20"/>
  <c r="AY26" i="20" s="1"/>
  <c r="FI24" i="1"/>
  <c r="FC24" i="1"/>
  <c r="DC26" i="20"/>
  <c r="AG26" i="20" s="1"/>
  <c r="AG24" i="1"/>
  <c r="DZ26" i="20"/>
  <c r="BF26" i="20" s="1"/>
  <c r="EG26" i="20"/>
  <c r="BM26" i="20" s="1"/>
  <c r="EE26" i="20"/>
  <c r="EF26" i="20" s="1"/>
  <c r="BL26" i="20" s="1"/>
  <c r="Y24" i="1"/>
  <c r="EK24" i="1" s="1"/>
  <c r="CX26" i="20"/>
  <c r="AB26" i="20" s="1"/>
  <c r="DL26" i="20"/>
  <c r="AR26" i="20" s="1"/>
  <c r="CV26" i="20"/>
  <c r="Z26" i="20" s="1"/>
  <c r="FJ22" i="1"/>
  <c r="AE26" i="7"/>
  <c r="GJ23" i="4"/>
  <c r="AG25" i="7"/>
  <c r="DB20" i="1"/>
  <c r="AI24" i="7"/>
  <c r="CF20" i="1"/>
  <c r="FO20" i="1"/>
  <c r="CO20" i="1"/>
  <c r="GJ21" i="4"/>
  <c r="AG23" i="7"/>
  <c r="CF15" i="1"/>
  <c r="CO15" i="1"/>
  <c r="FO15" i="1"/>
  <c r="AI19" i="7"/>
  <c r="DB15" i="1"/>
  <c r="C17" i="10"/>
  <c r="D17" i="14"/>
  <c r="CF16" i="20"/>
  <c r="L16" i="20" s="1"/>
  <c r="D17" i="10"/>
  <c r="B17" i="10"/>
  <c r="AS14" i="1"/>
  <c r="AB14" i="1"/>
  <c r="CP16" i="20"/>
  <c r="T16" i="20" s="1"/>
  <c r="DJ16" i="20"/>
  <c r="AO16" i="20" s="1"/>
  <c r="BE14" i="1"/>
  <c r="CC16" i="20"/>
  <c r="I16" i="20" s="1"/>
  <c r="CQ16" i="20"/>
  <c r="U16" i="20" s="1"/>
  <c r="CR16" i="20"/>
  <c r="V16" i="20" s="1"/>
  <c r="DK16" i="20"/>
  <c r="AP16" i="20" s="1"/>
  <c r="DG16" i="20"/>
  <c r="AL16" i="20" s="1"/>
  <c r="CS16" i="20"/>
  <c r="W16" i="20" s="1"/>
  <c r="CW16" i="20"/>
  <c r="AA16" i="20" s="1"/>
  <c r="DU14" i="1"/>
  <c r="CP14" i="1"/>
  <c r="EB16" i="20"/>
  <c r="BH16" i="20" s="1"/>
  <c r="DY16" i="20"/>
  <c r="BE16" i="20" s="1"/>
  <c r="DT14" i="1"/>
  <c r="EE16" i="20"/>
  <c r="BK16" i="20" s="1"/>
  <c r="CK16" i="20"/>
  <c r="N16" i="20" s="1"/>
  <c r="CL16" i="20"/>
  <c r="O16" i="20" s="1"/>
  <c r="DN14" i="1"/>
  <c r="DM14" i="1" s="1"/>
  <c r="H16" i="4"/>
  <c r="DN16" i="20"/>
  <c r="AS16" i="20" s="1"/>
  <c r="DS16" i="20"/>
  <c r="AY16" i="20" s="1"/>
  <c r="DC16" i="20"/>
  <c r="AG16" i="20" s="1"/>
  <c r="CR14" i="1"/>
  <c r="Y14" i="1"/>
  <c r="CZ16" i="20"/>
  <c r="AD16" i="20" s="1"/>
  <c r="DB16" i="20"/>
  <c r="AF16" i="20" s="1"/>
  <c r="AG14" i="1"/>
  <c r="DP16" i="20"/>
  <c r="AU16" i="20" s="1"/>
  <c r="DW14" i="1"/>
  <c r="FM14" i="1"/>
  <c r="AT14" i="1"/>
  <c r="CH16" i="20" s="1"/>
  <c r="E16" i="20" s="1"/>
  <c r="CM16" i="20"/>
  <c r="P16" i="20" s="1"/>
  <c r="CU16" i="20"/>
  <c r="Y16" i="20" s="1"/>
  <c r="DV14" i="1"/>
  <c r="DL16" i="20"/>
  <c r="AR16" i="20" s="1"/>
  <c r="FC14" i="1"/>
  <c r="DX16" i="20"/>
  <c r="BC16" i="20" s="1"/>
  <c r="DD16" i="20"/>
  <c r="AH16" i="20" s="1"/>
  <c r="DA16" i="20"/>
  <c r="AE16" i="20" s="1"/>
  <c r="DC14" i="1"/>
  <c r="DG14" i="1"/>
  <c r="DY14" i="1" s="1"/>
  <c r="DZ14" i="1" s="1"/>
  <c r="EA14" i="1" s="1"/>
  <c r="DT16" i="20"/>
  <c r="AX16" i="20" s="1"/>
  <c r="DE16" i="20"/>
  <c r="AJ16" i="20" s="1"/>
  <c r="AF14" i="1"/>
  <c r="FB14" i="1"/>
  <c r="C17" i="14"/>
  <c r="DH16" i="20"/>
  <c r="AM16" i="20" s="1"/>
  <c r="AA14" i="1"/>
  <c r="CX16" i="20"/>
  <c r="AB16" i="20" s="1"/>
  <c r="DS14" i="1"/>
  <c r="AJ30" i="4"/>
  <c r="FL30" i="4" s="1"/>
  <c r="AB30" i="4"/>
  <c r="AR30" i="4"/>
  <c r="AZ30" i="4"/>
  <c r="BT30" i="4"/>
  <c r="CW30" i="4"/>
  <c r="BD30" i="4"/>
  <c r="BL30" i="4"/>
  <c r="BX20" i="4"/>
  <c r="BH20" i="4"/>
  <c r="BP20" i="4"/>
  <c r="AZ20" i="4"/>
  <c r="CB20" i="4"/>
  <c r="AR20" i="4"/>
  <c r="FP16" i="4"/>
  <c r="BH16" i="4"/>
  <c r="BP16" i="4"/>
  <c r="BX16" i="4"/>
  <c r="CW16" i="4"/>
  <c r="BT16" i="4"/>
  <c r="BB16" i="4"/>
  <c r="BB24" i="4"/>
  <c r="BB32" i="4"/>
  <c r="BF22" i="4"/>
  <c r="BH41" i="4"/>
  <c r="BJ16" i="4"/>
  <c r="BJ24" i="4"/>
  <c r="BJ32" i="4"/>
  <c r="BL43" i="4"/>
  <c r="BP41" i="4"/>
  <c r="BR16" i="4"/>
  <c r="BR24" i="4"/>
  <c r="BR32" i="4"/>
  <c r="BT39" i="4"/>
  <c r="BT47" i="4"/>
  <c r="BV22" i="4"/>
  <c r="BV26" i="4"/>
  <c r="BV30" i="4"/>
  <c r="BV34" i="4"/>
  <c r="BX41" i="4"/>
  <c r="BX45" i="4"/>
  <c r="BZ16" i="4"/>
  <c r="BZ20" i="4"/>
  <c r="BZ24" i="4"/>
  <c r="BZ28" i="4"/>
  <c r="BZ32" i="4"/>
  <c r="BZ36" i="4"/>
  <c r="CB39" i="4"/>
  <c r="CB43" i="4"/>
  <c r="CB47" i="4"/>
  <c r="CD18" i="4"/>
  <c r="CD22" i="4"/>
  <c r="CD26" i="4"/>
  <c r="CD30" i="4"/>
  <c r="GJ12" i="4"/>
  <c r="AC29" i="1"/>
  <c r="U31" i="4" s="1"/>
  <c r="EG19" i="20"/>
  <c r="BM19" i="20" s="1"/>
  <c r="EG37" i="20"/>
  <c r="BM37" i="20" s="1"/>
  <c r="FY17" i="1"/>
  <c r="AC21" i="1"/>
  <c r="T23" i="4" s="1"/>
  <c r="E25" i="7" s="1"/>
  <c r="AE29" i="1"/>
  <c r="DV44" i="20"/>
  <c r="BA44" i="20" s="1"/>
  <c r="DT31" i="1"/>
  <c r="DL31" i="1" s="1"/>
  <c r="FB29" i="1"/>
  <c r="AF42" i="1"/>
  <c r="DP29" i="20"/>
  <c r="AU29" i="20" s="1"/>
  <c r="FI14" i="1"/>
  <c r="AG40" i="1"/>
  <c r="AF17" i="1"/>
  <c r="DV19" i="20"/>
  <c r="BA19" i="20" s="1"/>
  <c r="FI17" i="1"/>
  <c r="DG29" i="1"/>
  <c r="DT37" i="20"/>
  <c r="AX37" i="20" s="1"/>
  <c r="CZ31" i="20"/>
  <c r="AD31" i="20" s="1"/>
  <c r="Y35" i="1"/>
  <c r="DD19" i="20"/>
  <c r="AH19" i="20" s="1"/>
  <c r="DB31" i="20"/>
  <c r="AF31" i="20" s="1"/>
  <c r="DE26" i="20"/>
  <c r="AJ26" i="20" s="1"/>
  <c r="DN19" i="20"/>
  <c r="AS19" i="20" s="1"/>
  <c r="FQ42" i="1"/>
  <c r="DB19" i="20"/>
  <c r="AF19" i="20" s="1"/>
  <c r="CZ42" i="20"/>
  <c r="AD42" i="20" s="1"/>
  <c r="CV29" i="20"/>
  <c r="Z29" i="20" s="1"/>
  <c r="DL44" i="20"/>
  <c r="AR44" i="20" s="1"/>
  <c r="CW31" i="20"/>
  <c r="AA31" i="20" s="1"/>
  <c r="H29" i="4"/>
  <c r="CX19" i="20"/>
  <c r="AB19" i="20" s="1"/>
  <c r="DC24" i="1"/>
  <c r="Z24" i="1"/>
  <c r="CK33" i="20"/>
  <c r="N33" i="20" s="1"/>
  <c r="DK33" i="20"/>
  <c r="AP33" i="20" s="1"/>
  <c r="CR31" i="20"/>
  <c r="V31" i="20" s="1"/>
  <c r="DH37" i="20"/>
  <c r="AM37" i="20" s="1"/>
  <c r="CO31" i="20"/>
  <c r="R31" i="20" s="1"/>
  <c r="CM44" i="20"/>
  <c r="P44" i="20" s="1"/>
  <c r="AA42" i="1"/>
  <c r="AT31" i="1"/>
  <c r="CH33" i="20" s="1"/>
  <c r="E33" i="20" s="1"/>
  <c r="AN43" i="4"/>
  <c r="CB30" i="4"/>
  <c r="FM27" i="1"/>
  <c r="V44" i="4"/>
  <c r="FY40" i="1"/>
  <c r="FY24" i="1"/>
  <c r="AC17" i="1"/>
  <c r="CN19" i="4" s="1"/>
  <c r="CS19" i="4" s="1"/>
  <c r="AF43" i="4"/>
  <c r="AV39" i="4"/>
  <c r="AF39" i="4"/>
  <c r="AV30" i="4"/>
  <c r="BV158" i="1"/>
  <c r="BP158" i="1"/>
  <c r="BJ152" i="1"/>
  <c r="BK275" i="1" s="1"/>
  <c r="BW152" i="1"/>
  <c r="CS152" i="1" s="1"/>
  <c r="BY152" i="1"/>
  <c r="BO152" i="1"/>
  <c r="BP234" i="1" s="1"/>
  <c r="BP360" i="1" s="1"/>
  <c r="BP152" i="1"/>
  <c r="BQ275" i="1" s="1"/>
  <c r="BU152" i="1"/>
  <c r="BV234" i="1" s="1"/>
  <c r="BV360" i="1" s="1"/>
  <c r="BM152" i="1"/>
  <c r="BT152" i="1"/>
  <c r="BU275" i="1" s="1"/>
  <c r="BK152" i="1"/>
  <c r="BX152" i="1"/>
  <c r="BX316" i="1" s="1"/>
  <c r="BL152" i="1"/>
  <c r="BS152" i="1"/>
  <c r="BN152" i="1"/>
  <c r="BI152" i="1"/>
  <c r="CA152" i="1"/>
  <c r="BH152" i="1"/>
  <c r="BI234" i="1" s="1"/>
  <c r="BI360" i="1" s="1"/>
  <c r="BZ152" i="1"/>
  <c r="BR152" i="1"/>
  <c r="BG152" i="1"/>
  <c r="BQ152" i="1"/>
  <c r="BQ316" i="1" s="1"/>
  <c r="BV152" i="1"/>
  <c r="BW275" i="1" s="1"/>
  <c r="BX148" i="1"/>
  <c r="BY189" i="1" s="1"/>
  <c r="BQ148" i="1"/>
  <c r="BK148" i="1"/>
  <c r="BL230" i="1" s="1"/>
  <c r="BL356" i="1" s="1"/>
  <c r="BL148" i="1"/>
  <c r="CH148" i="1" s="1"/>
  <c r="BM148" i="1"/>
  <c r="BN271" i="1" s="1"/>
  <c r="BI148" i="1"/>
  <c r="CA148" i="1"/>
  <c r="CB230" i="1" s="1"/>
  <c r="CB356" i="1" s="1"/>
  <c r="BZ148" i="1"/>
  <c r="BY148" i="1"/>
  <c r="BZ271" i="1" s="1"/>
  <c r="BH148" i="1"/>
  <c r="BS148" i="1"/>
  <c r="CO148" i="1" s="1"/>
  <c r="BT148" i="1"/>
  <c r="BR148" i="1"/>
  <c r="BS271" i="1" s="1"/>
  <c r="BW148" i="1"/>
  <c r="CS148" i="1" s="1"/>
  <c r="BN148" i="1"/>
  <c r="BN312" i="1" s="1"/>
  <c r="BG148" i="1"/>
  <c r="BJ148" i="1"/>
  <c r="BK271" i="1" s="1"/>
  <c r="BU148" i="1"/>
  <c r="BV148" i="1"/>
  <c r="BV312" i="1" s="1"/>
  <c r="BP148" i="1"/>
  <c r="BO142" i="1"/>
  <c r="BP265" i="1" s="1"/>
  <c r="BY142" i="1"/>
  <c r="CU142" i="1" s="1"/>
  <c r="BS142" i="1"/>
  <c r="CO142" i="1" s="1"/>
  <c r="BG136" i="1"/>
  <c r="BY136" i="1"/>
  <c r="BZ259" i="1" s="1"/>
  <c r="BW136" i="1"/>
  <c r="BX177" i="1" s="1"/>
  <c r="BN132" i="1"/>
  <c r="BO255" i="1" s="1"/>
  <c r="BG132" i="1"/>
  <c r="BB132" i="1" s="1"/>
  <c r="CA132" i="1"/>
  <c r="BV132" i="1"/>
  <c r="BJ132" i="1"/>
  <c r="CF132" i="1" s="1"/>
  <c r="BL132" i="1"/>
  <c r="BZ132" i="1"/>
  <c r="BZ296" i="1" s="1"/>
  <c r="BK132" i="1"/>
  <c r="AE49" i="7"/>
  <c r="FJ45" i="1"/>
  <c r="GQ35" i="4"/>
  <c r="GQ33" i="4"/>
  <c r="FB31" i="1"/>
  <c r="GQ29" i="4"/>
  <c r="FB27" i="1"/>
  <c r="GQ14" i="4"/>
  <c r="BR39" i="4"/>
  <c r="BB39" i="4"/>
  <c r="BJ39" i="4"/>
  <c r="AJ39" i="4"/>
  <c r="AZ39" i="4"/>
  <c r="BZ39" i="4"/>
  <c r="BF39" i="4"/>
  <c r="AB34" i="4"/>
  <c r="CB34" i="4"/>
  <c r="BL34" i="4"/>
  <c r="AJ34" i="4"/>
  <c r="BT34" i="4"/>
  <c r="AR26" i="4"/>
  <c r="AB26" i="4"/>
  <c r="BT26" i="4"/>
  <c r="BD26" i="4"/>
  <c r="CB26" i="4"/>
  <c r="AZ26" i="4"/>
  <c r="GR25" i="4"/>
  <c r="FP24" i="4"/>
  <c r="AR24" i="4"/>
  <c r="BP24" i="4"/>
  <c r="AZ24" i="4"/>
  <c r="CB24" i="4"/>
  <c r="FP18" i="4"/>
  <c r="AB18" i="4"/>
  <c r="BL18" i="4"/>
  <c r="BD18" i="4"/>
  <c r="BT18" i="4"/>
  <c r="FQ24" i="1"/>
  <c r="FQ27" i="1"/>
  <c r="DU24" i="1"/>
  <c r="CU37" i="20"/>
  <c r="Y37" i="20" s="1"/>
  <c r="CN29" i="20"/>
  <c r="Q29" i="20" s="1"/>
  <c r="BH34" i="4"/>
  <c r="AF20" i="4"/>
  <c r="BO148" i="1"/>
  <c r="CK148" i="1" s="1"/>
  <c r="BW132" i="1"/>
  <c r="BM160" i="1"/>
  <c r="CA160" i="1"/>
  <c r="CA324" i="1" s="1"/>
  <c r="BH154" i="1"/>
  <c r="BH318" i="1" s="1"/>
  <c r="BK154" i="1"/>
  <c r="BQ154" i="1"/>
  <c r="BR195" i="1" s="1"/>
  <c r="BO154" i="1"/>
  <c r="BN154" i="1"/>
  <c r="BY154" i="1"/>
  <c r="BY318" i="1" s="1"/>
  <c r="BJ154" i="1"/>
  <c r="BS154" i="1"/>
  <c r="BT277" i="1" s="1"/>
  <c r="BR154" i="1"/>
  <c r="BS236" i="1" s="1"/>
  <c r="BS362" i="1" s="1"/>
  <c r="BM154" i="1"/>
  <c r="BX154" i="1"/>
  <c r="BL154" i="1"/>
  <c r="BM236" i="1" s="1"/>
  <c r="BM362" i="1" s="1"/>
  <c r="BI154" i="1"/>
  <c r="CE154" i="1" s="1"/>
  <c r="BP154" i="1"/>
  <c r="BT154" i="1"/>
  <c r="BU236" i="1" s="1"/>
  <c r="BU362" i="1" s="1"/>
  <c r="CA154" i="1"/>
  <c r="CB277" i="1" s="1"/>
  <c r="BV154" i="1"/>
  <c r="BG154" i="1"/>
  <c r="BZ154" i="1"/>
  <c r="CA277" i="1" s="1"/>
  <c r="BH144" i="1"/>
  <c r="BP144" i="1"/>
  <c r="BQ226" i="1" s="1"/>
  <c r="BQ352" i="1" s="1"/>
  <c r="BJ144" i="1"/>
  <c r="BK267" i="1" s="1"/>
  <c r="BO144" i="1"/>
  <c r="BO308" i="1" s="1"/>
  <c r="BY144" i="1"/>
  <c r="BN144" i="1"/>
  <c r="BN308" i="1" s="1"/>
  <c r="BZ144" i="1"/>
  <c r="BZ308" i="1" s="1"/>
  <c r="BR144" i="1"/>
  <c r="BR308" i="1" s="1"/>
  <c r="BX144" i="1"/>
  <c r="BQ144" i="1"/>
  <c r="BR267" i="1" s="1"/>
  <c r="BI144" i="1"/>
  <c r="BQ138" i="1"/>
  <c r="BR179" i="1" s="1"/>
  <c r="BI138" i="1"/>
  <c r="BT138" i="1"/>
  <c r="BU220" i="1" s="1"/>
  <c r="BU346" i="1" s="1"/>
  <c r="BZ138" i="1"/>
  <c r="CA179" i="1" s="1"/>
  <c r="BR138" i="1"/>
  <c r="BP138" i="1"/>
  <c r="BJ138" i="1"/>
  <c r="BV138" i="1"/>
  <c r="CR138" i="1" s="1"/>
  <c r="BN138" i="1"/>
  <c r="BO220" i="1" s="1"/>
  <c r="BO346" i="1" s="1"/>
  <c r="BG138" i="1"/>
  <c r="BH261" i="1" s="1"/>
  <c r="BU138" i="1"/>
  <c r="BU302" i="1" s="1"/>
  <c r="BR130" i="1"/>
  <c r="BN130" i="1"/>
  <c r="BN294" i="1" s="1"/>
  <c r="BQ130" i="1"/>
  <c r="BQ294" i="1" s="1"/>
  <c r="BV130" i="1"/>
  <c r="CA130" i="1"/>
  <c r="BS130" i="1"/>
  <c r="BS294" i="1" s="1"/>
  <c r="BK130" i="1"/>
  <c r="BP130" i="1"/>
  <c r="BQ212" i="1" s="1"/>
  <c r="BQ338" i="1" s="1"/>
  <c r="BY130" i="1"/>
  <c r="BU130" i="1"/>
  <c r="BH130" i="1"/>
  <c r="BL130" i="1"/>
  <c r="BO130" i="1"/>
  <c r="BJ130" i="1"/>
  <c r="BJ294" i="1" s="1"/>
  <c r="BT130" i="1"/>
  <c r="BT294" i="1" s="1"/>
  <c r="BX130" i="1"/>
  <c r="BI130" i="1"/>
  <c r="BZ130" i="1"/>
  <c r="BW130" i="1"/>
  <c r="BW294" i="1" s="1"/>
  <c r="BG130" i="1"/>
  <c r="BH212" i="1" s="1"/>
  <c r="AG48" i="7"/>
  <c r="GJ46" i="4"/>
  <c r="AE47" i="7"/>
  <c r="FJ43" i="1"/>
  <c r="D45" i="14"/>
  <c r="D45" i="10"/>
  <c r="CC44" i="20"/>
  <c r="I44" i="20" s="1"/>
  <c r="CF44" i="20"/>
  <c r="L44" i="20" s="1"/>
  <c r="AT42" i="1"/>
  <c r="CH44" i="20" s="1"/>
  <c r="E44" i="20" s="1"/>
  <c r="DG44" i="20"/>
  <c r="AL44" i="20" s="1"/>
  <c r="CQ44" i="20"/>
  <c r="U44" i="20" s="1"/>
  <c r="CP44" i="20"/>
  <c r="T44" i="20" s="1"/>
  <c r="CN44" i="20"/>
  <c r="Q44" i="20" s="1"/>
  <c r="C45" i="14"/>
  <c r="AQ42" i="1"/>
  <c r="DI157" i="1" s="1"/>
  <c r="CS44" i="20"/>
  <c r="W44" i="20" s="1"/>
  <c r="DK44" i="20"/>
  <c r="AP44" i="20" s="1"/>
  <c r="CO44" i="20"/>
  <c r="R44" i="20" s="1"/>
  <c r="CL44" i="20"/>
  <c r="O44" i="20" s="1"/>
  <c r="CW44" i="20"/>
  <c r="AA44" i="20" s="1"/>
  <c r="CV44" i="20"/>
  <c r="Z44" i="20" s="1"/>
  <c r="H44" i="4"/>
  <c r="DX44" i="20"/>
  <c r="BC44" i="20" s="1"/>
  <c r="DN44" i="20"/>
  <c r="AS44" i="20" s="1"/>
  <c r="BE42" i="1"/>
  <c r="GS44" i="4" s="1"/>
  <c r="Z42" i="1"/>
  <c r="DC42" i="1"/>
  <c r="EB44" i="20"/>
  <c r="BH44" i="20" s="1"/>
  <c r="FI42" i="1"/>
  <c r="DE42" i="1"/>
  <c r="J44" i="4" s="1"/>
  <c r="FQ44" i="4" s="1"/>
  <c r="DT42" i="1"/>
  <c r="DL42" i="1" s="1"/>
  <c r="FM42" i="1"/>
  <c r="AS42" i="1"/>
  <c r="FD42" i="1" s="1"/>
  <c r="AB42" i="1"/>
  <c r="DG202" i="1"/>
  <c r="CK44" i="20"/>
  <c r="N44" i="20" s="1"/>
  <c r="CR44" i="20"/>
  <c r="V44" i="20" s="1"/>
  <c r="DH44" i="20"/>
  <c r="AM44" i="20" s="1"/>
  <c r="CX44" i="20"/>
  <c r="AB44" i="20" s="1"/>
  <c r="DU42" i="1"/>
  <c r="CU44" i="20"/>
  <c r="Y44" i="20" s="1"/>
  <c r="FS44" i="4"/>
  <c r="FC42" i="1"/>
  <c r="DD44" i="20"/>
  <c r="AH44" i="20" s="1"/>
  <c r="CR42" i="1"/>
  <c r="AG42" i="1"/>
  <c r="DZ44" i="20"/>
  <c r="BF44" i="20" s="1"/>
  <c r="DW42" i="1"/>
  <c r="DN42" i="1"/>
  <c r="DM42" i="1" s="1"/>
  <c r="DJ44" i="20"/>
  <c r="AO44" i="20" s="1"/>
  <c r="CZ44" i="20"/>
  <c r="AD44" i="20" s="1"/>
  <c r="DB44" i="20"/>
  <c r="AF44" i="20" s="1"/>
  <c r="Y42" i="1"/>
  <c r="EA44" i="20"/>
  <c r="BG44" i="20" s="1"/>
  <c r="DE44" i="20"/>
  <c r="AJ44" i="20" s="1"/>
  <c r="DT44" i="20"/>
  <c r="AX44" i="20" s="1"/>
  <c r="DY44" i="20"/>
  <c r="BE44" i="20" s="1"/>
  <c r="EG44" i="20"/>
  <c r="BM44" i="20" s="1"/>
  <c r="CP42" i="1"/>
  <c r="DG42" i="1"/>
  <c r="EE44" i="20"/>
  <c r="AE42" i="1"/>
  <c r="C45" i="10"/>
  <c r="GQ42" i="4"/>
  <c r="FB40" i="1"/>
  <c r="B43" i="10"/>
  <c r="D43" i="14"/>
  <c r="FM40" i="1"/>
  <c r="CF42" i="20"/>
  <c r="L42" i="20" s="1"/>
  <c r="C43" i="10"/>
  <c r="CC42" i="20"/>
  <c r="I42" i="20" s="1"/>
  <c r="CR40" i="1"/>
  <c r="C43" i="14"/>
  <c r="DG200" i="1"/>
  <c r="DH42" i="20"/>
  <c r="AM42" i="20" s="1"/>
  <c r="CM42" i="20"/>
  <c r="P42" i="20" s="1"/>
  <c r="D43" i="10"/>
  <c r="AU43" i="10" s="1"/>
  <c r="CP40" i="1"/>
  <c r="BE40" i="1"/>
  <c r="GS42" i="4" s="1"/>
  <c r="CN42" i="20"/>
  <c r="Q42" i="20" s="1"/>
  <c r="CK42" i="20"/>
  <c r="N42" i="20" s="1"/>
  <c r="DG42" i="20"/>
  <c r="AL42" i="20" s="1"/>
  <c r="DC40" i="1"/>
  <c r="CW42" i="20"/>
  <c r="AA42" i="20" s="1"/>
  <c r="FC40" i="1"/>
  <c r="FQ40" i="1"/>
  <c r="DS42" i="20"/>
  <c r="AY42" i="20" s="1"/>
  <c r="DP42" i="20"/>
  <c r="AU42" i="20" s="1"/>
  <c r="FI40" i="1"/>
  <c r="DZ42" i="20"/>
  <c r="BF42" i="20" s="1"/>
  <c r="AT40" i="1"/>
  <c r="CH42" i="20" s="1"/>
  <c r="E42" i="20" s="1"/>
  <c r="Y40" i="1"/>
  <c r="CP42" i="20"/>
  <c r="T42" i="20" s="1"/>
  <c r="DJ42" i="20"/>
  <c r="AO42" i="20" s="1"/>
  <c r="Z40" i="1"/>
  <c r="AS40" i="1"/>
  <c r="FD40" i="1" s="1"/>
  <c r="DU40" i="1"/>
  <c r="CR42" i="20"/>
  <c r="V42" i="20" s="1"/>
  <c r="EA42" i="20"/>
  <c r="DV42" i="20"/>
  <c r="BA42" i="20" s="1"/>
  <c r="DY42" i="20"/>
  <c r="BE42" i="20" s="1"/>
  <c r="AB40" i="1"/>
  <c r="CL42" i="20"/>
  <c r="O42" i="20" s="1"/>
  <c r="H42" i="4"/>
  <c r="DB42" i="20"/>
  <c r="AF42" i="20" s="1"/>
  <c r="DC42" i="20"/>
  <c r="AG42" i="20" s="1"/>
  <c r="DE42" i="20"/>
  <c r="AJ42" i="20" s="1"/>
  <c r="DD42" i="20"/>
  <c r="AH42" i="20" s="1"/>
  <c r="DT40" i="1"/>
  <c r="DL40" i="1" s="1"/>
  <c r="EE42" i="20"/>
  <c r="BK42" i="20" s="1"/>
  <c r="AE40" i="1"/>
  <c r="DW40" i="1"/>
  <c r="EG42" i="20"/>
  <c r="BM42" i="20" s="1"/>
  <c r="DN40" i="1"/>
  <c r="DM40" i="1" s="1"/>
  <c r="DK42" i="20"/>
  <c r="AP42" i="20" s="1"/>
  <c r="CS42" i="20"/>
  <c r="W42" i="20" s="1"/>
  <c r="DG40" i="1"/>
  <c r="CV42" i="20"/>
  <c r="Z42" i="20" s="1"/>
  <c r="CX42" i="20"/>
  <c r="AB42" i="20" s="1"/>
  <c r="FS42" i="4"/>
  <c r="CI42" i="20"/>
  <c r="F42" i="20" s="1"/>
  <c r="FY39" i="1"/>
  <c r="AC39" i="1"/>
  <c r="FO38" i="1"/>
  <c r="DB38" i="1"/>
  <c r="CO38" i="1"/>
  <c r="CF38" i="1"/>
  <c r="AI40" i="7"/>
  <c r="FO36" i="1"/>
  <c r="CO36" i="1"/>
  <c r="DB36" i="1"/>
  <c r="CF36" i="1"/>
  <c r="CF37" i="20"/>
  <c r="L37" i="20" s="1"/>
  <c r="DN35" i="1"/>
  <c r="DM35" i="1" s="1"/>
  <c r="CN37" i="20"/>
  <c r="Q37" i="20" s="1"/>
  <c r="AT35" i="1"/>
  <c r="CH37" i="20" s="1"/>
  <c r="E37" i="20" s="1"/>
  <c r="BE35" i="1"/>
  <c r="GS37" i="4" s="1"/>
  <c r="DU35" i="1"/>
  <c r="AQ35" i="1"/>
  <c r="DI150" i="1" s="1"/>
  <c r="CP37" i="20"/>
  <c r="T37" i="20" s="1"/>
  <c r="CV37" i="20"/>
  <c r="Z37" i="20" s="1"/>
  <c r="CX37" i="20"/>
  <c r="AB37" i="20" s="1"/>
  <c r="DA37" i="20"/>
  <c r="AE37" i="20" s="1"/>
  <c r="CP35" i="1"/>
  <c r="DP37" i="20"/>
  <c r="AU37" i="20" s="1"/>
  <c r="DG35" i="1"/>
  <c r="AG35" i="1"/>
  <c r="DV37" i="20"/>
  <c r="BA37" i="20" s="1"/>
  <c r="FI35" i="1"/>
  <c r="DY37" i="20"/>
  <c r="BE37" i="20" s="1"/>
  <c r="DT35" i="1"/>
  <c r="DL35" i="1" s="1"/>
  <c r="EE37" i="20"/>
  <c r="B38" i="10"/>
  <c r="FM35" i="1"/>
  <c r="DV35" i="1"/>
  <c r="CK37" i="20"/>
  <c r="N37" i="20" s="1"/>
  <c r="DJ37" i="20"/>
  <c r="AO37" i="20" s="1"/>
  <c r="DK37" i="20"/>
  <c r="AP37" i="20" s="1"/>
  <c r="CS37" i="20"/>
  <c r="W37" i="20" s="1"/>
  <c r="C38" i="14"/>
  <c r="AB35" i="1"/>
  <c r="AA35" i="1"/>
  <c r="CQ37" i="20"/>
  <c r="U37" i="20" s="1"/>
  <c r="DG37" i="20"/>
  <c r="AL37" i="20" s="1"/>
  <c r="DS35" i="1"/>
  <c r="FS37" i="4"/>
  <c r="CW37" i="20"/>
  <c r="AA37" i="20" s="1"/>
  <c r="CI37" i="20"/>
  <c r="F37" i="20" s="1"/>
  <c r="FQ35" i="1"/>
  <c r="Z35" i="1"/>
  <c r="DC35" i="1"/>
  <c r="DE37" i="20"/>
  <c r="AJ37" i="20" s="1"/>
  <c r="FB35" i="1"/>
  <c r="AE35" i="1"/>
  <c r="CR37" i="20"/>
  <c r="V37" i="20" s="1"/>
  <c r="H37" i="4"/>
  <c r="DX37" i="20"/>
  <c r="BC37" i="20" s="1"/>
  <c r="CZ37" i="20"/>
  <c r="AD37" i="20" s="1"/>
  <c r="DC37" i="20"/>
  <c r="AG37" i="20" s="1"/>
  <c r="EB37" i="20"/>
  <c r="BH37" i="20" s="1"/>
  <c r="DS37" i="20"/>
  <c r="AY37" i="20" s="1"/>
  <c r="DB37" i="20"/>
  <c r="AF37" i="20" s="1"/>
  <c r="DN37" i="20"/>
  <c r="AS37" i="20" s="1"/>
  <c r="CR35" i="1"/>
  <c r="DW35" i="1"/>
  <c r="CC37" i="20"/>
  <c r="I37" i="20" s="1"/>
  <c r="CL37" i="20"/>
  <c r="O37" i="20" s="1"/>
  <c r="CU35" i="20"/>
  <c r="Y35" i="20" s="1"/>
  <c r="B34" i="10"/>
  <c r="Z31" i="1"/>
  <c r="C34" i="14"/>
  <c r="D34" i="10"/>
  <c r="AQ31" i="1"/>
  <c r="DI146" i="1" s="1"/>
  <c r="CP31" i="1"/>
  <c r="DC31" i="1"/>
  <c r="DH33" i="20"/>
  <c r="AM33" i="20" s="1"/>
  <c r="CM33" i="20"/>
  <c r="P33" i="20" s="1"/>
  <c r="CO33" i="20"/>
  <c r="R33" i="20" s="1"/>
  <c r="C34" i="10"/>
  <c r="DN31" i="1"/>
  <c r="DM31" i="1" s="1"/>
  <c r="DV31" i="1"/>
  <c r="DG191" i="1"/>
  <c r="CQ33" i="20"/>
  <c r="U33" i="20" s="1"/>
  <c r="DG33" i="20"/>
  <c r="AL33" i="20" s="1"/>
  <c r="CL33" i="20"/>
  <c r="O33" i="20" s="1"/>
  <c r="CW33" i="20"/>
  <c r="AA33" i="20" s="1"/>
  <c r="H33" i="4"/>
  <c r="CI33" i="20"/>
  <c r="F33" i="20" s="1"/>
  <c r="FC31" i="1"/>
  <c r="DE31" i="1"/>
  <c r="J33" i="4" s="1"/>
  <c r="FQ33" i="4" s="1"/>
  <c r="FQ31" i="1"/>
  <c r="EB33" i="20"/>
  <c r="BH33" i="20" s="1"/>
  <c r="DD33" i="20"/>
  <c r="AH33" i="20" s="1"/>
  <c r="AF31" i="1"/>
  <c r="DY33" i="20"/>
  <c r="BE33" i="20" s="1"/>
  <c r="AE31" i="1"/>
  <c r="EE33" i="20"/>
  <c r="FM31" i="1"/>
  <c r="CF33" i="20"/>
  <c r="L33" i="20" s="1"/>
  <c r="CR31" i="1"/>
  <c r="CR33" i="20"/>
  <c r="V33" i="20" s="1"/>
  <c r="CS33" i="20"/>
  <c r="W33" i="20" s="1"/>
  <c r="CX33" i="20"/>
  <c r="AB33" i="20" s="1"/>
  <c r="AS31" i="1"/>
  <c r="FD31" i="1" s="1"/>
  <c r="DL33" i="20"/>
  <c r="AR33" i="20" s="1"/>
  <c r="DC33" i="20"/>
  <c r="AG33" i="20" s="1"/>
  <c r="DT33" i="20"/>
  <c r="AX33" i="20" s="1"/>
  <c r="DP33" i="20"/>
  <c r="AU33" i="20" s="1"/>
  <c r="DW31" i="1"/>
  <c r="D34" i="14"/>
  <c r="DU31" i="1"/>
  <c r="DS31" i="1"/>
  <c r="CV33" i="20"/>
  <c r="Z33" i="20" s="1"/>
  <c r="DX33" i="20"/>
  <c r="BC33" i="20" s="1"/>
  <c r="CC33" i="20"/>
  <c r="I33" i="20" s="1"/>
  <c r="EA33" i="20"/>
  <c r="BG33" i="20" s="1"/>
  <c r="DA33" i="20"/>
  <c r="AE33" i="20" s="1"/>
  <c r="DE33" i="20"/>
  <c r="AJ33" i="20" s="1"/>
  <c r="CZ33" i="20"/>
  <c r="AD33" i="20" s="1"/>
  <c r="DG31" i="1"/>
  <c r="AG31" i="1"/>
  <c r="DV33" i="20"/>
  <c r="BA33" i="20" s="1"/>
  <c r="AB31" i="1"/>
  <c r="CN33" i="20"/>
  <c r="Q33" i="20" s="1"/>
  <c r="FS33" i="4"/>
  <c r="Y31" i="1"/>
  <c r="FO22" i="1"/>
  <c r="CF22" i="1"/>
  <c r="DB22" i="1"/>
  <c r="AI26" i="7"/>
  <c r="CO22" i="1"/>
  <c r="AE24" i="7"/>
  <c r="FJ20" i="1"/>
  <c r="AE22" i="7"/>
  <c r="FJ18" i="1"/>
  <c r="GQ19" i="4"/>
  <c r="FB17" i="1"/>
  <c r="C20" i="14"/>
  <c r="C20" i="10"/>
  <c r="D20" i="14"/>
  <c r="O20" i="14" s="1"/>
  <c r="AQ17" i="1"/>
  <c r="DI132" i="1" s="1"/>
  <c r="D20" i="10"/>
  <c r="AI20" i="10" s="1"/>
  <c r="DV17" i="1"/>
  <c r="Z17" i="1"/>
  <c r="CC19" i="20"/>
  <c r="I19" i="20" s="1"/>
  <c r="DC17" i="1"/>
  <c r="DG19" i="20"/>
  <c r="AL19" i="20" s="1"/>
  <c r="CK19" i="20"/>
  <c r="N19" i="20" s="1"/>
  <c r="DK19" i="20"/>
  <c r="AP19" i="20" s="1"/>
  <c r="B20" i="10"/>
  <c r="BE17" i="1"/>
  <c r="AZ17" i="1" s="1"/>
  <c r="FS19" i="4"/>
  <c r="DG17" i="1"/>
  <c r="DE17" i="1"/>
  <c r="J19" i="4" s="1"/>
  <c r="FQ19" i="4" s="1"/>
  <c r="CI19" i="20"/>
  <c r="F19" i="20" s="1"/>
  <c r="CZ19" i="20"/>
  <c r="AD19" i="20" s="1"/>
  <c r="FC17" i="1"/>
  <c r="DC19" i="20"/>
  <c r="AG19" i="20" s="1"/>
  <c r="EA19" i="20"/>
  <c r="BG19" i="20" s="1"/>
  <c r="DP19" i="20"/>
  <c r="AU19" i="20" s="1"/>
  <c r="DY19" i="20"/>
  <c r="BE19" i="20" s="1"/>
  <c r="AE17" i="1"/>
  <c r="FM17" i="1"/>
  <c r="DU17" i="1"/>
  <c r="Y17" i="1"/>
  <c r="FT17" i="1" s="1"/>
  <c r="DH19" i="20"/>
  <c r="AM19" i="20" s="1"/>
  <c r="CL19" i="20"/>
  <c r="O19" i="20" s="1"/>
  <c r="CR19" i="20"/>
  <c r="V19" i="20" s="1"/>
  <c r="CS19" i="20"/>
  <c r="W19" i="20" s="1"/>
  <c r="CW19" i="20"/>
  <c r="AA19" i="20" s="1"/>
  <c r="AS17" i="1"/>
  <c r="DN17" i="1"/>
  <c r="DM17" i="1" s="1"/>
  <c r="CR17" i="1"/>
  <c r="DG177" i="1"/>
  <c r="CO19" i="20"/>
  <c r="R19" i="20" s="1"/>
  <c r="DX19" i="20"/>
  <c r="BC19" i="20" s="1"/>
  <c r="EB19" i="20"/>
  <c r="BH19" i="20" s="1"/>
  <c r="DE19" i="20"/>
  <c r="AJ19" i="20" s="1"/>
  <c r="DT17" i="1"/>
  <c r="DL17" i="1" s="1"/>
  <c r="CF19" i="20"/>
  <c r="L19" i="20" s="1"/>
  <c r="CP17" i="1"/>
  <c r="CQ19" i="20"/>
  <c r="U19" i="20" s="1"/>
  <c r="DS17" i="1"/>
  <c r="CV19" i="20"/>
  <c r="Z19" i="20" s="1"/>
  <c r="FQ17" i="1"/>
  <c r="AB17" i="1"/>
  <c r="GQ17" i="4"/>
  <c r="FB15" i="1"/>
  <c r="AG18" i="7"/>
  <c r="GJ16" i="4"/>
  <c r="CM14" i="20"/>
  <c r="P14" i="20" s="1"/>
  <c r="DW12" i="1"/>
  <c r="CL14" i="20"/>
  <c r="O14" i="20" s="1"/>
  <c r="BR47" i="4"/>
  <c r="BZ47" i="4"/>
  <c r="BJ47" i="4"/>
  <c r="AJ45" i="4"/>
  <c r="FL45" i="4" s="1"/>
  <c r="AZ45" i="4"/>
  <c r="BN45" i="4"/>
  <c r="CD45" i="4"/>
  <c r="BV45" i="4"/>
  <c r="AR45" i="4"/>
  <c r="BF45" i="4"/>
  <c r="AB45" i="4"/>
  <c r="AR43" i="4"/>
  <c r="BZ43" i="4"/>
  <c r="BJ43" i="4"/>
  <c r="BR43" i="4"/>
  <c r="BV43" i="4"/>
  <c r="AB41" i="4"/>
  <c r="CD41" i="4"/>
  <c r="BV41" i="4"/>
  <c r="BF41" i="4"/>
  <c r="BN41" i="4"/>
  <c r="BZ41" i="4"/>
  <c r="FP36" i="4"/>
  <c r="BX36" i="4"/>
  <c r="BP36" i="4"/>
  <c r="AB32" i="4"/>
  <c r="BP32" i="4"/>
  <c r="AR32" i="4"/>
  <c r="FP32" i="4"/>
  <c r="AZ32" i="4"/>
  <c r="BX32" i="4"/>
  <c r="AR28" i="4"/>
  <c r="AB28" i="4"/>
  <c r="BH28" i="4"/>
  <c r="FP28" i="4"/>
  <c r="BP28" i="4"/>
  <c r="AZ28" i="4"/>
  <c r="AV28" i="4"/>
  <c r="BD22" i="4"/>
  <c r="AB22" i="4"/>
  <c r="BT22" i="4"/>
  <c r="CB22" i="4"/>
  <c r="AZ22" i="4"/>
  <c r="BL22" i="4"/>
  <c r="BX22" i="4"/>
  <c r="AR22" i="4"/>
  <c r="BB20" i="4"/>
  <c r="BB28" i="4"/>
  <c r="BB36" i="4"/>
  <c r="BF26" i="4"/>
  <c r="BH45" i="4"/>
  <c r="BJ20" i="4"/>
  <c r="BJ28" i="4"/>
  <c r="BJ36" i="4"/>
  <c r="BL39" i="4"/>
  <c r="BL47" i="4"/>
  <c r="BN26" i="4"/>
  <c r="BP45" i="4"/>
  <c r="BR20" i="4"/>
  <c r="BR28" i="4"/>
  <c r="BR36" i="4"/>
  <c r="BT43" i="4"/>
  <c r="BV18" i="4"/>
  <c r="V42" i="4"/>
  <c r="EE19" i="20"/>
  <c r="AC40" i="1"/>
  <c r="U42" i="4" s="1"/>
  <c r="FM42" i="4" s="1"/>
  <c r="BK144" i="1"/>
  <c r="BL267" i="1" s="1"/>
  <c r="BS144" i="1"/>
  <c r="DW17" i="1"/>
  <c r="DV16" i="20"/>
  <c r="BA16" i="20" s="1"/>
  <c r="DY26" i="20"/>
  <c r="BE26" i="20" s="1"/>
  <c r="AF40" i="1"/>
  <c r="FI31" i="1"/>
  <c r="AG17" i="1"/>
  <c r="AF35" i="1"/>
  <c r="DA44" i="20"/>
  <c r="AE44" i="20" s="1"/>
  <c r="EA16" i="20"/>
  <c r="BG16" i="20" s="1"/>
  <c r="DD26" i="20"/>
  <c r="AH26" i="20" s="1"/>
  <c r="Y29" i="1"/>
  <c r="FT29" i="1" s="1"/>
  <c r="FB24" i="1"/>
  <c r="DS19" i="20"/>
  <c r="AY19" i="20" s="1"/>
  <c r="DE14" i="1"/>
  <c r="J16" i="4" s="1"/>
  <c r="FQ16" i="4" s="1"/>
  <c r="EB42" i="20"/>
  <c r="BH42" i="20" s="1"/>
  <c r="DC27" i="1"/>
  <c r="DA19" i="20"/>
  <c r="AE19" i="20" s="1"/>
  <c r="DS42" i="1"/>
  <c r="DL19" i="20"/>
  <c r="AR19" i="20" s="1"/>
  <c r="DG24" i="1"/>
  <c r="CP14" i="20"/>
  <c r="T14" i="20" s="1"/>
  <c r="CN19" i="20"/>
  <c r="Q19" i="20" s="1"/>
  <c r="CN16" i="20"/>
  <c r="Q16" i="20" s="1"/>
  <c r="AA40" i="1"/>
  <c r="BE31" i="1"/>
  <c r="CB18" i="4"/>
  <c r="BV47" i="4"/>
  <c r="EG33" i="20"/>
  <c r="BM33" i="20" s="1"/>
  <c r="FY35" i="1"/>
  <c r="BL144" i="1"/>
  <c r="BY323" i="1"/>
  <c r="BZ282" i="1"/>
  <c r="EG16" i="20"/>
  <c r="BM16" i="20" s="1"/>
  <c r="FY14" i="1"/>
  <c r="DP44" i="20"/>
  <c r="AU44" i="20" s="1"/>
  <c r="DZ19" i="20"/>
  <c r="BF19" i="20" s="1"/>
  <c r="DZ37" i="20"/>
  <c r="BF37" i="20" s="1"/>
  <c r="AF27" i="1"/>
  <c r="DT42" i="20"/>
  <c r="AX42" i="20" s="1"/>
  <c r="DC44" i="20"/>
  <c r="AG44" i="20" s="1"/>
  <c r="DP26" i="20"/>
  <c r="AU26" i="20" s="1"/>
  <c r="DS29" i="20"/>
  <c r="AY29" i="20" s="1"/>
  <c r="DG27" i="1"/>
  <c r="EA29" i="20"/>
  <c r="BG29" i="20" s="1"/>
  <c r="DE35" i="1"/>
  <c r="J37" i="4" s="1"/>
  <c r="FQ37" i="4" s="1"/>
  <c r="CR29" i="1"/>
  <c r="DA26" i="20"/>
  <c r="AE26" i="20" s="1"/>
  <c r="DS33" i="20"/>
  <c r="AY33" i="20" s="1"/>
  <c r="DA29" i="20"/>
  <c r="AE29" i="20" s="1"/>
  <c r="EA31" i="20"/>
  <c r="BG31" i="20" s="1"/>
  <c r="DB33" i="20"/>
  <c r="AF33" i="20" s="1"/>
  <c r="DA42" i="20"/>
  <c r="AE42" i="20" s="1"/>
  <c r="FQ14" i="1"/>
  <c r="Z29" i="1"/>
  <c r="DN33" i="20"/>
  <c r="AS33" i="20" s="1"/>
  <c r="Z14" i="1"/>
  <c r="CI16" i="20"/>
  <c r="F16" i="20" s="1"/>
  <c r="DS40" i="1"/>
  <c r="FS16" i="4"/>
  <c r="CU19" i="20"/>
  <c r="Y19" i="20" s="1"/>
  <c r="CU26" i="20"/>
  <c r="Y26" i="20" s="1"/>
  <c r="CU42" i="20"/>
  <c r="Y42" i="20" s="1"/>
  <c r="DV42" i="1"/>
  <c r="FS26" i="4"/>
  <c r="CV16" i="20"/>
  <c r="Z16" i="20" s="1"/>
  <c r="BD32" i="4"/>
  <c r="AQ14" i="1"/>
  <c r="DI129" i="1" s="1"/>
  <c r="CP19" i="20"/>
  <c r="T19" i="20" s="1"/>
  <c r="DJ19" i="20"/>
  <c r="AO19" i="20" s="1"/>
  <c r="CM19" i="20"/>
  <c r="P19" i="20" s="1"/>
  <c r="CM37" i="20"/>
  <c r="P37" i="20" s="1"/>
  <c r="CO37" i="20"/>
  <c r="R37" i="20" s="1"/>
  <c r="CP33" i="20"/>
  <c r="T33" i="20" s="1"/>
  <c r="CO42" i="20"/>
  <c r="R42" i="20" s="1"/>
  <c r="AA31" i="1"/>
  <c r="AQ40" i="1"/>
  <c r="DI155" i="1" s="1"/>
  <c r="AV26" i="4"/>
  <c r="BP22" i="4"/>
  <c r="AA17" i="1"/>
  <c r="AR16" i="4"/>
  <c r="CW36" i="4"/>
  <c r="AV45" i="4"/>
  <c r="AT17" i="1"/>
  <c r="CH19" i="20" s="1"/>
  <c r="E19" i="20" s="1"/>
  <c r="B45" i="10"/>
  <c r="AZ43" i="18"/>
  <c r="AZ43" i="17"/>
  <c r="BR43" i="17"/>
  <c r="BR43" i="18"/>
  <c r="BZ10" i="4"/>
  <c r="BL10" i="4"/>
  <c r="BT10" i="4"/>
  <c r="BR10" i="4"/>
  <c r="AL10" i="4"/>
  <c r="AB10" i="4"/>
  <c r="AT10" i="4"/>
  <c r="CO6" i="1"/>
  <c r="DB6" i="1"/>
  <c r="CF6" i="1"/>
  <c r="FO6" i="1"/>
  <c r="S45" i="21"/>
  <c r="GV46" i="4"/>
  <c r="AB66" i="18"/>
  <c r="AB66" i="21"/>
  <c r="U60" i="17"/>
  <c r="U60" i="21"/>
  <c r="U60" i="18"/>
  <c r="CF47" i="20"/>
  <c r="L47" i="20" s="1"/>
  <c r="B48" i="10"/>
  <c r="D48" i="14"/>
  <c r="D48" i="10"/>
  <c r="C48" i="10"/>
  <c r="C48" i="14"/>
  <c r="DN45" i="1"/>
  <c r="DM45" i="1" s="1"/>
  <c r="AB45" i="1"/>
  <c r="DG205" i="1"/>
  <c r="DJ47" i="20"/>
  <c r="AO47" i="20" s="1"/>
  <c r="CN47" i="20"/>
  <c r="Q47" i="20" s="1"/>
  <c r="CS47" i="20"/>
  <c r="W47" i="20" s="1"/>
  <c r="DG47" i="20"/>
  <c r="AL47" i="20" s="1"/>
  <c r="CR47" i="20"/>
  <c r="V47" i="20" s="1"/>
  <c r="BE45" i="1"/>
  <c r="GS47" i="4" s="1"/>
  <c r="DV45" i="1"/>
  <c r="H47" i="4"/>
  <c r="CW47" i="20"/>
  <c r="AA47" i="20" s="1"/>
  <c r="CU47" i="20"/>
  <c r="Y47" i="20" s="1"/>
  <c r="DX47" i="20"/>
  <c r="BC47" i="20" s="1"/>
  <c r="DS47" i="20"/>
  <c r="AY47" i="20" s="1"/>
  <c r="DA47" i="20"/>
  <c r="AE47" i="20" s="1"/>
  <c r="EA47" i="20"/>
  <c r="BG47" i="20" s="1"/>
  <c r="DE45" i="1"/>
  <c r="J47" i="4" s="1"/>
  <c r="FQ47" i="4" s="1"/>
  <c r="DE47" i="20"/>
  <c r="AJ47" i="20" s="1"/>
  <c r="DG45" i="1"/>
  <c r="DV47" i="20"/>
  <c r="BA47" i="20" s="1"/>
  <c r="DT45" i="1"/>
  <c r="DL45" i="1" s="1"/>
  <c r="DW45" i="1"/>
  <c r="AT45" i="1"/>
  <c r="CH47" i="20" s="1"/>
  <c r="E47" i="20" s="1"/>
  <c r="AA45" i="1"/>
  <c r="DH47" i="20"/>
  <c r="AM47" i="20" s="1"/>
  <c r="CL47" i="20"/>
  <c r="O47" i="20" s="1"/>
  <c r="DK47" i="20"/>
  <c r="AP47" i="20" s="1"/>
  <c r="FM45" i="1"/>
  <c r="CM47" i="20"/>
  <c r="P47" i="20" s="1"/>
  <c r="DC47" i="20"/>
  <c r="AG47" i="20" s="1"/>
  <c r="Z45" i="1"/>
  <c r="FQ45" i="1"/>
  <c r="Y45" i="1"/>
  <c r="CR45" i="1"/>
  <c r="FI45" i="1"/>
  <c r="AI47" i="7"/>
  <c r="DB43" i="1"/>
  <c r="CF43" i="1"/>
  <c r="CO43" i="1"/>
  <c r="AG46" i="7"/>
  <c r="GJ44" i="4"/>
  <c r="FY42" i="1"/>
  <c r="AI45" i="7"/>
  <c r="CO41" i="1"/>
  <c r="DB41" i="1"/>
  <c r="FO41" i="1"/>
  <c r="GJ42" i="4"/>
  <c r="AG44" i="7"/>
  <c r="AE43" i="7"/>
  <c r="FJ39" i="1"/>
  <c r="B41" i="10"/>
  <c r="AB38" i="1"/>
  <c r="DK40" i="20"/>
  <c r="AP40" i="20" s="1"/>
  <c r="DG40" i="20"/>
  <c r="AL40" i="20" s="1"/>
  <c r="Y38" i="1"/>
  <c r="EK38" i="1" s="1"/>
  <c r="EA40" i="20"/>
  <c r="BG40" i="20" s="1"/>
  <c r="DE40" i="20"/>
  <c r="AJ40" i="20" s="1"/>
  <c r="DG198" i="1"/>
  <c r="CQ40" i="20"/>
  <c r="U40" i="20" s="1"/>
  <c r="H40" i="4"/>
  <c r="DT40" i="20"/>
  <c r="AX40" i="20" s="1"/>
  <c r="DL38" i="20"/>
  <c r="AR38" i="20" s="1"/>
  <c r="DZ38" i="20"/>
  <c r="BF38" i="20" s="1"/>
  <c r="DW36" i="1"/>
  <c r="AE36" i="1"/>
  <c r="DS38" i="20"/>
  <c r="AY38" i="20" s="1"/>
  <c r="DV38" i="20"/>
  <c r="BA38" i="20" s="1"/>
  <c r="AE38" i="7"/>
  <c r="FJ34" i="1"/>
  <c r="AI38" i="7"/>
  <c r="DB34" i="1"/>
  <c r="CO34" i="1"/>
  <c r="CF34" i="1"/>
  <c r="FO34" i="1"/>
  <c r="GJ35" i="4"/>
  <c r="AG37" i="7"/>
  <c r="AE36" i="7"/>
  <c r="FJ32" i="1"/>
  <c r="AI36" i="7"/>
  <c r="DB32" i="1"/>
  <c r="CF32" i="1"/>
  <c r="FO32" i="1"/>
  <c r="CO32" i="1"/>
  <c r="FY31" i="1"/>
  <c r="FJ30" i="1"/>
  <c r="AE34" i="7"/>
  <c r="DB30" i="1"/>
  <c r="CO30" i="1"/>
  <c r="FO30" i="1"/>
  <c r="AG33" i="7"/>
  <c r="GJ31" i="4"/>
  <c r="FY29" i="1"/>
  <c r="AE32" i="7"/>
  <c r="FJ28" i="1"/>
  <c r="CO28" i="1"/>
  <c r="AI32" i="7"/>
  <c r="CF28" i="1"/>
  <c r="AG31" i="7"/>
  <c r="GJ29" i="4"/>
  <c r="AC27" i="1"/>
  <c r="CN29" i="4" s="1"/>
  <c r="AE30" i="7"/>
  <c r="FJ26" i="1"/>
  <c r="CF25" i="1"/>
  <c r="CO25" i="1"/>
  <c r="AI29" i="7"/>
  <c r="FO25" i="1"/>
  <c r="GJ26" i="4"/>
  <c r="AG28" i="7"/>
  <c r="AE27" i="7"/>
  <c r="FJ23" i="1"/>
  <c r="GQ24" i="4"/>
  <c r="GQ22" i="4"/>
  <c r="AI22" i="7"/>
  <c r="CO18" i="1"/>
  <c r="DB18" i="1"/>
  <c r="FO18" i="1"/>
  <c r="CF18" i="1"/>
  <c r="GJ19" i="4"/>
  <c r="AG21" i="7"/>
  <c r="FJ16" i="1"/>
  <c r="AE20" i="7"/>
  <c r="AI20" i="7"/>
  <c r="CF16" i="1"/>
  <c r="DB16" i="1"/>
  <c r="FO16" i="1"/>
  <c r="CO16" i="1"/>
  <c r="FM15" i="1"/>
  <c r="CF17" i="20"/>
  <c r="L17" i="20" s="1"/>
  <c r="D18" i="14"/>
  <c r="D18" i="10"/>
  <c r="DN15" i="1"/>
  <c r="DM15" i="1" s="1"/>
  <c r="AQ15" i="1"/>
  <c r="DI130" i="1" s="1"/>
  <c r="DG175" i="1"/>
  <c r="CP17" i="20"/>
  <c r="T17" i="20" s="1"/>
  <c r="CM17" i="20"/>
  <c r="P17" i="20" s="1"/>
  <c r="CL17" i="20"/>
  <c r="O17" i="20" s="1"/>
  <c r="CR17" i="20"/>
  <c r="V17" i="20" s="1"/>
  <c r="B18" i="10"/>
  <c r="AS15" i="1"/>
  <c r="AA15" i="1"/>
  <c r="DS15" i="1"/>
  <c r="CX17" i="20"/>
  <c r="AB17" i="20" s="1"/>
  <c r="BE15" i="1"/>
  <c r="CC17" i="20"/>
  <c r="I17" i="20" s="1"/>
  <c r="CP15" i="1"/>
  <c r="Y15" i="1"/>
  <c r="EK15" i="1" s="1"/>
  <c r="EA17" i="20"/>
  <c r="BG17" i="20" s="1"/>
  <c r="DT17" i="20"/>
  <c r="AX17" i="20" s="1"/>
  <c r="DP17" i="20"/>
  <c r="AU17" i="20" s="1"/>
  <c r="DG15" i="1"/>
  <c r="FI15" i="1"/>
  <c r="DV17" i="20"/>
  <c r="BA17" i="20" s="1"/>
  <c r="EE17" i="20"/>
  <c r="EF17" i="20" s="1"/>
  <c r="BL17" i="20" s="1"/>
  <c r="DU15" i="1"/>
  <c r="DV15" i="1"/>
  <c r="CQ17" i="20"/>
  <c r="U17" i="20" s="1"/>
  <c r="DG17" i="20"/>
  <c r="AL17" i="20" s="1"/>
  <c r="CN17" i="20"/>
  <c r="Q17" i="20" s="1"/>
  <c r="CO17" i="20"/>
  <c r="R17" i="20" s="1"/>
  <c r="DK17" i="20"/>
  <c r="AP17" i="20" s="1"/>
  <c r="CU17" i="20"/>
  <c r="Y17" i="20" s="1"/>
  <c r="CK17" i="20"/>
  <c r="N17" i="20" s="1"/>
  <c r="DJ17" i="20"/>
  <c r="AO17" i="20" s="1"/>
  <c r="CS17" i="20"/>
  <c r="W17" i="20" s="1"/>
  <c r="FS17" i="4"/>
  <c r="FQ15" i="1"/>
  <c r="DX17" i="20"/>
  <c r="BC17" i="20" s="1"/>
  <c r="DA17" i="20"/>
  <c r="AE17" i="20" s="1"/>
  <c r="DC17" i="20"/>
  <c r="AG17" i="20" s="1"/>
  <c r="CZ17" i="20"/>
  <c r="AD17" i="20" s="1"/>
  <c r="DT15" i="1"/>
  <c r="DL15" i="1" s="1"/>
  <c r="AT15" i="1"/>
  <c r="CH17" i="20" s="1"/>
  <c r="E17" i="20" s="1"/>
  <c r="AC14" i="1"/>
  <c r="AN47" i="4"/>
  <c r="B49" i="7"/>
  <c r="B48" i="14"/>
  <c r="CV46" i="4"/>
  <c r="CW46" i="4" s="1"/>
  <c r="CT46" i="4"/>
  <c r="AN45" i="4"/>
  <c r="AF45" i="4"/>
  <c r="CM45" i="4"/>
  <c r="B46" i="14"/>
  <c r="CT44" i="4"/>
  <c r="AV43" i="4"/>
  <c r="B44" i="14"/>
  <c r="CM43" i="4"/>
  <c r="B45" i="7"/>
  <c r="F42" i="4"/>
  <c r="CT42" i="4"/>
  <c r="CV42" i="4"/>
  <c r="CW42" i="4" s="1"/>
  <c r="AV41" i="4"/>
  <c r="B43" i="7"/>
  <c r="B42" i="14"/>
  <c r="CM41" i="4"/>
  <c r="CV40" i="4"/>
  <c r="CW40" i="4" s="1"/>
  <c r="CT40" i="4"/>
  <c r="F40" i="4"/>
  <c r="AN39" i="4"/>
  <c r="B40" i="14"/>
  <c r="CM39" i="4"/>
  <c r="B41" i="7"/>
  <c r="B39" i="14"/>
  <c r="B40" i="7"/>
  <c r="B71" i="5" s="1"/>
  <c r="CM36" i="4"/>
  <c r="B38" i="7"/>
  <c r="B37" i="14"/>
  <c r="CT35" i="4"/>
  <c r="AV34" i="4"/>
  <c r="AN34" i="4"/>
  <c r="AF34" i="4"/>
  <c r="X34" i="4"/>
  <c r="CM34" i="4"/>
  <c r="B36" i="7"/>
  <c r="CV33" i="4"/>
  <c r="CW33" i="4" s="1"/>
  <c r="X32" i="4"/>
  <c r="B33" i="14"/>
  <c r="B34" i="7"/>
  <c r="CM32" i="4"/>
  <c r="AN30" i="4"/>
  <c r="CM30" i="4"/>
  <c r="B32" i="7"/>
  <c r="B31" i="14"/>
  <c r="AF28" i="4"/>
  <c r="B30" i="7"/>
  <c r="CM28" i="4"/>
  <c r="B29" i="14"/>
  <c r="CM26" i="4"/>
  <c r="B28" i="7"/>
  <c r="B47" i="5" s="1"/>
  <c r="AF24" i="4"/>
  <c r="X24" i="4"/>
  <c r="B26" i="7"/>
  <c r="B43" i="5" s="1"/>
  <c r="B25" i="14"/>
  <c r="AV22" i="4"/>
  <c r="AF22" i="4"/>
  <c r="CM22" i="4"/>
  <c r="B24" i="7"/>
  <c r="B23" i="14"/>
  <c r="AV20" i="4"/>
  <c r="AN20" i="4"/>
  <c r="X20" i="4"/>
  <c r="B22" i="7"/>
  <c r="B35" i="26" s="1"/>
  <c r="CM20" i="4"/>
  <c r="B21" i="14"/>
  <c r="AN18" i="4"/>
  <c r="AF18" i="4"/>
  <c r="B19" i="14"/>
  <c r="CM18" i="4"/>
  <c r="CV17" i="4"/>
  <c r="CW17" i="4" s="1"/>
  <c r="AN16" i="4"/>
  <c r="AF16" i="4"/>
  <c r="X16" i="4"/>
  <c r="AN15" i="4"/>
  <c r="BB15" i="4"/>
  <c r="BJ15" i="4"/>
  <c r="AF15" i="4"/>
  <c r="X47" i="7"/>
  <c r="X43" i="7"/>
  <c r="X39" i="7"/>
  <c r="X35" i="7"/>
  <c r="X30" i="7"/>
  <c r="X23" i="7"/>
  <c r="BL8" i="4"/>
  <c r="BP12" i="4"/>
  <c r="AD12" i="4"/>
  <c r="CB12" i="4"/>
  <c r="CI17" i="20"/>
  <c r="F17" i="20" s="1"/>
  <c r="CW17" i="20"/>
  <c r="AA17" i="20" s="1"/>
  <c r="CW40" i="20"/>
  <c r="AA40" i="20" s="1"/>
  <c r="CP36" i="1"/>
  <c r="DL17" i="20"/>
  <c r="AR17" i="20" s="1"/>
  <c r="DS45" i="1"/>
  <c r="CV17" i="20"/>
  <c r="Z17" i="20" s="1"/>
  <c r="AZ43" i="21"/>
  <c r="AH43" i="21" s="1"/>
  <c r="AH13" i="21"/>
  <c r="CK47" i="20"/>
  <c r="N47" i="20" s="1"/>
  <c r="DU38" i="1"/>
  <c r="AQ45" i="1"/>
  <c r="DI160" i="1" s="1"/>
  <c r="BX10" i="4"/>
  <c r="F46" i="4"/>
  <c r="AI13" i="18"/>
  <c r="AT61" i="18"/>
  <c r="AQ12" i="18"/>
  <c r="AR53" i="18"/>
  <c r="AV34" i="18"/>
  <c r="AR55" i="18"/>
  <c r="AM58" i="18"/>
  <c r="AM40" i="18"/>
  <c r="AR22" i="18"/>
  <c r="AT17" i="18"/>
  <c r="AQ34" i="18"/>
  <c r="AK61" i="18"/>
  <c r="AQ43" i="18"/>
  <c r="AV6" i="18"/>
  <c r="AL54" i="18"/>
  <c r="AU60" i="18"/>
  <c r="AI41" i="18"/>
  <c r="AI5" i="18"/>
  <c r="AK50" i="18"/>
  <c r="AP13" i="18"/>
  <c r="AS58" i="18"/>
  <c r="AN56" i="18"/>
  <c r="AV30" i="18"/>
  <c r="AI42" i="18"/>
  <c r="AT5" i="18"/>
  <c r="AT14" i="18"/>
  <c r="AO35" i="18"/>
  <c r="AI32" i="18"/>
  <c r="AL18" i="18"/>
  <c r="AU6" i="18"/>
  <c r="AQ36" i="18"/>
  <c r="AL19" i="18"/>
  <c r="AM18" i="18"/>
  <c r="AR36" i="18"/>
  <c r="AS46" i="18"/>
  <c r="AT24" i="18"/>
  <c r="AM59" i="18"/>
  <c r="AN47" i="18"/>
  <c r="AN28" i="18"/>
  <c r="AT9" i="18"/>
  <c r="AV11" i="18"/>
  <c r="AK55" i="18"/>
  <c r="AT27" i="21"/>
  <c r="AI43" i="21"/>
  <c r="AR56" i="21"/>
  <c r="AM30" i="21"/>
  <c r="AQ6" i="21"/>
  <c r="AN14" i="21"/>
  <c r="AS43" i="21"/>
  <c r="AR53" i="21"/>
  <c r="AS40" i="21"/>
  <c r="AJ65" i="21"/>
  <c r="AK15" i="21"/>
  <c r="AP28" i="21"/>
  <c r="AS22" i="21"/>
  <c r="AQ19" i="21"/>
  <c r="AR40" i="21"/>
  <c r="AV38" i="21"/>
  <c r="AM22" i="21"/>
  <c r="AJ24" i="21"/>
  <c r="AP10" i="21"/>
  <c r="AJ35" i="21"/>
  <c r="AT55" i="21"/>
  <c r="AU28" i="21"/>
  <c r="AR26" i="21"/>
  <c r="AR8" i="21"/>
  <c r="AM38" i="21"/>
  <c r="AJ18" i="21"/>
  <c r="AJ26" i="21"/>
  <c r="AQ26" i="21"/>
  <c r="AI10" i="7"/>
  <c r="B199" i="6"/>
  <c r="B190" i="6"/>
  <c r="DY4" i="20" s="1"/>
  <c r="AH3" i="20" s="1"/>
  <c r="B189" i="6"/>
  <c r="B164" i="6"/>
  <c r="BH79" i="1" s="1"/>
  <c r="FO43" i="1"/>
  <c r="B19" i="5"/>
  <c r="B19" i="26"/>
  <c r="BP8" i="4"/>
  <c r="AL8" i="4"/>
  <c r="AS18" i="18"/>
  <c r="AJ36" i="18"/>
  <c r="AU36" i="18"/>
  <c r="AL56" i="18"/>
  <c r="AR40" i="18"/>
  <c r="AP55" i="18"/>
  <c r="AQ61" i="18"/>
  <c r="AP39" i="18"/>
  <c r="AP9" i="18"/>
  <c r="AT8" i="18"/>
  <c r="AO25" i="18"/>
  <c r="AK11" i="18"/>
  <c r="AP37" i="18"/>
  <c r="AS59" i="18"/>
  <c r="AN64" i="18"/>
  <c r="AS32" i="18"/>
  <c r="AN17" i="18"/>
  <c r="AI15" i="18"/>
  <c r="AT36" i="18"/>
  <c r="AN31" i="18"/>
  <c r="AJ32" i="18"/>
  <c r="AI9" i="18"/>
  <c r="AH6" i="18"/>
  <c r="AJ18" i="18"/>
  <c r="AV59" i="18"/>
  <c r="AV16" i="18"/>
  <c r="AO65" i="18"/>
  <c r="AL22" i="18"/>
  <c r="AQ49" i="18"/>
  <c r="AQ25" i="18"/>
  <c r="AK53" i="18"/>
  <c r="AP40" i="18"/>
  <c r="AP33" i="18"/>
  <c r="AP57" i="18"/>
  <c r="AL38" i="18"/>
  <c r="AK56" i="18"/>
  <c r="AS34" i="18"/>
  <c r="AL25" i="18"/>
  <c r="AN27" i="18"/>
  <c r="AJ51" i="18"/>
  <c r="AM36" i="18"/>
  <c r="AL58" i="18"/>
  <c r="AK42" i="18"/>
  <c r="AT27" i="18"/>
  <c r="AJ31" i="18"/>
  <c r="AU30" i="18"/>
  <c r="AO46" i="18"/>
  <c r="AS25" i="18"/>
  <c r="AK63" i="18"/>
  <c r="AN9" i="18"/>
  <c r="AK58" i="18"/>
  <c r="AV42" i="18"/>
  <c r="AR13" i="18"/>
  <c r="AU51" i="18"/>
  <c r="AR46" i="18"/>
  <c r="AO29" i="18"/>
  <c r="AN29" i="18"/>
  <c r="AQ11" i="18"/>
  <c r="AI52" i="18"/>
  <c r="AN58" i="18"/>
  <c r="AJ7" i="18"/>
  <c r="AL57" i="18"/>
  <c r="AP17" i="18"/>
  <c r="AU48" i="18"/>
  <c r="AM31" i="18"/>
  <c r="AT43" i="18"/>
  <c r="AV9" i="18"/>
  <c r="AV13" i="18"/>
  <c r="AS16" i="18"/>
  <c r="AU50" i="18"/>
  <c r="AN50" i="18"/>
  <c r="AP18" i="18"/>
  <c r="AI36" i="18"/>
  <c r="AP60" i="18"/>
  <c r="AK10" i="18"/>
  <c r="AM5" i="18"/>
  <c r="AL27" i="18"/>
  <c r="AT49" i="18"/>
  <c r="AN65" i="18"/>
  <c r="AQ59" i="18"/>
  <c r="AI48" i="18"/>
  <c r="AU40" i="18"/>
  <c r="AO5" i="18"/>
  <c r="AS26" i="18"/>
  <c r="AT47" i="18"/>
  <c r="AJ27" i="18"/>
  <c r="AN25" i="18"/>
  <c r="AK38" i="18"/>
  <c r="AQ62" i="18"/>
  <c r="AP49" i="18"/>
  <c r="AM27" i="18"/>
  <c r="AN43" i="18"/>
  <c r="AJ65" i="18"/>
  <c r="AP42" i="18"/>
  <c r="AV31" i="18"/>
  <c r="AQ64" i="18"/>
  <c r="AR59" i="18"/>
  <c r="AL23" i="18"/>
  <c r="AK41" i="18"/>
  <c r="AI11" i="18"/>
  <c r="AK9" i="18"/>
  <c r="AT60" i="18"/>
  <c r="AM53" i="18"/>
  <c r="AI17" i="18"/>
  <c r="AU44" i="18"/>
  <c r="AJ34" i="18"/>
  <c r="AM63" i="18"/>
  <c r="AN35" i="18"/>
  <c r="AO38" i="18"/>
  <c r="AP50" i="18"/>
  <c r="AK20" i="18"/>
  <c r="AS51" i="18"/>
  <c r="AI22" i="18"/>
  <c r="AO62" i="18"/>
  <c r="AV24" i="18"/>
  <c r="AT18" i="18"/>
  <c r="AP38" i="18"/>
  <c r="AN49" i="18"/>
  <c r="AQ16" i="18"/>
  <c r="AS17" i="18"/>
  <c r="AL37" i="18"/>
  <c r="AI53" i="18"/>
  <c r="AJ57" i="18"/>
  <c r="AR41" i="18"/>
  <c r="AQ32" i="18"/>
  <c r="AL32" i="18"/>
  <c r="AN51" i="18"/>
  <c r="AS54" i="18"/>
  <c r="AV25" i="18"/>
  <c r="AV23" i="18"/>
  <c r="AM13" i="18"/>
  <c r="AR20" i="18"/>
  <c r="AJ9" i="18"/>
  <c r="AP64" i="18"/>
  <c r="AV45" i="18"/>
  <c r="AP19" i="18"/>
  <c r="AO19" i="18"/>
  <c r="AT44" i="18"/>
  <c r="AS5" i="18"/>
  <c r="AS23" i="18"/>
  <c r="AR19" i="18"/>
  <c r="AV7" i="18"/>
  <c r="AU5" i="18"/>
  <c r="AU7" i="18"/>
  <c r="AJ60" i="18"/>
  <c r="AN53" i="18"/>
  <c r="AR16" i="18"/>
  <c r="AV51" i="18"/>
  <c r="AJ29" i="18"/>
  <c r="AJ25" i="18"/>
  <c r="AI21" i="18"/>
  <c r="AK18" i="18"/>
  <c r="AV44" i="18"/>
  <c r="AJ8" i="18"/>
  <c r="AQ58" i="18"/>
  <c r="AT13" i="18"/>
  <c r="AT37" i="18"/>
  <c r="AM52" i="18"/>
  <c r="AV48" i="18"/>
  <c r="AK64" i="18"/>
  <c r="AM43" i="18"/>
  <c r="AJ62" i="18"/>
  <c r="AK51" i="18"/>
  <c r="AM57" i="18"/>
  <c r="AN26" i="18"/>
  <c r="AR17" i="18"/>
  <c r="AP16" i="18"/>
  <c r="AU65" i="18"/>
  <c r="AU52" i="18"/>
  <c r="AM11" i="18"/>
  <c r="AU32" i="18"/>
  <c r="AJ20" i="18"/>
  <c r="AL30" i="18"/>
  <c r="AU63" i="18"/>
  <c r="AN23" i="18"/>
  <c r="AQ29" i="18"/>
  <c r="AU41" i="18"/>
  <c r="AO49" i="18"/>
  <c r="AT23" i="18"/>
  <c r="AN5" i="18"/>
  <c r="AO14" i="18"/>
  <c r="AL60" i="18"/>
  <c r="AR56" i="18"/>
  <c r="AK35" i="18"/>
  <c r="AP51" i="18"/>
  <c r="AN61" i="18"/>
  <c r="AM62" i="18"/>
  <c r="AM48" i="18"/>
  <c r="AN63" i="18"/>
  <c r="AQ33" i="18"/>
  <c r="AM12" i="18"/>
  <c r="AQ18" i="18"/>
  <c r="AL65" i="18"/>
  <c r="AJ33" i="18"/>
  <c r="AI65" i="18"/>
  <c r="AO48" i="18"/>
  <c r="AV5" i="18"/>
  <c r="AI26" i="18"/>
  <c r="AR25" i="18"/>
  <c r="AI47" i="18"/>
  <c r="AQ8" i="18"/>
  <c r="AP63" i="18"/>
  <c r="AS24" i="18"/>
  <c r="AJ19" i="18"/>
  <c r="AT7" i="18"/>
  <c r="AV18" i="18"/>
  <c r="AV27" i="18"/>
  <c r="AL33" i="18"/>
  <c r="AO27" i="18"/>
  <c r="AI61" i="18"/>
  <c r="AS27" i="18"/>
  <c r="AP36" i="18"/>
  <c r="AM38" i="18"/>
  <c r="AN59" i="18"/>
  <c r="AL50" i="18"/>
  <c r="AU13" i="18"/>
  <c r="AU39" i="18"/>
  <c r="AS29" i="18"/>
  <c r="AS56" i="18"/>
  <c r="AI23" i="18"/>
  <c r="AV41" i="18"/>
  <c r="AU28" i="18"/>
  <c r="AQ27" i="18"/>
  <c r="AS6" i="18"/>
  <c r="AN16" i="18"/>
  <c r="AP20" i="18"/>
  <c r="AK36" i="18"/>
  <c r="AR30" i="18"/>
  <c r="AU18" i="18"/>
  <c r="AT21" i="18"/>
  <c r="AT16" i="18"/>
  <c r="AL55" i="18"/>
  <c r="AO63" i="18"/>
  <c r="AS41" i="18"/>
  <c r="AS11" i="18"/>
  <c r="AQ9" i="18"/>
  <c r="AO52" i="18"/>
  <c r="AM8" i="18"/>
  <c r="AV50" i="18"/>
  <c r="AQ19" i="18"/>
  <c r="AR63" i="18"/>
  <c r="AS15" i="18"/>
  <c r="AS65" i="18"/>
  <c r="AJ35" i="18"/>
  <c r="AQ14" i="18"/>
  <c r="AP28" i="18"/>
  <c r="AM50" i="18"/>
  <c r="AU37" i="18"/>
  <c r="AU14" i="18"/>
  <c r="AV20" i="18"/>
  <c r="AO32" i="18"/>
  <c r="AO40" i="18"/>
  <c r="AH45" i="18"/>
  <c r="AQ56" i="18"/>
  <c r="AK21" i="18"/>
  <c r="AK30" i="18"/>
  <c r="AJ30" i="18"/>
  <c r="AM14" i="18"/>
  <c r="AM35" i="18"/>
  <c r="AO26" i="18"/>
  <c r="AJ47" i="18"/>
  <c r="AK47" i="18"/>
  <c r="AM55" i="18"/>
  <c r="AQ23" i="18"/>
  <c r="AL59" i="18"/>
  <c r="AR21" i="18"/>
  <c r="AN39" i="18"/>
  <c r="AV53" i="18"/>
  <c r="AM19" i="18"/>
  <c r="AM9" i="18"/>
  <c r="AU23" i="18"/>
  <c r="AT51" i="18"/>
  <c r="AQ48" i="18"/>
  <c r="AV62" i="18"/>
  <c r="AM23" i="18"/>
  <c r="AN12" i="18"/>
  <c r="AU24" i="18"/>
  <c r="AM44" i="18"/>
  <c r="AK57" i="18"/>
  <c r="AK49" i="18"/>
  <c r="AL62" i="18"/>
  <c r="AU22" i="18"/>
  <c r="AV36" i="18"/>
  <c r="AK62" i="18"/>
  <c r="AK43" i="18"/>
  <c r="AL49" i="18"/>
  <c r="AR28" i="18"/>
  <c r="AO24" i="18"/>
  <c r="AT25" i="18"/>
  <c r="AQ28" i="18"/>
  <c r="AU26" i="18"/>
  <c r="AM54" i="18"/>
  <c r="AI27" i="18"/>
  <c r="AV35" i="18"/>
  <c r="AP26" i="18"/>
  <c r="AM22" i="18"/>
  <c r="AJ56" i="18"/>
  <c r="AL35" i="18"/>
  <c r="AT57" i="18"/>
  <c r="AP45" i="18"/>
  <c r="AN45" i="18"/>
  <c r="AN14" i="18"/>
  <c r="AS52" i="18"/>
  <c r="AQ37" i="18"/>
  <c r="AI51" i="18"/>
  <c r="AI30" i="18"/>
  <c r="AV38" i="18"/>
  <c r="AV47" i="18"/>
  <c r="AP7" i="18"/>
  <c r="AN33" i="18"/>
  <c r="AQ44" i="18"/>
  <c r="AP10" i="18"/>
  <c r="AL7" i="18"/>
  <c r="AI64" i="18"/>
  <c r="AM47" i="18"/>
  <c r="AU35" i="18"/>
  <c r="AM64" i="18"/>
  <c r="AU62" i="18"/>
  <c r="AO11" i="18"/>
  <c r="AM65" i="18"/>
  <c r="AK17" i="18"/>
  <c r="AQ5" i="18"/>
  <c r="AO64" i="18"/>
  <c r="AN22" i="18"/>
  <c r="AS49" i="18"/>
  <c r="AO31" i="18"/>
  <c r="AT31" i="18"/>
  <c r="AT35" i="18"/>
  <c r="AS44" i="18"/>
  <c r="AS14" i="18"/>
  <c r="AP53" i="18"/>
  <c r="AU59" i="18"/>
  <c r="AJ26" i="18"/>
  <c r="AK8" i="18"/>
  <c r="AT58" i="18"/>
  <c r="AR34" i="18"/>
  <c r="AO50" i="18"/>
  <c r="AT40" i="18"/>
  <c r="AL48" i="18"/>
  <c r="AP23" i="18"/>
  <c r="AO41" i="18"/>
  <c r="AJ16" i="18"/>
  <c r="AK54" i="18"/>
  <c r="AJ38" i="18"/>
  <c r="AU45" i="18"/>
  <c r="AK24" i="18"/>
  <c r="AV10" i="18"/>
  <c r="AK45" i="18"/>
  <c r="AM39" i="18"/>
  <c r="AO61" i="18"/>
  <c r="AO22" i="18"/>
  <c r="AT22" i="18"/>
  <c r="AP44" i="18"/>
  <c r="AV19" i="18"/>
  <c r="AS38" i="18"/>
  <c r="AI62" i="18"/>
  <c r="AQ65" i="18"/>
  <c r="AJ54" i="18"/>
  <c r="AI35" i="18"/>
  <c r="AH11" i="18"/>
  <c r="AP22" i="18"/>
  <c r="AL51" i="18"/>
  <c r="AO58" i="18"/>
  <c r="AP35" i="18"/>
  <c r="AI10" i="18"/>
  <c r="AU56" i="18"/>
  <c r="AL44" i="18"/>
  <c r="AS42" i="18"/>
  <c r="AT34" i="18"/>
  <c r="AU57" i="18"/>
  <c r="AU25" i="18"/>
  <c r="AR31" i="18"/>
  <c r="AQ41" i="18"/>
  <c r="AU9" i="18"/>
  <c r="AV32" i="18"/>
  <c r="AP58" i="18"/>
  <c r="AM10" i="18"/>
  <c r="AL14" i="18"/>
  <c r="AU47" i="18"/>
  <c r="AS43" i="18"/>
  <c r="AJ41" i="18"/>
  <c r="AR27" i="18"/>
  <c r="AN54" i="18"/>
  <c r="AN37" i="18"/>
  <c r="AQ52" i="18"/>
  <c r="AN44" i="18"/>
  <c r="AS37" i="18"/>
  <c r="AU46" i="18"/>
  <c r="AK19" i="18"/>
  <c r="AP62" i="18"/>
  <c r="AJ37" i="18"/>
  <c r="AV63" i="18"/>
  <c r="AV33" i="18"/>
  <c r="AS12" i="18"/>
  <c r="AL40" i="18"/>
  <c r="AT65" i="18"/>
  <c r="AI49" i="18"/>
  <c r="AO43" i="18"/>
  <c r="AI7" i="18"/>
  <c r="AI25" i="18"/>
  <c r="AU27" i="18"/>
  <c r="AV64" i="18"/>
  <c r="AI43" i="18"/>
  <c r="AJ64" i="18"/>
  <c r="AU8" i="18"/>
  <c r="AJ24" i="18"/>
  <c r="AL61" i="18"/>
  <c r="AO39" i="18"/>
  <c r="AP25" i="18"/>
  <c r="AU61" i="18"/>
  <c r="AP48" i="18"/>
  <c r="AT56" i="18"/>
  <c r="AL29" i="18"/>
  <c r="AN36" i="18"/>
  <c r="AP32" i="18"/>
  <c r="AT42" i="18"/>
  <c r="AU64" i="18"/>
  <c r="AR11" i="18"/>
  <c r="AS28" i="18"/>
  <c r="AK37" i="18"/>
  <c r="AJ23" i="18"/>
  <c r="AR65" i="18"/>
  <c r="AP46" i="18"/>
  <c r="AR58" i="18"/>
  <c r="AJ48" i="18"/>
  <c r="AV37" i="18"/>
  <c r="AJ42" i="18"/>
  <c r="AS10" i="18"/>
  <c r="AL13" i="18"/>
  <c r="AT62" i="18"/>
  <c r="AP27" i="18"/>
  <c r="AI40" i="18"/>
  <c r="AI16" i="18"/>
  <c r="AI20" i="18"/>
  <c r="AO17" i="18"/>
  <c r="AU55" i="18"/>
  <c r="AT26" i="18"/>
  <c r="AT52" i="18"/>
  <c r="AN34" i="18"/>
  <c r="AP21" i="18"/>
  <c r="AP52" i="18"/>
  <c r="AN7" i="18"/>
  <c r="AV58" i="18"/>
  <c r="AS40" i="18"/>
  <c r="AQ38" i="18"/>
  <c r="AV15" i="18"/>
  <c r="AP61" i="18"/>
  <c r="AK44" i="18"/>
  <c r="AQ13" i="18"/>
  <c r="AR54" i="18"/>
  <c r="AQ55" i="18"/>
  <c r="AR64" i="18"/>
  <c r="AM15" i="18"/>
  <c r="AO30" i="18"/>
  <c r="AV29" i="18"/>
  <c r="AR45" i="18"/>
  <c r="AQ47" i="18"/>
  <c r="AK32" i="18"/>
  <c r="AL53" i="18"/>
  <c r="AM28" i="18"/>
  <c r="AV57" i="18"/>
  <c r="AI60" i="18"/>
  <c r="AU49" i="18"/>
  <c r="AI28" i="18"/>
  <c r="AR43" i="18"/>
  <c r="AR24" i="18"/>
  <c r="AS61" i="18"/>
  <c r="AP31" i="18"/>
  <c r="AV12" i="18"/>
  <c r="AT63" i="18"/>
  <c r="AU54" i="18"/>
  <c r="AS53" i="18"/>
  <c r="AP56" i="18"/>
  <c r="AL26" i="18"/>
  <c r="AK23" i="18"/>
  <c r="AR60" i="18"/>
  <c r="AS13" i="18"/>
  <c r="AJ12" i="18"/>
  <c r="AP47" i="18"/>
  <c r="AV21" i="18"/>
  <c r="AT20" i="18"/>
  <c r="AT45" i="18"/>
  <c r="AV8" i="18"/>
  <c r="AP41" i="18"/>
  <c r="AR44" i="18"/>
  <c r="AP34" i="18"/>
  <c r="AR57" i="18"/>
  <c r="AI19" i="18"/>
  <c r="AQ42" i="18"/>
  <c r="AT64" i="18"/>
  <c r="AJ59" i="18"/>
  <c r="AK48" i="18"/>
  <c r="AJ28" i="18"/>
  <c r="AN11" i="18"/>
  <c r="AR47" i="18"/>
  <c r="AL15" i="18"/>
  <c r="AR15" i="18"/>
  <c r="AJ10" i="18"/>
  <c r="AI18" i="18"/>
  <c r="AL11" i="18"/>
  <c r="AQ31" i="18"/>
  <c r="AO53" i="18"/>
  <c r="AI63" i="18"/>
  <c r="AO34" i="18"/>
  <c r="AL47" i="18"/>
  <c r="AS19" i="18"/>
  <c r="AI39" i="18"/>
  <c r="AT50" i="18"/>
  <c r="AS57" i="18"/>
  <c r="AJ53" i="18"/>
  <c r="AV43" i="18"/>
  <c r="AT54" i="18"/>
  <c r="AQ46" i="18"/>
  <c r="AT46" i="18"/>
  <c r="AI34" i="18"/>
  <c r="AT15" i="18"/>
  <c r="AT10" i="18"/>
  <c r="AI14" i="18"/>
  <c r="AK12" i="18"/>
  <c r="AS39" i="18"/>
  <c r="AH31" i="18"/>
  <c r="AL42" i="18"/>
  <c r="AL16" i="18"/>
  <c r="AP12" i="18"/>
  <c r="AR38" i="18"/>
  <c r="AR49" i="18"/>
  <c r="AQ51" i="18"/>
  <c r="AR33" i="18"/>
  <c r="AS60" i="18"/>
  <c r="AR39" i="18"/>
  <c r="AT48" i="18"/>
  <c r="AU16" i="18"/>
  <c r="AM16" i="18"/>
  <c r="AS21" i="18"/>
  <c r="AO51" i="18"/>
  <c r="AO44" i="18"/>
  <c r="AN21" i="18"/>
  <c r="AV65" i="18"/>
  <c r="AK39" i="18"/>
  <c r="AI24" i="18"/>
  <c r="AJ13" i="18"/>
  <c r="AL28" i="18"/>
  <c r="AM30" i="18"/>
  <c r="AL43" i="18"/>
  <c r="AI44" i="18"/>
  <c r="AT59" i="18"/>
  <c r="AS35" i="18"/>
  <c r="AK40" i="18"/>
  <c r="AR42" i="18"/>
  <c r="AU17" i="18"/>
  <c r="AS9" i="18"/>
  <c r="AT41" i="18"/>
  <c r="AT33" i="18"/>
  <c r="AI50" i="18"/>
  <c r="AQ57" i="18"/>
  <c r="AO23" i="18"/>
  <c r="AI37" i="18"/>
  <c r="AJ61" i="18"/>
  <c r="AP43" i="18"/>
  <c r="AJ39" i="18"/>
  <c r="AR8" i="18"/>
  <c r="AR23" i="18"/>
  <c r="AN38" i="18"/>
  <c r="AT19" i="18"/>
  <c r="AR29" i="18"/>
  <c r="AO33" i="18"/>
  <c r="AR50" i="18"/>
  <c r="AI57" i="18"/>
  <c r="AQ21" i="18"/>
  <c r="AT53" i="18"/>
  <c r="AJ46" i="18"/>
  <c r="AN42" i="18"/>
  <c r="AR9" i="18"/>
  <c r="AT11" i="18"/>
  <c r="AS22" i="18"/>
  <c r="AM20" i="18"/>
  <c r="AR51" i="18"/>
  <c r="AL5" i="18"/>
  <c r="AL17" i="18"/>
  <c r="AU21" i="18"/>
  <c r="AU11" i="18"/>
  <c r="AO28" i="18"/>
  <c r="AS33" i="18"/>
  <c r="AM25" i="18"/>
  <c r="AL31" i="18"/>
  <c r="AS31" i="18"/>
  <c r="AL63" i="18"/>
  <c r="AO36" i="18"/>
  <c r="AO45" i="18"/>
  <c r="AQ63" i="18"/>
  <c r="AL21" i="18"/>
  <c r="AV49" i="18"/>
  <c r="AR61" i="18"/>
  <c r="AN62" i="18"/>
  <c r="AM17" i="18"/>
  <c r="AM61" i="18"/>
  <c r="AS63" i="18"/>
  <c r="AK7" i="18"/>
  <c r="AT38" i="18"/>
  <c r="AO54" i="18"/>
  <c r="AK29" i="18"/>
  <c r="AL41" i="18"/>
  <c r="AV46" i="18"/>
  <c r="AV14" i="18"/>
  <c r="AO7" i="18"/>
  <c r="AV40" i="18"/>
  <c r="AH36" i="18"/>
  <c r="AV52" i="18"/>
  <c r="AI8" i="18"/>
  <c r="AJ14" i="18"/>
  <c r="AL46" i="18"/>
  <c r="AI55" i="18"/>
  <c r="AQ53" i="18"/>
  <c r="AS64" i="18"/>
  <c r="AU19" i="18"/>
  <c r="AO60" i="18"/>
  <c r="AI38" i="18"/>
  <c r="AM34" i="18"/>
  <c r="AV39" i="18"/>
  <c r="AU34" i="18"/>
  <c r="AQ17" i="18"/>
  <c r="AP29" i="18"/>
  <c r="AH26" i="18"/>
  <c r="AJ43" i="18"/>
  <c r="AL45" i="18"/>
  <c r="AK31" i="18"/>
  <c r="AS48" i="18"/>
  <c r="AK25" i="18"/>
  <c r="AP54" i="18"/>
  <c r="AR6" i="18"/>
  <c r="AM29" i="18"/>
  <c r="AI31" i="18"/>
  <c r="AU53" i="18"/>
  <c r="AK5" i="18"/>
  <c r="AN32" i="18"/>
  <c r="AN46" i="18"/>
  <c r="AS36" i="18"/>
  <c r="AO15" i="18"/>
  <c r="AQ22" i="18"/>
  <c r="AQ24" i="18"/>
  <c r="AL12" i="18"/>
  <c r="AR35" i="18"/>
  <c r="AM7" i="18"/>
  <c r="AS55" i="18"/>
  <c r="AO20" i="18"/>
  <c r="AU42" i="18"/>
  <c r="AN48" i="18"/>
  <c r="AO18" i="18"/>
  <c r="AP59" i="18"/>
  <c r="AN13" i="18"/>
  <c r="AK33" i="18"/>
  <c r="AR18" i="18"/>
  <c r="AR14" i="18"/>
  <c r="AK15" i="18"/>
  <c r="AJ22" i="18"/>
  <c r="AN60" i="18"/>
  <c r="AJ21" i="18"/>
  <c r="AP14" i="18"/>
  <c r="AK16" i="18"/>
  <c r="AN40" i="18"/>
  <c r="AR5" i="18"/>
  <c r="AP8" i="18"/>
  <c r="AP15" i="18"/>
  <c r="AL34" i="18"/>
  <c r="AS45" i="18"/>
  <c r="AR32" i="18"/>
  <c r="AO10" i="18"/>
  <c r="AM41" i="18"/>
  <c r="AO21" i="18"/>
  <c r="AO55" i="18"/>
  <c r="AJ63" i="18"/>
  <c r="AT6" i="18"/>
  <c r="B107" i="6"/>
  <c r="FD4" i="1" s="1"/>
  <c r="B129" i="6"/>
  <c r="AZ14" i="21" s="1"/>
  <c r="AH14" i="21" s="1"/>
  <c r="B42" i="6"/>
  <c r="B68" i="6"/>
  <c r="B167" i="6"/>
  <c r="BH82" i="1" s="1"/>
  <c r="B29" i="6"/>
  <c r="X4" i="1" s="1"/>
  <c r="B48" i="6"/>
  <c r="B62" i="6"/>
  <c r="B191" i="6"/>
  <c r="DZ3" i="20" s="1"/>
  <c r="AT3" i="20" s="1"/>
  <c r="B168" i="6"/>
  <c r="BH83" i="1" s="1"/>
  <c r="B73" i="6"/>
  <c r="B154" i="6"/>
  <c r="B71" i="15" s="1"/>
  <c r="B100" i="6"/>
  <c r="U3" i="1" s="1"/>
  <c r="B134" i="6"/>
  <c r="BH78" i="1" s="1"/>
  <c r="B153" i="6"/>
  <c r="B95" i="5" s="1"/>
  <c r="B185" i="6"/>
  <c r="B137" i="6"/>
  <c r="B32" i="6"/>
  <c r="B58" i="6"/>
  <c r="B80" i="6"/>
  <c r="B187" i="6"/>
  <c r="EE6" i="20" s="1"/>
  <c r="BK6" i="20" s="1"/>
  <c r="B56" i="6"/>
  <c r="B170" i="6"/>
  <c r="CK6" i="20" s="1"/>
  <c r="N6" i="20" s="1"/>
  <c r="B23" i="6"/>
  <c r="B51" i="6"/>
  <c r="Q6" i="4" s="1"/>
  <c r="B157" i="6"/>
  <c r="AF47" i="1" s="1"/>
  <c r="B35" i="6"/>
  <c r="B105" i="6"/>
  <c r="B59" i="6"/>
  <c r="B149" i="6"/>
  <c r="B98" i="6"/>
  <c r="FS4" i="1" s="1"/>
  <c r="B115" i="6"/>
  <c r="FI4" i="1" s="1"/>
  <c r="B163" i="6"/>
  <c r="B25" i="6"/>
  <c r="B30" i="6"/>
  <c r="Y4" i="1" s="1"/>
  <c r="B122" i="6"/>
  <c r="G4" i="1" s="1"/>
  <c r="B79" i="6"/>
  <c r="B89" i="6"/>
  <c r="B38" i="6"/>
  <c r="B24" i="6"/>
  <c r="B160" i="6"/>
  <c r="I3" i="4" s="1"/>
  <c r="B77" i="6"/>
  <c r="FH4" i="1" s="1"/>
  <c r="B17" i="6"/>
  <c r="B16" i="6" s="1"/>
  <c r="B61" i="6"/>
  <c r="B165" i="6"/>
  <c r="BH80" i="1" s="1"/>
  <c r="B124" i="6"/>
  <c r="B173" i="6"/>
  <c r="CN6" i="20" s="1"/>
  <c r="Q6" i="20" s="1"/>
  <c r="B43" i="6"/>
  <c r="B74" i="6"/>
  <c r="B175" i="6"/>
  <c r="CK5" i="20" s="1"/>
  <c r="N5" i="20" s="1"/>
  <c r="B41" i="6"/>
  <c r="Y47" i="1" s="1"/>
  <c r="EL47" i="1" s="1"/>
  <c r="B130" i="6"/>
  <c r="BH74" i="1" s="1"/>
  <c r="B162" i="6"/>
  <c r="B171" i="6"/>
  <c r="B135" i="6"/>
  <c r="B138" i="6"/>
  <c r="B14" i="6"/>
  <c r="B76" i="6"/>
  <c r="B127" i="6"/>
  <c r="P4" i="1" s="1"/>
  <c r="CF6" i="20" s="1"/>
  <c r="L6" i="20" s="1"/>
  <c r="B145" i="6"/>
  <c r="B172" i="6"/>
  <c r="B102" i="6"/>
  <c r="W4" i="1" s="1"/>
  <c r="B106" i="6"/>
  <c r="FC4" i="1" s="1"/>
  <c r="B90" i="6"/>
  <c r="G47" i="1" s="1"/>
  <c r="B47" i="6"/>
  <c r="B88" i="6"/>
  <c r="C7" i="10" s="1"/>
  <c r="B114" i="6"/>
  <c r="B94" i="6"/>
  <c r="B28" i="6"/>
  <c r="T4" i="1" s="1"/>
  <c r="B146" i="6"/>
  <c r="B177" i="6"/>
  <c r="CP5" i="20" s="1"/>
  <c r="T5" i="20" s="1"/>
  <c r="B159" i="6"/>
  <c r="I2" i="4" s="1"/>
  <c r="A7" i="16" s="1"/>
  <c r="B166" i="6"/>
  <c r="BH81" i="1" s="1"/>
  <c r="B91" i="6"/>
  <c r="A47" i="1" s="1"/>
  <c r="B11" i="6"/>
  <c r="CB5" i="20" s="1"/>
  <c r="H5" i="20" s="1"/>
  <c r="B117" i="6"/>
  <c r="B169" i="6"/>
  <c r="B39" i="6"/>
  <c r="X3" i="1" s="1"/>
  <c r="B202" i="6"/>
  <c r="B136" i="6"/>
  <c r="B193" i="6"/>
  <c r="B50" i="6"/>
  <c r="P6" i="4" s="1"/>
  <c r="B196" i="6"/>
  <c r="B83" i="6"/>
  <c r="B13" i="6"/>
  <c r="D4" i="1" s="1"/>
  <c r="CG6" i="20" s="1"/>
  <c r="D6" i="20" s="1"/>
  <c r="B36" i="6"/>
  <c r="B55" i="6"/>
  <c r="B60" i="6"/>
  <c r="B4" i="4" s="1"/>
  <c r="B125" i="6"/>
  <c r="B82" i="6"/>
  <c r="B81" i="6" s="1"/>
  <c r="R27" i="7" s="1"/>
  <c r="B22" i="6"/>
  <c r="L3" i="1" s="1"/>
  <c r="B108" i="6"/>
  <c r="FB4" i="1" s="1"/>
  <c r="B86" i="6"/>
  <c r="D24" i="7" s="1"/>
  <c r="B63" i="6"/>
  <c r="B111" i="6"/>
  <c r="B144" i="6"/>
  <c r="B155" i="6"/>
  <c r="B52" i="6"/>
  <c r="R6" i="4" s="1"/>
  <c r="B20" i="6"/>
  <c r="B19" i="6" s="1"/>
  <c r="O4" i="1" s="1"/>
  <c r="GC6" i="4" s="1"/>
  <c r="B140" i="6"/>
  <c r="M47" i="1" s="1"/>
  <c r="B118" i="6"/>
  <c r="B7" i="6"/>
  <c r="B110" i="6"/>
  <c r="FM4" i="1" s="1"/>
  <c r="B18" i="6"/>
  <c r="B104" i="6"/>
  <c r="AZ8" i="17" s="1"/>
  <c r="B8" i="6"/>
  <c r="B6" i="4" s="1"/>
  <c r="B93" i="6"/>
  <c r="B143" i="6"/>
  <c r="B198" i="6"/>
  <c r="B201" i="6"/>
  <c r="B31" i="6"/>
  <c r="B200" i="6"/>
  <c r="B40" i="6"/>
  <c r="B152" i="6"/>
  <c r="B45" i="6"/>
  <c r="Y1" i="4" s="1"/>
  <c r="B120" i="6"/>
  <c r="B131" i="6"/>
  <c r="BH75" i="1" s="1"/>
  <c r="B150" i="6"/>
  <c r="B103" i="6"/>
  <c r="B71" i="6"/>
  <c r="B5" i="6"/>
  <c r="B192" i="6"/>
  <c r="EE5" i="20" s="1"/>
  <c r="BK5" i="20" s="1"/>
  <c r="B182" i="6"/>
  <c r="DM6" i="20" s="1"/>
  <c r="B133" i="6"/>
  <c r="BH77" i="1" s="1"/>
  <c r="B12" i="6"/>
  <c r="J6" i="4" s="1"/>
  <c r="B87" i="6"/>
  <c r="B178" i="6"/>
  <c r="CT6" i="20" s="1"/>
  <c r="B156" i="6"/>
  <c r="B49" i="6"/>
  <c r="B194" i="6"/>
  <c r="B195" i="6"/>
  <c r="B109" i="6"/>
  <c r="FF4" i="1" s="1"/>
  <c r="B188" i="6"/>
  <c r="B9" i="6"/>
  <c r="B7" i="14" s="1"/>
  <c r="B44" i="6"/>
  <c r="B54" i="6"/>
  <c r="B27" i="6"/>
  <c r="B147" i="6"/>
  <c r="B72" i="6"/>
  <c r="B116" i="6"/>
  <c r="FN4" i="1" s="1"/>
  <c r="B176" i="6"/>
  <c r="CB3" i="20" s="1"/>
  <c r="A1" i="20" s="1"/>
  <c r="B10" i="6"/>
  <c r="D1" i="6" s="1"/>
  <c r="B180" i="6"/>
  <c r="DG6" i="20" s="1"/>
  <c r="AL6" i="20" s="1"/>
  <c r="B67" i="6"/>
  <c r="B121" i="6"/>
  <c r="B26" i="6"/>
  <c r="S4" i="1" s="1"/>
  <c r="B64" i="6"/>
  <c r="J4" i="1" s="1"/>
  <c r="C2" i="19" s="1"/>
  <c r="B70" i="6"/>
  <c r="B85" i="6"/>
  <c r="B148" i="6"/>
  <c r="B37" i="6"/>
  <c r="AF4" i="1" s="1"/>
  <c r="B174" i="6"/>
  <c r="B113" i="6"/>
  <c r="B95" i="6"/>
  <c r="B101" i="6"/>
  <c r="B132" i="6"/>
  <c r="BH76" i="1" s="1"/>
  <c r="B84" i="6"/>
  <c r="B53" i="6"/>
  <c r="B46" i="6"/>
  <c r="W1" i="4" s="1"/>
  <c r="B69" i="6"/>
  <c r="B34" i="6"/>
  <c r="B161" i="6"/>
  <c r="B181" i="6"/>
  <c r="DK6" i="20" s="1"/>
  <c r="AP6" i="20" s="1"/>
  <c r="B151" i="6"/>
  <c r="B15" i="6"/>
  <c r="F4" i="1" s="1"/>
  <c r="B99" i="6"/>
  <c r="B119" i="6"/>
  <c r="B142" i="6"/>
  <c r="AC3" i="4" s="1"/>
  <c r="B158" i="6"/>
  <c r="B78" i="6"/>
  <c r="B184" i="6"/>
  <c r="B75" i="6"/>
  <c r="BA6" i="21" s="1"/>
  <c r="AI6" i="21" s="1"/>
  <c r="AF6" i="21" s="1"/>
  <c r="B183" i="6"/>
  <c r="B57" i="6"/>
  <c r="A2" i="1" s="1"/>
  <c r="A4" i="20" s="1"/>
  <c r="AE10" i="7"/>
  <c r="FJ6" i="1"/>
  <c r="S49" i="17"/>
  <c r="S49" i="18"/>
  <c r="S49" i="21"/>
  <c r="GV42" i="4"/>
  <c r="S41" i="17"/>
  <c r="S37" i="21"/>
  <c r="S37" i="17"/>
  <c r="GV38" i="4"/>
  <c r="S37" i="18"/>
  <c r="X66" i="21"/>
  <c r="X66" i="18"/>
  <c r="T66" i="18"/>
  <c r="T66" i="21"/>
  <c r="Y60" i="17"/>
  <c r="Y60" i="18"/>
  <c r="AT21" i="21"/>
  <c r="AO6" i="21"/>
  <c r="AI36" i="21"/>
  <c r="AQ29" i="21"/>
  <c r="AJ39" i="21"/>
  <c r="AT33" i="21"/>
  <c r="AL51" i="21"/>
  <c r="AI63" i="21"/>
  <c r="AI30" i="21"/>
  <c r="AI9" i="21"/>
  <c r="AN26" i="21"/>
  <c r="AS62" i="21"/>
  <c r="AT7" i="21"/>
  <c r="AN59" i="21"/>
  <c r="AQ22" i="21"/>
  <c r="AI41" i="21"/>
  <c r="AM48" i="21"/>
  <c r="AK16" i="21"/>
  <c r="AM11" i="21"/>
  <c r="AT29" i="21"/>
  <c r="AU49" i="21"/>
  <c r="AL17" i="21"/>
  <c r="AT61" i="21"/>
  <c r="AR5" i="21"/>
  <c r="AO12" i="21"/>
  <c r="AO24" i="21"/>
  <c r="AL25" i="21"/>
  <c r="AO48" i="21"/>
  <c r="AO45" i="21"/>
  <c r="AV33" i="21"/>
  <c r="AP14" i="21"/>
  <c r="AS28" i="21"/>
  <c r="AO38" i="21"/>
  <c r="AU38" i="21"/>
  <c r="AU8" i="21"/>
  <c r="AL8" i="21"/>
  <c r="AJ8" i="21"/>
  <c r="AV65" i="21"/>
  <c r="AQ14" i="21"/>
  <c r="AR25" i="21"/>
  <c r="AI19" i="21"/>
  <c r="AM16" i="21"/>
  <c r="AQ25" i="21"/>
  <c r="AL65" i="21"/>
  <c r="AK18" i="21"/>
  <c r="AN44" i="21"/>
  <c r="AR39" i="21"/>
  <c r="AK9" i="21"/>
  <c r="AS21" i="21"/>
  <c r="AV36" i="21"/>
  <c r="AI45" i="21"/>
  <c r="AM62" i="21"/>
  <c r="AV10" i="21"/>
  <c r="AS56" i="21"/>
  <c r="AR12" i="21"/>
  <c r="AS46" i="21"/>
  <c r="AK42" i="21"/>
  <c r="AO13" i="21"/>
  <c r="AN40" i="21"/>
  <c r="AS10" i="21"/>
  <c r="AS19" i="21"/>
  <c r="AS35" i="21"/>
  <c r="AS9" i="21"/>
  <c r="AN36" i="21"/>
  <c r="AN32" i="21"/>
  <c r="AQ21" i="21"/>
  <c r="AM19" i="21"/>
  <c r="AO52" i="21"/>
  <c r="AU64" i="21"/>
  <c r="AP59" i="21"/>
  <c r="AT42" i="21"/>
  <c r="AV23" i="21"/>
  <c r="AV61" i="21"/>
  <c r="AM7" i="21"/>
  <c r="AQ59" i="21"/>
  <c r="AO54" i="21"/>
  <c r="AS26" i="21"/>
  <c r="AI21" i="21"/>
  <c r="AJ17" i="21"/>
  <c r="AU5" i="21"/>
  <c r="AQ13" i="21"/>
  <c r="AK25" i="21"/>
  <c r="AL12" i="21"/>
  <c r="AO14" i="21"/>
  <c r="AL54" i="21"/>
  <c r="AN54" i="21"/>
  <c r="AV18" i="21"/>
  <c r="AQ55" i="21"/>
  <c r="AQ15" i="21"/>
  <c r="AK49" i="21"/>
  <c r="AO7" i="21"/>
  <c r="AI42" i="21"/>
  <c r="AS38" i="21"/>
  <c r="AJ56" i="21"/>
  <c r="AS12" i="21"/>
  <c r="AO53" i="21"/>
  <c r="AP11" i="21"/>
  <c r="AT28" i="21"/>
  <c r="AQ45" i="21"/>
  <c r="AJ21" i="21"/>
  <c r="AO21" i="21"/>
  <c r="AU46" i="21"/>
  <c r="AR23" i="21"/>
  <c r="AM40" i="21"/>
  <c r="AN8" i="21"/>
  <c r="AU39" i="21"/>
  <c r="AO47" i="21"/>
  <c r="AL50" i="21"/>
  <c r="AM26" i="21"/>
  <c r="AI27" i="21"/>
  <c r="AJ58" i="21"/>
  <c r="AQ61" i="21"/>
  <c r="AJ14" i="21"/>
  <c r="AV50" i="21"/>
  <c r="AM46" i="21"/>
  <c r="AT37" i="21"/>
  <c r="AK11" i="21"/>
  <c r="AU57" i="21"/>
  <c r="AQ17" i="21"/>
  <c r="AQ51" i="21"/>
  <c r="AJ22" i="21"/>
  <c r="AU32" i="21"/>
  <c r="AK43" i="21"/>
  <c r="AJ46" i="21"/>
  <c r="AM57" i="21"/>
  <c r="AT49" i="21"/>
  <c r="AJ29" i="21"/>
  <c r="AU9" i="21"/>
  <c r="AR46" i="21"/>
  <c r="AK22" i="21"/>
  <c r="AL23" i="21"/>
  <c r="AU34" i="21"/>
  <c r="AP7" i="21"/>
  <c r="AJ25" i="21"/>
  <c r="AO65" i="21"/>
  <c r="AI58" i="21"/>
  <c r="AT43" i="21"/>
  <c r="AN37" i="21"/>
  <c r="AJ34" i="21"/>
  <c r="AP27" i="21"/>
  <c r="AQ18" i="21"/>
  <c r="AP61" i="21"/>
  <c r="AN50" i="21"/>
  <c r="AR54" i="21"/>
  <c r="AV32" i="21"/>
  <c r="AP22" i="21"/>
  <c r="AP8" i="21"/>
  <c r="AT25" i="21"/>
  <c r="AN17" i="21"/>
  <c r="AV11" i="21"/>
  <c r="AQ20" i="21"/>
  <c r="AR19" i="21"/>
  <c r="AU18" i="21"/>
  <c r="AK8" i="21"/>
  <c r="AJ20" i="21"/>
  <c r="AU47" i="21"/>
  <c r="AN10" i="21"/>
  <c r="AO59" i="21"/>
  <c r="AU54" i="21"/>
  <c r="AQ31" i="21"/>
  <c r="AP65" i="21"/>
  <c r="AM17" i="21"/>
  <c r="AU65" i="21"/>
  <c r="AN24" i="21"/>
  <c r="AJ51" i="21"/>
  <c r="AQ52" i="21"/>
  <c r="AN42" i="21"/>
  <c r="AM39" i="21"/>
  <c r="AT50" i="21"/>
  <c r="AN51" i="21"/>
  <c r="AS23" i="21"/>
  <c r="AO10" i="21"/>
  <c r="AM24" i="21"/>
  <c r="AT13" i="21"/>
  <c r="AJ15" i="21"/>
  <c r="AO50" i="21"/>
  <c r="AP15" i="21"/>
  <c r="AP52" i="21"/>
  <c r="AT62" i="21"/>
  <c r="AM10" i="21"/>
  <c r="AQ27" i="21"/>
  <c r="AH6" i="21"/>
  <c r="AS63" i="21"/>
  <c r="AR7" i="21"/>
  <c r="AU50" i="21"/>
  <c r="AM43" i="21"/>
  <c r="AT32" i="21"/>
  <c r="AV59" i="21"/>
  <c r="AT63" i="21"/>
  <c r="AS59" i="21"/>
  <c r="AT51" i="21"/>
  <c r="AJ11" i="21"/>
  <c r="AP54" i="21"/>
  <c r="AR27" i="21"/>
  <c r="AM58" i="21"/>
  <c r="AK13" i="21"/>
  <c r="AL38" i="21"/>
  <c r="AL14" i="21"/>
  <c r="AR45" i="21"/>
  <c r="AU43" i="21"/>
  <c r="AJ5" i="21"/>
  <c r="AL56" i="21"/>
  <c r="AP13" i="21"/>
  <c r="AR17" i="21"/>
  <c r="AP6" i="21"/>
  <c r="AI37" i="21"/>
  <c r="AU31" i="21"/>
  <c r="AJ28" i="21"/>
  <c r="AR49" i="21"/>
  <c r="AJ42" i="21"/>
  <c r="AU25" i="21"/>
  <c r="AP32" i="21"/>
  <c r="AL30" i="21"/>
  <c r="AP51" i="21"/>
  <c r="AL40" i="21"/>
  <c r="AP49" i="21"/>
  <c r="AU30" i="21"/>
  <c r="AL42" i="21"/>
  <c r="AO37" i="21"/>
  <c r="AL36" i="21"/>
  <c r="AS18" i="21"/>
  <c r="AN63" i="21"/>
  <c r="AK27" i="21"/>
  <c r="AN62" i="21"/>
  <c r="AI48" i="21"/>
  <c r="AK54" i="21"/>
  <c r="AQ58" i="21"/>
  <c r="AL24" i="21"/>
  <c r="AK50" i="21"/>
  <c r="AP16" i="21"/>
  <c r="AN12" i="21"/>
  <c r="AU61" i="21"/>
  <c r="AR48" i="21"/>
  <c r="AU55" i="21"/>
  <c r="AR60" i="21"/>
  <c r="AK17" i="21"/>
  <c r="AI17" i="21"/>
  <c r="AJ38" i="21"/>
  <c r="AU13" i="21"/>
  <c r="AQ43" i="21"/>
  <c r="AT40" i="21"/>
  <c r="AO34" i="21"/>
  <c r="AL46" i="21"/>
  <c r="AK58" i="21"/>
  <c r="AK40" i="21"/>
  <c r="AP41" i="21"/>
  <c r="AI33" i="21"/>
  <c r="AS53" i="21"/>
  <c r="AU36" i="21"/>
  <c r="AN16" i="21"/>
  <c r="AI62" i="21"/>
  <c r="AI24" i="21"/>
  <c r="AR44" i="21"/>
  <c r="AJ64" i="21"/>
  <c r="AN46" i="21"/>
  <c r="AI10" i="21"/>
  <c r="AR32" i="21"/>
  <c r="AI38" i="21"/>
  <c r="AK24" i="21"/>
  <c r="AT53" i="21"/>
  <c r="AK57" i="21"/>
  <c r="AU53" i="21"/>
  <c r="AM25" i="21"/>
  <c r="AO5" i="21"/>
  <c r="AS49" i="21"/>
  <c r="AO56" i="21"/>
  <c r="AT64" i="21"/>
  <c r="AV30" i="21"/>
  <c r="AL35" i="21"/>
  <c r="AV45" i="21"/>
  <c r="AP33" i="21"/>
  <c r="AK61" i="21"/>
  <c r="AV41" i="21"/>
  <c r="AN65" i="21"/>
  <c r="AV12" i="21"/>
  <c r="AU14" i="21"/>
  <c r="AI16" i="21"/>
  <c r="AQ56" i="21"/>
  <c r="AI61" i="21"/>
  <c r="AN18" i="21"/>
  <c r="AL20" i="21"/>
  <c r="AT45" i="21"/>
  <c r="AT59" i="21"/>
  <c r="AS5" i="21"/>
  <c r="AQ8" i="21"/>
  <c r="AN60" i="21"/>
  <c r="AV43" i="21"/>
  <c r="AQ34" i="21"/>
  <c r="AU58" i="21"/>
  <c r="AI25" i="21"/>
  <c r="AS8" i="21"/>
  <c r="AS7" i="21"/>
  <c r="AO11" i="21"/>
  <c r="AQ54" i="21"/>
  <c r="AL29" i="21"/>
  <c r="AO26" i="21"/>
  <c r="AS57" i="21"/>
  <c r="AS20" i="21"/>
  <c r="AS16" i="21"/>
  <c r="AT10" i="21"/>
  <c r="AN33" i="21"/>
  <c r="AM31" i="21"/>
  <c r="AS37" i="21"/>
  <c r="AM54" i="21"/>
  <c r="AT34" i="21"/>
  <c r="AO55" i="21"/>
  <c r="AM41" i="21"/>
  <c r="AI26" i="21"/>
  <c r="AJ61" i="21"/>
  <c r="AV49" i="21"/>
  <c r="AO18" i="21"/>
  <c r="AR43" i="21"/>
  <c r="AQ24" i="21"/>
  <c r="AU16" i="21"/>
  <c r="AO23" i="21"/>
  <c r="AS51" i="21"/>
  <c r="AK19" i="21"/>
  <c r="AK5" i="21"/>
  <c r="AL15" i="21"/>
  <c r="AS13" i="21"/>
  <c r="AN57" i="21"/>
  <c r="AO60" i="21"/>
  <c r="AL11" i="21"/>
  <c r="AJ44" i="21"/>
  <c r="AS24" i="21"/>
  <c r="AP35" i="21"/>
  <c r="AR64" i="21"/>
  <c r="AL52" i="21"/>
  <c r="AM14" i="21"/>
  <c r="AJ31" i="21"/>
  <c r="AT60" i="21"/>
  <c r="AL37" i="21"/>
  <c r="AM53" i="21"/>
  <c r="AU44" i="21"/>
  <c r="AK56" i="21"/>
  <c r="AK44" i="21"/>
  <c r="AI65" i="21"/>
  <c r="AP62" i="21"/>
  <c r="AR18" i="21"/>
  <c r="AN53" i="21"/>
  <c r="AS14" i="21"/>
  <c r="AV13" i="21"/>
  <c r="AI15" i="21"/>
  <c r="AR10" i="21"/>
  <c r="AO33" i="21"/>
  <c r="AL31" i="21"/>
  <c r="AK55" i="21"/>
  <c r="AH31" i="21"/>
  <c r="AR47" i="21"/>
  <c r="AU12" i="21"/>
  <c r="AO46" i="21"/>
  <c r="AP21" i="21"/>
  <c r="AN13" i="21"/>
  <c r="AO39" i="21"/>
  <c r="AV47" i="21"/>
  <c r="AQ35" i="21"/>
  <c r="AI49" i="21"/>
  <c r="AK60" i="21"/>
  <c r="AL7" i="21"/>
  <c r="AP23" i="21"/>
  <c r="AN7" i="21"/>
  <c r="AJ63" i="21"/>
  <c r="AM29" i="21"/>
  <c r="AU10" i="21"/>
  <c r="AP50" i="21"/>
  <c r="AR50" i="21"/>
  <c r="AP38" i="21"/>
  <c r="AI35" i="21"/>
  <c r="AT58" i="21"/>
  <c r="AJ36" i="21"/>
  <c r="AN56" i="21"/>
  <c r="AU21" i="21"/>
  <c r="AJ19" i="21"/>
  <c r="AI50" i="21"/>
  <c r="AK33" i="21"/>
  <c r="AM51" i="21"/>
  <c r="AU24" i="21"/>
  <c r="AM52" i="21"/>
  <c r="AI8" i="21"/>
  <c r="AP5" i="21"/>
  <c r="AP25" i="21"/>
  <c r="AT65" i="21"/>
  <c r="AL55" i="21"/>
  <c r="AK35" i="21"/>
  <c r="AQ9" i="21"/>
  <c r="AM56" i="21"/>
  <c r="AP57" i="21"/>
  <c r="AJ33" i="21"/>
  <c r="AU26" i="21"/>
  <c r="AN61" i="21"/>
  <c r="AT8" i="21"/>
  <c r="AR30" i="21"/>
  <c r="AK20" i="21"/>
  <c r="AM27" i="21"/>
  <c r="AJ47" i="21"/>
  <c r="AO17" i="21"/>
  <c r="AO31" i="21"/>
  <c r="AQ48" i="21"/>
  <c r="AR58" i="21"/>
  <c r="AL19" i="21"/>
  <c r="AV37" i="21"/>
  <c r="AV25" i="21"/>
  <c r="AK48" i="21"/>
  <c r="AN58" i="21"/>
  <c r="AS25" i="21"/>
  <c r="AN41" i="21"/>
  <c r="AK10" i="21"/>
  <c r="AO57" i="21"/>
  <c r="AV26" i="21"/>
  <c r="AN52" i="21"/>
  <c r="AV6" i="21"/>
  <c r="P5" i="21" s="1"/>
  <c r="AA23" i="21" s="1"/>
  <c r="AM42" i="21"/>
  <c r="AV35" i="21"/>
  <c r="AR15" i="21"/>
  <c r="AN19" i="21"/>
  <c r="AN39" i="21"/>
  <c r="AP45" i="21"/>
  <c r="AV52" i="21"/>
  <c r="AN47" i="21"/>
  <c r="AV22" i="21"/>
  <c r="AT52" i="21"/>
  <c r="AI5" i="21"/>
  <c r="AQ11" i="21"/>
  <c r="AS45" i="21"/>
  <c r="AM34" i="21"/>
  <c r="AT12" i="21"/>
  <c r="AK30" i="21"/>
  <c r="AK51" i="21"/>
  <c r="AR14" i="21"/>
  <c r="AR21" i="21"/>
  <c r="AQ50" i="21"/>
  <c r="AK28" i="21"/>
  <c r="AR9" i="21"/>
  <c r="AS30" i="21"/>
  <c r="AJ45" i="21"/>
  <c r="AR11" i="21"/>
  <c r="AO32" i="21"/>
  <c r="AL32" i="21"/>
  <c r="AI14" i="21"/>
  <c r="AV44" i="21"/>
  <c r="AM37" i="21"/>
  <c r="AU42" i="21"/>
  <c r="AO63" i="21"/>
  <c r="AL21" i="21"/>
  <c r="AP43" i="21"/>
  <c r="AM65" i="21"/>
  <c r="AO29" i="21"/>
  <c r="AV40" i="21"/>
  <c r="AP63" i="21"/>
  <c r="AR36" i="21"/>
  <c r="AN43" i="21"/>
  <c r="AO20" i="21"/>
  <c r="AQ62" i="21"/>
  <c r="AJ60" i="21"/>
  <c r="AP20" i="21"/>
  <c r="AU52" i="21"/>
  <c r="AP55" i="21"/>
  <c r="AQ53" i="21"/>
  <c r="AQ63" i="21"/>
  <c r="AL43" i="21"/>
  <c r="AR38" i="21"/>
  <c r="AV16" i="21"/>
  <c r="AR33" i="21"/>
  <c r="AT46" i="21"/>
  <c r="AJ12" i="21"/>
  <c r="AK21" i="21"/>
  <c r="AO9" i="21"/>
  <c r="AQ49" i="21"/>
  <c r="AK65" i="21"/>
  <c r="AU37" i="21"/>
  <c r="AP37" i="21"/>
  <c r="AQ36" i="21"/>
  <c r="AL41" i="21"/>
  <c r="AP36" i="21"/>
  <c r="AN22" i="21"/>
  <c r="AM20" i="21"/>
  <c r="AL33" i="21"/>
  <c r="AN30" i="21"/>
  <c r="AN15" i="21"/>
  <c r="AM45" i="21"/>
  <c r="AU63" i="21"/>
  <c r="AU48" i="21"/>
  <c r="AM63" i="21"/>
  <c r="AS54" i="21"/>
  <c r="AJ23" i="21"/>
  <c r="AI7" i="21"/>
  <c r="AP44" i="21"/>
  <c r="AJ32" i="21"/>
  <c r="AJ27" i="21"/>
  <c r="AO30" i="21"/>
  <c r="AP64" i="21"/>
  <c r="AJ52" i="21"/>
  <c r="AM36" i="21"/>
  <c r="AK29" i="21"/>
  <c r="AQ47" i="21"/>
  <c r="AM59" i="21"/>
  <c r="AV17" i="21"/>
  <c r="AM18" i="21"/>
  <c r="AT19" i="21"/>
  <c r="AU15" i="21"/>
  <c r="AQ23" i="21"/>
  <c r="AK64" i="21"/>
  <c r="AI23" i="21"/>
  <c r="AT36" i="21"/>
  <c r="AT30" i="21"/>
  <c r="AU45" i="21"/>
  <c r="AS34" i="21"/>
  <c r="AO49" i="21"/>
  <c r="AJ50" i="21"/>
  <c r="AP12" i="21"/>
  <c r="AQ32" i="21"/>
  <c r="AI55" i="21"/>
  <c r="AM28" i="21"/>
  <c r="AT17" i="21"/>
  <c r="AI39" i="21"/>
  <c r="AI18" i="21"/>
  <c r="AN9" i="21"/>
  <c r="AK41" i="21"/>
  <c r="AR52" i="21"/>
  <c r="AP29" i="21"/>
  <c r="AL26" i="21"/>
  <c r="AQ28" i="21"/>
  <c r="AI47" i="21"/>
  <c r="AR59" i="21"/>
  <c r="AV56" i="21"/>
  <c r="AJ62" i="21"/>
  <c r="AN27" i="21"/>
  <c r="AL13" i="21"/>
  <c r="AO16" i="21"/>
  <c r="AM61" i="21"/>
  <c r="AL5" i="21"/>
  <c r="AT44" i="21"/>
  <c r="AV53" i="21"/>
  <c r="AT54" i="21"/>
  <c r="AO41" i="21"/>
  <c r="AT56" i="21"/>
  <c r="AI31" i="21"/>
  <c r="AT39" i="21"/>
  <c r="AS31" i="21"/>
  <c r="AU62" i="21"/>
  <c r="AR16" i="21"/>
  <c r="AT14" i="21"/>
  <c r="AH21" i="21"/>
  <c r="AR37" i="21"/>
  <c r="AS47" i="21"/>
  <c r="AR20" i="21"/>
  <c r="AI51" i="21"/>
  <c r="AI20" i="21"/>
  <c r="AM15" i="21"/>
  <c r="AQ10" i="21"/>
  <c r="AR57" i="21"/>
  <c r="AP48" i="21"/>
  <c r="AV20" i="21"/>
  <c r="AS61" i="21"/>
  <c r="AT16" i="21"/>
  <c r="AP34" i="21"/>
  <c r="AK47" i="21"/>
  <c r="AP26" i="21"/>
  <c r="AK37" i="21"/>
  <c r="AT26" i="21"/>
  <c r="AU56" i="21"/>
  <c r="AL16" i="21"/>
  <c r="AS64" i="21"/>
  <c r="AJ40" i="21"/>
  <c r="AS15" i="21"/>
  <c r="AP42" i="21"/>
  <c r="AM12" i="21"/>
  <c r="AP60" i="21"/>
  <c r="AQ46" i="21"/>
  <c r="AV64" i="21"/>
  <c r="AL62" i="21"/>
  <c r="AR61" i="21"/>
  <c r="AN28" i="21"/>
  <c r="AV28" i="21"/>
  <c r="AH26" i="21"/>
  <c r="AQ30" i="21"/>
  <c r="AV62" i="21"/>
  <c r="AM55" i="21"/>
  <c r="AM35" i="21"/>
  <c r="AR24" i="21"/>
  <c r="AP39" i="21"/>
  <c r="AK59" i="21"/>
  <c r="AO51" i="21"/>
  <c r="AL61" i="21"/>
  <c r="AK62" i="21"/>
  <c r="AI28" i="21"/>
  <c r="AQ42" i="21"/>
  <c r="AS65" i="21"/>
  <c r="AI44" i="21"/>
  <c r="AK23" i="21"/>
  <c r="AI13" i="21"/>
  <c r="AV58" i="21"/>
  <c r="AL34" i="21"/>
  <c r="AJ37" i="21"/>
  <c r="AV7" i="21"/>
  <c r="AS48" i="21"/>
  <c r="AV55" i="21"/>
  <c r="AN55" i="21"/>
  <c r="AR22" i="21"/>
  <c r="AO58" i="21"/>
  <c r="AJ48" i="21"/>
  <c r="AL18" i="21"/>
  <c r="AU60" i="21"/>
  <c r="AK63" i="21"/>
  <c r="AV46" i="21"/>
  <c r="AJ16" i="21"/>
  <c r="AU33" i="21"/>
  <c r="AI29" i="21"/>
  <c r="AK46" i="21"/>
  <c r="AQ37" i="21"/>
  <c r="AL9" i="21"/>
  <c r="AI12" i="21"/>
  <c r="AV57" i="21"/>
  <c r="AP30" i="21"/>
  <c r="AP53" i="21"/>
  <c r="AQ65" i="21"/>
  <c r="AM5" i="21"/>
  <c r="AI40" i="21"/>
  <c r="AJ41" i="21"/>
  <c r="AU27" i="21"/>
  <c r="AO8" i="21"/>
  <c r="AQ60" i="21"/>
  <c r="AR63" i="21"/>
  <c r="AS44" i="21"/>
  <c r="AI52" i="21"/>
  <c r="AJ30" i="21"/>
  <c r="AQ39" i="21"/>
  <c r="AV15" i="21"/>
  <c r="AP46" i="21"/>
  <c r="AI34" i="21"/>
  <c r="AT35" i="21"/>
  <c r="AL63" i="21"/>
  <c r="AM13" i="21"/>
  <c r="AR62" i="21"/>
  <c r="AR31" i="21"/>
  <c r="AJ13" i="21"/>
  <c r="AM49" i="21"/>
  <c r="AL39" i="21"/>
  <c r="AO25" i="21"/>
  <c r="AJ9" i="21"/>
  <c r="AK34" i="21"/>
  <c r="AO40" i="21"/>
  <c r="AT20" i="21"/>
  <c r="AT6" i="21"/>
  <c r="AU22" i="21"/>
  <c r="AP31" i="21"/>
  <c r="AP58" i="21"/>
  <c r="AU40" i="21"/>
  <c r="AV21" i="21"/>
  <c r="AT31" i="21"/>
  <c r="AL60" i="21"/>
  <c r="AQ41" i="21"/>
  <c r="AL64" i="21"/>
  <c r="AR65" i="21"/>
  <c r="AK31" i="21"/>
  <c r="AO42" i="21"/>
  <c r="AS33" i="21"/>
  <c r="AV48" i="21"/>
  <c r="AL48" i="21"/>
  <c r="AR34" i="21"/>
  <c r="AM47" i="21"/>
  <c r="AT24" i="21"/>
  <c r="AK12" i="21"/>
  <c r="AT57" i="21"/>
  <c r="AS41" i="21"/>
  <c r="AJ43" i="21"/>
  <c r="AT48" i="21"/>
  <c r="AS17" i="21"/>
  <c r="AV31" i="21"/>
  <c r="AN31" i="21"/>
  <c r="AQ16" i="21"/>
  <c r="AR28" i="21"/>
  <c r="AP18" i="21"/>
  <c r="AN48" i="21"/>
  <c r="AU6" i="21"/>
  <c r="AR55" i="21"/>
  <c r="AI56" i="21"/>
  <c r="AS50" i="21"/>
  <c r="AO22" i="21"/>
  <c r="AR6" i="21"/>
  <c r="AP9" i="21"/>
  <c r="AN11" i="21"/>
  <c r="AK38" i="21"/>
  <c r="AO28" i="21"/>
  <c r="AV54" i="21"/>
  <c r="AN64" i="21"/>
  <c r="AS52" i="21"/>
  <c r="AU20" i="21"/>
  <c r="AS29" i="21"/>
  <c r="AP47" i="21"/>
  <c r="AQ57" i="21"/>
  <c r="AQ33" i="21"/>
  <c r="AM32" i="21"/>
  <c r="AT22" i="21"/>
  <c r="AR35" i="21"/>
  <c r="AU23" i="21"/>
  <c r="AN23" i="21"/>
  <c r="AS27" i="21"/>
  <c r="AT15" i="21"/>
  <c r="AI22" i="21"/>
  <c r="AR13" i="21"/>
  <c r="AU35" i="21"/>
  <c r="AN35" i="21"/>
  <c r="AN49" i="21"/>
  <c r="AK39" i="21"/>
  <c r="AV51" i="21"/>
  <c r="AL47" i="21"/>
  <c r="AO43" i="21"/>
  <c r="AH42" i="21"/>
  <c r="AN21" i="21"/>
  <c r="AO15" i="21"/>
  <c r="BN8" i="4"/>
  <c r="FY27" i="1"/>
  <c r="AC42" i="1"/>
  <c r="DY47" i="20"/>
  <c r="BE47" i="20" s="1"/>
  <c r="DP38" i="20"/>
  <c r="AU38" i="20" s="1"/>
  <c r="AF45" i="1"/>
  <c r="AG38" i="1"/>
  <c r="DD17" i="20"/>
  <c r="AH17" i="20" s="1"/>
  <c r="DN47" i="20"/>
  <c r="AS47" i="20" s="1"/>
  <c r="FQ36" i="1"/>
  <c r="EG47" i="20"/>
  <c r="BM47" i="20" s="1"/>
  <c r="AC31" i="1"/>
  <c r="T33" i="4" s="1"/>
  <c r="E35" i="7" s="1"/>
  <c r="F62" i="26" s="1"/>
  <c r="E62" i="26" s="1"/>
  <c r="AC24" i="1"/>
  <c r="AD24" i="1" s="1"/>
  <c r="DY17" i="20"/>
  <c r="BE17" i="20" s="1"/>
  <c r="DY38" i="20"/>
  <c r="BE38" i="20" s="1"/>
  <c r="DT36" i="1"/>
  <c r="DL36" i="1" s="1"/>
  <c r="AF15" i="1"/>
  <c r="DP47" i="20"/>
  <c r="AU47" i="20" s="1"/>
  <c r="AG45" i="1"/>
  <c r="DE17" i="20"/>
  <c r="AJ17" i="20" s="1"/>
  <c r="EB17" i="20"/>
  <c r="BH17" i="20" s="1"/>
  <c r="DC15" i="1"/>
  <c r="FB38" i="1"/>
  <c r="DB47" i="20"/>
  <c r="AF47" i="20" s="1"/>
  <c r="DB17" i="20"/>
  <c r="AF17" i="20" s="1"/>
  <c r="DS17" i="20"/>
  <c r="AY17" i="20" s="1"/>
  <c r="CZ47" i="20"/>
  <c r="AD47" i="20" s="1"/>
  <c r="FC15" i="1"/>
  <c r="CR36" i="1"/>
  <c r="DL47" i="20"/>
  <c r="AR47" i="20" s="1"/>
  <c r="FS47" i="4"/>
  <c r="AH40" i="18"/>
  <c r="AH32" i="21"/>
  <c r="C18" i="14"/>
  <c r="BF15" i="4"/>
  <c r="CM47" i="4"/>
  <c r="F44" i="4"/>
  <c r="E45" i="10" s="1"/>
  <c r="AV60" i="18"/>
  <c r="AO42" i="18"/>
  <c r="AL10" i="18"/>
  <c r="AM26" i="18"/>
  <c r="AU31" i="18"/>
  <c r="AM42" i="18"/>
  <c r="AQ35" i="18"/>
  <c r="AJ11" i="18"/>
  <c r="AK26" i="18"/>
  <c r="AN24" i="18"/>
  <c r="AV54" i="18"/>
  <c r="AO47" i="18"/>
  <c r="AM33" i="18"/>
  <c r="AL36" i="18"/>
  <c r="AR7" i="18"/>
  <c r="AU20" i="18"/>
  <c r="AL64" i="18"/>
  <c r="AO56" i="18"/>
  <c r="AJ49" i="18"/>
  <c r="AT12" i="18"/>
  <c r="AQ39" i="18"/>
  <c r="AK27" i="18"/>
  <c r="AK60" i="18"/>
  <c r="AP11" i="18"/>
  <c r="AS47" i="18"/>
  <c r="AT30" i="18"/>
  <c r="AQ30" i="18"/>
  <c r="AV61" i="18"/>
  <c r="AQ50" i="18"/>
  <c r="AQ54" i="18"/>
  <c r="AU33" i="18"/>
  <c r="AS20" i="18"/>
  <c r="AT55" i="18"/>
  <c r="AV56" i="18"/>
  <c r="AV22" i="18"/>
  <c r="AH42" i="18"/>
  <c r="AP5" i="18"/>
  <c r="AJ17" i="18"/>
  <c r="AM56" i="18"/>
  <c r="AN30" i="18"/>
  <c r="AM46" i="18"/>
  <c r="AI60" i="21"/>
  <c r="AS58" i="21"/>
  <c r="AM8" i="21"/>
  <c r="AN20" i="21"/>
  <c r="AT47" i="21"/>
  <c r="AU29" i="21"/>
  <c r="AO62" i="21"/>
  <c r="AN45" i="21"/>
  <c r="AO44" i="21"/>
  <c r="AT11" i="21"/>
  <c r="AO61" i="21"/>
  <c r="AU11" i="21"/>
  <c r="AV5" i="21"/>
  <c r="AR29" i="21"/>
  <c r="AL44" i="21"/>
  <c r="AT18" i="21"/>
  <c r="AP17" i="21"/>
  <c r="AM9" i="21"/>
  <c r="AK14" i="21"/>
  <c r="AV42" i="21"/>
  <c r="AT5" i="21"/>
  <c r="AK45" i="21"/>
  <c r="AU51" i="21"/>
  <c r="AO35" i="21"/>
  <c r="AT9" i="21"/>
  <c r="AU7" i="21"/>
  <c r="AM50" i="21"/>
  <c r="AO64" i="21"/>
  <c r="AS32" i="21"/>
  <c r="AK53" i="21"/>
  <c r="AI59" i="18"/>
  <c r="X12" i="4"/>
  <c r="B66" i="6"/>
  <c r="H4" i="1" s="1"/>
  <c r="B179" i="6"/>
  <c r="DE6" i="20" s="1"/>
  <c r="AJ6" i="20" s="1"/>
  <c r="B21" i="6"/>
  <c r="B112" i="6"/>
  <c r="B123" i="6"/>
  <c r="GJ33" i="4"/>
  <c r="BZ16" i="17"/>
  <c r="BH16" i="17"/>
  <c r="AP16" i="17" s="1"/>
  <c r="DC60" i="1" s="1"/>
  <c r="BB41" i="4"/>
  <c r="BB45" i="4"/>
  <c r="BD20" i="4"/>
  <c r="BD24" i="4"/>
  <c r="BD28" i="4"/>
  <c r="BF43" i="4"/>
  <c r="BF47" i="4"/>
  <c r="BH10" i="4"/>
  <c r="BH18" i="4"/>
  <c r="BH22" i="4"/>
  <c r="BH26" i="4"/>
  <c r="BH30" i="4"/>
  <c r="BJ41" i="4"/>
  <c r="BJ45" i="4"/>
  <c r="BL16" i="4"/>
  <c r="BL20" i="4"/>
  <c r="BX18" i="4"/>
  <c r="BX26" i="4"/>
  <c r="BX30" i="4"/>
  <c r="BX34" i="4"/>
  <c r="BZ45" i="4"/>
  <c r="CB16" i="4"/>
  <c r="CB28" i="4"/>
  <c r="CD39" i="4"/>
  <c r="CD43" i="4"/>
  <c r="CD47" i="4"/>
  <c r="Y4" i="21"/>
  <c r="Y4" i="17"/>
  <c r="Y4" i="18"/>
  <c r="G7" i="10"/>
  <c r="G7" i="14"/>
  <c r="M7" i="10"/>
  <c r="M7" i="14"/>
  <c r="Q7" i="10"/>
  <c r="Q7" i="14"/>
  <c r="AH22" i="18"/>
  <c r="AH27" i="18"/>
  <c r="AH39" i="18"/>
  <c r="CW24" i="4"/>
  <c r="AW12" i="10"/>
  <c r="W12" i="10"/>
  <c r="BS122" i="1"/>
  <c r="BU122" i="1"/>
  <c r="BY122" i="1"/>
  <c r="BR122" i="1"/>
  <c r="BK122" i="1"/>
  <c r="BP122" i="1"/>
  <c r="BJ122" i="1"/>
  <c r="BK245" i="1" s="1"/>
  <c r="BH122" i="1"/>
  <c r="BL122" i="1"/>
  <c r="CH122" i="1" s="1"/>
  <c r="BQ122" i="1"/>
  <c r="BV122" i="1"/>
  <c r="BN122" i="1"/>
  <c r="BM122" i="1"/>
  <c r="BI122" i="1"/>
  <c r="BW122" i="1"/>
  <c r="BX245" i="1" s="1"/>
  <c r="BS120" i="1"/>
  <c r="BN120" i="1"/>
  <c r="CA120" i="1"/>
  <c r="CB243" i="1" s="1"/>
  <c r="CB369" i="1" s="1"/>
  <c r="BO120" i="1"/>
  <c r="BP120" i="1"/>
  <c r="BQ161" i="1" s="1"/>
  <c r="BQ325" i="1" s="1"/>
  <c r="BH120" i="1"/>
  <c r="BH284" i="1" s="1"/>
  <c r="BY120" i="1"/>
  <c r="CU120" i="1" s="1"/>
  <c r="BM120" i="1"/>
  <c r="BN243" i="1" s="1"/>
  <c r="BN369" i="1" s="1"/>
  <c r="BX120" i="1"/>
  <c r="BG120" i="1"/>
  <c r="BR120" i="1"/>
  <c r="BS243" i="1" s="1"/>
  <c r="BS369" i="1" s="1"/>
  <c r="BV120" i="1"/>
  <c r="BT120" i="1"/>
  <c r="BZ120" i="1"/>
  <c r="AH48" i="18"/>
  <c r="AH48" i="21"/>
  <c r="S27" i="21"/>
  <c r="S27" i="18"/>
  <c r="S23" i="17"/>
  <c r="S23" i="18"/>
  <c r="S23" i="21"/>
  <c r="S19" i="21"/>
  <c r="GV20" i="4"/>
  <c r="S19" i="18"/>
  <c r="S15" i="21"/>
  <c r="GV16" i="4"/>
  <c r="S15" i="17"/>
  <c r="AG12" i="7"/>
  <c r="GJ10" i="4"/>
  <c r="S7" i="21"/>
  <c r="S7" i="17"/>
  <c r="GV8" i="4"/>
  <c r="S7" i="18"/>
  <c r="X4" i="18"/>
  <c r="X4" i="17"/>
  <c r="I7" i="10"/>
  <c r="I7" i="14"/>
  <c r="AP12" i="4"/>
  <c r="AH12" i="4"/>
  <c r="Z12" i="4"/>
  <c r="AX10" i="4"/>
  <c r="AP10" i="4"/>
  <c r="AH10" i="4"/>
  <c r="B13" i="14"/>
  <c r="CM12" i="4"/>
  <c r="B12" i="7"/>
  <c r="B15" i="26" s="1"/>
  <c r="B11" i="14"/>
  <c r="B9" i="14"/>
  <c r="CM8" i="4"/>
  <c r="CM121" i="1"/>
  <c r="CW20" i="4"/>
  <c r="AZ15" i="18"/>
  <c r="AH15" i="18" s="1"/>
  <c r="BR60" i="17"/>
  <c r="AH13" i="18"/>
  <c r="AZ48" i="17"/>
  <c r="AZ48" i="21"/>
  <c r="AZ54" i="21"/>
  <c r="CW34" i="4"/>
  <c r="AE12" i="10"/>
  <c r="AO12" i="10"/>
  <c r="S19" i="17"/>
  <c r="BL120" i="1"/>
  <c r="BM202" i="1" s="1"/>
  <c r="BM328" i="1" s="1"/>
  <c r="BK120" i="1"/>
  <c r="BK284" i="1" s="1"/>
  <c r="CA122" i="1"/>
  <c r="CA286" i="1" s="1"/>
  <c r="BO122" i="1"/>
  <c r="CW26" i="4"/>
  <c r="AH54" i="18"/>
  <c r="CW8" i="4"/>
  <c r="X8" i="4"/>
  <c r="CV12" i="4"/>
  <c r="CW12" i="4" s="1"/>
  <c r="AP8" i="4"/>
  <c r="AH59" i="18"/>
  <c r="AH59" i="21"/>
  <c r="AH14" i="18"/>
  <c r="S10" i="21"/>
  <c r="S10" i="17"/>
  <c r="GV11" i="4"/>
  <c r="FJ9" i="1"/>
  <c r="AE13" i="7"/>
  <c r="AV12" i="4"/>
  <c r="AV10" i="4"/>
  <c r="AN10" i="4"/>
  <c r="AF10" i="4"/>
  <c r="AN13" i="4"/>
  <c r="AC45" i="1"/>
  <c r="AC36" i="1"/>
  <c r="CN38" i="4" s="1"/>
  <c r="AC15" i="1"/>
  <c r="CN17" i="4" s="1"/>
  <c r="CQ17" i="4" s="1"/>
  <c r="CW18" i="4"/>
  <c r="AD47" i="4"/>
  <c r="AT45" i="4"/>
  <c r="AL45" i="4"/>
  <c r="AJ42" i="4"/>
  <c r="AT39" i="4"/>
  <c r="AD39" i="4"/>
  <c r="V39" i="4"/>
  <c r="AX38" i="4"/>
  <c r="AP38" i="4"/>
  <c r="Z38" i="4"/>
  <c r="AT36" i="4"/>
  <c r="AT34" i="4"/>
  <c r="AL34" i="4"/>
  <c r="AD32" i="4"/>
  <c r="V32" i="4"/>
  <c r="AD30" i="4"/>
  <c r="AT26" i="4"/>
  <c r="AL24" i="4"/>
  <c r="AD24" i="4"/>
  <c r="AT22" i="4"/>
  <c r="AL22" i="4"/>
  <c r="AD22" i="4"/>
  <c r="AL20" i="4"/>
  <c r="AD20" i="4"/>
  <c r="BF19" i="4"/>
  <c r="AD18" i="4"/>
  <c r="AL16" i="4"/>
  <c r="AH57" i="21"/>
  <c r="AZ57" i="17"/>
  <c r="AZ57" i="21"/>
  <c r="AZ57" i="18"/>
  <c r="CJ57" i="18" s="1"/>
  <c r="BR57" i="17"/>
  <c r="CO68" i="1"/>
  <c r="AD64" i="1" s="1"/>
  <c r="FW1" i="1"/>
  <c r="BK185" i="1"/>
  <c r="BH20" i="17"/>
  <c r="AP20" i="17" s="1"/>
  <c r="AP21" i="17"/>
  <c r="DC65" i="1" s="1"/>
  <c r="AH61" i="18"/>
  <c r="BR61" i="17"/>
  <c r="AZ61" i="18"/>
  <c r="CJ61" i="18" s="1"/>
  <c r="BR61" i="18"/>
  <c r="AZ61" i="21"/>
  <c r="AH49" i="18"/>
  <c r="BR49" i="18"/>
  <c r="AH49" i="21"/>
  <c r="AZ49" i="21"/>
  <c r="BR49" i="17"/>
  <c r="AZ49" i="18"/>
  <c r="CJ49" i="18" s="1"/>
  <c r="BR39" i="18"/>
  <c r="AZ39" i="21"/>
  <c r="AH39" i="21" s="1"/>
  <c r="AZ39" i="17"/>
  <c r="AH39" i="17" s="1"/>
  <c r="AZ34" i="17"/>
  <c r="AH34" i="17" s="1"/>
  <c r="BR34" i="18"/>
  <c r="AZ34" i="18"/>
  <c r="AH34" i="18" s="1"/>
  <c r="AZ34" i="21"/>
  <c r="AH34" i="21" s="1"/>
  <c r="AZ29" i="17"/>
  <c r="AH29" i="17" s="1"/>
  <c r="AZ29" i="21"/>
  <c r="AH29" i="21" s="1"/>
  <c r="AZ29" i="18"/>
  <c r="AH29" i="18" s="1"/>
  <c r="BR29" i="17"/>
  <c r="AZ20" i="21"/>
  <c r="AH20" i="21" s="1"/>
  <c r="AZ20" i="17"/>
  <c r="AH20" i="17" s="1"/>
  <c r="BR20" i="17"/>
  <c r="BR20" i="18"/>
  <c r="AZ10" i="18"/>
  <c r="AH10" i="18" s="1"/>
  <c r="BR10" i="17"/>
  <c r="AZ10" i="21"/>
  <c r="AH10" i="21" s="1"/>
  <c r="AZ10" i="17"/>
  <c r="AH10" i="17" s="1"/>
  <c r="S28" i="21"/>
  <c r="S28" i="18"/>
  <c r="B61" i="26"/>
  <c r="BM234" i="1"/>
  <c r="BM360" i="1" s="1"/>
  <c r="AO43" i="10"/>
  <c r="AW43" i="10"/>
  <c r="W43" i="10"/>
  <c r="AG43" i="10"/>
  <c r="AM43" i="10"/>
  <c r="AI43" i="10"/>
  <c r="F13" i="4"/>
  <c r="CV13" i="4"/>
  <c r="CW13" i="4" s="1"/>
  <c r="CT13" i="4"/>
  <c r="GR11" i="4"/>
  <c r="S7" i="14"/>
  <c r="S7" i="10"/>
  <c r="BG17" i="1"/>
  <c r="I183" i="6"/>
  <c r="BG33" i="1"/>
  <c r="I181" i="6"/>
  <c r="BH41" i="1"/>
  <c r="BO23" i="1"/>
  <c r="GW24" i="4" s="1"/>
  <c r="BJ23" i="1"/>
  <c r="BL67" i="1"/>
  <c r="CC93" i="20"/>
  <c r="BQ47" i="1"/>
  <c r="GX33" i="4" s="1"/>
  <c r="BV149" i="1"/>
  <c r="CR149" i="1" s="1"/>
  <c r="CA149" i="1"/>
  <c r="BJ149" i="1"/>
  <c r="BM149" i="1"/>
  <c r="BN190" i="1" s="1"/>
  <c r="BK149" i="1"/>
  <c r="BK313" i="1" s="1"/>
  <c r="BZ149" i="1"/>
  <c r="EB45" i="20"/>
  <c r="BH45" i="20" s="1"/>
  <c r="FI43" i="1"/>
  <c r="EA27" i="20"/>
  <c r="BG27" i="20" s="1"/>
  <c r="EG27" i="20"/>
  <c r="BM27" i="20" s="1"/>
  <c r="AZ17" i="17"/>
  <c r="AH17" i="17" s="1"/>
  <c r="BR17" i="18"/>
  <c r="AZ17" i="18"/>
  <c r="AH17" i="18" s="1"/>
  <c r="S24" i="18"/>
  <c r="GV25" i="4"/>
  <c r="AG13" i="7"/>
  <c r="GJ11" i="4"/>
  <c r="BR39" i="17"/>
  <c r="BR10" i="18"/>
  <c r="BR29" i="18"/>
  <c r="AZ49" i="17"/>
  <c r="AZ20" i="18"/>
  <c r="AH20" i="18" s="1"/>
  <c r="GS19" i="4"/>
  <c r="BV203" i="1"/>
  <c r="BV329" i="1" s="1"/>
  <c r="BV244" i="1"/>
  <c r="BV370" i="1" s="1"/>
  <c r="BU285" i="1"/>
  <c r="CV121" i="1"/>
  <c r="AP121" i="1" s="1"/>
  <c r="CA203" i="1"/>
  <c r="CA329" i="1" s="1"/>
  <c r="CA244" i="1"/>
  <c r="CA370" i="1" s="1"/>
  <c r="BZ285" i="1"/>
  <c r="BK19" i="1"/>
  <c r="BN53" i="1"/>
  <c r="AH61" i="21"/>
  <c r="Z4" i="17"/>
  <c r="Z4" i="21"/>
  <c r="Z4" i="18"/>
  <c r="F7" i="14"/>
  <c r="F7" i="10"/>
  <c r="BN64" i="1"/>
  <c r="CN77" i="1"/>
  <c r="BP34" i="1"/>
  <c r="GX35" i="4" s="1"/>
  <c r="BI21" i="1"/>
  <c r="BM41" i="1"/>
  <c r="BI51" i="1"/>
  <c r="BO50" i="1"/>
  <c r="BO9" i="1"/>
  <c r="GW10" i="4" s="1"/>
  <c r="GG16" i="4" s="1"/>
  <c r="BH15" i="1"/>
  <c r="BG42" i="1"/>
  <c r="BN62" i="1"/>
  <c r="CL73" i="1"/>
  <c r="BH52" i="1"/>
  <c r="BH39" i="1"/>
  <c r="BM68" i="1"/>
  <c r="BJ43" i="1"/>
  <c r="H181" i="6"/>
  <c r="BN71" i="1"/>
  <c r="BL53" i="1"/>
  <c r="H182" i="6"/>
  <c r="BN37" i="1"/>
  <c r="BM24" i="1"/>
  <c r="BG64" i="1"/>
  <c r="BP65" i="1"/>
  <c r="BP35" i="1"/>
  <c r="GX36" i="4" s="1"/>
  <c r="BH67" i="1"/>
  <c r="BL63" i="1"/>
  <c r="BO59" i="1"/>
  <c r="BH56" i="1"/>
  <c r="BG20" i="1"/>
  <c r="G175" i="6"/>
  <c r="BO25" i="1"/>
  <c r="GW26" i="4" s="1"/>
  <c r="H175" i="6"/>
  <c r="BO44" i="1"/>
  <c r="GW45" i="4" s="1"/>
  <c r="BG63" i="1"/>
  <c r="BJ54" i="1"/>
  <c r="BO35" i="1"/>
  <c r="GW36" i="4" s="1"/>
  <c r="BO68" i="1"/>
  <c r="BL56" i="1"/>
  <c r="BM10" i="1"/>
  <c r="BH8" i="1"/>
  <c r="BL59" i="1"/>
  <c r="BH42" i="1"/>
  <c r="BL44" i="1"/>
  <c r="BN18" i="1"/>
  <c r="BJ71" i="1"/>
  <c r="BM34" i="1"/>
  <c r="BK27" i="1"/>
  <c r="BM46" i="1"/>
  <c r="H174" i="6"/>
  <c r="BP72" i="1"/>
  <c r="BM8" i="1"/>
  <c r="BO69" i="1"/>
  <c r="BH62" i="1"/>
  <c r="BH7" i="1"/>
  <c r="BL45" i="1"/>
  <c r="BN33" i="1"/>
  <c r="BQ54" i="1"/>
  <c r="GY40" i="4" s="1"/>
  <c r="BO55" i="1"/>
  <c r="J177" i="6"/>
  <c r="BK54" i="1"/>
  <c r="BM23" i="1"/>
  <c r="BM22" i="1"/>
  <c r="BJ41" i="1"/>
  <c r="BP64" i="1"/>
  <c r="BK9" i="1"/>
  <c r="BK28" i="1"/>
  <c r="BM70" i="1"/>
  <c r="BM47" i="1"/>
  <c r="G174" i="6"/>
  <c r="BK12" i="1"/>
  <c r="BL64" i="1"/>
  <c r="BH71" i="1"/>
  <c r="BP56" i="1"/>
  <c r="BI68" i="1"/>
  <c r="BP53" i="1"/>
  <c r="BK53" i="1"/>
  <c r="BP32" i="1"/>
  <c r="I185" i="6"/>
  <c r="BL61" i="1"/>
  <c r="BN47" i="1"/>
  <c r="BI50" i="1"/>
  <c r="BG32" i="1"/>
  <c r="BO16" i="1"/>
  <c r="GW17" i="4" s="1"/>
  <c r="BG57" i="1"/>
  <c r="BK38" i="1"/>
  <c r="BO28" i="1"/>
  <c r="GW29" i="4" s="1"/>
  <c r="BM28" i="1"/>
  <c r="BO6" i="1"/>
  <c r="BG5" i="1"/>
  <c r="BN34" i="1"/>
  <c r="BP67" i="1"/>
  <c r="BJ28" i="1"/>
  <c r="BH63" i="1"/>
  <c r="BN32" i="1"/>
  <c r="BP36" i="1"/>
  <c r="GX37" i="4" s="1"/>
  <c r="BI45" i="1"/>
  <c r="BN9" i="1"/>
  <c r="BG30" i="1"/>
  <c r="BL12" i="1"/>
  <c r="BL46" i="1"/>
  <c r="BK57" i="1"/>
  <c r="BJ24" i="1"/>
  <c r="BH12" i="1"/>
  <c r="BI20" i="1"/>
  <c r="BL6" i="1"/>
  <c r="BH68" i="1"/>
  <c r="J172" i="6"/>
  <c r="BJ22" i="1"/>
  <c r="BN56" i="1"/>
  <c r="I175" i="6"/>
  <c r="BO72" i="1"/>
  <c r="BI35" i="1"/>
  <c r="BP47" i="1"/>
  <c r="GX48" i="4" s="1"/>
  <c r="BN41" i="1"/>
  <c r="BN19" i="1"/>
  <c r="BH69" i="1"/>
  <c r="BM59" i="1"/>
  <c r="BO54" i="1"/>
  <c r="BJ14" i="1"/>
  <c r="BO61" i="1"/>
  <c r="BG23" i="1"/>
  <c r="BO64" i="1"/>
  <c r="G170" i="6"/>
  <c r="J170" i="6"/>
  <c r="BP51" i="1"/>
  <c r="BH18" i="1"/>
  <c r="BN58" i="1"/>
  <c r="BM53" i="1"/>
  <c r="BK36" i="1"/>
  <c r="BM25" i="1"/>
  <c r="BI59" i="1"/>
  <c r="BN42" i="1"/>
  <c r="BM13" i="1"/>
  <c r="I172" i="6"/>
  <c r="BJ47" i="1"/>
  <c r="BL38" i="1"/>
  <c r="BM71" i="1"/>
  <c r="BK44" i="1"/>
  <c r="BG67" i="1"/>
  <c r="BO27" i="1"/>
  <c r="GW28" i="4" s="1"/>
  <c r="BN10" i="1"/>
  <c r="BK8" i="1"/>
  <c r="BM64" i="1"/>
  <c r="BK39" i="1"/>
  <c r="BP40" i="1"/>
  <c r="GX41" i="4" s="1"/>
  <c r="BO46" i="1"/>
  <c r="GW47" i="4" s="1"/>
  <c r="FV24" i="4" s="1"/>
  <c r="J175" i="6"/>
  <c r="BM55" i="1"/>
  <c r="BI28" i="1"/>
  <c r="BL28" i="1"/>
  <c r="BO32" i="1"/>
  <c r="GW33" i="4" s="1"/>
  <c r="BH58" i="1"/>
  <c r="BM50" i="1"/>
  <c r="BI38" i="1"/>
  <c r="BN44" i="1"/>
  <c r="BK46" i="1"/>
  <c r="BN69" i="1"/>
  <c r="BH20" i="1"/>
  <c r="BN15" i="1"/>
  <c r="J186" i="6"/>
  <c r="BK34" i="1"/>
  <c r="BM67" i="1"/>
  <c r="I178" i="6"/>
  <c r="BN11" i="1"/>
  <c r="BP42" i="1"/>
  <c r="GX43" i="4" s="1"/>
  <c r="BP45" i="1"/>
  <c r="GX46" i="4" s="1"/>
  <c r="BL27" i="1"/>
  <c r="EK3" i="1"/>
  <c r="BL13" i="1"/>
  <c r="BI32" i="1"/>
  <c r="I184" i="6"/>
  <c r="BO29" i="1"/>
  <c r="GW30" i="4" s="1"/>
  <c r="BN22" i="1"/>
  <c r="BN59" i="1"/>
  <c r="BG26" i="1"/>
  <c r="BG13" i="1"/>
  <c r="BG53" i="1"/>
  <c r="BH22" i="1"/>
  <c r="H178" i="6"/>
  <c r="BI44" i="1"/>
  <c r="G178" i="6"/>
  <c r="BG27" i="1"/>
  <c r="BG36" i="1"/>
  <c r="BQ52" i="1"/>
  <c r="GY38" i="4" s="1"/>
  <c r="BL51" i="1"/>
  <c r="I186" i="6"/>
  <c r="BK40" i="1"/>
  <c r="H184" i="6"/>
  <c r="BL26" i="1"/>
  <c r="BO18" i="1"/>
  <c r="GW19" i="4" s="1"/>
  <c r="BK72" i="1"/>
  <c r="BI56" i="1"/>
  <c r="G181" i="6"/>
  <c r="BP50" i="1"/>
  <c r="BJ49" i="1"/>
  <c r="H172" i="6"/>
  <c r="BO65" i="1"/>
  <c r="I171" i="6"/>
  <c r="BP63" i="1"/>
  <c r="BL33" i="1"/>
  <c r="BJ42" i="1"/>
  <c r="CK73" i="1"/>
  <c r="BO49" i="1"/>
  <c r="BM29" i="1"/>
  <c r="BI46" i="1"/>
  <c r="BG56" i="1"/>
  <c r="BO51" i="1"/>
  <c r="BO42" i="1"/>
  <c r="GW43" i="4" s="1"/>
  <c r="BM52" i="1"/>
  <c r="BP61" i="1"/>
  <c r="BG68" i="1"/>
  <c r="BO21" i="1"/>
  <c r="GW22" i="4" s="1"/>
  <c r="BO39" i="1"/>
  <c r="GW40" i="4" s="1"/>
  <c r="BH24" i="1"/>
  <c r="BH11" i="1"/>
  <c r="BN67" i="1"/>
  <c r="BG6" i="1"/>
  <c r="J173" i="6"/>
  <c r="BN23" i="1"/>
  <c r="BO26" i="1"/>
  <c r="GW27" i="4" s="1"/>
  <c r="I173" i="6"/>
  <c r="BG71" i="1"/>
  <c r="BM65" i="1"/>
  <c r="BM9" i="1"/>
  <c r="CM73" i="1"/>
  <c r="BI16" i="1"/>
  <c r="BH36" i="1"/>
  <c r="BH28" i="1"/>
  <c r="BI40" i="1"/>
  <c r="BP52" i="1"/>
  <c r="BI22" i="1"/>
  <c r="BI36" i="1"/>
  <c r="BK61" i="1"/>
  <c r="BP30" i="1"/>
  <c r="J174" i="6"/>
  <c r="BL72" i="1"/>
  <c r="BG21" i="1"/>
  <c r="BN36" i="1"/>
  <c r="G173" i="6"/>
  <c r="J181" i="6"/>
  <c r="BI65" i="1"/>
  <c r="DM116" i="1"/>
  <c r="BI24" i="1"/>
  <c r="BJ34" i="1"/>
  <c r="BN12" i="1"/>
  <c r="BG47" i="1"/>
  <c r="BI27" i="1"/>
  <c r="BH61" i="1"/>
  <c r="BI25" i="1"/>
  <c r="BG38" i="1"/>
  <c r="BI33" i="1"/>
  <c r="BP41" i="1"/>
  <c r="GX42" i="4" s="1"/>
  <c r="BN50" i="1"/>
  <c r="BO8" i="1"/>
  <c r="GW9" i="4" s="1"/>
  <c r="GF15" i="4" s="1"/>
  <c r="BN72" i="1"/>
  <c r="BI9" i="1"/>
  <c r="H177" i="6"/>
  <c r="BO34" i="1"/>
  <c r="GW35" i="4" s="1"/>
  <c r="BH47" i="1"/>
  <c r="BP69" i="1"/>
  <c r="BO5" i="1"/>
  <c r="BL16" i="1"/>
  <c r="BN24" i="1"/>
  <c r="BI71" i="1"/>
  <c r="BI58" i="1"/>
  <c r="BI72" i="1"/>
  <c r="BI26" i="1"/>
  <c r="BJ6" i="1"/>
  <c r="BK69" i="1"/>
  <c r="CP77" i="1"/>
  <c r="BM54" i="1"/>
  <c r="BM51" i="1"/>
  <c r="H186" i="6"/>
  <c r="BG49" i="1"/>
  <c r="BJ44" i="1"/>
  <c r="CP74" i="1"/>
  <c r="BO58" i="1"/>
  <c r="BK43" i="1"/>
  <c r="BM57" i="1"/>
  <c r="DL114" i="1"/>
  <c r="BG51" i="1"/>
  <c r="BI19" i="1"/>
  <c r="BJ58" i="1"/>
  <c r="G179" i="6"/>
  <c r="BK71" i="1"/>
  <c r="BK59" i="1"/>
  <c r="BH23" i="1"/>
  <c r="BJ57" i="1"/>
  <c r="BM45" i="1"/>
  <c r="BJ62" i="1"/>
  <c r="BP55" i="1"/>
  <c r="BG8" i="1"/>
  <c r="BJ39" i="1"/>
  <c r="BK14" i="1"/>
  <c r="CJ74" i="1"/>
  <c r="BK52" i="1"/>
  <c r="BG11" i="1"/>
  <c r="BH33" i="1"/>
  <c r="G177" i="6"/>
  <c r="BH6" i="1"/>
  <c r="BG29" i="1"/>
  <c r="I177" i="6"/>
  <c r="BL29" i="1"/>
  <c r="BO53" i="1"/>
  <c r="BI61" i="1"/>
  <c r="BL15" i="1"/>
  <c r="G182" i="6"/>
  <c r="J185" i="6"/>
  <c r="BN55" i="1"/>
  <c r="BG7" i="1"/>
  <c r="BN13" i="1"/>
  <c r="BH46" i="1"/>
  <c r="H173" i="6"/>
  <c r="BK26" i="1"/>
  <c r="BO57" i="1"/>
  <c r="BJ16" i="1"/>
  <c r="BK10" i="1"/>
  <c r="BG45" i="1"/>
  <c r="J171" i="6"/>
  <c r="G186" i="6"/>
  <c r="BL52" i="1"/>
  <c r="BH70" i="1"/>
  <c r="I174" i="6"/>
  <c r="BO13" i="1"/>
  <c r="GW14" i="4" s="1"/>
  <c r="BI8" i="1"/>
  <c r="BK15" i="1"/>
  <c r="BH14" i="1"/>
  <c r="BI39" i="1"/>
  <c r="BJ61" i="1"/>
  <c r="BO17" i="1"/>
  <c r="GW18" i="4" s="1"/>
  <c r="BP46" i="1"/>
  <c r="GX47" i="4" s="1"/>
  <c r="BO12" i="1"/>
  <c r="GW13" i="4" s="1"/>
  <c r="BM72" i="1"/>
  <c r="H176" i="6"/>
  <c r="BG35" i="1"/>
  <c r="BJ45" i="1"/>
  <c r="BK51" i="1"/>
  <c r="I179" i="6"/>
  <c r="BN28" i="1"/>
  <c r="BN40" i="1"/>
  <c r="BK25" i="1"/>
  <c r="BJ69" i="1"/>
  <c r="BG34" i="1"/>
  <c r="BJ53" i="1"/>
  <c r="BM49" i="1"/>
  <c r="B2" i="6"/>
  <c r="BM44" i="1"/>
  <c r="BM32" i="1"/>
  <c r="H180" i="6"/>
  <c r="BH59" i="1"/>
  <c r="BH43" i="1"/>
  <c r="BI49" i="1"/>
  <c r="BG41" i="1"/>
  <c r="CO74" i="1"/>
  <c r="BM30" i="1"/>
  <c r="BJ32" i="1"/>
  <c r="BN21" i="1"/>
  <c r="BN57" i="1"/>
  <c r="CJ73" i="1"/>
  <c r="DX187" i="1" s="1"/>
  <c r="FN27" i="1" s="1"/>
  <c r="BM6" i="1"/>
  <c r="BL10" i="1"/>
  <c r="BL35" i="1"/>
  <c r="BM12" i="1"/>
  <c r="BN49" i="1"/>
  <c r="G183" i="6"/>
  <c r="J178" i="6"/>
  <c r="BL65" i="1"/>
  <c r="BJ10" i="1"/>
  <c r="BK56" i="1"/>
  <c r="BG12" i="1"/>
  <c r="BO38" i="1"/>
  <c r="GW39" i="4" s="1"/>
  <c r="BI47" i="1"/>
  <c r="BJ27" i="1"/>
  <c r="BI57" i="1"/>
  <c r="BM43" i="1"/>
  <c r="DL115" i="1"/>
  <c r="BJ59" i="1"/>
  <c r="BG15" i="1"/>
  <c r="BG25" i="1"/>
  <c r="CL52" i="1"/>
  <c r="FM8" i="1" s="1"/>
  <c r="BN39" i="1"/>
  <c r="BJ17" i="1"/>
  <c r="BN43" i="1"/>
  <c r="BJ51" i="1"/>
  <c r="BM56" i="1"/>
  <c r="BJ35" i="1"/>
  <c r="BH17" i="1"/>
  <c r="BN8" i="1"/>
  <c r="BH54" i="1"/>
  <c r="BG40" i="1"/>
  <c r="BN16" i="1"/>
  <c r="EJ3" i="1"/>
  <c r="BI7" i="1"/>
  <c r="AE1" i="4"/>
  <c r="BN30" i="1"/>
  <c r="BN46" i="1"/>
  <c r="BL19" i="1"/>
  <c r="BF34" i="1"/>
  <c r="GV35" i="4" s="1"/>
  <c r="DK114" i="1"/>
  <c r="BO30" i="1"/>
  <c r="GW31" i="4" s="1"/>
  <c r="BH25" i="1"/>
  <c r="BK23" i="1"/>
  <c r="BM69" i="1"/>
  <c r="BK33" i="1"/>
  <c r="BI30" i="1"/>
  <c r="BG44" i="1"/>
  <c r="BI52" i="1"/>
  <c r="BI69" i="1"/>
  <c r="BH51" i="1"/>
  <c r="BO36" i="1"/>
  <c r="GW37" i="4" s="1"/>
  <c r="BG61" i="1"/>
  <c r="BO70" i="1"/>
  <c r="BH38" i="1"/>
  <c r="BG9" i="1"/>
  <c r="CP73" i="1"/>
  <c r="BM42" i="1"/>
  <c r="BJ67" i="1"/>
  <c r="BH29" i="1"/>
  <c r="BN26" i="1"/>
  <c r="BN35" i="1"/>
  <c r="DL117" i="1"/>
  <c r="BG72" i="1"/>
  <c r="CJ77" i="1"/>
  <c r="BN54" i="1"/>
  <c r="BI11" i="1"/>
  <c r="BH57" i="1"/>
  <c r="DM114" i="1"/>
  <c r="BI14" i="1"/>
  <c r="BG28" i="1"/>
  <c r="J183" i="6"/>
  <c r="BK17" i="1"/>
  <c r="BL34" i="1"/>
  <c r="BG16" i="1"/>
  <c r="CN74" i="1"/>
  <c r="G185" i="6"/>
  <c r="BM20" i="1"/>
  <c r="BL11" i="1"/>
  <c r="DM117" i="1"/>
  <c r="DM115" i="1"/>
  <c r="BL25" i="1"/>
  <c r="BJ25" i="1"/>
  <c r="BL50" i="1"/>
  <c r="BL58" i="1"/>
  <c r="BL43" i="1"/>
  <c r="BK64" i="1"/>
  <c r="BJ9" i="1"/>
  <c r="BL17" i="1"/>
  <c r="BI6" i="1"/>
  <c r="BI54" i="1"/>
  <c r="BO43" i="1"/>
  <c r="GW44" i="4" s="1"/>
  <c r="BM61" i="1"/>
  <c r="CM77" i="1"/>
  <c r="BO33" i="1"/>
  <c r="GW34" i="4" s="1"/>
  <c r="BG70" i="1"/>
  <c r="B3" i="6"/>
  <c r="BP39" i="1"/>
  <c r="GX40" i="4" s="1"/>
  <c r="BK32" i="1"/>
  <c r="BG59" i="1"/>
  <c r="BK6" i="1"/>
  <c r="BG69" i="1"/>
  <c r="CK74" i="1"/>
  <c r="CO73" i="1"/>
  <c r="J180" i="6"/>
  <c r="BI29" i="1"/>
  <c r="BM18" i="1"/>
  <c r="I176" i="6"/>
  <c r="BM37" i="1"/>
  <c r="BJ36" i="1"/>
  <c r="BJ64" i="1"/>
  <c r="BJ5" i="1"/>
  <c r="BL70" i="1"/>
  <c r="BO14" i="1"/>
  <c r="GW15" i="4" s="1"/>
  <c r="BO45" i="1"/>
  <c r="GW46" i="4" s="1"/>
  <c r="FX11" i="4" s="1"/>
  <c r="BM40" i="1"/>
  <c r="BK49" i="1"/>
  <c r="BM21" i="1"/>
  <c r="BK70" i="1"/>
  <c r="BI37" i="1"/>
  <c r="H171" i="6"/>
  <c r="BL7" i="1"/>
  <c r="BJ65" i="1"/>
  <c r="BG22" i="1"/>
  <c r="BJ26" i="1"/>
  <c r="BO11" i="1"/>
  <c r="GW12" i="4" s="1"/>
  <c r="GH31" i="4" s="1"/>
  <c r="BI67" i="1"/>
  <c r="BN38" i="1"/>
  <c r="BH72" i="1"/>
  <c r="BI53" i="1"/>
  <c r="BO20" i="1"/>
  <c r="GW21" i="4" s="1"/>
  <c r="A5" i="20"/>
  <c r="BM33" i="1"/>
  <c r="I170" i="6"/>
  <c r="BP54" i="1"/>
  <c r="BG24" i="1"/>
  <c r="BM39" i="1"/>
  <c r="BJ21" i="1"/>
  <c r="BL37" i="1"/>
  <c r="BO41" i="1"/>
  <c r="GW42" i="4" s="1"/>
  <c r="BN25" i="1"/>
  <c r="BI13" i="1"/>
  <c r="BJ38" i="1"/>
  <c r="BK20" i="1"/>
  <c r="BO22" i="1"/>
  <c r="GW23" i="4" s="1"/>
  <c r="BG55" i="1"/>
  <c r="DK116" i="1"/>
  <c r="BL14" i="1"/>
  <c r="BO40" i="1"/>
  <c r="GW41" i="4" s="1"/>
  <c r="BJ52" i="1"/>
  <c r="BG58" i="1"/>
  <c r="BL55" i="1"/>
  <c r="BF35" i="1"/>
  <c r="GV36" i="4" s="1"/>
  <c r="BL23" i="1"/>
  <c r="BJ7" i="1"/>
  <c r="BI5" i="1"/>
  <c r="BP49" i="1"/>
  <c r="J184" i="6"/>
  <c r="BL40" i="1"/>
  <c r="BP29" i="1"/>
  <c r="BN6" i="1"/>
  <c r="BH26" i="1"/>
  <c r="BG52" i="1"/>
  <c r="BH19" i="1"/>
  <c r="CO77" i="1"/>
  <c r="BL71" i="1"/>
  <c r="BI63" i="1"/>
  <c r="BK16" i="1"/>
  <c r="BH10" i="1"/>
  <c r="BN27" i="1"/>
  <c r="BH53" i="1"/>
  <c r="G176" i="6"/>
  <c r="H183" i="6"/>
  <c r="BM26" i="1"/>
  <c r="BI12" i="1"/>
  <c r="BK55" i="1"/>
  <c r="BG43" i="1"/>
  <c r="BI62" i="1"/>
  <c r="G180" i="6"/>
  <c r="BJ63" i="1"/>
  <c r="BJ19" i="1"/>
  <c r="BL62" i="1"/>
  <c r="BK65" i="1"/>
  <c r="BH27" i="1"/>
  <c r="BJ70" i="1"/>
  <c r="BJ55" i="1"/>
  <c r="BL41" i="1"/>
  <c r="BJ30" i="1"/>
  <c r="BG39" i="1"/>
  <c r="BP59" i="1"/>
  <c r="BQ46" i="1"/>
  <c r="G172" i="6"/>
  <c r="BL54" i="1"/>
  <c r="CL74" i="1"/>
  <c r="BH16" i="1"/>
  <c r="BJ37" i="1"/>
  <c r="BK7" i="1"/>
  <c r="BG37" i="1"/>
  <c r="BP68" i="1"/>
  <c r="BH30" i="1"/>
  <c r="I182" i="6"/>
  <c r="BJ20" i="1"/>
  <c r="BJ33" i="1"/>
  <c r="BK62" i="1"/>
  <c r="BJ29" i="1"/>
  <c r="BJ56" i="1"/>
  <c r="BK63" i="1"/>
  <c r="BO52" i="1"/>
  <c r="BI10" i="1"/>
  <c r="BP70" i="1"/>
  <c r="BH13" i="1"/>
  <c r="BP43" i="1"/>
  <c r="GX44" i="4" s="1"/>
  <c r="BN65" i="1"/>
  <c r="BJ13" i="1"/>
  <c r="BN7" i="1"/>
  <c r="BO56" i="1"/>
  <c r="BN5" i="1"/>
  <c r="BH55" i="1"/>
  <c r="BP38" i="1"/>
  <c r="GX39" i="4" s="1"/>
  <c r="BK21" i="1"/>
  <c r="BN51" i="1"/>
  <c r="BH37" i="1"/>
  <c r="BP44" i="1"/>
  <c r="GX45" i="4" s="1"/>
  <c r="BM35" i="1"/>
  <c r="BO71" i="1"/>
  <c r="BN14" i="1"/>
  <c r="DK117" i="1"/>
  <c r="BJ18" i="1"/>
  <c r="BI18" i="1"/>
  <c r="BI64" i="1"/>
  <c r="BM19" i="1"/>
  <c r="BN68" i="1"/>
  <c r="BM7" i="1"/>
  <c r="CN73" i="1"/>
  <c r="BN63" i="1"/>
  <c r="BI70" i="1"/>
  <c r="BL39" i="1"/>
  <c r="BO24" i="1"/>
  <c r="GW25" i="4" s="1"/>
  <c r="BH34" i="1"/>
  <c r="BH21" i="1"/>
  <c r="BK37" i="1"/>
  <c r="BK68" i="1"/>
  <c r="BO67" i="1"/>
  <c r="BK50" i="1"/>
  <c r="BG14" i="1"/>
  <c r="BH45" i="1"/>
  <c r="BJ72" i="1"/>
  <c r="BP62" i="1"/>
  <c r="BL20" i="1"/>
  <c r="BN29" i="1"/>
  <c r="BK41" i="1"/>
  <c r="BK13" i="1"/>
  <c r="BH44" i="1"/>
  <c r="BL30" i="1"/>
  <c r="BI42" i="1"/>
  <c r="BG19" i="1"/>
  <c r="BN52" i="1"/>
  <c r="BM11" i="1"/>
  <c r="BP58" i="1"/>
  <c r="DL116" i="1"/>
  <c r="BI17" i="1"/>
  <c r="BL47" i="1"/>
  <c r="BP33" i="1"/>
  <c r="BJ11" i="1"/>
  <c r="BL68" i="1"/>
  <c r="BO10" i="1"/>
  <c r="GW11" i="4" s="1"/>
  <c r="BK42" i="1"/>
  <c r="BO15" i="1"/>
  <c r="GW16" i="4" s="1"/>
  <c r="BM58" i="1"/>
  <c r="BM27" i="1"/>
  <c r="BH9" i="1"/>
  <c r="BO47" i="1"/>
  <c r="GW48" i="4" s="1"/>
  <c r="FW41" i="4" s="1"/>
  <c r="BK45" i="1"/>
  <c r="BL21" i="1"/>
  <c r="BK35" i="1"/>
  <c r="BH35" i="1"/>
  <c r="BN17" i="1"/>
  <c r="BH40" i="1"/>
  <c r="BJ68" i="1"/>
  <c r="BJ15" i="1"/>
  <c r="BL9" i="1"/>
  <c r="BK29" i="1"/>
  <c r="J182" i="6"/>
  <c r="BK18" i="1"/>
  <c r="BN45" i="1"/>
  <c r="BP71" i="1"/>
  <c r="BJ46" i="1"/>
  <c r="BL5" i="1"/>
  <c r="BO7" i="1"/>
  <c r="GW8" i="4" s="1"/>
  <c r="BG65" i="1"/>
  <c r="BN61" i="1"/>
  <c r="BL69" i="1"/>
  <c r="DK115" i="1"/>
  <c r="BG10" i="1"/>
  <c r="BI55" i="1"/>
  <c r="BJ12" i="1"/>
  <c r="I180" i="6"/>
  <c r="BI41" i="1"/>
  <c r="BI34" i="1"/>
  <c r="BH5" i="1"/>
  <c r="BH64" i="1"/>
  <c r="BM38" i="1"/>
  <c r="BM36" i="1"/>
  <c r="BG46" i="1"/>
  <c r="J176" i="6"/>
  <c r="BM5" i="1"/>
  <c r="BN70" i="1"/>
  <c r="BO19" i="1"/>
  <c r="GW20" i="4" s="1"/>
  <c r="BO63" i="1"/>
  <c r="BL18" i="1"/>
  <c r="BJ40" i="1"/>
  <c r="BQ55" i="1"/>
  <c r="GY41" i="4" s="1"/>
  <c r="BH32" i="1"/>
  <c r="J179" i="6"/>
  <c r="H179" i="6"/>
  <c r="BI15" i="1"/>
  <c r="BM62" i="1"/>
  <c r="S52" i="21"/>
  <c r="S52" i="18"/>
  <c r="S52" i="17"/>
  <c r="T60" i="21"/>
  <c r="T60" i="18"/>
  <c r="T60" i="17"/>
  <c r="BT159" i="1"/>
  <c r="BU241" i="1" s="1"/>
  <c r="BU367" i="1" s="1"/>
  <c r="BW159" i="1"/>
  <c r="BW323" i="1" s="1"/>
  <c r="BZ159" i="1"/>
  <c r="BG159" i="1"/>
  <c r="CC159" i="1" s="1"/>
  <c r="BD159" i="1" s="1"/>
  <c r="CA159" i="1"/>
  <c r="CB241" i="1" s="1"/>
  <c r="CB367" i="1" s="1"/>
  <c r="BO159" i="1"/>
  <c r="BV159" i="1"/>
  <c r="BN159" i="1"/>
  <c r="BJ159" i="1"/>
  <c r="BJ323" i="1" s="1"/>
  <c r="BR159" i="1"/>
  <c r="BP159" i="1"/>
  <c r="BS159" i="1"/>
  <c r="BH159" i="1"/>
  <c r="BI200" i="1" s="1"/>
  <c r="BQ159" i="1"/>
  <c r="BK159" i="1"/>
  <c r="BL159" i="1"/>
  <c r="BM241" i="1" s="1"/>
  <c r="BM367" i="1" s="1"/>
  <c r="BU159" i="1"/>
  <c r="BV282" i="1" s="1"/>
  <c r="BX159" i="1"/>
  <c r="BX323" i="1" s="1"/>
  <c r="BN153" i="1"/>
  <c r="BH153" i="1"/>
  <c r="BI276" i="1" s="1"/>
  <c r="BX153" i="1"/>
  <c r="BX317" i="1" s="1"/>
  <c r="BR153" i="1"/>
  <c r="BS194" i="1" s="1"/>
  <c r="BL153" i="1"/>
  <c r="BT153" i="1"/>
  <c r="BS153" i="1"/>
  <c r="BT194" i="1" s="1"/>
  <c r="BG153" i="1"/>
  <c r="BJ153" i="1"/>
  <c r="BY153" i="1"/>
  <c r="BV153" i="1"/>
  <c r="CR153" i="1" s="1"/>
  <c r="BI153" i="1"/>
  <c r="BK153" i="1"/>
  <c r="BL276" i="1" s="1"/>
  <c r="BZ153" i="1"/>
  <c r="BM153" i="1"/>
  <c r="BP153" i="1"/>
  <c r="CA153" i="1"/>
  <c r="BL147" i="1"/>
  <c r="CH147" i="1" s="1"/>
  <c r="BT147" i="1"/>
  <c r="BG147" i="1"/>
  <c r="BH188" i="1" s="1"/>
  <c r="BU147" i="1"/>
  <c r="CQ147" i="1" s="1"/>
  <c r="CA147" i="1"/>
  <c r="BJ147" i="1"/>
  <c r="BZ141" i="1"/>
  <c r="CA223" i="1" s="1"/>
  <c r="CA349" i="1" s="1"/>
  <c r="BN141" i="1"/>
  <c r="BO264" i="1" s="1"/>
  <c r="BK141" i="1"/>
  <c r="BU141" i="1"/>
  <c r="BU305" i="1" s="1"/>
  <c r="BS141" i="1"/>
  <c r="BT264" i="1" s="1"/>
  <c r="BT141" i="1"/>
  <c r="CP141" i="1" s="1"/>
  <c r="BH141" i="1"/>
  <c r="BI223" i="1" s="1"/>
  <c r="BI349" i="1" s="1"/>
  <c r="BW141" i="1"/>
  <c r="BX264" i="1" s="1"/>
  <c r="BO141" i="1"/>
  <c r="BP182" i="1" s="1"/>
  <c r="BP141" i="1"/>
  <c r="BP305" i="1" s="1"/>
  <c r="BM141" i="1"/>
  <c r="BN182" i="1" s="1"/>
  <c r="BX141" i="1"/>
  <c r="BY264" i="1" s="1"/>
  <c r="BL141" i="1"/>
  <c r="CA141" i="1"/>
  <c r="CB264" i="1" s="1"/>
  <c r="BJ141" i="1"/>
  <c r="BV141" i="1"/>
  <c r="BY141" i="1"/>
  <c r="BY305" i="1" s="1"/>
  <c r="BG141" i="1"/>
  <c r="BR141" i="1"/>
  <c r="BS182" i="1" s="1"/>
  <c r="BQ141" i="1"/>
  <c r="CM141" i="1" s="1"/>
  <c r="BV135" i="1"/>
  <c r="BK135" i="1"/>
  <c r="CG135" i="1" s="1"/>
  <c r="BX135" i="1"/>
  <c r="BL135" i="1"/>
  <c r="BM176" i="1" s="1"/>
  <c r="BG135" i="1"/>
  <c r="BM135" i="1"/>
  <c r="CI135" i="1" s="1"/>
  <c r="BN135" i="1"/>
  <c r="CA135" i="1"/>
  <c r="CB258" i="1" s="1"/>
  <c r="BU135" i="1"/>
  <c r="BI135" i="1"/>
  <c r="BJ176" i="1" s="1"/>
  <c r="BW135" i="1"/>
  <c r="BT135" i="1"/>
  <c r="CP135" i="1" s="1"/>
  <c r="BZ135" i="1"/>
  <c r="CV135" i="1" s="1"/>
  <c r="AP135" i="1" s="1"/>
  <c r="BO135" i="1"/>
  <c r="BY135" i="1"/>
  <c r="BP135" i="1"/>
  <c r="BP299" i="1" s="1"/>
  <c r="BR135" i="1"/>
  <c r="BS217" i="1" s="1"/>
  <c r="BS343" i="1" s="1"/>
  <c r="BS135" i="1"/>
  <c r="BQ135" i="1"/>
  <c r="BJ135" i="1"/>
  <c r="BK176" i="1" s="1"/>
  <c r="BH135" i="1"/>
  <c r="BZ129" i="1"/>
  <c r="BZ293" i="1" s="1"/>
  <c r="BM129" i="1"/>
  <c r="BI129" i="1"/>
  <c r="CA129" i="1"/>
  <c r="BT129" i="1"/>
  <c r="BO129" i="1"/>
  <c r="BY129" i="1"/>
  <c r="BV129" i="1"/>
  <c r="BW170" i="1" s="1"/>
  <c r="BP129" i="1"/>
  <c r="BH129" i="1"/>
  <c r="BU129" i="1"/>
  <c r="BS129" i="1"/>
  <c r="BQ129" i="1"/>
  <c r="BL129" i="1"/>
  <c r="CH129" i="1" s="1"/>
  <c r="BN129" i="1"/>
  <c r="BO211" i="1" s="1"/>
  <c r="BO337" i="1" s="1"/>
  <c r="BJ129" i="1"/>
  <c r="CF129" i="1" s="1"/>
  <c r="BX129" i="1"/>
  <c r="BY252" i="1" s="1"/>
  <c r="BW129" i="1"/>
  <c r="BG129" i="1"/>
  <c r="BR129" i="1"/>
  <c r="Z11" i="1"/>
  <c r="DV11" i="1"/>
  <c r="CW125" i="1"/>
  <c r="AQ125" i="1" s="1"/>
  <c r="BP313" i="1"/>
  <c r="BJ308" i="1"/>
  <c r="BR244" i="1"/>
  <c r="BR370" i="1" s="1"/>
  <c r="BT149" i="1"/>
  <c r="BG149" i="1"/>
  <c r="BH272" i="1" s="1"/>
  <c r="BY149" i="1"/>
  <c r="BZ190" i="1" s="1"/>
  <c r="BS149" i="1"/>
  <c r="BI149" i="1"/>
  <c r="AA43" i="1"/>
  <c r="DB71" i="1"/>
  <c r="DC66" i="1"/>
  <c r="K18" i="19" s="1"/>
  <c r="CV108" i="1"/>
  <c r="BP37" i="1"/>
  <c r="GX38" i="4" s="1"/>
  <c r="BG62" i="1"/>
  <c r="BG18" i="1"/>
  <c r="BL57" i="1"/>
  <c r="BG54" i="1"/>
  <c r="BG50" i="1"/>
  <c r="BL8" i="1"/>
  <c r="BO37" i="1"/>
  <c r="GW38" i="4" s="1"/>
  <c r="BM14" i="1"/>
  <c r="BK58" i="1"/>
  <c r="BI23" i="1"/>
  <c r="BJ50" i="1"/>
  <c r="BK5" i="1"/>
  <c r="BL157" i="1"/>
  <c r="CH157" i="1" s="1"/>
  <c r="BG157" i="1"/>
  <c r="BH280" i="1" s="1"/>
  <c r="BN157" i="1"/>
  <c r="BO239" i="1" s="1"/>
  <c r="BO365" i="1" s="1"/>
  <c r="BI157" i="1"/>
  <c r="CE157" i="1" s="1"/>
  <c r="CA157" i="1"/>
  <c r="BG151" i="1"/>
  <c r="BG315" i="1" s="1"/>
  <c r="BZ151" i="1"/>
  <c r="BI151" i="1"/>
  <c r="CE151" i="1" s="1"/>
  <c r="BP151" i="1"/>
  <c r="CA151" i="1"/>
  <c r="BS151" i="1"/>
  <c r="BN151" i="1"/>
  <c r="BO233" i="1" s="1"/>
  <c r="BO359" i="1" s="1"/>
  <c r="BK151" i="1"/>
  <c r="BM151" i="1"/>
  <c r="BJ151" i="1"/>
  <c r="BY151" i="1"/>
  <c r="CU151" i="1" s="1"/>
  <c r="BL151" i="1"/>
  <c r="BO151" i="1"/>
  <c r="BW151" i="1"/>
  <c r="BW315" i="1" s="1"/>
  <c r="BV151" i="1"/>
  <c r="BV315" i="1" s="1"/>
  <c r="BR151" i="1"/>
  <c r="BS192" i="1" s="1"/>
  <c r="BU145" i="1"/>
  <c r="BK145" i="1"/>
  <c r="BL227" i="1" s="1"/>
  <c r="BL353" i="1" s="1"/>
  <c r="BL145" i="1"/>
  <c r="BM268" i="1" s="1"/>
  <c r="BG145" i="1"/>
  <c r="BH186" i="1" s="1"/>
  <c r="BR145" i="1"/>
  <c r="BW145" i="1"/>
  <c r="BN145" i="1"/>
  <c r="BS145" i="1"/>
  <c r="BT227" i="1" s="1"/>
  <c r="BT353" i="1" s="1"/>
  <c r="BH145" i="1"/>
  <c r="BI145" i="1"/>
  <c r="BI309" i="1" s="1"/>
  <c r="BM145" i="1"/>
  <c r="BN268" i="1" s="1"/>
  <c r="BQ145" i="1"/>
  <c r="BP145" i="1"/>
  <c r="BJ145" i="1"/>
  <c r="BK227" i="1" s="1"/>
  <c r="BK353" i="1" s="1"/>
  <c r="BZ145" i="1"/>
  <c r="CA186" i="1" s="1"/>
  <c r="BT145" i="1"/>
  <c r="CP145" i="1" s="1"/>
  <c r="BX145" i="1"/>
  <c r="BP139" i="1"/>
  <c r="BP303" i="1" s="1"/>
  <c r="BG139" i="1"/>
  <c r="BB139" i="1" s="1"/>
  <c r="BK139" i="1"/>
  <c r="BM139" i="1"/>
  <c r="CA139" i="1"/>
  <c r="CB262" i="1" s="1"/>
  <c r="BU139" i="1"/>
  <c r="BJ139" i="1"/>
  <c r="BX139" i="1"/>
  <c r="CT139" i="1" s="1"/>
  <c r="BR139" i="1"/>
  <c r="CN139" i="1" s="1"/>
  <c r="BS139" i="1"/>
  <c r="BS303" i="1" s="1"/>
  <c r="BT139" i="1"/>
  <c r="BZ139" i="1"/>
  <c r="BL139" i="1"/>
  <c r="BI139" i="1"/>
  <c r="BJ262" i="1" s="1"/>
  <c r="BV139" i="1"/>
  <c r="BN139" i="1"/>
  <c r="BO139" i="1"/>
  <c r="BQ139" i="1"/>
  <c r="BR262" i="1" s="1"/>
  <c r="BH139" i="1"/>
  <c r="BI262" i="1" s="1"/>
  <c r="BW139" i="1"/>
  <c r="BY139" i="1"/>
  <c r="BZ180" i="1" s="1"/>
  <c r="BN133" i="1"/>
  <c r="BO174" i="1" s="1"/>
  <c r="BU133" i="1"/>
  <c r="BH133" i="1"/>
  <c r="BX133" i="1"/>
  <c r="BY215" i="1" s="1"/>
  <c r="BY341" i="1" s="1"/>
  <c r="BG133" i="1"/>
  <c r="CC133" i="1" s="1"/>
  <c r="BD133" i="1" s="1"/>
  <c r="BK133" i="1"/>
  <c r="BQ133" i="1"/>
  <c r="BO133" i="1"/>
  <c r="CA133" i="1"/>
  <c r="CB215" i="1" s="1"/>
  <c r="CB341" i="1" s="1"/>
  <c r="BY133" i="1"/>
  <c r="BS133" i="1"/>
  <c r="BT174" i="1" s="1"/>
  <c r="BJ133" i="1"/>
  <c r="BV133" i="1"/>
  <c r="BV297" i="1" s="1"/>
  <c r="BR127" i="1"/>
  <c r="BN127" i="1"/>
  <c r="BO127" i="1"/>
  <c r="BP209" i="1" s="1"/>
  <c r="BP335" i="1" s="1"/>
  <c r="BY127" i="1"/>
  <c r="BI127" i="1"/>
  <c r="BJ209" i="1" s="1"/>
  <c r="BZ127" i="1"/>
  <c r="BX127" i="1"/>
  <c r="CA127" i="1"/>
  <c r="BK127" i="1"/>
  <c r="BU127" i="1"/>
  <c r="BL127" i="1"/>
  <c r="BJ127" i="1"/>
  <c r="BP127" i="1"/>
  <c r="BW127" i="1"/>
  <c r="BG127" i="1"/>
  <c r="BQ127" i="1"/>
  <c r="BT127" i="1"/>
  <c r="BM127" i="1"/>
  <c r="BS127" i="1"/>
  <c r="BV127" i="1"/>
  <c r="BH127" i="1"/>
  <c r="BI250" i="1" s="1"/>
  <c r="CP11" i="1"/>
  <c r="CB248" i="1"/>
  <c r="BM159" i="1"/>
  <c r="BZ133" i="1"/>
  <c r="CA174" i="1" s="1"/>
  <c r="BH149" i="1"/>
  <c r="BI272" i="1" s="1"/>
  <c r="BU149" i="1"/>
  <c r="BV190" i="1" s="1"/>
  <c r="BX149" i="1"/>
  <c r="BX313" i="1" s="1"/>
  <c r="BN149" i="1"/>
  <c r="BO231" i="1" s="1"/>
  <c r="BO357" i="1" s="1"/>
  <c r="BQ149" i="1"/>
  <c r="CM149" i="1" s="1"/>
  <c r="CM13" i="20"/>
  <c r="P13" i="20" s="1"/>
  <c r="CC15" i="20"/>
  <c r="I15" i="20" s="1"/>
  <c r="DN45" i="20"/>
  <c r="AS45" i="20" s="1"/>
  <c r="S36" i="21"/>
  <c r="BH49" i="1"/>
  <c r="BH50" i="1"/>
  <c r="BM15" i="1"/>
  <c r="BK24" i="1"/>
  <c r="G184" i="6"/>
  <c r="BO62" i="1"/>
  <c r="G171" i="6"/>
  <c r="BM63" i="1"/>
  <c r="BH65" i="1"/>
  <c r="BL36" i="1"/>
  <c r="BJ8" i="1"/>
  <c r="BN20" i="1"/>
  <c r="DT1" i="1"/>
  <c r="BM17" i="1"/>
  <c r="S61" i="21"/>
  <c r="S61" i="17"/>
  <c r="S61" i="18"/>
  <c r="S48" i="21"/>
  <c r="S48" i="18"/>
  <c r="S48" i="17"/>
  <c r="S44" i="21"/>
  <c r="GV45" i="4"/>
  <c r="S44" i="18"/>
  <c r="S44" i="17"/>
  <c r="BR155" i="1"/>
  <c r="BS237" i="1" s="1"/>
  <c r="BS363" i="1" s="1"/>
  <c r="BS155" i="1"/>
  <c r="BW155" i="1"/>
  <c r="BX278" i="1" s="1"/>
  <c r="BI155" i="1"/>
  <c r="BJ237" i="1" s="1"/>
  <c r="BJ363" i="1" s="1"/>
  <c r="BM155" i="1"/>
  <c r="BT143" i="1"/>
  <c r="BU266" i="1" s="1"/>
  <c r="BH143" i="1"/>
  <c r="BI184" i="1" s="1"/>
  <c r="BS143" i="1"/>
  <c r="BR143" i="1"/>
  <c r="BS266" i="1" s="1"/>
  <c r="BK143" i="1"/>
  <c r="CG143" i="1" s="1"/>
  <c r="BI143" i="1"/>
  <c r="BJ266" i="1" s="1"/>
  <c r="BV137" i="1"/>
  <c r="BY137" i="1"/>
  <c r="BJ137" i="1"/>
  <c r="BK219" i="1" s="1"/>
  <c r="BK345" i="1" s="1"/>
  <c r="BM137" i="1"/>
  <c r="BN137" i="1"/>
  <c r="BP137" i="1"/>
  <c r="BZ137" i="1"/>
  <c r="BU137" i="1"/>
  <c r="BW137" i="1"/>
  <c r="BO137" i="1"/>
  <c r="BP260" i="1" s="1"/>
  <c r="BT137" i="1"/>
  <c r="BT301" i="1" s="1"/>
  <c r="CA137" i="1"/>
  <c r="CA301" i="1" s="1"/>
  <c r="BI137" i="1"/>
  <c r="CE137" i="1" s="1"/>
  <c r="BS137" i="1"/>
  <c r="CO137" i="1" s="1"/>
  <c r="BG137" i="1"/>
  <c r="BH178" i="1" s="1"/>
  <c r="BQ137" i="1"/>
  <c r="BQ301" i="1" s="1"/>
  <c r="BH137" i="1"/>
  <c r="BI219" i="1" s="1"/>
  <c r="BI345" i="1" s="1"/>
  <c r="BR137" i="1"/>
  <c r="BL137" i="1"/>
  <c r="BM260" i="1" s="1"/>
  <c r="BK137" i="1"/>
  <c r="BL219" i="1" s="1"/>
  <c r="BL345" i="1" s="1"/>
  <c r="BX137" i="1"/>
  <c r="BY260" i="1" s="1"/>
  <c r="BG131" i="1"/>
  <c r="BG295" i="1" s="1"/>
  <c r="BW131" i="1"/>
  <c r="BM131" i="1"/>
  <c r="BN254" i="1" s="1"/>
  <c r="BH131" i="1"/>
  <c r="BV131" i="1"/>
  <c r="BW213" i="1" s="1"/>
  <c r="BW339" i="1" s="1"/>
  <c r="BQ131" i="1"/>
  <c r="BX131" i="1"/>
  <c r="BX295" i="1" s="1"/>
  <c r="BY125" i="1"/>
  <c r="BI125" i="1"/>
  <c r="BJ166" i="1" s="1"/>
  <c r="BQ125" i="1"/>
  <c r="BH125" i="1"/>
  <c r="BX125" i="1"/>
  <c r="BS125" i="1"/>
  <c r="BN125" i="1"/>
  <c r="BR125" i="1"/>
  <c r="BS207" i="1" s="1"/>
  <c r="BS333" i="1" s="1"/>
  <c r="BL125" i="1"/>
  <c r="BM207" i="1" s="1"/>
  <c r="BM333" i="1" s="1"/>
  <c r="BG125" i="1"/>
  <c r="BW125" i="1"/>
  <c r="BZ125" i="1"/>
  <c r="CA248" i="1" s="1"/>
  <c r="BT125" i="1"/>
  <c r="BV125" i="1"/>
  <c r="BV289" i="1" s="1"/>
  <c r="BK125" i="1"/>
  <c r="BJ125" i="1"/>
  <c r="BU125" i="1"/>
  <c r="BO125" i="1"/>
  <c r="BP207" i="1" s="1"/>
  <c r="BP333" i="1" s="1"/>
  <c r="BM125" i="1"/>
  <c r="BP125" i="1"/>
  <c r="CA289" i="1"/>
  <c r="CO123" i="1"/>
  <c r="FY43" i="1"/>
  <c r="AC25" i="1"/>
  <c r="AD25" i="1" s="1"/>
  <c r="BI159" i="1"/>
  <c r="BI323" i="1" s="1"/>
  <c r="BM133" i="1"/>
  <c r="BN215" i="1" s="1"/>
  <c r="BN341" i="1" s="1"/>
  <c r="BW149" i="1"/>
  <c r="BO149" i="1"/>
  <c r="BL149" i="1"/>
  <c r="BL313" i="1" s="1"/>
  <c r="BR149" i="1"/>
  <c r="BS231" i="1" s="1"/>
  <c r="BS357" i="1" s="1"/>
  <c r="C14" i="10"/>
  <c r="DK45" i="20"/>
  <c r="AP45" i="20" s="1"/>
  <c r="DE98" i="1"/>
  <c r="BK22" i="1"/>
  <c r="BL24" i="1"/>
  <c r="BK30" i="1"/>
  <c r="BP57" i="1"/>
  <c r="BL22" i="1"/>
  <c r="BQ53" i="1"/>
  <c r="GY39" i="4" s="1"/>
  <c r="BL42" i="1"/>
  <c r="BI43" i="1"/>
  <c r="CM74" i="1"/>
  <c r="H170" i="6"/>
  <c r="BM16" i="1"/>
  <c r="BK47" i="1"/>
  <c r="BK67" i="1"/>
  <c r="H185" i="6"/>
  <c r="DI79" i="1"/>
  <c r="DH88" i="1"/>
  <c r="DA75" i="1"/>
  <c r="DA66" i="1"/>
  <c r="I18" i="19" s="1"/>
  <c r="CW83" i="1"/>
  <c r="DI93" i="1"/>
  <c r="DF79" i="1"/>
  <c r="DC53" i="1"/>
  <c r="K6" i="19" s="1"/>
  <c r="DC86" i="1"/>
  <c r="CW86" i="1"/>
  <c r="CY55" i="1"/>
  <c r="DE64" i="1"/>
  <c r="DI56" i="1"/>
  <c r="CK71" i="1" s="1"/>
  <c r="DE65" i="1"/>
  <c r="AZ13" i="4"/>
  <c r="AR13" i="4"/>
  <c r="AJ13" i="4"/>
  <c r="FL13" i="4" s="1"/>
  <c r="AB13" i="4"/>
  <c r="AT11" i="4"/>
  <c r="AL11" i="4"/>
  <c r="AD11" i="4"/>
  <c r="I12" i="10" s="1"/>
  <c r="AP7" i="4"/>
  <c r="O8" i="10" s="1"/>
  <c r="S24" i="17"/>
  <c r="K7" i="10"/>
  <c r="FY23" i="1"/>
  <c r="AV47" i="4"/>
  <c r="AF47" i="4"/>
  <c r="AN22" i="4"/>
  <c r="S17" i="21"/>
  <c r="GV18" i="4"/>
  <c r="S17" i="18"/>
  <c r="S17" i="17"/>
  <c r="S9" i="21"/>
  <c r="S9" i="18"/>
  <c r="AG49" i="7"/>
  <c r="GJ47" i="4"/>
  <c r="AE48" i="7"/>
  <c r="FJ44" i="1"/>
  <c r="AD33" i="7"/>
  <c r="AS28" i="1"/>
  <c r="FD28" i="1" s="1"/>
  <c r="CF30" i="20"/>
  <c r="L30" i="20" s="1"/>
  <c r="C31" i="10"/>
  <c r="D31" i="14"/>
  <c r="B31" i="10"/>
  <c r="FM28" i="1"/>
  <c r="BE28" i="1"/>
  <c r="AT28" i="1"/>
  <c r="CH30" i="20" s="1"/>
  <c r="E30" i="20" s="1"/>
  <c r="AA28" i="1"/>
  <c r="Y28" i="1"/>
  <c r="FT28" i="1" s="1"/>
  <c r="CR30" i="20"/>
  <c r="V30" i="20" s="1"/>
  <c r="CS30" i="20"/>
  <c r="W30" i="20" s="1"/>
  <c r="CL30" i="20"/>
  <c r="O30" i="20" s="1"/>
  <c r="CW30" i="20"/>
  <c r="AA30" i="20" s="1"/>
  <c r="CC30" i="20"/>
  <c r="I30" i="20" s="1"/>
  <c r="DN28" i="1"/>
  <c r="DM28" i="1" s="1"/>
  <c r="CP28" i="1"/>
  <c r="DU28" i="1"/>
  <c r="DC28" i="1"/>
  <c r="DG188" i="1"/>
  <c r="CM30" i="20"/>
  <c r="P30" i="20" s="1"/>
  <c r="CK30" i="20"/>
  <c r="N30" i="20" s="1"/>
  <c r="CQ30" i="20"/>
  <c r="U30" i="20" s="1"/>
  <c r="CX30" i="20"/>
  <c r="AB30" i="20" s="1"/>
  <c r="CU30" i="20"/>
  <c r="Y30" i="20" s="1"/>
  <c r="AB28" i="1"/>
  <c r="CR28" i="1"/>
  <c r="DV28" i="1"/>
  <c r="CO30" i="20"/>
  <c r="R30" i="20" s="1"/>
  <c r="CN30" i="20"/>
  <c r="Q30" i="20" s="1"/>
  <c r="CP30" i="20"/>
  <c r="T30" i="20" s="1"/>
  <c r="DG30" i="20"/>
  <c r="AL30" i="20" s="1"/>
  <c r="DL30" i="20"/>
  <c r="AR30" i="20" s="1"/>
  <c r="DK30" i="20"/>
  <c r="AP30" i="20" s="1"/>
  <c r="FS30" i="4"/>
  <c r="DX30" i="20"/>
  <c r="BC30" i="20" s="1"/>
  <c r="EA30" i="20"/>
  <c r="BG30" i="20" s="1"/>
  <c r="EB30" i="20"/>
  <c r="BH30" i="20" s="1"/>
  <c r="DS30" i="20"/>
  <c r="AY30" i="20" s="1"/>
  <c r="AG28" i="1"/>
  <c r="DP30" i="20"/>
  <c r="AU30" i="20" s="1"/>
  <c r="D31" i="10"/>
  <c r="AE31" i="10" s="1"/>
  <c r="Z28" i="1"/>
  <c r="DH30" i="20"/>
  <c r="AM30" i="20" s="1"/>
  <c r="DS28" i="1"/>
  <c r="CV30" i="20"/>
  <c r="Z30" i="20" s="1"/>
  <c r="DN30" i="20"/>
  <c r="AS30" i="20" s="1"/>
  <c r="DD30" i="20"/>
  <c r="AH30" i="20" s="1"/>
  <c r="DE30" i="20"/>
  <c r="AJ30" i="20" s="1"/>
  <c r="AF28" i="1"/>
  <c r="DZ30" i="20"/>
  <c r="BF30" i="20" s="1"/>
  <c r="DW28" i="1"/>
  <c r="DG28" i="1"/>
  <c r="DE28" i="1"/>
  <c r="J30" i="4" s="1"/>
  <c r="FQ30" i="4" s="1"/>
  <c r="CI30" i="20"/>
  <c r="F30" i="20" s="1"/>
  <c r="CZ30" i="20"/>
  <c r="AD30" i="20" s="1"/>
  <c r="DA30" i="20"/>
  <c r="AE30" i="20" s="1"/>
  <c r="DB30" i="20"/>
  <c r="AF30" i="20" s="1"/>
  <c r="DT30" i="20"/>
  <c r="AX30" i="20" s="1"/>
  <c r="FI28" i="1"/>
  <c r="DV30" i="20"/>
  <c r="BA30" i="20" s="1"/>
  <c r="DY30" i="20"/>
  <c r="BE30" i="20" s="1"/>
  <c r="DT28" i="1"/>
  <c r="DL28" i="1" s="1"/>
  <c r="GJ27" i="4"/>
  <c r="AG29" i="7"/>
  <c r="AI23" i="7"/>
  <c r="DB19" i="1"/>
  <c r="CO19" i="1"/>
  <c r="FO19" i="1"/>
  <c r="AE18" i="7"/>
  <c r="FJ14" i="1"/>
  <c r="AE14" i="7"/>
  <c r="FJ10" i="1"/>
  <c r="DB10" i="1"/>
  <c r="AI14" i="7"/>
  <c r="CF10" i="1"/>
  <c r="FO10" i="1"/>
  <c r="CO10" i="1"/>
  <c r="X46" i="4"/>
  <c r="AL46" i="4"/>
  <c r="AF46" i="4"/>
  <c r="BL46" i="4"/>
  <c r="BT46" i="4"/>
  <c r="CB46" i="4"/>
  <c r="BH46" i="4"/>
  <c r="BD46" i="4"/>
  <c r="BX46" i="4"/>
  <c r="AF40" i="4"/>
  <c r="FP40" i="4"/>
  <c r="AT40" i="4"/>
  <c r="CB40" i="4"/>
  <c r="AD40" i="4"/>
  <c r="BD40" i="4"/>
  <c r="BX40" i="4"/>
  <c r="GR36" i="4"/>
  <c r="F36" i="4"/>
  <c r="CT36" i="4"/>
  <c r="AJ35" i="4"/>
  <c r="FL35" i="4" s="1"/>
  <c r="AR35" i="4"/>
  <c r="AF35" i="4"/>
  <c r="AN35" i="4"/>
  <c r="AB35" i="4"/>
  <c r="AL35" i="4"/>
  <c r="AD35" i="4"/>
  <c r="BB35" i="4"/>
  <c r="BZ35" i="4"/>
  <c r="BV35" i="4"/>
  <c r="BJ35" i="4"/>
  <c r="BR35" i="4"/>
  <c r="BF35" i="4"/>
  <c r="CT32" i="4"/>
  <c r="F32" i="4"/>
  <c r="GR32" i="4"/>
  <c r="AL31" i="4"/>
  <c r="AR31" i="4"/>
  <c r="AF31" i="4"/>
  <c r="AJ31" i="4"/>
  <c r="FL31" i="4" s="1"/>
  <c r="AN31" i="4"/>
  <c r="BF31" i="4"/>
  <c r="AV31" i="4"/>
  <c r="CD31" i="4"/>
  <c r="BJ31" i="4"/>
  <c r="AZ31" i="4"/>
  <c r="BV31" i="4"/>
  <c r="AT31" i="4"/>
  <c r="BZ31" i="4"/>
  <c r="BR31" i="4"/>
  <c r="BB31" i="4"/>
  <c r="AL25" i="4"/>
  <c r="BV25" i="4"/>
  <c r="BN25" i="4"/>
  <c r="AD25" i="4"/>
  <c r="BJ25" i="4"/>
  <c r="BB25" i="4"/>
  <c r="CD25" i="4"/>
  <c r="BZ25" i="4"/>
  <c r="AB25" i="4"/>
  <c r="AR25" i="4"/>
  <c r="AV25" i="4"/>
  <c r="AN25" i="4"/>
  <c r="AJ25" i="4"/>
  <c r="AT25" i="4"/>
  <c r="GR24" i="4"/>
  <c r="CT24" i="4"/>
  <c r="F24" i="4"/>
  <c r="AV23" i="4"/>
  <c r="BF23" i="4"/>
  <c r="BR23" i="4"/>
  <c r="AZ23" i="4"/>
  <c r="AF23" i="4"/>
  <c r="CD23" i="4"/>
  <c r="BB23" i="4"/>
  <c r="AT23" i="4"/>
  <c r="AN23" i="4"/>
  <c r="BJ23" i="4"/>
  <c r="AJ23" i="4"/>
  <c r="GR22" i="4"/>
  <c r="F22" i="4"/>
  <c r="CT22" i="4"/>
  <c r="AF19" i="4"/>
  <c r="AN19" i="4"/>
  <c r="AL19" i="4"/>
  <c r="AD19" i="4"/>
  <c r="AR19" i="4"/>
  <c r="AJ19" i="4"/>
  <c r="FL19" i="4" s="1"/>
  <c r="BV19" i="4"/>
  <c r="AZ19" i="4"/>
  <c r="AB19" i="4"/>
  <c r="CD19" i="4"/>
  <c r="BB19" i="4"/>
  <c r="BZ19" i="4"/>
  <c r="BJ19" i="4"/>
  <c r="GR18" i="4"/>
  <c r="CT18" i="4"/>
  <c r="F18" i="4"/>
  <c r="AR17" i="4"/>
  <c r="BB17" i="4"/>
  <c r="AT17" i="4"/>
  <c r="BZ17" i="4"/>
  <c r="AJ17" i="4"/>
  <c r="FL17" i="4" s="1"/>
  <c r="BN17" i="4"/>
  <c r="CD17" i="4"/>
  <c r="BJ17" i="4"/>
  <c r="AL17" i="4"/>
  <c r="BV17" i="4"/>
  <c r="BF17" i="4"/>
  <c r="AZ17" i="4"/>
  <c r="GR16" i="4"/>
  <c r="CT16" i="4"/>
  <c r="F16" i="4"/>
  <c r="B17" i="7"/>
  <c r="B16" i="14"/>
  <c r="CM15" i="4"/>
  <c r="BB40" i="4"/>
  <c r="BH17" i="4"/>
  <c r="BH33" i="4"/>
  <c r="BJ40" i="4"/>
  <c r="BL27" i="4"/>
  <c r="BP25" i="4"/>
  <c r="BP37" i="4"/>
  <c r="BT7" i="4"/>
  <c r="AN8" i="10" s="1"/>
  <c r="BT19" i="4"/>
  <c r="BT31" i="4"/>
  <c r="BV42" i="4"/>
  <c r="AP43" i="10" s="1"/>
  <c r="BX17" i="4"/>
  <c r="BX29" i="4"/>
  <c r="BZ44" i="4"/>
  <c r="CB27" i="4"/>
  <c r="CD42" i="4"/>
  <c r="AX43" i="10" s="1"/>
  <c r="Y11" i="1"/>
  <c r="FT11" i="1" s="1"/>
  <c r="DL13" i="20"/>
  <c r="AR13" i="20" s="1"/>
  <c r="AQ11" i="1"/>
  <c r="CX13" i="20"/>
  <c r="AB13" i="20" s="1"/>
  <c r="EG30" i="20"/>
  <c r="BM30" i="20" s="1"/>
  <c r="AE28" i="1"/>
  <c r="FY15" i="1"/>
  <c r="AE25" i="1"/>
  <c r="AC28" i="1"/>
  <c r="T30" i="4" s="1"/>
  <c r="E32" i="7" s="1"/>
  <c r="F56" i="26" s="1"/>
  <c r="E56" i="26" s="1"/>
  <c r="AE43" i="1"/>
  <c r="DG13" i="20"/>
  <c r="AL13" i="20" s="1"/>
  <c r="D14" i="14"/>
  <c r="FB23" i="1"/>
  <c r="FB28" i="1"/>
  <c r="DE13" i="1"/>
  <c r="J15" i="4" s="1"/>
  <c r="FQ15" i="4" s="1"/>
  <c r="DT45" i="20"/>
  <c r="AX45" i="20" s="1"/>
  <c r="FC28" i="1"/>
  <c r="FQ28" i="1"/>
  <c r="H30" i="4"/>
  <c r="Z25" i="1"/>
  <c r="CS27" i="20"/>
  <c r="W27" i="20" s="1"/>
  <c r="AT25" i="1"/>
  <c r="CH27" i="20" s="1"/>
  <c r="E27" i="20" s="1"/>
  <c r="CD35" i="4"/>
  <c r="GV26" i="4"/>
  <c r="S25" i="18"/>
  <c r="S13" i="21"/>
  <c r="GV14" i="4"/>
  <c r="S13" i="18"/>
  <c r="FJ8" i="1"/>
  <c r="AE12" i="7"/>
  <c r="BF7" i="4"/>
  <c r="Z8" i="10" s="1"/>
  <c r="AG47" i="7"/>
  <c r="GJ45" i="4"/>
  <c r="C46" i="10"/>
  <c r="D46" i="10"/>
  <c r="CF45" i="20"/>
  <c r="L45" i="20" s="1"/>
  <c r="D46" i="14"/>
  <c r="B46" i="10"/>
  <c r="FM43" i="1"/>
  <c r="BE43" i="1"/>
  <c r="Y43" i="1"/>
  <c r="FT43" i="1" s="1"/>
  <c r="DE43" i="1"/>
  <c r="J45" i="4" s="1"/>
  <c r="FQ45" i="4" s="1"/>
  <c r="AQ43" i="1"/>
  <c r="DI158" i="1" s="1"/>
  <c r="DJ45" i="20"/>
  <c r="AO45" i="20" s="1"/>
  <c r="CQ45" i="20"/>
  <c r="U45" i="20" s="1"/>
  <c r="CR45" i="20"/>
  <c r="V45" i="20" s="1"/>
  <c r="CS45" i="20"/>
  <c r="W45" i="20" s="1"/>
  <c r="CU45" i="20"/>
  <c r="Y45" i="20" s="1"/>
  <c r="C46" i="14"/>
  <c r="AB43" i="1"/>
  <c r="DU43" i="1"/>
  <c r="DC43" i="1"/>
  <c r="CM45" i="20"/>
  <c r="P45" i="20" s="1"/>
  <c r="CK45" i="20"/>
  <c r="N45" i="20" s="1"/>
  <c r="CN45" i="20"/>
  <c r="Q45" i="20" s="1"/>
  <c r="CW45" i="20"/>
  <c r="AA45" i="20" s="1"/>
  <c r="AS43" i="1"/>
  <c r="AT43" i="1"/>
  <c r="CH45" i="20" s="1"/>
  <c r="Z43" i="1"/>
  <c r="DV43" i="1"/>
  <c r="CO45" i="20"/>
  <c r="R45" i="20" s="1"/>
  <c r="DG45" i="20"/>
  <c r="AL45" i="20" s="1"/>
  <c r="DH45" i="20"/>
  <c r="AM45" i="20" s="1"/>
  <c r="CC45" i="20"/>
  <c r="I45" i="20" s="1"/>
  <c r="DL45" i="20"/>
  <c r="AR45" i="20" s="1"/>
  <c r="CX45" i="20"/>
  <c r="AB45" i="20" s="1"/>
  <c r="DG203" i="1"/>
  <c r="CV45" i="20"/>
  <c r="Z45" i="20" s="1"/>
  <c r="DS43" i="1"/>
  <c r="CI45" i="20"/>
  <c r="F45" i="20" s="1"/>
  <c r="DG43" i="1"/>
  <c r="DE45" i="20"/>
  <c r="AJ45" i="20" s="1"/>
  <c r="AF43" i="1"/>
  <c r="DY45" i="20"/>
  <c r="BE45" i="20" s="1"/>
  <c r="CP45" i="20"/>
  <c r="T45" i="20" s="1"/>
  <c r="H45" i="4"/>
  <c r="FC43" i="1"/>
  <c r="FQ43" i="1"/>
  <c r="DC45" i="20"/>
  <c r="AG45" i="20" s="1"/>
  <c r="EA45" i="20"/>
  <c r="BG45" i="20" s="1"/>
  <c r="DS45" i="20"/>
  <c r="AY45" i="20" s="1"/>
  <c r="DV45" i="20"/>
  <c r="BA45" i="20" s="1"/>
  <c r="DW43" i="1"/>
  <c r="DN43" i="1"/>
  <c r="DM43" i="1" s="1"/>
  <c r="CL45" i="20"/>
  <c r="O45" i="20" s="1"/>
  <c r="CP43" i="1"/>
  <c r="FS45" i="4"/>
  <c r="DA45" i="20"/>
  <c r="AE45" i="20" s="1"/>
  <c r="DD45" i="20"/>
  <c r="AH45" i="20" s="1"/>
  <c r="FB43" i="1"/>
  <c r="DZ45" i="20"/>
  <c r="BF45" i="20" s="1"/>
  <c r="DT43" i="1"/>
  <c r="DL43" i="1" s="1"/>
  <c r="DB36" i="20"/>
  <c r="AF36" i="20" s="1"/>
  <c r="GQ28" i="4"/>
  <c r="FB26" i="1"/>
  <c r="CO21" i="1"/>
  <c r="CF21" i="1"/>
  <c r="DB21" i="1"/>
  <c r="FO21" i="1"/>
  <c r="AI25" i="7"/>
  <c r="AE23" i="7"/>
  <c r="FJ19" i="1"/>
  <c r="FY19" i="4"/>
  <c r="GR45" i="4"/>
  <c r="FP44" i="4"/>
  <c r="AT44" i="4"/>
  <c r="Q45" i="14" s="1"/>
  <c r="AF44" i="4"/>
  <c r="BD44" i="4"/>
  <c r="AR44" i="4"/>
  <c r="X44" i="4"/>
  <c r="F45" i="14" s="1"/>
  <c r="AZ44" i="4"/>
  <c r="BX44" i="4"/>
  <c r="AB44" i="4"/>
  <c r="H45" i="14" s="1"/>
  <c r="BH44" i="4"/>
  <c r="BP44" i="4"/>
  <c r="AN44" i="4"/>
  <c r="N45" i="14" s="1"/>
  <c r="CV38" i="4"/>
  <c r="CW38" i="4" s="1"/>
  <c r="AR33" i="4"/>
  <c r="AN33" i="4"/>
  <c r="AF33" i="4"/>
  <c r="BV33" i="4"/>
  <c r="CD33" i="4"/>
  <c r="BF33" i="4"/>
  <c r="BZ33" i="4"/>
  <c r="BN33" i="4"/>
  <c r="BJ33" i="4"/>
  <c r="GR28" i="4"/>
  <c r="CT28" i="4"/>
  <c r="F28" i="4"/>
  <c r="E29" i="10" s="1"/>
  <c r="AD27" i="4"/>
  <c r="AN27" i="4"/>
  <c r="BR27" i="4"/>
  <c r="BF27" i="4"/>
  <c r="BJ27" i="4"/>
  <c r="CD27" i="4"/>
  <c r="BB27" i="4"/>
  <c r="GR20" i="4"/>
  <c r="F20" i="4"/>
  <c r="E21" i="10" s="1"/>
  <c r="CT20" i="4"/>
  <c r="AD14" i="4"/>
  <c r="AP14" i="4"/>
  <c r="CB14" i="4"/>
  <c r="AL14" i="4"/>
  <c r="BH14" i="4"/>
  <c r="BH29" i="4"/>
  <c r="BH37" i="4"/>
  <c r="BL7" i="4"/>
  <c r="AF8" i="10" s="1"/>
  <c r="BL19" i="4"/>
  <c r="BL31" i="4"/>
  <c r="BP17" i="4"/>
  <c r="BP29" i="4"/>
  <c r="BR44" i="4"/>
  <c r="BT23" i="4"/>
  <c r="BT35" i="4"/>
  <c r="BV14" i="4"/>
  <c r="BV46" i="4"/>
  <c r="BX25" i="4"/>
  <c r="BX37" i="4"/>
  <c r="BZ40" i="4"/>
  <c r="CB11" i="4"/>
  <c r="AV12" i="10" s="1"/>
  <c r="CB23" i="4"/>
  <c r="CB35" i="4"/>
  <c r="CD46" i="4"/>
  <c r="DX13" i="20"/>
  <c r="BC13" i="20" s="1"/>
  <c r="AB11" i="1"/>
  <c r="CV13" i="20"/>
  <c r="Z13" i="20" s="1"/>
  <c r="V28" i="4"/>
  <c r="V18" i="4"/>
  <c r="EF29" i="20"/>
  <c r="BL29" i="20" s="1"/>
  <c r="EE30" i="20"/>
  <c r="FY28" i="1"/>
  <c r="EE27" i="20"/>
  <c r="AC43" i="1"/>
  <c r="AF25" i="4"/>
  <c r="FY45" i="1"/>
  <c r="DT25" i="1"/>
  <c r="DA32" i="20"/>
  <c r="AE32" i="20" s="1"/>
  <c r="CR43" i="1"/>
  <c r="DJ30" i="20"/>
  <c r="AO30" i="20" s="1"/>
  <c r="BX14" i="4"/>
  <c r="BZ27" i="4"/>
  <c r="BF25" i="4"/>
  <c r="AI48" i="7"/>
  <c r="CF44" i="1"/>
  <c r="FO44" i="1"/>
  <c r="DB44" i="1"/>
  <c r="CO44" i="1"/>
  <c r="FY44" i="4"/>
  <c r="CW43" i="20"/>
  <c r="AA43" i="20" s="1"/>
  <c r="DT41" i="1"/>
  <c r="DL41" i="1" s="1"/>
  <c r="DU41" i="1"/>
  <c r="FY29" i="4"/>
  <c r="FO26" i="1"/>
  <c r="CF26" i="1"/>
  <c r="CO26" i="1"/>
  <c r="DB26" i="1"/>
  <c r="B28" i="10"/>
  <c r="C28" i="14"/>
  <c r="D28" i="14"/>
  <c r="O28" i="14" s="1"/>
  <c r="CF27" i="20"/>
  <c r="L27" i="20" s="1"/>
  <c r="CL27" i="20"/>
  <c r="O27" i="20" s="1"/>
  <c r="CK27" i="20"/>
  <c r="N27" i="20" s="1"/>
  <c r="DK27" i="20"/>
  <c r="AP27" i="20" s="1"/>
  <c r="CP25" i="1"/>
  <c r="AS25" i="1"/>
  <c r="AU25" i="1" s="1"/>
  <c r="GP27" i="4" s="1"/>
  <c r="FM25" i="1"/>
  <c r="CC27" i="20"/>
  <c r="I27" i="20" s="1"/>
  <c r="AA25" i="1"/>
  <c r="DH27" i="20"/>
  <c r="AM27" i="20" s="1"/>
  <c r="DG27" i="20"/>
  <c r="AL27" i="20" s="1"/>
  <c r="CP27" i="20"/>
  <c r="T27" i="20" s="1"/>
  <c r="CQ27" i="20"/>
  <c r="U27" i="20" s="1"/>
  <c r="CR25" i="1"/>
  <c r="DV25" i="1"/>
  <c r="DG25" i="1"/>
  <c r="AB25" i="1"/>
  <c r="D28" i="10"/>
  <c r="BE25" i="1"/>
  <c r="DN25" i="1"/>
  <c r="DM25" i="1" s="1"/>
  <c r="CO27" i="20"/>
  <c r="R27" i="20" s="1"/>
  <c r="CR27" i="20"/>
  <c r="V27" i="20" s="1"/>
  <c r="CM27" i="20"/>
  <c r="P27" i="20" s="1"/>
  <c r="DC25" i="1"/>
  <c r="H27" i="4"/>
  <c r="DS25" i="1"/>
  <c r="DJ27" i="20"/>
  <c r="AO27" i="20" s="1"/>
  <c r="DL27" i="20"/>
  <c r="AR27" i="20" s="1"/>
  <c r="CX27" i="20"/>
  <c r="AB27" i="20" s="1"/>
  <c r="CI27" i="20"/>
  <c r="F27" i="20" s="1"/>
  <c r="DE25" i="1"/>
  <c r="J27" i="4" s="1"/>
  <c r="FQ27" i="4" s="1"/>
  <c r="FQ25" i="1"/>
  <c r="DS27" i="20"/>
  <c r="AY27" i="20" s="1"/>
  <c r="FI25" i="1"/>
  <c r="DV27" i="20"/>
  <c r="BA27" i="20" s="1"/>
  <c r="DG185" i="1"/>
  <c r="CN27" i="20"/>
  <c r="Q27" i="20" s="1"/>
  <c r="Y25" i="1"/>
  <c r="FT25" i="1" s="1"/>
  <c r="DU25" i="1"/>
  <c r="CW27" i="20"/>
  <c r="AA27" i="20" s="1"/>
  <c r="DX27" i="20"/>
  <c r="BC27" i="20" s="1"/>
  <c r="DC27" i="20"/>
  <c r="AG27" i="20" s="1"/>
  <c r="FC25" i="1"/>
  <c r="DA27" i="20"/>
  <c r="AE27" i="20" s="1"/>
  <c r="DD27" i="20"/>
  <c r="AH27" i="20" s="1"/>
  <c r="AF25" i="1"/>
  <c r="FB25" i="1"/>
  <c r="CZ27" i="20"/>
  <c r="AD27" i="20" s="1"/>
  <c r="DE27" i="20"/>
  <c r="AJ27" i="20" s="1"/>
  <c r="DT27" i="20"/>
  <c r="AX27" i="20" s="1"/>
  <c r="DZ27" i="20"/>
  <c r="BF27" i="20" s="1"/>
  <c r="DW25" i="1"/>
  <c r="C28" i="10"/>
  <c r="AQ25" i="1"/>
  <c r="DI140" i="1" s="1"/>
  <c r="FS27" i="4"/>
  <c r="CV27" i="20"/>
  <c r="Z27" i="20" s="1"/>
  <c r="EB27" i="20"/>
  <c r="BH27" i="20" s="1"/>
  <c r="AG25" i="1"/>
  <c r="DB27" i="20"/>
  <c r="AF27" i="20" s="1"/>
  <c r="DP27" i="20"/>
  <c r="AU27" i="20" s="1"/>
  <c r="FY25" i="1"/>
  <c r="FY26" i="4"/>
  <c r="AG24" i="7"/>
  <c r="GJ22" i="4"/>
  <c r="GJ20" i="4"/>
  <c r="AG22" i="7"/>
  <c r="D21" i="14"/>
  <c r="CC20" i="20"/>
  <c r="I20" i="20" s="1"/>
  <c r="CQ20" i="20"/>
  <c r="U20" i="20" s="1"/>
  <c r="AQ18" i="1"/>
  <c r="DI133" i="1" s="1"/>
  <c r="DH20" i="20"/>
  <c r="AM20" i="20" s="1"/>
  <c r="CM20" i="20"/>
  <c r="P20" i="20" s="1"/>
  <c r="CX20" i="20"/>
  <c r="AB20" i="20" s="1"/>
  <c r="AA18" i="1"/>
  <c r="DK20" i="20"/>
  <c r="AP20" i="20" s="1"/>
  <c r="CU20" i="20"/>
  <c r="Y20" i="20" s="1"/>
  <c r="CW20" i="20"/>
  <c r="AA20" i="20" s="1"/>
  <c r="CR18" i="1"/>
  <c r="DE20" i="20"/>
  <c r="AJ20" i="20" s="1"/>
  <c r="CF20" i="20"/>
  <c r="L20" i="20" s="1"/>
  <c r="DS18" i="1"/>
  <c r="FC18" i="1"/>
  <c r="DP20" i="20"/>
  <c r="AU20" i="20" s="1"/>
  <c r="FB18" i="1"/>
  <c r="CV20" i="20"/>
  <c r="Z20" i="20" s="1"/>
  <c r="FQ18" i="1"/>
  <c r="Y18" i="1"/>
  <c r="CZ20" i="20"/>
  <c r="AD20" i="20" s="1"/>
  <c r="DD20" i="20"/>
  <c r="AH20" i="20" s="1"/>
  <c r="DT20" i="20"/>
  <c r="AX20" i="20" s="1"/>
  <c r="AF18" i="1"/>
  <c r="GQ15" i="4"/>
  <c r="FB13" i="1"/>
  <c r="C16" i="14"/>
  <c r="B16" i="10"/>
  <c r="FM13" i="1"/>
  <c r="C16" i="10"/>
  <c r="D16" i="10"/>
  <c r="D16" i="14"/>
  <c r="AT13" i="1"/>
  <c r="CH15" i="20" s="1"/>
  <c r="E15" i="20" s="1"/>
  <c r="AS13" i="1"/>
  <c r="AQ13" i="1"/>
  <c r="DI128" i="1" s="1"/>
  <c r="CF15" i="20"/>
  <c r="L15" i="20" s="1"/>
  <c r="DN13" i="1"/>
  <c r="DM13" i="1" s="1"/>
  <c r="DV13" i="1"/>
  <c r="DU13" i="1"/>
  <c r="DG15" i="20"/>
  <c r="AL15" i="20" s="1"/>
  <c r="CR15" i="20"/>
  <c r="V15" i="20" s="1"/>
  <c r="DH15" i="20"/>
  <c r="AM15" i="20" s="1"/>
  <c r="CQ15" i="20"/>
  <c r="U15" i="20" s="1"/>
  <c r="AA13" i="1"/>
  <c r="DS13" i="1"/>
  <c r="DJ15" i="20"/>
  <c r="AO15" i="20" s="1"/>
  <c r="CL15" i="20"/>
  <c r="O15" i="20" s="1"/>
  <c r="CN15" i="20"/>
  <c r="Q15" i="20" s="1"/>
  <c r="CS15" i="20"/>
  <c r="W15" i="20" s="1"/>
  <c r="CW15" i="20"/>
  <c r="AA15" i="20" s="1"/>
  <c r="CM15" i="20"/>
  <c r="P15" i="20" s="1"/>
  <c r="CO15" i="20"/>
  <c r="R15" i="20" s="1"/>
  <c r="CK15" i="20"/>
  <c r="N15" i="20" s="1"/>
  <c r="AB13" i="1"/>
  <c r="DL15" i="20"/>
  <c r="AR15" i="20" s="1"/>
  <c r="H15" i="4"/>
  <c r="CP15" i="20"/>
  <c r="T15" i="20" s="1"/>
  <c r="EA15" i="20"/>
  <c r="BG15" i="20" s="1"/>
  <c r="DD15" i="20"/>
  <c r="AH15" i="20" s="1"/>
  <c r="CP13" i="1"/>
  <c r="Y13" i="1"/>
  <c r="FT13" i="1" s="1"/>
  <c r="DZ15" i="20"/>
  <c r="BF15" i="20" s="1"/>
  <c r="DG13" i="1"/>
  <c r="DV15" i="20"/>
  <c r="BA15" i="20" s="1"/>
  <c r="AG13" i="1"/>
  <c r="DW13" i="1"/>
  <c r="AC13" i="1"/>
  <c r="AE13" i="1"/>
  <c r="DG173" i="1"/>
  <c r="CV15" i="20"/>
  <c r="Z15" i="20" s="1"/>
  <c r="FS15" i="4"/>
  <c r="FQ13" i="1"/>
  <c r="DB15" i="20"/>
  <c r="AF15" i="20" s="1"/>
  <c r="DE15" i="20"/>
  <c r="AJ15" i="20" s="1"/>
  <c r="DA15" i="20"/>
  <c r="AE15" i="20" s="1"/>
  <c r="CR13" i="1"/>
  <c r="DT15" i="20"/>
  <c r="AX15" i="20" s="1"/>
  <c r="AF13" i="1"/>
  <c r="CU15" i="20"/>
  <c r="Y15" i="20" s="1"/>
  <c r="BE13" i="1"/>
  <c r="DX15" i="20"/>
  <c r="BC15" i="20" s="1"/>
  <c r="CZ15" i="20"/>
  <c r="AD15" i="20" s="1"/>
  <c r="EB15" i="20"/>
  <c r="BH15" i="20" s="1"/>
  <c r="FI13" i="1"/>
  <c r="DY15" i="20"/>
  <c r="BE15" i="20" s="1"/>
  <c r="AN11" i="1"/>
  <c r="B14" i="10"/>
  <c r="FM11" i="1"/>
  <c r="DG171" i="1"/>
  <c r="CO13" i="20"/>
  <c r="R13" i="20" s="1"/>
  <c r="CP13" i="20"/>
  <c r="DJ13" i="20"/>
  <c r="AO13" i="20" s="1"/>
  <c r="D14" i="10"/>
  <c r="AQ14" i="10" s="1"/>
  <c r="AT11" i="1"/>
  <c r="CH13" i="20" s="1"/>
  <c r="E13" i="20" s="1"/>
  <c r="CR13" i="20"/>
  <c r="V13" i="20" s="1"/>
  <c r="DH13" i="20"/>
  <c r="AM13" i="20" s="1"/>
  <c r="CS13" i="20"/>
  <c r="W13" i="20" s="1"/>
  <c r="CQ13" i="20"/>
  <c r="U13" i="20" s="1"/>
  <c r="CF13" i="20"/>
  <c r="L13" i="20" s="1"/>
  <c r="AS11" i="1"/>
  <c r="CG13" i="20" s="1"/>
  <c r="CK13" i="20"/>
  <c r="N13" i="20" s="1"/>
  <c r="CL13" i="20"/>
  <c r="O13" i="20" s="1"/>
  <c r="DK13" i="20"/>
  <c r="AP13" i="20" s="1"/>
  <c r="FP42" i="4"/>
  <c r="BD42" i="4"/>
  <c r="X43" i="10" s="1"/>
  <c r="BL42" i="4"/>
  <c r="AF43" i="10" s="1"/>
  <c r="AV42" i="4"/>
  <c r="CB42" i="4"/>
  <c r="AV43" i="10" s="1"/>
  <c r="BH42" i="4"/>
  <c r="AB43" i="10" s="1"/>
  <c r="AZ42" i="4"/>
  <c r="AN42" i="4"/>
  <c r="N43" i="10" s="1"/>
  <c r="BX42" i="4"/>
  <c r="AR43" i="10" s="1"/>
  <c r="BT42" i="4"/>
  <c r="AN43" i="10" s="1"/>
  <c r="GR41" i="4"/>
  <c r="GR39" i="4"/>
  <c r="CT39" i="4"/>
  <c r="F39" i="4"/>
  <c r="BL37" i="4"/>
  <c r="AR37" i="4"/>
  <c r="AJ37" i="4"/>
  <c r="FL37" i="4" s="1"/>
  <c r="BZ37" i="4"/>
  <c r="BF37" i="4"/>
  <c r="AZ37" i="4"/>
  <c r="BV37" i="4"/>
  <c r="CD37" i="4"/>
  <c r="BB37" i="4"/>
  <c r="AT37" i="4"/>
  <c r="BJ37" i="4"/>
  <c r="BN37" i="4"/>
  <c r="AN37" i="4"/>
  <c r="AD29" i="4"/>
  <c r="AF29" i="4"/>
  <c r="BJ29" i="4"/>
  <c r="BZ29" i="4"/>
  <c r="BF29" i="4"/>
  <c r="AB29" i="4"/>
  <c r="BN29" i="4"/>
  <c r="BV29" i="4"/>
  <c r="BB29" i="4"/>
  <c r="CD29" i="4"/>
  <c r="AF21" i="4"/>
  <c r="AV21" i="4"/>
  <c r="AN21" i="4"/>
  <c r="BB44" i="4"/>
  <c r="BD19" i="4"/>
  <c r="BD31" i="4"/>
  <c r="BH25" i="4"/>
  <c r="BJ44" i="4"/>
  <c r="BL23" i="4"/>
  <c r="BL35" i="4"/>
  <c r="BN14" i="4"/>
  <c r="BP13" i="4"/>
  <c r="BP33" i="4"/>
  <c r="BR40" i="4"/>
  <c r="BT27" i="4"/>
  <c r="BX9" i="4"/>
  <c r="BX33" i="4"/>
  <c r="CB19" i="4"/>
  <c r="CB31" i="4"/>
  <c r="CD14" i="4"/>
  <c r="CR11" i="1"/>
  <c r="CC13" i="20"/>
  <c r="I13" i="20" s="1"/>
  <c r="CW13" i="20"/>
  <c r="AA13" i="20" s="1"/>
  <c r="DN11" i="1"/>
  <c r="BE11" i="1"/>
  <c r="GS13" i="4" s="1"/>
  <c r="V40" i="4"/>
  <c r="V36" i="4"/>
  <c r="EG15" i="20"/>
  <c r="BM15" i="20" s="1"/>
  <c r="EG45" i="20"/>
  <c r="BM45" i="20" s="1"/>
  <c r="EE45" i="20"/>
  <c r="FY18" i="1"/>
  <c r="EE15" i="20"/>
  <c r="FY13" i="1"/>
  <c r="C14" i="14"/>
  <c r="DW18" i="1"/>
  <c r="DT13" i="1"/>
  <c r="DL13" i="1" s="1"/>
  <c r="DP45" i="20"/>
  <c r="AU45" i="20" s="1"/>
  <c r="DP15" i="20"/>
  <c r="AU15" i="20" s="1"/>
  <c r="CZ45" i="20"/>
  <c r="AD45" i="20" s="1"/>
  <c r="CZ43" i="20"/>
  <c r="AD43" i="20" s="1"/>
  <c r="FC13" i="1"/>
  <c r="DN27" i="20"/>
  <c r="AS27" i="20" s="1"/>
  <c r="DX45" i="20"/>
  <c r="BC45" i="20" s="1"/>
  <c r="DC30" i="20"/>
  <c r="AG30" i="20" s="1"/>
  <c r="DB45" i="20"/>
  <c r="AF45" i="20" s="1"/>
  <c r="CU27" i="20"/>
  <c r="Y27" i="20" s="1"/>
  <c r="CF19" i="1"/>
  <c r="DK15" i="20"/>
  <c r="AP15" i="20" s="1"/>
  <c r="C31" i="14"/>
  <c r="BB33" i="4"/>
  <c r="BZ23" i="4"/>
  <c r="FT27" i="1"/>
  <c r="CW44" i="4"/>
  <c r="DE80" i="1"/>
  <c r="BZ195" i="1"/>
  <c r="BZ277" i="1"/>
  <c r="C11" i="14"/>
  <c r="CF10" i="20"/>
  <c r="L10" i="20" s="1"/>
  <c r="AT8" i="1"/>
  <c r="D11" i="14"/>
  <c r="C11" i="10"/>
  <c r="B11" i="10"/>
  <c r="D11" i="10"/>
  <c r="K11" i="10" s="1"/>
  <c r="U66" i="21"/>
  <c r="S42" i="21"/>
  <c r="S42" i="18"/>
  <c r="S42" i="17"/>
  <c r="S38" i="21"/>
  <c r="GV39" i="4"/>
  <c r="Z60" i="18"/>
  <c r="Z60" i="17"/>
  <c r="Z60" i="21"/>
  <c r="V60" i="17"/>
  <c r="V60" i="18"/>
  <c r="EF2" i="1"/>
  <c r="EB1" i="1"/>
  <c r="ED1" i="1"/>
  <c r="BO76" i="1"/>
  <c r="BO78" i="1"/>
  <c r="BO79" i="1"/>
  <c r="BO75" i="1"/>
  <c r="BO80" i="1"/>
  <c r="CO69" i="1"/>
  <c r="AH46" i="1"/>
  <c r="BU160" i="1"/>
  <c r="BV283" i="1" s="1"/>
  <c r="BQ160" i="1"/>
  <c r="BR242" i="1" s="1"/>
  <c r="BR368" i="1" s="1"/>
  <c r="BW160" i="1"/>
  <c r="BW324" i="1" s="1"/>
  <c r="BT158" i="1"/>
  <c r="BT322" i="1" s="1"/>
  <c r="BY158" i="1"/>
  <c r="BZ281" i="1" s="1"/>
  <c r="BW158" i="1"/>
  <c r="BO158" i="1"/>
  <c r="BP240" i="1" s="1"/>
  <c r="BP366" i="1" s="1"/>
  <c r="BS158" i="1"/>
  <c r="BM158" i="1"/>
  <c r="BN199" i="1" s="1"/>
  <c r="BJ158" i="1"/>
  <c r="BI158" i="1"/>
  <c r="BJ199" i="1" s="1"/>
  <c r="BX156" i="1"/>
  <c r="CA156" i="1"/>
  <c r="BQ156" i="1"/>
  <c r="CM156" i="1" s="1"/>
  <c r="BL156" i="1"/>
  <c r="BL320" i="1" s="1"/>
  <c r="BW154" i="1"/>
  <c r="BU154" i="1"/>
  <c r="BN150" i="1"/>
  <c r="BO191" i="1" s="1"/>
  <c r="BL150" i="1"/>
  <c r="BL314" i="1" s="1"/>
  <c r="BY150" i="1"/>
  <c r="BJ150" i="1"/>
  <c r="BK273" i="1" s="1"/>
  <c r="BX150" i="1"/>
  <c r="BY232" i="1" s="1"/>
  <c r="BY358" i="1" s="1"/>
  <c r="BQ146" i="1"/>
  <c r="BT146" i="1"/>
  <c r="BU228" i="1" s="1"/>
  <c r="BU354" i="1" s="1"/>
  <c r="BN146" i="1"/>
  <c r="CJ146" i="1" s="1"/>
  <c r="BY146" i="1"/>
  <c r="BZ228" i="1" s="1"/>
  <c r="BZ354" i="1" s="1"/>
  <c r="BO146" i="1"/>
  <c r="BP228" i="1" s="1"/>
  <c r="BP354" i="1" s="1"/>
  <c r="BG146" i="1"/>
  <c r="BG310" i="1" s="1"/>
  <c r="BV146" i="1"/>
  <c r="BJ146" i="1"/>
  <c r="BK187" i="1" s="1"/>
  <c r="BK146" i="1"/>
  <c r="CG146" i="1" s="1"/>
  <c r="BR142" i="1"/>
  <c r="BJ142" i="1"/>
  <c r="BI142" i="1"/>
  <c r="BJ224" i="1" s="1"/>
  <c r="BJ350" i="1" s="1"/>
  <c r="BX142" i="1"/>
  <c r="BY183" i="1" s="1"/>
  <c r="BO140" i="1"/>
  <c r="BP263" i="1" s="1"/>
  <c r="BY140" i="1"/>
  <c r="BR140" i="1"/>
  <c r="CN140" i="1" s="1"/>
  <c r="BK140" i="1"/>
  <c r="BL222" i="1" s="1"/>
  <c r="BL348" i="1" s="1"/>
  <c r="BX140" i="1"/>
  <c r="BW138" i="1"/>
  <c r="BX261" i="1" s="1"/>
  <c r="BS138" i="1"/>
  <c r="BI136" i="1"/>
  <c r="BN136" i="1"/>
  <c r="BO177" i="1" s="1"/>
  <c r="BX136" i="1"/>
  <c r="BU136" i="1"/>
  <c r="CQ136" i="1" s="1"/>
  <c r="BK136" i="1"/>
  <c r="BL136" i="1"/>
  <c r="BQ136" i="1"/>
  <c r="BQ300" i="1" s="1"/>
  <c r="BR136" i="1"/>
  <c r="CN136" i="1" s="1"/>
  <c r="BH136" i="1"/>
  <c r="CD136" i="1" s="1"/>
  <c r="BV136" i="1"/>
  <c r="BW177" i="1" s="1"/>
  <c r="BI134" i="1"/>
  <c r="BK134" i="1"/>
  <c r="BY134" i="1"/>
  <c r="BZ134" i="1"/>
  <c r="CV134" i="1" s="1"/>
  <c r="AP134" i="1" s="1"/>
  <c r="BL134" i="1"/>
  <c r="BM134" i="1"/>
  <c r="BM298" i="1" s="1"/>
  <c r="BW134" i="1"/>
  <c r="BW298" i="1" s="1"/>
  <c r="BS132" i="1"/>
  <c r="BH132" i="1"/>
  <c r="CD132" i="1" s="1"/>
  <c r="BU132" i="1"/>
  <c r="BR132" i="1"/>
  <c r="BM132" i="1"/>
  <c r="BM296" i="1" s="1"/>
  <c r="EC2" i="1"/>
  <c r="BO73" i="1"/>
  <c r="BT132" i="1"/>
  <c r="BU214" i="1" s="1"/>
  <c r="BU340" i="1" s="1"/>
  <c r="BS146" i="1"/>
  <c r="BZ136" i="1"/>
  <c r="CV136" i="1" s="1"/>
  <c r="AP136" i="1" s="1"/>
  <c r="BM150" i="1"/>
  <c r="BN156" i="1"/>
  <c r="CJ156" i="1" s="1"/>
  <c r="BN160" i="1"/>
  <c r="GV43" i="4"/>
  <c r="AN40" i="4"/>
  <c r="X40" i="4"/>
  <c r="AV35" i="4"/>
  <c r="AV33" i="4"/>
  <c r="AJ26" i="4"/>
  <c r="AJ22" i="4"/>
  <c r="AT35" i="4"/>
  <c r="X22" i="4"/>
  <c r="X27" i="7"/>
  <c r="BR23" i="18"/>
  <c r="AZ23" i="17"/>
  <c r="AH23" i="17" s="1"/>
  <c r="N7" i="10"/>
  <c r="N7" i="14"/>
  <c r="Z13" i="4"/>
  <c r="BN13" i="4"/>
  <c r="AV13" i="4"/>
  <c r="BB13" i="4"/>
  <c r="V14" i="10" s="1"/>
  <c r="AH13" i="4"/>
  <c r="AT13" i="4"/>
  <c r="BJ13" i="4"/>
  <c r="AX13" i="4"/>
  <c r="AL13" i="4"/>
  <c r="AJ9" i="4"/>
  <c r="BZ9" i="4"/>
  <c r="AR9" i="4"/>
  <c r="AF9" i="4"/>
  <c r="BN9" i="4"/>
  <c r="BB9" i="4"/>
  <c r="CD7" i="4"/>
  <c r="AX8" i="10" s="1"/>
  <c r="AT7" i="4"/>
  <c r="C48" i="4"/>
  <c r="CF39" i="1"/>
  <c r="FO39" i="1"/>
  <c r="CO39" i="1"/>
  <c r="AI43" i="7"/>
  <c r="AE41" i="7"/>
  <c r="FJ37" i="1"/>
  <c r="AG40" i="7"/>
  <c r="GJ38" i="4"/>
  <c r="AE39" i="7"/>
  <c r="FJ35" i="1"/>
  <c r="CP32" i="1"/>
  <c r="CZ34" i="20"/>
  <c r="AD34" i="20" s="1"/>
  <c r="AG32" i="1"/>
  <c r="CM34" i="20"/>
  <c r="P34" i="20" s="1"/>
  <c r="AQ32" i="1"/>
  <c r="DH34" i="20"/>
  <c r="AM34" i="20" s="1"/>
  <c r="FS34" i="4"/>
  <c r="CI34" i="20"/>
  <c r="F34" i="20" s="1"/>
  <c r="DT32" i="1"/>
  <c r="DL32" i="1" s="1"/>
  <c r="CJ42" i="17"/>
  <c r="AH42" i="17" s="1"/>
  <c r="BL11" i="4"/>
  <c r="AF12" i="10" s="1"/>
  <c r="BT11" i="4"/>
  <c r="AN12" i="10" s="1"/>
  <c r="BX13" i="4"/>
  <c r="AR14" i="10" s="1"/>
  <c r="BX21" i="4"/>
  <c r="CB7" i="4"/>
  <c r="AV8" i="10" s="1"/>
  <c r="CB9" i="4"/>
  <c r="FY36" i="1"/>
  <c r="CL149" i="1"/>
  <c r="BZ200" i="1"/>
  <c r="AB21" i="4"/>
  <c r="CD9" i="4"/>
  <c r="AZ18" i="18"/>
  <c r="AH18" i="18" s="1"/>
  <c r="B37" i="5"/>
  <c r="B37" i="26"/>
  <c r="B85" i="5"/>
  <c r="B85" i="26"/>
  <c r="R7" i="10"/>
  <c r="B57" i="26"/>
  <c r="B57" i="5"/>
  <c r="S54" i="21"/>
  <c r="S54" i="17"/>
  <c r="S54" i="18"/>
  <c r="GJ40" i="4"/>
  <c r="AG42" i="7"/>
  <c r="CJ50" i="17"/>
  <c r="AH50" i="17" s="1"/>
  <c r="CJ56" i="17"/>
  <c r="AH56" i="17"/>
  <c r="CJ64" i="17"/>
  <c r="AH64" i="17" s="1"/>
  <c r="BD7" i="4"/>
  <c r="X8" i="10" s="1"/>
  <c r="BH9" i="4"/>
  <c r="BP9" i="4"/>
  <c r="BP21" i="4"/>
  <c r="BQ190" i="1"/>
  <c r="AZ21" i="4"/>
  <c r="AL21" i="4"/>
  <c r="AR21" i="4"/>
  <c r="DE34" i="20"/>
  <c r="AJ34" i="20" s="1"/>
  <c r="CV34" i="20"/>
  <c r="Z34" i="20" s="1"/>
  <c r="BJ9" i="4"/>
  <c r="BH7" i="4"/>
  <c r="AB8" i="10" s="1"/>
  <c r="BP7" i="4"/>
  <c r="AJ8" i="10" s="1"/>
  <c r="AZ23" i="18"/>
  <c r="AH23" i="18" s="1"/>
  <c r="BR14" i="18"/>
  <c r="BJ11" i="4"/>
  <c r="AD12" i="10" s="1"/>
  <c r="AP13" i="4"/>
  <c r="BZ13" i="4"/>
  <c r="FP13" i="4"/>
  <c r="AB9" i="4"/>
  <c r="B65" i="26"/>
  <c r="B65" i="5"/>
  <c r="BR18" i="18"/>
  <c r="AZ18" i="21"/>
  <c r="AH18" i="21" s="1"/>
  <c r="W4" i="21"/>
  <c r="W4" i="18"/>
  <c r="W4" i="17"/>
  <c r="BF11" i="4"/>
  <c r="Z12" i="10" s="1"/>
  <c r="AP11" i="4"/>
  <c r="GA21" i="4"/>
  <c r="GQ41" i="4"/>
  <c r="FB39" i="1"/>
  <c r="DB37" i="1"/>
  <c r="CF37" i="1"/>
  <c r="FO37" i="1"/>
  <c r="CO37" i="1"/>
  <c r="AI41" i="7"/>
  <c r="GQ32" i="4"/>
  <c r="FJ21" i="1"/>
  <c r="AE25" i="7"/>
  <c r="BL21" i="4"/>
  <c r="AJ21" i="4"/>
  <c r="AD21" i="4"/>
  <c r="BV21" i="4"/>
  <c r="BN21" i="4"/>
  <c r="BB21" i="4"/>
  <c r="BJ21" i="4"/>
  <c r="BZ21" i="4"/>
  <c r="CD21" i="4"/>
  <c r="CJ46" i="17"/>
  <c r="AH46" i="17" s="1"/>
  <c r="CJ62" i="17"/>
  <c r="AH62" i="17" s="1"/>
  <c r="BD11" i="4"/>
  <c r="X12" i="10" s="1"/>
  <c r="BF9" i="4"/>
  <c r="BV9" i="4"/>
  <c r="BK23" i="20"/>
  <c r="BQ231" i="1"/>
  <c r="BQ357" i="1" s="1"/>
  <c r="AT21" i="4"/>
  <c r="H7" i="14"/>
  <c r="BX7" i="4"/>
  <c r="AR8" i="10" s="1"/>
  <c r="AZ23" i="21"/>
  <c r="AH23" i="21" s="1"/>
  <c r="BF21" i="4"/>
  <c r="S45" i="14"/>
  <c r="BX285" i="1"/>
  <c r="AR11" i="4"/>
  <c r="FX9" i="4"/>
  <c r="DD87" i="1"/>
  <c r="CU152" i="1"/>
  <c r="X13" i="4"/>
  <c r="AS12" i="10"/>
  <c r="AU12" i="10"/>
  <c r="AG12" i="10"/>
  <c r="AK12" i="10"/>
  <c r="AM12" i="10"/>
  <c r="Y12" i="10"/>
  <c r="AA12" i="10"/>
  <c r="BV230" i="1"/>
  <c r="BV356" i="1" s="1"/>
  <c r="DA103" i="1"/>
  <c r="DG108" i="1"/>
  <c r="DA72" i="1"/>
  <c r="CL154" i="1"/>
  <c r="BQ195" i="1"/>
  <c r="BP318" i="1"/>
  <c r="CG154" i="1"/>
  <c r="BL277" i="1"/>
  <c r="BL236" i="1"/>
  <c r="BL362" i="1" s="1"/>
  <c r="CU154" i="1"/>
  <c r="BZ236" i="1"/>
  <c r="BZ362" i="1" s="1"/>
  <c r="BH195" i="1"/>
  <c r="BH236" i="1"/>
  <c r="BH362" i="1" s="1"/>
  <c r="CC154" i="1"/>
  <c r="BD154" i="1" s="1"/>
  <c r="CB154" i="1" s="1"/>
  <c r="CB318" i="1" s="1"/>
  <c r="BB154" i="1"/>
  <c r="FO28" i="1"/>
  <c r="S20" i="18"/>
  <c r="S20" i="21"/>
  <c r="S20" i="17"/>
  <c r="S16" i="18"/>
  <c r="GV17" i="4"/>
  <c r="S16" i="17"/>
  <c r="S65" i="21"/>
  <c r="S65" i="18"/>
  <c r="S62" i="18"/>
  <c r="S62" i="21"/>
  <c r="S62" i="17"/>
  <c r="S58" i="21"/>
  <c r="S58" i="17"/>
  <c r="DB28" i="1"/>
  <c r="BQ232" i="1"/>
  <c r="BQ358" i="1" s="1"/>
  <c r="CL150" i="1"/>
  <c r="Z66" i="18"/>
  <c r="S39" i="18"/>
  <c r="C38" i="10"/>
  <c r="D38" i="10"/>
  <c r="K38" i="10" s="1"/>
  <c r="D38" i="14"/>
  <c r="CD36" i="4"/>
  <c r="AN36" i="4"/>
  <c r="S26" i="21"/>
  <c r="GV27" i="4"/>
  <c r="S26" i="18"/>
  <c r="S26" i="17"/>
  <c r="V66" i="21"/>
  <c r="V66" i="18"/>
  <c r="AA60" i="21"/>
  <c r="AA60" i="18"/>
  <c r="W60" i="21"/>
  <c r="W60" i="17"/>
  <c r="AI34" i="7"/>
  <c r="CF30" i="1"/>
  <c r="AE17" i="7"/>
  <c r="FJ13" i="1"/>
  <c r="AJ11" i="4"/>
  <c r="L12" i="10" s="1"/>
  <c r="AB11" i="4"/>
  <c r="AZ9" i="4"/>
  <c r="AN7" i="4"/>
  <c r="DB35" i="1"/>
  <c r="AZ35" i="4"/>
  <c r="AT29" i="4"/>
  <c r="AL29" i="4"/>
  <c r="AL23" i="4"/>
  <c r="AD23" i="4"/>
  <c r="AX22" i="4"/>
  <c r="AH22" i="4"/>
  <c r="Z22" i="4"/>
  <c r="BL36" i="4"/>
  <c r="BL40" i="4"/>
  <c r="BN7" i="4"/>
  <c r="AH8" i="10" s="1"/>
  <c r="BN11" i="4"/>
  <c r="AH12" i="10" s="1"/>
  <c r="BN19" i="4"/>
  <c r="BN23" i="4"/>
  <c r="BN27" i="4"/>
  <c r="BN31" i="4"/>
  <c r="BN35" i="4"/>
  <c r="BN39" i="4"/>
  <c r="BN43" i="4"/>
  <c r="BN47" i="4"/>
  <c r="BP14" i="4"/>
  <c r="BP18" i="4"/>
  <c r="BP42" i="4"/>
  <c r="AJ43" i="10" s="1"/>
  <c r="BP46" i="4"/>
  <c r="BR9" i="4"/>
  <c r="BR13" i="4"/>
  <c r="BR17" i="4"/>
  <c r="BR25" i="4"/>
  <c r="BR29" i="4"/>
  <c r="BR33" i="4"/>
  <c r="BT20" i="4"/>
  <c r="BT36" i="4"/>
  <c r="BT40" i="4"/>
  <c r="BV7" i="4"/>
  <c r="AP8" i="10" s="1"/>
  <c r="BV11" i="4"/>
  <c r="AP12" i="10" s="1"/>
  <c r="BV23" i="4"/>
  <c r="BV27" i="4"/>
  <c r="AF13" i="4"/>
  <c r="AX11" i="4"/>
  <c r="AH11" i="4"/>
  <c r="K12" i="10" s="1"/>
  <c r="S51" i="21"/>
  <c r="AI31" i="7"/>
  <c r="AX35" i="4"/>
  <c r="AP35" i="4"/>
  <c r="AH35" i="4"/>
  <c r="AJ20" i="4"/>
  <c r="BD17" i="4"/>
  <c r="BD29" i="4"/>
  <c r="BF16" i="4"/>
  <c r="BH19" i="4"/>
  <c r="BH23" i="4"/>
  <c r="BH31" i="4"/>
  <c r="BJ22" i="4"/>
  <c r="BL9" i="4"/>
  <c r="CB29" i="4"/>
  <c r="AD13" i="4"/>
  <c r="I14" i="10" s="1"/>
  <c r="AV11" i="4"/>
  <c r="R12" i="10" s="1"/>
  <c r="FP6" i="1"/>
  <c r="EK29" i="1"/>
  <c r="BJ185" i="1"/>
  <c r="CE144" i="1"/>
  <c r="BI308" i="1"/>
  <c r="BM181" i="1"/>
  <c r="S6" i="21"/>
  <c r="S6" i="18"/>
  <c r="GV7" i="4"/>
  <c r="S6" i="17"/>
  <c r="CF9" i="1"/>
  <c r="CO9" i="1"/>
  <c r="FO7" i="1"/>
  <c r="CO7" i="1"/>
  <c r="CF7" i="1"/>
  <c r="FJ5" i="1"/>
  <c r="AE9" i="7"/>
  <c r="D36" i="14"/>
  <c r="D36" i="10"/>
  <c r="AS36" i="10" s="1"/>
  <c r="C36" i="10"/>
  <c r="CF35" i="20"/>
  <c r="L35" i="20" s="1"/>
  <c r="AS32" i="1"/>
  <c r="FD32" i="1" s="1"/>
  <c r="B35" i="10"/>
  <c r="FM32" i="1"/>
  <c r="C35" i="10"/>
  <c r="D35" i="10"/>
  <c r="CF34" i="20"/>
  <c r="L34" i="20" s="1"/>
  <c r="BE32" i="1"/>
  <c r="AE15" i="7"/>
  <c r="FJ11" i="1"/>
  <c r="CO11" i="1"/>
  <c r="FO11" i="1"/>
  <c r="CF11" i="1"/>
  <c r="DB11" i="1"/>
  <c r="EE34" i="20"/>
  <c r="FY33" i="1"/>
  <c r="DW33" i="1"/>
  <c r="DT33" i="1"/>
  <c r="DL33" i="1" s="1"/>
  <c r="DW32" i="1"/>
  <c r="DV34" i="20"/>
  <c r="BA34" i="20" s="1"/>
  <c r="FB42" i="1"/>
  <c r="DZ34" i="20"/>
  <c r="BF34" i="20" s="1"/>
  <c r="DZ35" i="20"/>
  <c r="BF35" i="20" s="1"/>
  <c r="DP35" i="20"/>
  <c r="AU35" i="20" s="1"/>
  <c r="DT35" i="20"/>
  <c r="AX35" i="20" s="1"/>
  <c r="DD35" i="20"/>
  <c r="AH35" i="20" s="1"/>
  <c r="DA35" i="20"/>
  <c r="AE35" i="20" s="1"/>
  <c r="DE32" i="1"/>
  <c r="J34" i="4" s="1"/>
  <c r="FQ34" i="4" s="1"/>
  <c r="EA34" i="20"/>
  <c r="BG34" i="20" s="1"/>
  <c r="EB34" i="20"/>
  <c r="BH34" i="20" s="1"/>
  <c r="DN34" i="20"/>
  <c r="AS34" i="20" s="1"/>
  <c r="DX35" i="20"/>
  <c r="BC35" i="20" s="1"/>
  <c r="DB34" i="20"/>
  <c r="AF34" i="20" s="1"/>
  <c r="FQ32" i="1"/>
  <c r="CP33" i="1"/>
  <c r="DX34" i="20"/>
  <c r="BC34" i="20" s="1"/>
  <c r="H34" i="4"/>
  <c r="CU34" i="20"/>
  <c r="Y34" i="20" s="1"/>
  <c r="DS33" i="1"/>
  <c r="CX34" i="20"/>
  <c r="AB34" i="20" s="1"/>
  <c r="Z32" i="1"/>
  <c r="DK34" i="20"/>
  <c r="AP34" i="20" s="1"/>
  <c r="CP35" i="20"/>
  <c r="T35" i="20" s="1"/>
  <c r="CK35" i="20"/>
  <c r="N35" i="20" s="1"/>
  <c r="DJ34" i="20"/>
  <c r="AO34" i="20" s="1"/>
  <c r="CL34" i="20"/>
  <c r="O34" i="20" s="1"/>
  <c r="CN34" i="20"/>
  <c r="Q34" i="20" s="1"/>
  <c r="DK35" i="20"/>
  <c r="AP35" i="20" s="1"/>
  <c r="DG193" i="1"/>
  <c r="AB32" i="1"/>
  <c r="DV33" i="1"/>
  <c r="DV32" i="1"/>
  <c r="C35" i="14"/>
  <c r="AA32" i="1"/>
  <c r="C36" i="14"/>
  <c r="AI15" i="7"/>
  <c r="EG35" i="20"/>
  <c r="BM35" i="20" s="1"/>
  <c r="AE32" i="1"/>
  <c r="FY32" i="1"/>
  <c r="AC33" i="1"/>
  <c r="Y37" i="7" s="1"/>
  <c r="B11" i="5"/>
  <c r="DY35" i="20"/>
  <c r="BE35" i="20" s="1"/>
  <c r="DY34" i="20"/>
  <c r="BE34" i="20" s="1"/>
  <c r="AG33" i="1"/>
  <c r="DP34" i="20"/>
  <c r="AU34" i="20" s="1"/>
  <c r="DE35" i="20"/>
  <c r="AJ35" i="20" s="1"/>
  <c r="FI32" i="1"/>
  <c r="AC32" i="1"/>
  <c r="DT34" i="20"/>
  <c r="AX34" i="20" s="1"/>
  <c r="DD34" i="20"/>
  <c r="AH34" i="20" s="1"/>
  <c r="EB35" i="20"/>
  <c r="BH35" i="20" s="1"/>
  <c r="DS35" i="20"/>
  <c r="AY35" i="20" s="1"/>
  <c r="CZ35" i="20"/>
  <c r="AD35" i="20" s="1"/>
  <c r="DC32" i="1"/>
  <c r="FC32" i="1"/>
  <c r="DC33" i="1"/>
  <c r="DC35" i="20"/>
  <c r="AG35" i="20" s="1"/>
  <c r="CC34" i="20"/>
  <c r="I34" i="20" s="1"/>
  <c r="CX35" i="20"/>
  <c r="AB35" i="20" s="1"/>
  <c r="CW35" i="20"/>
  <c r="AA35" i="20" s="1"/>
  <c r="FS35" i="4"/>
  <c r="CV35" i="20"/>
  <c r="Z35" i="20" s="1"/>
  <c r="CO34" i="20"/>
  <c r="R34" i="20" s="1"/>
  <c r="CR34" i="20"/>
  <c r="V34" i="20" s="1"/>
  <c r="CM35" i="20"/>
  <c r="P35" i="20" s="1"/>
  <c r="CP34" i="20"/>
  <c r="T34" i="20" s="1"/>
  <c r="CS35" i="20"/>
  <c r="W35" i="20" s="1"/>
  <c r="CQ35" i="20"/>
  <c r="U35" i="20" s="1"/>
  <c r="CN35" i="20"/>
  <c r="Q35" i="20" s="1"/>
  <c r="CR35" i="20"/>
  <c r="V35" i="20" s="1"/>
  <c r="CK34" i="20"/>
  <c r="N34" i="20" s="1"/>
  <c r="DG192" i="1"/>
  <c r="DU33" i="1"/>
  <c r="DU32" i="1"/>
  <c r="AT32" i="1"/>
  <c r="CH34" i="20" s="1"/>
  <c r="E34" i="20" s="1"/>
  <c r="AQ33" i="1"/>
  <c r="DI148" i="1" s="1"/>
  <c r="DB9" i="1"/>
  <c r="EE35" i="20"/>
  <c r="DV35" i="20"/>
  <c r="BA35" i="20" s="1"/>
  <c r="AF33" i="1"/>
  <c r="FI33" i="1"/>
  <c r="FB32" i="1"/>
  <c r="AF32" i="1"/>
  <c r="DA34" i="20"/>
  <c r="AE34" i="20" s="1"/>
  <c r="DS34" i="20"/>
  <c r="AY34" i="20" s="1"/>
  <c r="DG32" i="1"/>
  <c r="CR32" i="1"/>
  <c r="Y32" i="1"/>
  <c r="EK32" i="1" s="1"/>
  <c r="FQ33" i="1"/>
  <c r="DC34" i="20"/>
  <c r="AG34" i="20" s="1"/>
  <c r="Y33" i="1"/>
  <c r="CI35" i="20"/>
  <c r="F35" i="20" s="1"/>
  <c r="DS32" i="1"/>
  <c r="H35" i="4"/>
  <c r="CW34" i="20"/>
  <c r="AA34" i="20" s="1"/>
  <c r="DL35" i="20"/>
  <c r="AR35" i="20" s="1"/>
  <c r="DL34" i="20"/>
  <c r="AR34" i="20" s="1"/>
  <c r="BE33" i="1"/>
  <c r="CQ34" i="20"/>
  <c r="U34" i="20" s="1"/>
  <c r="CS34" i="20"/>
  <c r="W34" i="20" s="1"/>
  <c r="DG34" i="20"/>
  <c r="AL34" i="20" s="1"/>
  <c r="CL35" i="20"/>
  <c r="O35" i="20" s="1"/>
  <c r="DJ35" i="20"/>
  <c r="AO35" i="20" s="1"/>
  <c r="CC35" i="20"/>
  <c r="I35" i="20" s="1"/>
  <c r="DN32" i="1"/>
  <c r="DM32" i="1" s="1"/>
  <c r="FM33" i="1"/>
  <c r="AT33" i="1"/>
  <c r="CH35" i="20" s="1"/>
  <c r="E35" i="20" s="1"/>
  <c r="D35" i="14"/>
  <c r="DC78" i="1"/>
  <c r="BS175" i="1"/>
  <c r="BJ187" i="1"/>
  <c r="BJ269" i="1"/>
  <c r="CE146" i="1"/>
  <c r="BI310" i="1"/>
  <c r="BJ228" i="1"/>
  <c r="BJ354" i="1" s="1"/>
  <c r="DE73" i="1"/>
  <c r="DD54" i="1"/>
  <c r="B49" i="26"/>
  <c r="B49" i="5"/>
  <c r="BP314" i="1"/>
  <c r="BQ191" i="1"/>
  <c r="S25" i="21"/>
  <c r="S25" i="17"/>
  <c r="S22" i="21"/>
  <c r="GV23" i="4"/>
  <c r="BG160" i="1"/>
  <c r="BH201" i="1" s="1"/>
  <c r="BI160" i="1"/>
  <c r="BJ283" i="1" s="1"/>
  <c r="BR160" i="1"/>
  <c r="BP160" i="1"/>
  <c r="BZ160" i="1"/>
  <c r="CA283" i="1" s="1"/>
  <c r="BY160" i="1"/>
  <c r="BV160" i="1"/>
  <c r="BH160" i="1"/>
  <c r="BI242" i="1" s="1"/>
  <c r="BI368" i="1" s="1"/>
  <c r="BX160" i="1"/>
  <c r="BY283" i="1" s="1"/>
  <c r="BO160" i="1"/>
  <c r="BL160" i="1"/>
  <c r="BJ160" i="1"/>
  <c r="BS160" i="1"/>
  <c r="BT242" i="1" s="1"/>
  <c r="BT368" i="1" s="1"/>
  <c r="BK160" i="1"/>
  <c r="BL242" i="1" s="1"/>
  <c r="BL368" i="1" s="1"/>
  <c r="BT160" i="1"/>
  <c r="CA158" i="1"/>
  <c r="BH158" i="1"/>
  <c r="BI240" i="1" s="1"/>
  <c r="BX158" i="1"/>
  <c r="BG158" i="1"/>
  <c r="CC158" i="1" s="1"/>
  <c r="BU158" i="1"/>
  <c r="BQ158" i="1"/>
  <c r="BN158" i="1"/>
  <c r="BL158" i="1"/>
  <c r="BR158" i="1"/>
  <c r="BZ158" i="1"/>
  <c r="BK158" i="1"/>
  <c r="BP156" i="1"/>
  <c r="BM156" i="1"/>
  <c r="BG156" i="1"/>
  <c r="BH156" i="1"/>
  <c r="BZ156" i="1"/>
  <c r="BU156" i="1"/>
  <c r="BR156" i="1"/>
  <c r="BS156" i="1"/>
  <c r="BO156" i="1"/>
  <c r="BV156" i="1"/>
  <c r="BI156" i="1"/>
  <c r="BJ238" i="1" s="1"/>
  <c r="BW156" i="1"/>
  <c r="BW320" i="1" s="1"/>
  <c r="BT156" i="1"/>
  <c r="BY156" i="1"/>
  <c r="BJ156" i="1"/>
  <c r="BO150" i="1"/>
  <c r="BV150" i="1"/>
  <c r="BQ150" i="1"/>
  <c r="BZ150" i="1"/>
  <c r="BR150" i="1"/>
  <c r="BS150" i="1"/>
  <c r="BU150" i="1"/>
  <c r="BG150" i="1"/>
  <c r="BH273" i="1" s="1"/>
  <c r="BI150" i="1"/>
  <c r="BI314" i="1" s="1"/>
  <c r="BW150" i="1"/>
  <c r="BT150" i="1"/>
  <c r="BH150" i="1"/>
  <c r="BW146" i="1"/>
  <c r="BL146" i="1"/>
  <c r="BR146" i="1"/>
  <c r="BP146" i="1"/>
  <c r="BM146" i="1"/>
  <c r="CA146" i="1"/>
  <c r="BU146" i="1"/>
  <c r="BZ146" i="1"/>
  <c r="BZ310" i="1" s="1"/>
  <c r="BX146" i="1"/>
  <c r="BH146" i="1"/>
  <c r="CA144" i="1"/>
  <c r="BU144" i="1"/>
  <c r="BU308" i="1" s="1"/>
  <c r="BV144" i="1"/>
  <c r="BW144" i="1"/>
  <c r="BT144" i="1"/>
  <c r="BK142" i="1"/>
  <c r="BP142" i="1"/>
  <c r="BG142" i="1"/>
  <c r="CC142" i="1" s="1"/>
  <c r="BD142" i="1" s="1"/>
  <c r="BL142" i="1"/>
  <c r="CH142" i="1" s="1"/>
  <c r="BU142" i="1"/>
  <c r="CA142" i="1"/>
  <c r="BV142" i="1"/>
  <c r="BQ142" i="1"/>
  <c r="BZ142" i="1"/>
  <c r="BN142" i="1"/>
  <c r="BW142" i="1"/>
  <c r="BM142" i="1"/>
  <c r="BN265" i="1" s="1"/>
  <c r="BT142" i="1"/>
  <c r="BH142" i="1"/>
  <c r="BH140" i="1"/>
  <c r="BW140" i="1"/>
  <c r="BJ140" i="1"/>
  <c r="BJ304" i="1" s="1"/>
  <c r="BS140" i="1"/>
  <c r="BM140" i="1"/>
  <c r="BV140" i="1"/>
  <c r="BW263" i="1" s="1"/>
  <c r="BZ140" i="1"/>
  <c r="BP140" i="1"/>
  <c r="BQ263" i="1" s="1"/>
  <c r="BG140" i="1"/>
  <c r="BQ140" i="1"/>
  <c r="BT140" i="1"/>
  <c r="BL138" i="1"/>
  <c r="BY138" i="1"/>
  <c r="BX138" i="1"/>
  <c r="BH138" i="1"/>
  <c r="CA138" i="1"/>
  <c r="BK138" i="1"/>
  <c r="BM138" i="1"/>
  <c r="BO138" i="1"/>
  <c r="BS136" i="1"/>
  <c r="BS300" i="1" s="1"/>
  <c r="CA136" i="1"/>
  <c r="BO136" i="1"/>
  <c r="BT136" i="1"/>
  <c r="BM136" i="1"/>
  <c r="BJ136" i="1"/>
  <c r="BP136" i="1"/>
  <c r="BN134" i="1"/>
  <c r="BG134" i="1"/>
  <c r="BH134" i="1"/>
  <c r="CD134" i="1" s="1"/>
  <c r="BV134" i="1"/>
  <c r="BO134" i="1"/>
  <c r="BQ134" i="1"/>
  <c r="BR216" i="1" s="1"/>
  <c r="BR342" i="1" s="1"/>
  <c r="BT134" i="1"/>
  <c r="BX134" i="1"/>
  <c r="BY257" i="1" s="1"/>
  <c r="BP134" i="1"/>
  <c r="CA134" i="1"/>
  <c r="BO132" i="1"/>
  <c r="BO296" i="1" s="1"/>
  <c r="BX132" i="1"/>
  <c r="BQ132" i="1"/>
  <c r="BI132" i="1"/>
  <c r="BP132" i="1"/>
  <c r="BY132" i="1"/>
  <c r="AB4" i="18"/>
  <c r="AB4" i="21"/>
  <c r="GW7" i="4"/>
  <c r="BK156" i="1"/>
  <c r="CA150" i="1"/>
  <c r="BK150" i="1"/>
  <c r="BL232" i="1" s="1"/>
  <c r="BL358" i="1" s="1"/>
  <c r="BB30" i="4"/>
  <c r="BD21" i="4"/>
  <c r="BJ26" i="4"/>
  <c r="BJ30" i="4"/>
  <c r="BL24" i="4"/>
  <c r="BL32" i="4"/>
  <c r="BP26" i="4"/>
  <c r="BP30" i="4"/>
  <c r="BR21" i="4"/>
  <c r="BR41" i="4"/>
  <c r="BR45" i="4"/>
  <c r="BT24" i="4"/>
  <c r="BT32" i="4"/>
  <c r="X60" i="21"/>
  <c r="X60" i="18"/>
  <c r="X60" i="17"/>
  <c r="BD47" i="4"/>
  <c r="DB31" i="1"/>
  <c r="AN41" i="4"/>
  <c r="AF41" i="4"/>
  <c r="AZ36" i="4"/>
  <c r="AR36" i="4"/>
  <c r="AJ36" i="4"/>
  <c r="AB36" i="4"/>
  <c r="AV32" i="4"/>
  <c r="AN32" i="4"/>
  <c r="AF30" i="4"/>
  <c r="AZ29" i="4"/>
  <c r="AR29" i="4"/>
  <c r="AJ29" i="4"/>
  <c r="AR27" i="4"/>
  <c r="AJ27" i="4"/>
  <c r="FL27" i="4" s="1"/>
  <c r="AB27" i="4"/>
  <c r="AN26" i="4"/>
  <c r="AF26" i="4"/>
  <c r="X26" i="4"/>
  <c r="AZ25" i="4"/>
  <c r="AV24" i="4"/>
  <c r="AN24" i="4"/>
  <c r="AT18" i="4"/>
  <c r="AL18" i="4"/>
  <c r="BX31" i="4"/>
  <c r="BZ22" i="4"/>
  <c r="BZ30" i="4"/>
  <c r="CB21" i="4"/>
  <c r="CB32" i="4"/>
  <c r="CB36" i="4"/>
  <c r="AZ47" i="4"/>
  <c r="AR47" i="4"/>
  <c r="AJ47" i="4"/>
  <c r="FL47" i="4" s="1"/>
  <c r="AB47" i="4"/>
  <c r="AL43" i="4"/>
  <c r="AD43" i="4"/>
  <c r="AL39" i="4"/>
  <c r="GW32" i="4"/>
  <c r="S13" i="17"/>
  <c r="AX47" i="4"/>
  <c r="AP47" i="4"/>
  <c r="AH47" i="4"/>
  <c r="AV46" i="4"/>
  <c r="AV36" i="4"/>
  <c r="AF36" i="4"/>
  <c r="X36" i="4"/>
  <c r="AT33" i="4"/>
  <c r="AL33" i="4"/>
  <c r="AD33" i="4"/>
  <c r="AJ32" i="4"/>
  <c r="FL32" i="4" s="1"/>
  <c r="CW32" i="4"/>
  <c r="AV29" i="4"/>
  <c r="AN29" i="4"/>
  <c r="AV27" i="4"/>
  <c r="X16" i="7"/>
  <c r="FT42" i="1"/>
  <c r="EK42" i="1"/>
  <c r="BG308" i="1"/>
  <c r="BG267" i="1"/>
  <c r="BH226" i="1"/>
  <c r="BH352" i="1" s="1"/>
  <c r="CC144" i="1"/>
  <c r="BD144" i="1" s="1"/>
  <c r="BH267" i="1"/>
  <c r="BB144" i="1"/>
  <c r="BY246" i="1"/>
  <c r="BP164" i="1"/>
  <c r="BP246" i="1"/>
  <c r="BP205" i="1"/>
  <c r="BP331" i="1" s="1"/>
  <c r="CK123" i="1"/>
  <c r="BO287" i="1"/>
  <c r="BH185" i="1"/>
  <c r="CT7" i="4"/>
  <c r="F7" i="4"/>
  <c r="CV7" i="4"/>
  <c r="CW7" i="4" s="1"/>
  <c r="BZ162" i="1"/>
  <c r="BZ326" i="1" s="1"/>
  <c r="BJ223" i="1"/>
  <c r="BJ349" i="1" s="1"/>
  <c r="CE141" i="1"/>
  <c r="BJ264" i="1"/>
  <c r="BI305" i="1"/>
  <c r="BJ182" i="1"/>
  <c r="BJ271" i="1"/>
  <c r="CJ41" i="17"/>
  <c r="AH41" i="17" s="1"/>
  <c r="BH204" i="1"/>
  <c r="BH330" i="1" s="1"/>
  <c r="BQ174" i="1"/>
  <c r="BQ256" i="1"/>
  <c r="BP297" i="1"/>
  <c r="B53" i="5"/>
  <c r="B53" i="26"/>
  <c r="BK175" i="1"/>
  <c r="BQ312" i="1"/>
  <c r="B33" i="5"/>
  <c r="BR203" i="1"/>
  <c r="BR329" i="1" s="1"/>
  <c r="AH61" i="17"/>
  <c r="AU42" i="1"/>
  <c r="GP44" i="4" s="1"/>
  <c r="CG44" i="20"/>
  <c r="D44" i="20" s="1"/>
  <c r="K43" i="10"/>
  <c r="B69" i="5"/>
  <c r="B69" i="26"/>
  <c r="AG10" i="7"/>
  <c r="A14" i="16"/>
  <c r="A30" i="16"/>
  <c r="BW220" i="1"/>
  <c r="BW346" i="1" s="1"/>
  <c r="BV302" i="1"/>
  <c r="BW261" i="1"/>
  <c r="BW179" i="1"/>
  <c r="O45" i="14"/>
  <c r="BZ241" i="1"/>
  <c r="BZ367" i="1" s="1"/>
  <c r="BK226" i="1"/>
  <c r="BK352" i="1" s="1"/>
  <c r="BR162" i="1"/>
  <c r="BR326" i="1" s="1"/>
  <c r="AZ42" i="1"/>
  <c r="DB97" i="1"/>
  <c r="H9" i="14"/>
  <c r="DE51" i="1"/>
  <c r="M4" i="19" s="1"/>
  <c r="CK130" i="1"/>
  <c r="BP253" i="1"/>
  <c r="BR284" i="1"/>
  <c r="DH68" i="1"/>
  <c r="P20" i="19" s="1"/>
  <c r="CX80" i="1"/>
  <c r="DC64" i="1"/>
  <c r="BX12" i="4"/>
  <c r="BV157" i="1"/>
  <c r="BH157" i="1"/>
  <c r="BY157" i="1"/>
  <c r="BM157" i="1"/>
  <c r="BW157" i="1"/>
  <c r="BJ157" i="1"/>
  <c r="BT157" i="1"/>
  <c r="BP157" i="1"/>
  <c r="BZ157" i="1"/>
  <c r="BU157" i="1"/>
  <c r="BU321" i="1" s="1"/>
  <c r="BS157" i="1"/>
  <c r="BR157" i="1"/>
  <c r="BX157" i="1"/>
  <c r="BQ157" i="1"/>
  <c r="BO157" i="1"/>
  <c r="BK157" i="1"/>
  <c r="BL304" i="1"/>
  <c r="B6" i="5"/>
  <c r="B6" i="26"/>
  <c r="BN155" i="1"/>
  <c r="BV155" i="1"/>
  <c r="BZ155" i="1"/>
  <c r="BT155" i="1"/>
  <c r="BQ155" i="1"/>
  <c r="BK155" i="1"/>
  <c r="CA155" i="1"/>
  <c r="BH155" i="1"/>
  <c r="BX155" i="1"/>
  <c r="BU155" i="1"/>
  <c r="BO155" i="1"/>
  <c r="BJ155" i="1"/>
  <c r="BK196" i="1" s="1"/>
  <c r="BL155" i="1"/>
  <c r="BY155" i="1"/>
  <c r="BP155" i="1"/>
  <c r="BG155" i="1"/>
  <c r="BG319" i="1" s="1"/>
  <c r="BU153" i="1"/>
  <c r="BW153" i="1"/>
  <c r="BQ153" i="1"/>
  <c r="BQ317" i="1" s="1"/>
  <c r="BO153" i="1"/>
  <c r="BQ151" i="1"/>
  <c r="BH151" i="1"/>
  <c r="BU151" i="1"/>
  <c r="BT151" i="1"/>
  <c r="BX151" i="1"/>
  <c r="BQ147" i="1"/>
  <c r="BV147" i="1"/>
  <c r="BH147" i="1"/>
  <c r="BN147" i="1"/>
  <c r="BP147" i="1"/>
  <c r="BK147" i="1"/>
  <c r="BS147" i="1"/>
  <c r="BM147" i="1"/>
  <c r="CI147" i="1" s="1"/>
  <c r="BR147" i="1"/>
  <c r="BI147" i="1"/>
  <c r="BJ188" i="1" s="1"/>
  <c r="BO147" i="1"/>
  <c r="BW147" i="1"/>
  <c r="BX147" i="1"/>
  <c r="BY147" i="1"/>
  <c r="BZ147" i="1"/>
  <c r="BV145" i="1"/>
  <c r="CA145" i="1"/>
  <c r="BY145" i="1"/>
  <c r="BO145" i="1"/>
  <c r="BL143" i="1"/>
  <c r="BM266" i="1" s="1"/>
  <c r="BZ143" i="1"/>
  <c r="BP143" i="1"/>
  <c r="BQ143" i="1"/>
  <c r="BO143" i="1"/>
  <c r="BN143" i="1"/>
  <c r="BO225" i="1" s="1"/>
  <c r="BX143" i="1"/>
  <c r="BM143" i="1"/>
  <c r="CA143" i="1"/>
  <c r="BJ143" i="1"/>
  <c r="BV143" i="1"/>
  <c r="BY143" i="1"/>
  <c r="BG143" i="1"/>
  <c r="BU143" i="1"/>
  <c r="BW143" i="1"/>
  <c r="BR133" i="1"/>
  <c r="BS256" i="1" s="1"/>
  <c r="BL133" i="1"/>
  <c r="BT133" i="1"/>
  <c r="BU215" i="1" s="1"/>
  <c r="BU341" i="1" s="1"/>
  <c r="BI133" i="1"/>
  <c r="BI297" i="1" s="1"/>
  <c r="BW133" i="1"/>
  <c r="BK131" i="1"/>
  <c r="CG131" i="1" s="1"/>
  <c r="BN131" i="1"/>
  <c r="BO131" i="1"/>
  <c r="BL131" i="1"/>
  <c r="CA131" i="1"/>
  <c r="BS131" i="1"/>
  <c r="BT131" i="1"/>
  <c r="BR131" i="1"/>
  <c r="BI131" i="1"/>
  <c r="BY131" i="1"/>
  <c r="BJ131" i="1"/>
  <c r="BK213" i="1" s="1"/>
  <c r="BK339" i="1" s="1"/>
  <c r="BP131" i="1"/>
  <c r="BU131" i="1"/>
  <c r="BZ131" i="1"/>
  <c r="GR29" i="4"/>
  <c r="AD28" i="4"/>
  <c r="CW28" i="4"/>
  <c r="AT8" i="4"/>
  <c r="Q9" i="14" s="1"/>
  <c r="S12" i="21"/>
  <c r="GV13" i="4"/>
  <c r="S12" i="17"/>
  <c r="V4" i="21"/>
  <c r="V4" i="18"/>
  <c r="V4" i="17"/>
  <c r="T84" i="21"/>
  <c r="T84" i="18"/>
  <c r="AN12" i="4"/>
  <c r="AV37" i="4"/>
  <c r="AF37" i="4"/>
  <c r="BF28" i="4"/>
  <c r="BL28" i="4"/>
  <c r="BL44" i="4"/>
  <c r="BN15" i="4"/>
  <c r="BP10" i="4"/>
  <c r="BP34" i="4"/>
  <c r="BP38" i="4"/>
  <c r="BR37" i="4"/>
  <c r="BT8" i="4"/>
  <c r="BT12" i="4"/>
  <c r="BT28" i="4"/>
  <c r="BT44" i="4"/>
  <c r="BV15" i="4"/>
  <c r="CD34" i="4"/>
  <c r="CD38" i="4"/>
  <c r="CT10" i="4"/>
  <c r="T84" i="17"/>
  <c r="AH8" i="4"/>
  <c r="AJ8" i="4"/>
  <c r="BD34" i="4"/>
  <c r="BV28" i="4"/>
  <c r="BX15" i="4"/>
  <c r="CD15" i="4"/>
  <c r="AD8" i="4"/>
  <c r="S36" i="17"/>
  <c r="GV37" i="4"/>
  <c r="FJ41" i="1"/>
  <c r="AL37" i="4"/>
  <c r="AD37" i="4"/>
  <c r="AN28" i="4"/>
  <c r="X28" i="4"/>
  <c r="BP19" i="4"/>
  <c r="AX15" i="4"/>
  <c r="AP15" i="4"/>
  <c r="AH15" i="4"/>
  <c r="AV8" i="4"/>
  <c r="R9" i="14" s="1"/>
  <c r="S18" i="17"/>
  <c r="GV19" i="4"/>
  <c r="S14" i="21"/>
  <c r="GV15" i="4"/>
  <c r="S14" i="18"/>
  <c r="AZ10" i="4"/>
  <c r="AR10" i="4"/>
  <c r="AJ10" i="4"/>
  <c r="FL10" i="4" s="1"/>
  <c r="S45" i="18"/>
  <c r="S45" i="17"/>
  <c r="AX34" i="4"/>
  <c r="AP34" i="4"/>
  <c r="Z34" i="4"/>
  <c r="BP31" i="4"/>
  <c r="AZ8" i="4"/>
  <c r="T9" i="14" s="1"/>
  <c r="AR8" i="4"/>
  <c r="P9" i="14" s="1"/>
  <c r="S16" i="21"/>
  <c r="AZ12" i="4"/>
  <c r="AT12" i="4"/>
  <c r="AL12" i="4"/>
  <c r="AV7" i="4"/>
  <c r="AH7" i="4"/>
  <c r="D26" i="16"/>
  <c r="BP47" i="4"/>
  <c r="AZ43" i="4"/>
  <c r="AJ43" i="4"/>
  <c r="FL43" i="4" s="1"/>
  <c r="AB43" i="4"/>
  <c r="AT41" i="4"/>
  <c r="AD41" i="4"/>
  <c r="AZ40" i="4"/>
  <c r="AB40" i="4"/>
  <c r="AB37" i="4"/>
  <c r="AD34" i="4"/>
  <c r="AZ33" i="4"/>
  <c r="AJ33" i="4"/>
  <c r="AB33" i="4"/>
  <c r="AD31" i="4"/>
  <c r="BT29" i="4"/>
  <c r="AZ27" i="4"/>
  <c r="AT27" i="4"/>
  <c r="AF27" i="4"/>
  <c r="J28" i="14" s="1"/>
  <c r="AJ24" i="4"/>
  <c r="AB24" i="4"/>
  <c r="BB22" i="4"/>
  <c r="AD17" i="4"/>
  <c r="AX14" i="4"/>
  <c r="Z8" i="4"/>
  <c r="AN8" i="4"/>
  <c r="N9" i="14" s="1"/>
  <c r="AX8" i="4"/>
  <c r="AF8" i="4"/>
  <c r="AX12" i="4"/>
  <c r="AR12" i="4"/>
  <c r="AJ12" i="4"/>
  <c r="AB12" i="4"/>
  <c r="AD10" i="4"/>
  <c r="AR46" i="4"/>
  <c r="AJ46" i="4"/>
  <c r="AB46" i="4"/>
  <c r="AH38" i="4"/>
  <c r="AP37" i="4"/>
  <c r="AZ34" i="4"/>
  <c r="AR34" i="4"/>
  <c r="AX33" i="4"/>
  <c r="AH33" i="4"/>
  <c r="AB31" i="4"/>
  <c r="AJ28" i="4"/>
  <c r="FL28" i="4" s="1"/>
  <c r="AL27" i="4"/>
  <c r="BN24" i="4"/>
  <c r="AN14" i="4"/>
  <c r="BK21" i="20"/>
  <c r="FT15" i="1"/>
  <c r="CA226" i="1"/>
  <c r="CA352" i="1" s="1"/>
  <c r="CA185" i="1"/>
  <c r="CA267" i="1"/>
  <c r="CV144" i="1"/>
  <c r="AP144" i="1" s="1"/>
  <c r="CL133" i="1"/>
  <c r="AU26" i="1"/>
  <c r="GP28" i="4" s="1"/>
  <c r="S21" i="21"/>
  <c r="S21" i="17"/>
  <c r="GV22" i="4"/>
  <c r="S21" i="18"/>
  <c r="S8" i="21"/>
  <c r="S8" i="17"/>
  <c r="GV9" i="4"/>
  <c r="FY10" i="4"/>
  <c r="S69" i="21"/>
  <c r="S69" i="17"/>
  <c r="S66" i="21"/>
  <c r="S66" i="18"/>
  <c r="S66" i="17"/>
  <c r="S63" i="18"/>
  <c r="S63" i="21"/>
  <c r="S63" i="17"/>
  <c r="S60" i="21"/>
  <c r="S60" i="18"/>
  <c r="S60" i="17"/>
  <c r="S57" i="21"/>
  <c r="S57" i="18"/>
  <c r="S57" i="17"/>
  <c r="S53" i="18"/>
  <c r="S53" i="17"/>
  <c r="S53" i="21"/>
  <c r="S50" i="21"/>
  <c r="S50" i="18"/>
  <c r="S50" i="17"/>
  <c r="S46" i="21"/>
  <c r="S46" i="18"/>
  <c r="S46" i="17"/>
  <c r="GV47" i="4"/>
  <c r="S43" i="21"/>
  <c r="S43" i="17"/>
  <c r="GV44" i="4"/>
  <c r="S43" i="18"/>
  <c r="S40" i="21"/>
  <c r="S40" i="18"/>
  <c r="S40" i="17"/>
  <c r="GV41" i="4"/>
  <c r="AA66" i="21"/>
  <c r="AA66" i="18"/>
  <c r="W66" i="21"/>
  <c r="W66" i="18"/>
  <c r="AB60" i="18"/>
  <c r="AB60" i="21"/>
  <c r="AB60" i="17"/>
  <c r="BS128" i="1"/>
  <c r="BO128" i="1"/>
  <c r="CA128" i="1"/>
  <c r="BR128" i="1"/>
  <c r="BI128" i="1"/>
  <c r="BY128" i="1"/>
  <c r="BQ128" i="1"/>
  <c r="BJ128" i="1"/>
  <c r="BP128" i="1"/>
  <c r="BZ128" i="1"/>
  <c r="BN128" i="1"/>
  <c r="BL128" i="1"/>
  <c r="BT128" i="1"/>
  <c r="BG128" i="1"/>
  <c r="BH128" i="1"/>
  <c r="BI251" i="1" s="1"/>
  <c r="BU128" i="1"/>
  <c r="BW128" i="1"/>
  <c r="BX128" i="1"/>
  <c r="BV128" i="1"/>
  <c r="BK128" i="1"/>
  <c r="BM128" i="1"/>
  <c r="BI126" i="1"/>
  <c r="BY126" i="1"/>
  <c r="BG126" i="1"/>
  <c r="BT126" i="1"/>
  <c r="BQ126" i="1"/>
  <c r="BM126" i="1"/>
  <c r="BW126" i="1"/>
  <c r="CA126" i="1"/>
  <c r="BO126" i="1"/>
  <c r="BU126" i="1"/>
  <c r="BR126" i="1"/>
  <c r="BZ126" i="1"/>
  <c r="BN126" i="1"/>
  <c r="BX126" i="1"/>
  <c r="BH126" i="1"/>
  <c r="BP126" i="1"/>
  <c r="BS126" i="1"/>
  <c r="BL126" i="1"/>
  <c r="BK126" i="1"/>
  <c r="BJ126" i="1"/>
  <c r="BV126" i="1"/>
  <c r="BM124" i="1"/>
  <c r="BP124" i="1"/>
  <c r="CA124" i="1"/>
  <c r="BK124" i="1"/>
  <c r="BS124" i="1"/>
  <c r="BW124" i="1"/>
  <c r="BU124" i="1"/>
  <c r="BH124" i="1"/>
  <c r="BR124" i="1"/>
  <c r="BO124" i="1"/>
  <c r="BL124" i="1"/>
  <c r="BZ124" i="1"/>
  <c r="BV124" i="1"/>
  <c r="BI124" i="1"/>
  <c r="BY124" i="1"/>
  <c r="BN124" i="1"/>
  <c r="BQ124" i="1"/>
  <c r="BG124" i="1"/>
  <c r="BX124" i="1"/>
  <c r="BJ124" i="1"/>
  <c r="BT124" i="1"/>
  <c r="GA36" i="4"/>
  <c r="GA20" i="4"/>
  <c r="C44" i="10"/>
  <c r="FM41" i="1"/>
  <c r="CF43" i="20"/>
  <c r="L43" i="20" s="1"/>
  <c r="B44" i="10"/>
  <c r="D44" i="10"/>
  <c r="D44" i="14"/>
  <c r="AB41" i="1"/>
  <c r="AA41" i="1"/>
  <c r="DC41" i="1"/>
  <c r="AQ41" i="1"/>
  <c r="CL43" i="20"/>
  <c r="O43" i="20" s="1"/>
  <c r="CR43" i="20"/>
  <c r="V43" i="20" s="1"/>
  <c r="CS43" i="20"/>
  <c r="W43" i="20" s="1"/>
  <c r="Z41" i="1"/>
  <c r="AS41" i="1"/>
  <c r="DE41" i="1"/>
  <c r="J43" i="4" s="1"/>
  <c r="FQ43" i="4" s="1"/>
  <c r="CO43" i="20"/>
  <c r="R43" i="20" s="1"/>
  <c r="DG43" i="20"/>
  <c r="AL43" i="20" s="1"/>
  <c r="CC43" i="20"/>
  <c r="I43" i="20" s="1"/>
  <c r="Y41" i="1"/>
  <c r="DH43" i="20"/>
  <c r="AM43" i="20" s="1"/>
  <c r="CM43" i="20"/>
  <c r="P43" i="20" s="1"/>
  <c r="CQ43" i="20"/>
  <c r="U43" i="20" s="1"/>
  <c r="CK43" i="20"/>
  <c r="N43" i="20" s="1"/>
  <c r="C44" i="14"/>
  <c r="BE41" i="1"/>
  <c r="DN41" i="1"/>
  <c r="DM41" i="1" s="1"/>
  <c r="DG201" i="1"/>
  <c r="DJ43" i="20"/>
  <c r="AO43" i="20" s="1"/>
  <c r="CU43" i="20"/>
  <c r="Y43" i="20" s="1"/>
  <c r="AD44" i="7"/>
  <c r="AD40" i="7"/>
  <c r="C39" i="14"/>
  <c r="D39" i="14"/>
  <c r="C39" i="10"/>
  <c r="B39" i="10"/>
  <c r="FM36" i="1"/>
  <c r="D39" i="10"/>
  <c r="CF38" i="20"/>
  <c r="L38" i="20" s="1"/>
  <c r="AS36" i="1"/>
  <c r="AA36" i="1"/>
  <c r="AQ36" i="1"/>
  <c r="DG196" i="1"/>
  <c r="CP38" i="20"/>
  <c r="T38" i="20" s="1"/>
  <c r="CQ38" i="20"/>
  <c r="U38" i="20" s="1"/>
  <c r="DN36" i="1"/>
  <c r="DM36" i="1" s="1"/>
  <c r="CM38" i="20"/>
  <c r="P38" i="20" s="1"/>
  <c r="DK38" i="20"/>
  <c r="AP38" i="20" s="1"/>
  <c r="CN38" i="20"/>
  <c r="Q38" i="20" s="1"/>
  <c r="DJ38" i="20"/>
  <c r="AO38" i="20" s="1"/>
  <c r="DG38" i="20"/>
  <c r="AL38" i="20" s="1"/>
  <c r="BE36" i="1"/>
  <c r="DU36" i="1"/>
  <c r="CO38" i="20"/>
  <c r="R38" i="20" s="1"/>
  <c r="CX38" i="20"/>
  <c r="AB38" i="20" s="1"/>
  <c r="CW38" i="20"/>
  <c r="AA38" i="20" s="1"/>
  <c r="FS38" i="4"/>
  <c r="AE37" i="7"/>
  <c r="FJ33" i="1"/>
  <c r="DB33" i="1"/>
  <c r="AI37" i="7"/>
  <c r="FO33" i="1"/>
  <c r="CO33" i="1"/>
  <c r="GJ34" i="4"/>
  <c r="AG36" i="7"/>
  <c r="AI27" i="7"/>
  <c r="FO23" i="1"/>
  <c r="CO23" i="1"/>
  <c r="CF23" i="1"/>
  <c r="GJ24" i="4"/>
  <c r="AG26" i="7"/>
  <c r="CF13" i="1"/>
  <c r="DB13" i="1"/>
  <c r="AI17" i="7"/>
  <c r="FO13" i="1"/>
  <c r="CO13" i="1"/>
  <c r="AG16" i="7"/>
  <c r="GJ14" i="4"/>
  <c r="FY14" i="4"/>
  <c r="AN10" i="1"/>
  <c r="CV47" i="4"/>
  <c r="CW47" i="4" s="1"/>
  <c r="F47" i="4"/>
  <c r="CT47" i="4"/>
  <c r="DZ43" i="20"/>
  <c r="BF43" i="20" s="1"/>
  <c r="DT38" i="20"/>
  <c r="AX38" i="20" s="1"/>
  <c r="DP43" i="20"/>
  <c r="AU43" i="20" s="1"/>
  <c r="DE38" i="20"/>
  <c r="AJ38" i="20" s="1"/>
  <c r="DE43" i="20"/>
  <c r="AJ43" i="20" s="1"/>
  <c r="AF36" i="1"/>
  <c r="DC43" i="20"/>
  <c r="AG43" i="20" s="1"/>
  <c r="DE36" i="1"/>
  <c r="J38" i="4" s="1"/>
  <c r="FQ38" i="4" s="1"/>
  <c r="CI38" i="20"/>
  <c r="F38" i="20" s="1"/>
  <c r="DV41" i="1"/>
  <c r="CV43" i="20"/>
  <c r="Z43" i="20" s="1"/>
  <c r="CF33" i="1"/>
  <c r="CS38" i="20"/>
  <c r="W38" i="20" s="1"/>
  <c r="DK43" i="20"/>
  <c r="AP43" i="20" s="1"/>
  <c r="CP43" i="20"/>
  <c r="T43" i="20" s="1"/>
  <c r="CN43" i="20"/>
  <c r="Q43" i="20" s="1"/>
  <c r="DI143" i="1"/>
  <c r="AG36" i="1"/>
  <c r="DC38" i="20"/>
  <c r="AG38" i="20" s="1"/>
  <c r="EB43" i="20"/>
  <c r="BH43" i="20" s="1"/>
  <c r="EB38" i="20"/>
  <c r="BH38" i="20" s="1"/>
  <c r="DB43" i="20"/>
  <c r="AF43" i="20" s="1"/>
  <c r="FQ41" i="1"/>
  <c r="CZ38" i="20"/>
  <c r="AD38" i="20" s="1"/>
  <c r="DX43" i="20"/>
  <c r="BC43" i="20" s="1"/>
  <c r="Y36" i="1"/>
  <c r="H38" i="4"/>
  <c r="CX43" i="20"/>
  <c r="AB43" i="20" s="1"/>
  <c r="Z36" i="1"/>
  <c r="CR38" i="20"/>
  <c r="V38" i="20" s="1"/>
  <c r="DV36" i="1"/>
  <c r="AB36" i="1"/>
  <c r="DI154" i="1"/>
  <c r="AT36" i="1"/>
  <c r="AT41" i="1"/>
  <c r="AJ15" i="7"/>
  <c r="AU14" i="1"/>
  <c r="GP16" i="4" s="1"/>
  <c r="BL308" i="1"/>
  <c r="CU159" i="1"/>
  <c r="CF144" i="1"/>
  <c r="FB41" i="1"/>
  <c r="DD43" i="20"/>
  <c r="AH43" i="20" s="1"/>
  <c r="FI36" i="1"/>
  <c r="DD38" i="20"/>
  <c r="AH38" i="20" s="1"/>
  <c r="DA38" i="20"/>
  <c r="AE38" i="20" s="1"/>
  <c r="EA43" i="20"/>
  <c r="BG43" i="20" s="1"/>
  <c r="EA38" i="20"/>
  <c r="BG38" i="20" s="1"/>
  <c r="DB38" i="20"/>
  <c r="AF38" i="20" s="1"/>
  <c r="DN38" i="20"/>
  <c r="AS38" i="20" s="1"/>
  <c r="DA43" i="20"/>
  <c r="AE43" i="20" s="1"/>
  <c r="FC41" i="1"/>
  <c r="DG41" i="1"/>
  <c r="FC36" i="1"/>
  <c r="DG36" i="1"/>
  <c r="CI43" i="20"/>
  <c r="F43" i="20" s="1"/>
  <c r="DS41" i="1"/>
  <c r="CR41" i="1"/>
  <c r="DC36" i="1"/>
  <c r="DS36" i="1"/>
  <c r="CJ47" i="17"/>
  <c r="AH47" i="17" s="1"/>
  <c r="FS43" i="4"/>
  <c r="CU38" i="20"/>
  <c r="Y38" i="20" s="1"/>
  <c r="CC38" i="20"/>
  <c r="I38" i="20" s="1"/>
  <c r="CJ44" i="17"/>
  <c r="AH44" i="17" s="1"/>
  <c r="DH38" i="20"/>
  <c r="AM38" i="20" s="1"/>
  <c r="CK38" i="20"/>
  <c r="N38" i="20" s="1"/>
  <c r="CL38" i="20"/>
  <c r="O38" i="20" s="1"/>
  <c r="AZ35" i="1"/>
  <c r="B79" i="26"/>
  <c r="B79" i="5"/>
  <c r="CW93" i="1"/>
  <c r="B31" i="5"/>
  <c r="B31" i="26"/>
  <c r="CZ84" i="1"/>
  <c r="GS16" i="4"/>
  <c r="AZ14" i="1"/>
  <c r="BN171" i="1"/>
  <c r="BN253" i="1"/>
  <c r="CI130" i="1"/>
  <c r="CD121" i="1"/>
  <c r="BV162" i="1"/>
  <c r="BV326" i="1" s="1"/>
  <c r="CQ121" i="1"/>
  <c r="CS136" i="1"/>
  <c r="CA261" i="1"/>
  <c r="CA220" i="1"/>
  <c r="CA346" i="1" s="1"/>
  <c r="CV138" i="1"/>
  <c r="AP138" i="1" s="1"/>
  <c r="DB54" i="1"/>
  <c r="CZ54" i="1"/>
  <c r="BZ183" i="1"/>
  <c r="BH285" i="1"/>
  <c r="DE99" i="1"/>
  <c r="CZ85" i="1"/>
  <c r="DE102" i="1"/>
  <c r="DA80" i="1"/>
  <c r="BZ302" i="1"/>
  <c r="BX303" i="1"/>
  <c r="BL211" i="1"/>
  <c r="CG129" i="1"/>
  <c r="BL170" i="1"/>
  <c r="BK293" i="1"/>
  <c r="S11" i="21"/>
  <c r="GV12" i="4"/>
  <c r="S11" i="17"/>
  <c r="U4" i="21"/>
  <c r="U4" i="18"/>
  <c r="U4" i="17"/>
  <c r="CT159" i="1"/>
  <c r="AY1" i="7"/>
  <c r="AZ1" i="7" s="1"/>
  <c r="AZ3" i="7"/>
  <c r="AY2" i="7"/>
  <c r="AZ2" i="7" s="1"/>
  <c r="BQ273" i="1"/>
  <c r="S9" i="17"/>
  <c r="DP164" i="1"/>
  <c r="GV10" i="4"/>
  <c r="S28" i="17"/>
  <c r="S18" i="21"/>
  <c r="S71" i="18"/>
  <c r="S68" i="18"/>
  <c r="S68" i="21"/>
  <c r="GV40" i="4"/>
  <c r="S39" i="21"/>
  <c r="BY21" i="17"/>
  <c r="BG21" i="17"/>
  <c r="AV9" i="4"/>
  <c r="AN9" i="4"/>
  <c r="AZ7" i="4"/>
  <c r="AR7" i="4"/>
  <c r="P8" i="10" s="1"/>
  <c r="AL7" i="4"/>
  <c r="AD7" i="4"/>
  <c r="S12" i="18"/>
  <c r="S22" i="17"/>
  <c r="AH57" i="18"/>
  <c r="AT9" i="4"/>
  <c r="AL9" i="4"/>
  <c r="AD9" i="4"/>
  <c r="AX7" i="4"/>
  <c r="S8" i="10" s="1"/>
  <c r="AJ7" i="4"/>
  <c r="FL7" i="4" s="1"/>
  <c r="AB7" i="4"/>
  <c r="BB46" i="4"/>
  <c r="BT21" i="18"/>
  <c r="BF20" i="18"/>
  <c r="AN20" i="18" s="1"/>
  <c r="DA64" i="1" s="1"/>
  <c r="BR12" i="17"/>
  <c r="AZ12" i="17"/>
  <c r="AH12" i="17" s="1"/>
  <c r="BR12" i="18"/>
  <c r="AZ12" i="18"/>
  <c r="AH12" i="18" s="1"/>
  <c r="CB44" i="4"/>
  <c r="CD11" i="4"/>
  <c r="AX12" i="10" s="1"/>
  <c r="AT46" i="4"/>
  <c r="AN46" i="4"/>
  <c r="AT42" i="4"/>
  <c r="AL42" i="4"/>
  <c r="AV16" i="4"/>
  <c r="BF15" i="18"/>
  <c r="AN15" i="18" s="1"/>
  <c r="CD16" i="4"/>
  <c r="AF12" i="4"/>
  <c r="AZ11" i="4"/>
  <c r="T12" i="10" s="1"/>
  <c r="AN11" i="4"/>
  <c r="AF11" i="4"/>
  <c r="AX9" i="4"/>
  <c r="AP9" i="4"/>
  <c r="AH9" i="4"/>
  <c r="AF7" i="4"/>
  <c r="AT47" i="4"/>
  <c r="AL47" i="4"/>
  <c r="AZ46" i="4"/>
  <c r="AD46" i="4"/>
  <c r="AV44" i="4"/>
  <c r="AR42" i="4"/>
  <c r="P43" i="10" s="1"/>
  <c r="BF10" i="18"/>
  <c r="AN10" i="18" s="1"/>
  <c r="BT11" i="18"/>
  <c r="AB42" i="4"/>
  <c r="H43" i="10" s="1"/>
  <c r="BD41" i="4"/>
  <c r="AV40" i="4"/>
  <c r="Z36" i="4"/>
  <c r="AH30" i="4"/>
  <c r="S30" i="10"/>
  <c r="AH28" i="4"/>
  <c r="AX24" i="4"/>
  <c r="AB20" i="4"/>
  <c r="AV19" i="4"/>
  <c r="AZ18" i="4"/>
  <c r="AR18" i="4"/>
  <c r="AT16" i="4"/>
  <c r="AR15" i="4"/>
  <c r="AB15" i="4"/>
  <c r="AV14" i="4"/>
  <c r="AH14" i="4"/>
  <c r="X38" i="7"/>
  <c r="BH24" i="4"/>
  <c r="BH32" i="4"/>
  <c r="BH36" i="4"/>
  <c r="BH40" i="4"/>
  <c r="BL29" i="4"/>
  <c r="BN16" i="4"/>
  <c r="BN20" i="4"/>
  <c r="BN28" i="4"/>
  <c r="BP23" i="4"/>
  <c r="BP27" i="4"/>
  <c r="BR14" i="4"/>
  <c r="BR18" i="4"/>
  <c r="BR22" i="4"/>
  <c r="BR30" i="4"/>
  <c r="BT21" i="4"/>
  <c r="BV24" i="4"/>
  <c r="BZ7" i="4"/>
  <c r="AT8" i="10" s="1"/>
  <c r="BZ15" i="4"/>
  <c r="BH39" i="4"/>
  <c r="AT19" i="4"/>
  <c r="AZ16" i="4"/>
  <c r="AJ16" i="4"/>
  <c r="AD16" i="4"/>
  <c r="AT14" i="4"/>
  <c r="AF14" i="4"/>
  <c r="BD23" i="4"/>
  <c r="BD27" i="4"/>
  <c r="BD35" i="4"/>
  <c r="BD39" i="4"/>
  <c r="BD43" i="4"/>
  <c r="BF14" i="4"/>
  <c r="BF18" i="4"/>
  <c r="BF30" i="4"/>
  <c r="BF34" i="4"/>
  <c r="BF38" i="4"/>
  <c r="BF42" i="4"/>
  <c r="Z43" i="10" s="1"/>
  <c r="BF46" i="4"/>
  <c r="BH13" i="4"/>
  <c r="BH21" i="4"/>
  <c r="BR7" i="4"/>
  <c r="AL8" i="10" s="1"/>
  <c r="BR11" i="4"/>
  <c r="AL12" i="10" s="1"/>
  <c r="BR19" i="4"/>
  <c r="BT14" i="4"/>
  <c r="CD24" i="4"/>
  <c r="CD28" i="4"/>
  <c r="AJ44" i="4"/>
  <c r="BH43" i="4"/>
  <c r="AF42" i="4"/>
  <c r="J43" i="10" s="1"/>
  <c r="AZ41" i="4"/>
  <c r="AR41" i="4"/>
  <c r="AJ38" i="4"/>
  <c r="FL38" i="4" s="1"/>
  <c r="AL36" i="4"/>
  <c r="BX35" i="4"/>
  <c r="AT32" i="4"/>
  <c r="AL32" i="4"/>
  <c r="AT30" i="4"/>
  <c r="AL30" i="4"/>
  <c r="X30" i="4"/>
  <c r="AT28" i="4"/>
  <c r="AL28" i="4"/>
  <c r="BH27" i="4"/>
  <c r="AL26" i="4"/>
  <c r="AD26" i="4"/>
  <c r="BD25" i="4"/>
  <c r="AT24" i="4"/>
  <c r="AR23" i="4"/>
  <c r="AB23" i="4"/>
  <c r="AV18" i="4"/>
  <c r="X18" i="4"/>
  <c r="AB17" i="4"/>
  <c r="AX16" i="4"/>
  <c r="AP16" i="4"/>
  <c r="AB16" i="4"/>
  <c r="AV15" i="4"/>
  <c r="BB26" i="4"/>
  <c r="BD8" i="4"/>
  <c r="BD12" i="4"/>
  <c r="BD16" i="4"/>
  <c r="BN18" i="4"/>
  <c r="BN22" i="4"/>
  <c r="BN30" i="4"/>
  <c r="BN34" i="4"/>
  <c r="BN42" i="4"/>
  <c r="AH43" i="10" s="1"/>
  <c r="BN46" i="4"/>
  <c r="BX23" i="4"/>
  <c r="BX27" i="4"/>
  <c r="P7" i="14"/>
  <c r="J7" i="14"/>
  <c r="O7" i="10"/>
  <c r="CB17" i="4"/>
  <c r="BZ26" i="4"/>
  <c r="BV16" i="4"/>
  <c r="X42" i="4"/>
  <c r="CB326" i="1"/>
  <c r="EK13" i="1"/>
  <c r="AI42" i="7"/>
  <c r="AI30" i="7"/>
  <c r="FO9" i="1"/>
  <c r="AI11" i="7"/>
  <c r="AI13" i="7"/>
  <c r="DB7" i="1"/>
  <c r="FX35" i="4"/>
  <c r="BH11" i="4"/>
  <c r="AB12" i="10" s="1"/>
  <c r="BP11" i="4"/>
  <c r="BB11" i="4"/>
  <c r="V12" i="10" s="1"/>
  <c r="BB10" i="4"/>
  <c r="CB10" i="4"/>
  <c r="BJ10" i="4"/>
  <c r="AX45" i="4"/>
  <c r="AX40" i="4"/>
  <c r="AR40" i="4"/>
  <c r="AJ40" i="4"/>
  <c r="AT38" i="4"/>
  <c r="AL38" i="4"/>
  <c r="CB33" i="4"/>
  <c r="BD33" i="4"/>
  <c r="BB7" i="4"/>
  <c r="BJ7" i="4"/>
  <c r="AH45" i="4"/>
  <c r="BV44" i="4"/>
  <c r="AD44" i="4"/>
  <c r="Z40" i="4"/>
  <c r="CD8" i="4"/>
  <c r="BH8" i="4"/>
  <c r="BF8" i="4"/>
  <c r="BV13" i="4"/>
  <c r="AP14" i="10" s="1"/>
  <c r="CD13" i="4"/>
  <c r="CB13" i="4"/>
  <c r="AV14" i="10" s="1"/>
  <c r="BT13" i="4"/>
  <c r="BL45" i="4"/>
  <c r="BT45" i="4"/>
  <c r="AD45" i="4"/>
  <c r="AP45" i="4"/>
  <c r="CB45" i="4"/>
  <c r="BN40" i="4"/>
  <c r="BF40" i="4"/>
  <c r="AH40" i="4"/>
  <c r="AL40" i="4"/>
  <c r="AP40" i="4"/>
  <c r="BB38" i="4"/>
  <c r="BR38" i="4"/>
  <c r="BZ38" i="4"/>
  <c r="BV32" i="4"/>
  <c r="CD32" i="4"/>
  <c r="BN32" i="4"/>
  <c r="BD9" i="4"/>
  <c r="BD13" i="4"/>
  <c r="BF13" i="4"/>
  <c r="Z14" i="10" s="1"/>
  <c r="BF32" i="4"/>
  <c r="BF36" i="4"/>
  <c r="BH12" i="4"/>
  <c r="BH35" i="4"/>
  <c r="BJ34" i="4"/>
  <c r="BJ38" i="4"/>
  <c r="BJ42" i="4"/>
  <c r="AD43" i="10" s="1"/>
  <c r="BT33" i="4"/>
  <c r="BT37" i="4"/>
  <c r="BT41" i="4"/>
  <c r="BX8" i="4"/>
  <c r="BZ11" i="4"/>
  <c r="AT12" i="10" s="1"/>
  <c r="BZ34" i="4"/>
  <c r="CB37" i="4"/>
  <c r="CB41" i="4"/>
  <c r="CD40" i="4"/>
  <c r="CD44" i="4"/>
  <c r="AT43" i="4"/>
  <c r="AD42" i="4"/>
  <c r="I43" i="10" s="1"/>
  <c r="AL41" i="4"/>
  <c r="AX36" i="4"/>
  <c r="AD36" i="4"/>
  <c r="AF32" i="4"/>
  <c r="CV31" i="4"/>
  <c r="CW31" i="4" s="1"/>
  <c r="CD20" i="4"/>
  <c r="FP20" i="4"/>
  <c r="BJ14" i="4"/>
  <c r="BD14" i="4"/>
  <c r="X15" i="7"/>
  <c r="X14" i="7"/>
  <c r="X12" i="7"/>
  <c r="BB14" i="4"/>
  <c r="BD10" i="4"/>
  <c r="BF44" i="4"/>
  <c r="BH47" i="4"/>
  <c r="BJ46" i="4"/>
  <c r="BL13" i="4"/>
  <c r="BL17" i="4"/>
  <c r="AF18" i="10" s="1"/>
  <c r="BN36" i="4"/>
  <c r="BN44" i="4"/>
  <c r="BR15" i="4"/>
  <c r="BR34" i="4"/>
  <c r="BV8" i="4"/>
  <c r="BV12" i="4"/>
  <c r="BV20" i="4"/>
  <c r="BZ46" i="4"/>
  <c r="CD12" i="4"/>
  <c r="AT20" i="4"/>
  <c r="AV17" i="4"/>
  <c r="AN17" i="4"/>
  <c r="AF17" i="4"/>
  <c r="AT15" i="4"/>
  <c r="AZ14" i="4"/>
  <c r="AR14" i="4"/>
  <c r="BB18" i="4"/>
  <c r="BD37" i="4"/>
  <c r="BD45" i="4"/>
  <c r="BL25" i="4"/>
  <c r="BL33" i="4"/>
  <c r="BP15" i="4"/>
  <c r="BR46" i="4"/>
  <c r="BT9" i="4"/>
  <c r="BV36" i="4"/>
  <c r="BV40" i="4"/>
  <c r="BX39" i="4"/>
  <c r="BX43" i="4"/>
  <c r="BX47" i="4"/>
  <c r="BZ42" i="4"/>
  <c r="AT43" i="10" s="1"/>
  <c r="BR42" i="4"/>
  <c r="AL43" i="10" s="1"/>
  <c r="BB34" i="4"/>
  <c r="BB42" i="4"/>
  <c r="V43" i="10" s="1"/>
  <c r="BF12" i="4"/>
  <c r="BF20" i="4"/>
  <c r="BH15" i="4"/>
  <c r="BJ18" i="4"/>
  <c r="BL41" i="4"/>
  <c r="BN12" i="4"/>
  <c r="BP35" i="4"/>
  <c r="BP39" i="4"/>
  <c r="BP43" i="4"/>
  <c r="BT17" i="4"/>
  <c r="BT25" i="4"/>
  <c r="BX11" i="4"/>
  <c r="AR12" i="10" s="1"/>
  <c r="BZ14" i="4"/>
  <c r="BZ18" i="4"/>
  <c r="CB25" i="4"/>
  <c r="BF24" i="4"/>
  <c r="BR26" i="4"/>
  <c r="BX19" i="4"/>
  <c r="S24" i="21"/>
  <c r="S14" i="17"/>
  <c r="S47" i="21"/>
  <c r="DL14" i="1"/>
  <c r="S22" i="18"/>
  <c r="S10" i="18"/>
  <c r="S8" i="18"/>
  <c r="X4" i="21"/>
  <c r="S58" i="18"/>
  <c r="S70" i="18"/>
  <c r="AG11" i="1"/>
  <c r="DU7" i="1"/>
  <c r="DU11" i="1"/>
  <c r="BK44" i="20"/>
  <c r="EF44" i="20"/>
  <c r="BL44" i="20" s="1"/>
  <c r="AA11" i="1"/>
  <c r="DC11" i="1" s="1"/>
  <c r="AW14" i="10"/>
  <c r="AA14" i="10"/>
  <c r="AI14" i="10"/>
  <c r="Y14" i="10"/>
  <c r="AC14" i="10"/>
  <c r="AO14" i="10"/>
  <c r="AM14" i="10"/>
  <c r="BK26" i="20"/>
  <c r="FX17" i="4"/>
  <c r="AF11" i="1"/>
  <c r="DK11" i="20"/>
  <c r="AP11" i="20" s="1"/>
  <c r="DG8" i="20"/>
  <c r="CL88" i="20"/>
  <c r="FV25" i="1"/>
  <c r="FV30" i="1"/>
  <c r="FV28" i="1"/>
  <c r="FV41" i="1"/>
  <c r="FV44" i="1"/>
  <c r="FV15" i="1"/>
  <c r="FV14" i="1"/>
  <c r="FV31" i="1"/>
  <c r="FV12" i="1"/>
  <c r="FV9" i="1"/>
  <c r="FV40" i="1"/>
  <c r="FV24" i="1"/>
  <c r="FV8" i="1"/>
  <c r="FV43" i="1"/>
  <c r="FV27" i="1"/>
  <c r="FV11" i="1"/>
  <c r="FV37" i="1"/>
  <c r="FV21" i="1"/>
  <c r="FV42" i="1"/>
  <c r="FV26" i="1"/>
  <c r="FV10" i="1"/>
  <c r="FV36" i="1"/>
  <c r="FV20" i="1"/>
  <c r="FV39" i="1"/>
  <c r="FV23" i="1"/>
  <c r="FV7" i="1"/>
  <c r="FV33" i="1"/>
  <c r="FV17" i="1"/>
  <c r="FV38" i="1"/>
  <c r="FV22" i="1"/>
  <c r="FV6" i="1"/>
  <c r="FV32" i="1"/>
  <c r="FV16" i="1"/>
  <c r="FV35" i="1"/>
  <c r="FV19" i="1"/>
  <c r="FV45" i="1"/>
  <c r="FV29" i="1"/>
  <c r="FV34" i="1"/>
  <c r="FV18" i="1"/>
  <c r="FV13" i="1"/>
  <c r="FV5" i="1"/>
  <c r="CI120" i="1" l="1"/>
  <c r="GH9" i="4"/>
  <c r="GH21" i="4"/>
  <c r="BS202" i="1"/>
  <c r="BS328" i="1" s="1"/>
  <c r="CA284" i="1"/>
  <c r="AG8" i="10"/>
  <c r="AC8" i="10"/>
  <c r="D8" i="14"/>
  <c r="J8" i="14" s="1"/>
  <c r="CF7" i="20"/>
  <c r="L7" i="20" s="1"/>
  <c r="AT5" i="1"/>
  <c r="B8" i="10"/>
  <c r="AS5" i="1"/>
  <c r="FM5" i="1"/>
  <c r="X44" i="7"/>
  <c r="W25" i="4"/>
  <c r="DC25" i="4" s="1"/>
  <c r="X25" i="4" s="1"/>
  <c r="L25" i="4"/>
  <c r="FP25" i="4" s="1"/>
  <c r="DE25" i="4"/>
  <c r="Z25" i="4" s="1"/>
  <c r="W41" i="4"/>
  <c r="DC41" i="4" s="1"/>
  <c r="X41" i="4" s="1"/>
  <c r="L41" i="4"/>
  <c r="FP41" i="4" s="1"/>
  <c r="DE41" i="4"/>
  <c r="Z41" i="4" s="1"/>
  <c r="G42" i="14" s="1"/>
  <c r="L19" i="4"/>
  <c r="FP19" i="4" s="1"/>
  <c r="W19" i="4"/>
  <c r="DC19" i="4" s="1"/>
  <c r="X19" i="4" s="1"/>
  <c r="DE19" i="4"/>
  <c r="Z19" i="4" s="1"/>
  <c r="CV23" i="4"/>
  <c r="CW23" i="4" s="1"/>
  <c r="L23" i="4"/>
  <c r="FP23" i="4" s="1"/>
  <c r="W23" i="4"/>
  <c r="DC23" i="4" s="1"/>
  <c r="X23" i="4" s="1"/>
  <c r="DE23" i="4"/>
  <c r="Z23" i="4" s="1"/>
  <c r="G24" i="14" s="1"/>
  <c r="CV27" i="4"/>
  <c r="CW27" i="4" s="1"/>
  <c r="L27" i="4"/>
  <c r="FP27" i="4" s="1"/>
  <c r="W27" i="4"/>
  <c r="DC27" i="4" s="1"/>
  <c r="X27" i="4" s="1"/>
  <c r="DE27" i="4"/>
  <c r="Z27" i="4" s="1"/>
  <c r="L31" i="4"/>
  <c r="FP31" i="4" s="1"/>
  <c r="W31" i="4"/>
  <c r="DC31" i="4" s="1"/>
  <c r="X31" i="4" s="1"/>
  <c r="DE31" i="4"/>
  <c r="Z31" i="4" s="1"/>
  <c r="V35" i="4"/>
  <c r="L35" i="4"/>
  <c r="FP35" i="4" s="1"/>
  <c r="W35" i="4"/>
  <c r="DC35" i="4" s="1"/>
  <c r="X35" i="4" s="1"/>
  <c r="DE35" i="4"/>
  <c r="Z35" i="4" s="1"/>
  <c r="CV43" i="4"/>
  <c r="CW43" i="4" s="1"/>
  <c r="L43" i="4"/>
  <c r="FP43" i="4" s="1"/>
  <c r="W43" i="4"/>
  <c r="DC43" i="4" s="1"/>
  <c r="X43" i="4" s="1"/>
  <c r="DE43" i="4"/>
  <c r="Z43" i="4" s="1"/>
  <c r="G44" i="14" s="1"/>
  <c r="L47" i="4"/>
  <c r="FP47" i="4" s="1"/>
  <c r="W47" i="4"/>
  <c r="DC47" i="4" s="1"/>
  <c r="X47" i="4" s="1"/>
  <c r="DE47" i="4"/>
  <c r="Z47" i="4" s="1"/>
  <c r="BK230" i="1"/>
  <c r="BK356" i="1" s="1"/>
  <c r="DX14" i="1"/>
  <c r="CV14" i="4"/>
  <c r="CW14" i="4" s="1"/>
  <c r="L14" i="4"/>
  <c r="FP14" i="4" s="1"/>
  <c r="W14" i="4"/>
  <c r="DC14" i="4" s="1"/>
  <c r="X14" i="4" s="1"/>
  <c r="DE14" i="4"/>
  <c r="Z14" i="4" s="1"/>
  <c r="V29" i="4"/>
  <c r="W29" i="4"/>
  <c r="DC29" i="4" s="1"/>
  <c r="X29" i="4" s="1"/>
  <c r="L29" i="4"/>
  <c r="FP29" i="4" s="1"/>
  <c r="DE29" i="4"/>
  <c r="Z29" i="4" s="1"/>
  <c r="CV45" i="4"/>
  <c r="CW45" i="4" s="1"/>
  <c r="W45" i="4"/>
  <c r="DC45" i="4" s="1"/>
  <c r="X45" i="4" s="1"/>
  <c r="L45" i="4"/>
  <c r="FP45" i="4" s="1"/>
  <c r="DE45" i="4"/>
  <c r="Z45" i="4" s="1"/>
  <c r="L11" i="4"/>
  <c r="FP11" i="4" s="1"/>
  <c r="W11" i="4"/>
  <c r="DC11" i="4" s="1"/>
  <c r="X11" i="4" s="1"/>
  <c r="DE11" i="4"/>
  <c r="Z11" i="4" s="1"/>
  <c r="L38" i="4"/>
  <c r="FP38" i="4" s="1"/>
  <c r="L46" i="4"/>
  <c r="FP46" i="4" s="1"/>
  <c r="FW27" i="4"/>
  <c r="AR20" i="10"/>
  <c r="X11" i="10"/>
  <c r="O14" i="10"/>
  <c r="W17" i="4"/>
  <c r="DC17" i="4" s="1"/>
  <c r="X17" i="4" s="1"/>
  <c r="L17" i="4"/>
  <c r="FP17" i="4" s="1"/>
  <c r="DE17" i="4"/>
  <c r="Z17" i="4" s="1"/>
  <c r="W33" i="4"/>
  <c r="DC33" i="4" s="1"/>
  <c r="X33" i="4" s="1"/>
  <c r="L33" i="4"/>
  <c r="FP33" i="4" s="1"/>
  <c r="DE33" i="4"/>
  <c r="Z33" i="4" s="1"/>
  <c r="G34" i="14" s="1"/>
  <c r="CV39" i="4"/>
  <c r="CW39" i="4" s="1"/>
  <c r="L39" i="4"/>
  <c r="FP39" i="4" s="1"/>
  <c r="W39" i="4"/>
  <c r="DC39" i="4" s="1"/>
  <c r="X39" i="4" s="1"/>
  <c r="DE39" i="4"/>
  <c r="Z39" i="4" s="1"/>
  <c r="L10" i="4"/>
  <c r="FP10" i="4" s="1"/>
  <c r="W10" i="4"/>
  <c r="DC10" i="4" s="1"/>
  <c r="X10" i="4" s="1"/>
  <c r="DE10" i="4"/>
  <c r="Z10" i="4" s="1"/>
  <c r="L8" i="4"/>
  <c r="FP8" i="4" s="1"/>
  <c r="AD11" i="10"/>
  <c r="G44" i="10"/>
  <c r="I11" i="10"/>
  <c r="CK142" i="1"/>
  <c r="G48" i="14"/>
  <c r="G26" i="10"/>
  <c r="CV21" i="4"/>
  <c r="CW21" i="4" s="1"/>
  <c r="W21" i="4"/>
  <c r="DC21" i="4" s="1"/>
  <c r="X21" i="4" s="1"/>
  <c r="L21" i="4"/>
  <c r="FP21" i="4" s="1"/>
  <c r="DE21" i="4"/>
  <c r="Z21" i="4" s="1"/>
  <c r="G22" i="14" s="1"/>
  <c r="CV37" i="4"/>
  <c r="CW37" i="4" s="1"/>
  <c r="W37" i="4"/>
  <c r="DC37" i="4" s="1"/>
  <c r="X37" i="4" s="1"/>
  <c r="L37" i="4"/>
  <c r="FP37" i="4" s="1"/>
  <c r="DE37" i="4"/>
  <c r="Z37" i="4" s="1"/>
  <c r="L9" i="4"/>
  <c r="FP9" i="4" s="1"/>
  <c r="W9" i="4"/>
  <c r="DC9" i="4" s="1"/>
  <c r="X9" i="4" s="1"/>
  <c r="DE9" i="4"/>
  <c r="Z9" i="4" s="1"/>
  <c r="CV15" i="4"/>
  <c r="CW15" i="4" s="1"/>
  <c r="L15" i="4"/>
  <c r="FP15" i="4" s="1"/>
  <c r="W15" i="4"/>
  <c r="DC15" i="4" s="1"/>
  <c r="X15" i="4" s="1"/>
  <c r="DE15" i="4"/>
  <c r="Z15" i="4" s="1"/>
  <c r="L30" i="4"/>
  <c r="FP30" i="4" s="1"/>
  <c r="BD6" i="17"/>
  <c r="BT6" i="17"/>
  <c r="BA6" i="18"/>
  <c r="CK6" i="17"/>
  <c r="BA6" i="17"/>
  <c r="I17" i="14"/>
  <c r="J17" i="14"/>
  <c r="DY42" i="1"/>
  <c r="DZ42" i="1" s="1"/>
  <c r="EA42" i="1" s="1"/>
  <c r="Z4" i="1"/>
  <c r="X9" i="7"/>
  <c r="L12" i="4"/>
  <c r="FP12" i="4" s="1"/>
  <c r="BL202" i="1"/>
  <c r="BL328" i="1" s="1"/>
  <c r="L7" i="4"/>
  <c r="FP7" i="4" s="1"/>
  <c r="U25" i="4"/>
  <c r="FM25" i="4" s="1"/>
  <c r="AD23" i="1"/>
  <c r="AD40" i="1"/>
  <c r="CN42" i="4"/>
  <c r="CU42" i="4" s="1"/>
  <c r="T25" i="4"/>
  <c r="E27" i="7" s="1"/>
  <c r="E46" i="5" s="1"/>
  <c r="D46" i="5" s="1"/>
  <c r="T42" i="4"/>
  <c r="E44" i="7" s="1"/>
  <c r="E80" i="5" s="1"/>
  <c r="D80" i="5" s="1"/>
  <c r="AF30" i="10"/>
  <c r="V30" i="10"/>
  <c r="I30" i="14"/>
  <c r="J12" i="14"/>
  <c r="D6" i="4"/>
  <c r="L30" i="10"/>
  <c r="AV30" i="10"/>
  <c r="Z30" i="10"/>
  <c r="W20" i="10"/>
  <c r="AN30" i="10"/>
  <c r="U23" i="4"/>
  <c r="F25" i="7" s="1"/>
  <c r="Y40" i="7"/>
  <c r="AD36" i="1"/>
  <c r="T38" i="4"/>
  <c r="E40" i="7" s="1"/>
  <c r="F72" i="26" s="1"/>
  <c r="E72" i="26" s="1"/>
  <c r="X20" i="7"/>
  <c r="X36" i="7"/>
  <c r="BK257" i="1"/>
  <c r="BJ298" i="1"/>
  <c r="O32" i="14"/>
  <c r="CH140" i="1"/>
  <c r="FD29" i="1"/>
  <c r="FX34" i="4"/>
  <c r="DL43" i="20"/>
  <c r="AR43" i="20" s="1"/>
  <c r="DY43" i="20"/>
  <c r="BE43" i="20" s="1"/>
  <c r="AF41" i="1"/>
  <c r="CX36" i="20"/>
  <c r="AB36" i="20" s="1"/>
  <c r="FY34" i="1"/>
  <c r="P32" i="14"/>
  <c r="F21" i="4"/>
  <c r="DY24" i="1"/>
  <c r="DZ24" i="1" s="1"/>
  <c r="EA24" i="1" s="1"/>
  <c r="EB24" i="1" s="1"/>
  <c r="EC24" i="1" s="1"/>
  <c r="ED24" i="1" s="1"/>
  <c r="EE24" i="1" s="1"/>
  <c r="DS12" i="1"/>
  <c r="DD14" i="20"/>
  <c r="AH14" i="20" s="1"/>
  <c r="D15" i="14"/>
  <c r="L15" i="14" s="1"/>
  <c r="V33" i="4"/>
  <c r="F33" i="4"/>
  <c r="G27" i="10"/>
  <c r="DN6" i="1"/>
  <c r="FM6" i="1"/>
  <c r="CR21" i="20"/>
  <c r="V21" i="20" s="1"/>
  <c r="Z19" i="1"/>
  <c r="CR19" i="1"/>
  <c r="FC19" i="1"/>
  <c r="DD21" i="20"/>
  <c r="AH21" i="20" s="1"/>
  <c r="EG21" i="20"/>
  <c r="BM21" i="20" s="1"/>
  <c r="H21" i="4"/>
  <c r="DV19" i="1"/>
  <c r="DT19" i="1"/>
  <c r="DL19" i="1" s="1"/>
  <c r="CP19" i="1"/>
  <c r="DB21" i="20"/>
  <c r="AF21" i="20" s="1"/>
  <c r="CP21" i="20"/>
  <c r="T21" i="20" s="1"/>
  <c r="Y19" i="1"/>
  <c r="CQ21" i="20"/>
  <c r="U21" i="20" s="1"/>
  <c r="CN21" i="20"/>
  <c r="Q21" i="20" s="1"/>
  <c r="AB19" i="1"/>
  <c r="AT6" i="1"/>
  <c r="CH8" i="20" s="1"/>
  <c r="E8" i="20" s="1"/>
  <c r="DC21" i="20"/>
  <c r="AG21" i="20" s="1"/>
  <c r="DV21" i="20"/>
  <c r="BA21" i="20" s="1"/>
  <c r="DH46" i="20"/>
  <c r="AM46" i="20" s="1"/>
  <c r="CW21" i="20"/>
  <c r="AA21" i="20" s="1"/>
  <c r="AU29" i="1"/>
  <c r="GP31" i="4" s="1"/>
  <c r="T35" i="14"/>
  <c r="I35" i="14"/>
  <c r="G32" i="14"/>
  <c r="AU9" i="1"/>
  <c r="GP11" i="4" s="1"/>
  <c r="BK216" i="1"/>
  <c r="BK342" i="1" s="1"/>
  <c r="F32" i="14"/>
  <c r="DV43" i="20"/>
  <c r="BA43" i="20" s="1"/>
  <c r="H43" i="4"/>
  <c r="AG41" i="1"/>
  <c r="DS43" i="20"/>
  <c r="AY43" i="20" s="1"/>
  <c r="EG36" i="20"/>
  <c r="BM36" i="20" s="1"/>
  <c r="DK36" i="20"/>
  <c r="AP36" i="20" s="1"/>
  <c r="DA36" i="20"/>
  <c r="AE36" i="20" s="1"/>
  <c r="Q32" i="14"/>
  <c r="N32" i="14"/>
  <c r="EE43" i="20"/>
  <c r="EF43" i="20" s="1"/>
  <c r="BL43" i="20" s="1"/>
  <c r="CT21" i="4"/>
  <c r="CT33" i="4"/>
  <c r="BE12" i="1"/>
  <c r="DN12" i="1"/>
  <c r="DM12" i="1" s="1"/>
  <c r="DL14" i="20"/>
  <c r="AR14" i="20" s="1"/>
  <c r="FY12" i="1"/>
  <c r="FY19" i="1"/>
  <c r="C9" i="10"/>
  <c r="C9" i="14"/>
  <c r="CL21" i="20"/>
  <c r="O21" i="20" s="1"/>
  <c r="DW19" i="1"/>
  <c r="CM21" i="20"/>
  <c r="P21" i="20" s="1"/>
  <c r="EB21" i="20"/>
  <c r="BH21" i="20" s="1"/>
  <c r="DG19" i="1"/>
  <c r="BE19" i="1"/>
  <c r="GS21" i="4" s="1"/>
  <c r="C22" i="14"/>
  <c r="DT21" i="20"/>
  <c r="AX21" i="20" s="1"/>
  <c r="DY21" i="20"/>
  <c r="BE21" i="20" s="1"/>
  <c r="DC19" i="1"/>
  <c r="DU19" i="1"/>
  <c r="CI21" i="20"/>
  <c r="F21" i="20" s="1"/>
  <c r="AS19" i="1"/>
  <c r="AU19" i="1" s="1"/>
  <c r="GP21" i="4" s="1"/>
  <c r="CS21" i="20"/>
  <c r="W21" i="20" s="1"/>
  <c r="FM19" i="1"/>
  <c r="CU46" i="20"/>
  <c r="Y46" i="20" s="1"/>
  <c r="EA21" i="20"/>
  <c r="BG21" i="20" s="1"/>
  <c r="U17" i="4"/>
  <c r="FM17" i="4" s="1"/>
  <c r="S32" i="14"/>
  <c r="BM263" i="1"/>
  <c r="FX13" i="4"/>
  <c r="AC41" i="1"/>
  <c r="T43" i="4" s="1"/>
  <c r="E45" i="7" s="1"/>
  <c r="F82" i="26" s="1"/>
  <c r="E82" i="26" s="1"/>
  <c r="L16" i="14"/>
  <c r="FI41" i="1"/>
  <c r="DW41" i="1"/>
  <c r="DY41" i="1" s="1"/>
  <c r="DZ41" i="1" s="1"/>
  <c r="EA41" i="1" s="1"/>
  <c r="EB41" i="1" s="1"/>
  <c r="EC41" i="1" s="1"/>
  <c r="ED41" i="1" s="1"/>
  <c r="EE41" i="1" s="1"/>
  <c r="DT43" i="20"/>
  <c r="AX43" i="20" s="1"/>
  <c r="CP41" i="1"/>
  <c r="DN43" i="20"/>
  <c r="AS43" i="20" s="1"/>
  <c r="AE41" i="1"/>
  <c r="F9" i="14"/>
  <c r="DY24" i="20"/>
  <c r="BE24" i="20" s="1"/>
  <c r="M9" i="14"/>
  <c r="DE12" i="1"/>
  <c r="J14" i="4" s="1"/>
  <c r="FQ14" i="4" s="1"/>
  <c r="AB12" i="1"/>
  <c r="AC19" i="1"/>
  <c r="T21" i="4" s="1"/>
  <c r="E23" i="7" s="1"/>
  <c r="D9" i="10"/>
  <c r="AL9" i="10" s="1"/>
  <c r="AQ19" i="1"/>
  <c r="DI134" i="1" s="1"/>
  <c r="CX21" i="20"/>
  <c r="AB21" i="20" s="1"/>
  <c r="AF19" i="1"/>
  <c r="CC21" i="20"/>
  <c r="I21" i="20" s="1"/>
  <c r="DN21" i="20"/>
  <c r="AS21" i="20" s="1"/>
  <c r="CV21" i="20"/>
  <c r="Z21" i="20" s="1"/>
  <c r="CF21" i="20"/>
  <c r="L21" i="20" s="1"/>
  <c r="CZ21" i="20"/>
  <c r="AD21" i="20" s="1"/>
  <c r="FI19" i="1"/>
  <c r="DS19" i="1"/>
  <c r="AA19" i="1"/>
  <c r="FS21" i="4"/>
  <c r="D22" i="10"/>
  <c r="AD22" i="10" s="1"/>
  <c r="CO21" i="20"/>
  <c r="R21" i="20" s="1"/>
  <c r="B22" i="10"/>
  <c r="AS6" i="1"/>
  <c r="CG8" i="20" s="1"/>
  <c r="DZ21" i="20"/>
  <c r="BF21" i="20" s="1"/>
  <c r="DJ21" i="20"/>
  <c r="AO21" i="20" s="1"/>
  <c r="DK21" i="20"/>
  <c r="AP21" i="20" s="1"/>
  <c r="F10" i="4"/>
  <c r="CV10" i="4"/>
  <c r="CW10" i="4" s="1"/>
  <c r="CP18" i="1"/>
  <c r="EG20" i="20"/>
  <c r="BM20" i="20" s="1"/>
  <c r="DZ20" i="20"/>
  <c r="BF20" i="20" s="1"/>
  <c r="C21" i="10"/>
  <c r="D21" i="10"/>
  <c r="H21" i="10" s="1"/>
  <c r="DJ20" i="20"/>
  <c r="AO20" i="20" s="1"/>
  <c r="DL20" i="20"/>
  <c r="AR20" i="20" s="1"/>
  <c r="C21" i="14"/>
  <c r="CR20" i="20"/>
  <c r="V20" i="20" s="1"/>
  <c r="AB18" i="1"/>
  <c r="DG20" i="20"/>
  <c r="AL20" i="20" s="1"/>
  <c r="CL20" i="20"/>
  <c r="O20" i="20" s="1"/>
  <c r="DA20" i="20"/>
  <c r="AE20" i="20" s="1"/>
  <c r="FM18" i="1"/>
  <c r="DN18" i="1"/>
  <c r="DM18" i="1" s="1"/>
  <c r="CS20" i="20"/>
  <c r="W20" i="20" s="1"/>
  <c r="AE18" i="1"/>
  <c r="EE20" i="20"/>
  <c r="B21" i="10"/>
  <c r="DV18" i="1"/>
  <c r="EE39" i="20"/>
  <c r="AG37" i="1"/>
  <c r="DG197" i="1"/>
  <c r="B40" i="10"/>
  <c r="CR39" i="20"/>
  <c r="V39" i="20" s="1"/>
  <c r="H39" i="4"/>
  <c r="FI37" i="1"/>
  <c r="DU37" i="1"/>
  <c r="CR37" i="1"/>
  <c r="DE39" i="20"/>
  <c r="AJ39" i="20" s="1"/>
  <c r="DW37" i="1"/>
  <c r="DN37" i="1"/>
  <c r="DM37" i="1" s="1"/>
  <c r="Z37" i="1"/>
  <c r="EA39" i="20"/>
  <c r="BG39" i="20" s="1"/>
  <c r="CI39" i="20"/>
  <c r="F39" i="20" s="1"/>
  <c r="AE37" i="1"/>
  <c r="DY39" i="20"/>
  <c r="BE39" i="20" s="1"/>
  <c r="DS39" i="20"/>
  <c r="AY39" i="20" s="1"/>
  <c r="CP37" i="1"/>
  <c r="DJ39" i="20"/>
  <c r="AO39" i="20" s="1"/>
  <c r="D40" i="10"/>
  <c r="U40" i="10" s="1"/>
  <c r="DK39" i="20"/>
  <c r="AP39" i="20" s="1"/>
  <c r="FM37" i="1"/>
  <c r="CL39" i="20"/>
  <c r="O39" i="20" s="1"/>
  <c r="DA39" i="20"/>
  <c r="AE39" i="20" s="1"/>
  <c r="DE37" i="1"/>
  <c r="J39" i="4" s="1"/>
  <c r="FQ39" i="4" s="1"/>
  <c r="CM39" i="20"/>
  <c r="P39" i="20" s="1"/>
  <c r="CW39" i="20"/>
  <c r="AA39" i="20" s="1"/>
  <c r="DG37" i="1"/>
  <c r="EG39" i="20"/>
  <c r="BM39" i="20" s="1"/>
  <c r="DV37" i="1"/>
  <c r="CU39" i="20"/>
  <c r="Y39" i="20" s="1"/>
  <c r="DC39" i="20"/>
  <c r="AG39" i="20" s="1"/>
  <c r="C40" i="14"/>
  <c r="DX39" i="20"/>
  <c r="BC39" i="20" s="1"/>
  <c r="CV39" i="20"/>
  <c r="Z39" i="20" s="1"/>
  <c r="CQ39" i="20"/>
  <c r="U39" i="20" s="1"/>
  <c r="DT37" i="1"/>
  <c r="DL37" i="1" s="1"/>
  <c r="FY37" i="1"/>
  <c r="AS37" i="1"/>
  <c r="AU37" i="1" s="1"/>
  <c r="GP39" i="4" s="1"/>
  <c r="CS39" i="20"/>
  <c r="W39" i="20" s="1"/>
  <c r="CC39" i="20"/>
  <c r="I39" i="20" s="1"/>
  <c r="DL39" i="20"/>
  <c r="AR39" i="20" s="1"/>
  <c r="EB39" i="20"/>
  <c r="BH39" i="20" s="1"/>
  <c r="CF39" i="20"/>
  <c r="L39" i="20" s="1"/>
  <c r="CP39" i="20"/>
  <c r="T39" i="20" s="1"/>
  <c r="DN39" i="20"/>
  <c r="AS39" i="20" s="1"/>
  <c r="DP39" i="20"/>
  <c r="AU39" i="20" s="1"/>
  <c r="DT39" i="20"/>
  <c r="AX39" i="20" s="1"/>
  <c r="CO39" i="20"/>
  <c r="R39" i="20" s="1"/>
  <c r="C40" i="10"/>
  <c r="CZ39" i="20"/>
  <c r="AD39" i="20" s="1"/>
  <c r="FB37" i="1"/>
  <c r="FS39" i="4"/>
  <c r="BE37" i="1"/>
  <c r="GS39" i="4" s="1"/>
  <c r="DB39" i="20"/>
  <c r="AF39" i="20" s="1"/>
  <c r="FQ37" i="1"/>
  <c r="DC37" i="1"/>
  <c r="DG39" i="20"/>
  <c r="AL39" i="20" s="1"/>
  <c r="FC33" i="1"/>
  <c r="FB33" i="1"/>
  <c r="AA33" i="1"/>
  <c r="DN35" i="20"/>
  <c r="AS35" i="20" s="1"/>
  <c r="DN33" i="1"/>
  <c r="DM33" i="1" s="1"/>
  <c r="DG33" i="1"/>
  <c r="DY33" i="1" s="1"/>
  <c r="DZ33" i="1" s="1"/>
  <c r="EA33" i="1" s="1"/>
  <c r="EB33" i="1" s="1"/>
  <c r="EC33" i="1" s="1"/>
  <c r="ED33" i="1" s="1"/>
  <c r="EE33" i="1" s="1"/>
  <c r="DH35" i="20"/>
  <c r="AM35" i="20" s="1"/>
  <c r="EA35" i="20"/>
  <c r="BG35" i="20" s="1"/>
  <c r="DB35" i="20"/>
  <c r="AF35" i="20" s="1"/>
  <c r="AB33" i="1"/>
  <c r="Z33" i="1"/>
  <c r="S37" i="7" s="1"/>
  <c r="AE33" i="1"/>
  <c r="CO35" i="20"/>
  <c r="R35" i="20" s="1"/>
  <c r="AS33" i="1"/>
  <c r="CG35" i="20" s="1"/>
  <c r="D35" i="20" s="1"/>
  <c r="CR33" i="1"/>
  <c r="BD195" i="1"/>
  <c r="FI18" i="1"/>
  <c r="EB20" i="20"/>
  <c r="BH20" i="20" s="1"/>
  <c r="DE18" i="1"/>
  <c r="J20" i="4" s="1"/>
  <c r="FQ20" i="4" s="1"/>
  <c r="DV20" i="20"/>
  <c r="BA20" i="20" s="1"/>
  <c r="DS20" i="20"/>
  <c r="AY20" i="20" s="1"/>
  <c r="DG178" i="1"/>
  <c r="DN20" i="20"/>
  <c r="AS20" i="20" s="1"/>
  <c r="CO20" i="20"/>
  <c r="R20" i="20" s="1"/>
  <c r="DU18" i="1"/>
  <c r="FS20" i="4"/>
  <c r="BE18" i="1"/>
  <c r="CK20" i="20"/>
  <c r="N20" i="20" s="1"/>
  <c r="B36" i="10"/>
  <c r="DZ39" i="20"/>
  <c r="BF39" i="20" s="1"/>
  <c r="AF37" i="1"/>
  <c r="AA37" i="1"/>
  <c r="CT15" i="4"/>
  <c r="F15" i="4"/>
  <c r="V15" i="4"/>
  <c r="DU12" i="1"/>
  <c r="DS14" i="20"/>
  <c r="AY14" i="20" s="1"/>
  <c r="EA14" i="20"/>
  <c r="BG14" i="20" s="1"/>
  <c r="AS12" i="1"/>
  <c r="AQ12" i="1"/>
  <c r="DI127" i="1" s="1"/>
  <c r="CN14" i="20"/>
  <c r="Q14" i="20" s="1"/>
  <c r="DJ14" i="20"/>
  <c r="AO14" i="20" s="1"/>
  <c r="DC14" i="20"/>
  <c r="AG14" i="20" s="1"/>
  <c r="CR12" i="1"/>
  <c r="EE14" i="20"/>
  <c r="C15" i="14"/>
  <c r="DG172" i="1"/>
  <c r="CP12" i="1"/>
  <c r="CI14" i="20"/>
  <c r="F14" i="20" s="1"/>
  <c r="DG12" i="1"/>
  <c r="DY12" i="1" s="1"/>
  <c r="DZ12" i="1" s="1"/>
  <c r="EA12" i="1" s="1"/>
  <c r="EB12" i="1" s="1"/>
  <c r="EC12" i="1" s="1"/>
  <c r="ED12" i="1" s="1"/>
  <c r="EE12" i="1" s="1"/>
  <c r="CS14" i="20"/>
  <c r="W14" i="20" s="1"/>
  <c r="AE12" i="1"/>
  <c r="EG14" i="20"/>
  <c r="BM14" i="20" s="1"/>
  <c r="DV14" i="20"/>
  <c r="BA14" i="20" s="1"/>
  <c r="CW14" i="20"/>
  <c r="AA14" i="20" s="1"/>
  <c r="DZ14" i="20"/>
  <c r="BF14" i="20" s="1"/>
  <c r="DY14" i="20"/>
  <c r="BE14" i="20" s="1"/>
  <c r="EB14" i="20"/>
  <c r="BH14" i="20" s="1"/>
  <c r="Y12" i="1"/>
  <c r="FT12" i="1" s="1"/>
  <c r="CX14" i="20"/>
  <c r="AB14" i="20" s="1"/>
  <c r="D15" i="10"/>
  <c r="AO15" i="10" s="1"/>
  <c r="CC14" i="20"/>
  <c r="I14" i="20" s="1"/>
  <c r="CO14" i="20"/>
  <c r="R14" i="20" s="1"/>
  <c r="CV14" i="20"/>
  <c r="Z14" i="20" s="1"/>
  <c r="DA14" i="20"/>
  <c r="AE14" i="20" s="1"/>
  <c r="DB14" i="20"/>
  <c r="AF14" i="20" s="1"/>
  <c r="CF14" i="20"/>
  <c r="L14" i="20" s="1"/>
  <c r="CK14" i="20"/>
  <c r="N14" i="20" s="1"/>
  <c r="DH14" i="20"/>
  <c r="AM14" i="20" s="1"/>
  <c r="FM12" i="1"/>
  <c r="CZ14" i="20"/>
  <c r="AD14" i="20" s="1"/>
  <c r="AG12" i="1"/>
  <c r="DX14" i="20"/>
  <c r="BC14" i="20" s="1"/>
  <c r="DT14" i="20"/>
  <c r="AX14" i="20" s="1"/>
  <c r="DV12" i="1"/>
  <c r="AC12" i="1"/>
  <c r="Y16" i="7" s="1"/>
  <c r="FQ12" i="1"/>
  <c r="AF12" i="1"/>
  <c r="DP14" i="20"/>
  <c r="AU14" i="20" s="1"/>
  <c r="FB12" i="1"/>
  <c r="B15" i="10"/>
  <c r="CQ14" i="20"/>
  <c r="U14" i="20" s="1"/>
  <c r="C15" i="10"/>
  <c r="CU14" i="20"/>
  <c r="Y14" i="20" s="1"/>
  <c r="FC12" i="1"/>
  <c r="DE14" i="20"/>
  <c r="AJ14" i="20" s="1"/>
  <c r="AT12" i="1"/>
  <c r="CH14" i="20" s="1"/>
  <c r="E14" i="20" s="1"/>
  <c r="DG14" i="20"/>
  <c r="AL14" i="20" s="1"/>
  <c r="DK14" i="20"/>
  <c r="AP14" i="20" s="1"/>
  <c r="AA12" i="1"/>
  <c r="DC12" i="1"/>
  <c r="FI12" i="1"/>
  <c r="DT12" i="1"/>
  <c r="DL12" i="1" s="1"/>
  <c r="Z12" i="1"/>
  <c r="DN14" i="20"/>
  <c r="AS14" i="20" s="1"/>
  <c r="FS14" i="4"/>
  <c r="DE33" i="1"/>
  <c r="J35" i="4" s="1"/>
  <c r="FQ35" i="4" s="1"/>
  <c r="CK39" i="20"/>
  <c r="N39" i="20" s="1"/>
  <c r="DD39" i="20"/>
  <c r="AH39" i="20" s="1"/>
  <c r="CX39" i="20"/>
  <c r="AB39" i="20" s="1"/>
  <c r="AN7" i="1"/>
  <c r="AT7" i="1"/>
  <c r="CH9" i="20" s="1"/>
  <c r="E9" i="20" s="1"/>
  <c r="B10" i="10"/>
  <c r="FM7" i="1"/>
  <c r="AA7" i="1"/>
  <c r="C10" i="10"/>
  <c r="D10" i="10"/>
  <c r="AU10" i="10" s="1"/>
  <c r="AS7" i="1"/>
  <c r="CF9" i="20"/>
  <c r="L9" i="20" s="1"/>
  <c r="D10" i="14"/>
  <c r="DN7" i="1"/>
  <c r="DM7" i="1" s="1"/>
  <c r="CV19" i="4"/>
  <c r="CW19" i="4" s="1"/>
  <c r="V19" i="4"/>
  <c r="F19" i="4"/>
  <c r="E20" i="10" s="1"/>
  <c r="CT19" i="4"/>
  <c r="CT31" i="4"/>
  <c r="V31" i="4"/>
  <c r="CX15" i="20"/>
  <c r="AB15" i="20" s="1"/>
  <c r="DC15" i="20"/>
  <c r="AG15" i="20" s="1"/>
  <c r="Z13" i="1"/>
  <c r="DC13" i="1"/>
  <c r="DS15" i="20"/>
  <c r="AY15" i="20" s="1"/>
  <c r="CI15" i="20"/>
  <c r="F15" i="20" s="1"/>
  <c r="DN15" i="20"/>
  <c r="AS15" i="20" s="1"/>
  <c r="DA40" i="20"/>
  <c r="AE40" i="20" s="1"/>
  <c r="DN38" i="1"/>
  <c r="DM38" i="1" s="1"/>
  <c r="DE38" i="1"/>
  <c r="J40" i="4" s="1"/>
  <c r="FQ40" i="4" s="1"/>
  <c r="DC40" i="20"/>
  <c r="AG40" i="20" s="1"/>
  <c r="FM38" i="1"/>
  <c r="AQ38" i="1"/>
  <c r="DI153" i="1" s="1"/>
  <c r="CR40" i="20"/>
  <c r="V40" i="20" s="1"/>
  <c r="CO40" i="20"/>
  <c r="R40" i="20" s="1"/>
  <c r="CR38" i="1"/>
  <c r="DD40" i="20"/>
  <c r="AH40" i="20" s="1"/>
  <c r="DZ40" i="20"/>
  <c r="BF40" i="20" s="1"/>
  <c r="DH40" i="20"/>
  <c r="AM40" i="20" s="1"/>
  <c r="CS40" i="20"/>
  <c r="W40" i="20" s="1"/>
  <c r="CP38" i="1"/>
  <c r="DP40" i="20"/>
  <c r="AU40" i="20" s="1"/>
  <c r="AT38" i="1"/>
  <c r="CH40" i="20" s="1"/>
  <c r="E40" i="20" s="1"/>
  <c r="DV40" i="20"/>
  <c r="BA40" i="20" s="1"/>
  <c r="FI38" i="1"/>
  <c r="D41" i="10"/>
  <c r="AG41" i="10" s="1"/>
  <c r="CX40" i="20"/>
  <c r="AB40" i="20" s="1"/>
  <c r="DB40" i="20"/>
  <c r="AF40" i="20" s="1"/>
  <c r="AE38" i="1"/>
  <c r="C41" i="10"/>
  <c r="D41" i="14"/>
  <c r="I41" i="14" s="1"/>
  <c r="DV38" i="1"/>
  <c r="DJ40" i="20"/>
  <c r="AO40" i="20" s="1"/>
  <c r="DS38" i="1"/>
  <c r="FQ38" i="1"/>
  <c r="DG38" i="1"/>
  <c r="EE40" i="20"/>
  <c r="AS38" i="1"/>
  <c r="CG40" i="20" s="1"/>
  <c r="CM40" i="20"/>
  <c r="P40" i="20" s="1"/>
  <c r="FC38" i="1"/>
  <c r="DT38" i="1"/>
  <c r="DL38" i="1" s="1"/>
  <c r="EG40" i="20"/>
  <c r="BM40" i="20" s="1"/>
  <c r="FY38" i="1"/>
  <c r="AC38" i="1"/>
  <c r="Y42" i="7" s="1"/>
  <c r="DL40" i="20"/>
  <c r="AR40" i="20" s="1"/>
  <c r="DW38" i="1"/>
  <c r="C41" i="14"/>
  <c r="CV40" i="20"/>
  <c r="Z40" i="20" s="1"/>
  <c r="DS40" i="20"/>
  <c r="AY40" i="20" s="1"/>
  <c r="CI40" i="20"/>
  <c r="F40" i="20" s="1"/>
  <c r="CF40" i="20"/>
  <c r="L40" i="20" s="1"/>
  <c r="CC40" i="20"/>
  <c r="I40" i="20" s="1"/>
  <c r="CK40" i="20"/>
  <c r="N40" i="20" s="1"/>
  <c r="CL40" i="20"/>
  <c r="O40" i="20" s="1"/>
  <c r="Z38" i="1"/>
  <c r="DX40" i="20"/>
  <c r="BC40" i="20" s="1"/>
  <c r="AF38" i="1"/>
  <c r="AA38" i="1"/>
  <c r="BE38" i="1"/>
  <c r="CU40" i="20"/>
  <c r="Y40" i="20" s="1"/>
  <c r="CZ40" i="20"/>
  <c r="AD40" i="20" s="1"/>
  <c r="DN40" i="20"/>
  <c r="AS40" i="20" s="1"/>
  <c r="CN40" i="20"/>
  <c r="Q40" i="20" s="1"/>
  <c r="AH21" i="10"/>
  <c r="GG8" i="4"/>
  <c r="DC20" i="20"/>
  <c r="AG20" i="20" s="1"/>
  <c r="EA20" i="20"/>
  <c r="BG20" i="20" s="1"/>
  <c r="AC18" i="1"/>
  <c r="CN20" i="4" s="1"/>
  <c r="CR20" i="4" s="1"/>
  <c r="DY20" i="20"/>
  <c r="BE20" i="20" s="1"/>
  <c r="DB20" i="20"/>
  <c r="AF20" i="20" s="1"/>
  <c r="DG18" i="1"/>
  <c r="Z18" i="1"/>
  <c r="S22" i="7" s="1"/>
  <c r="AG18" i="1"/>
  <c r="DC18" i="1"/>
  <c r="DT18" i="1"/>
  <c r="DL18" i="1" s="1"/>
  <c r="CI20" i="20"/>
  <c r="F20" i="20" s="1"/>
  <c r="CP20" i="20"/>
  <c r="T20" i="20" s="1"/>
  <c r="AT18" i="1"/>
  <c r="CH20" i="20" s="1"/>
  <c r="E20" i="20" s="1"/>
  <c r="CN20" i="20"/>
  <c r="Q20" i="20" s="1"/>
  <c r="H20" i="4"/>
  <c r="AS18" i="1"/>
  <c r="CG20" i="20" s="1"/>
  <c r="DX20" i="20"/>
  <c r="BC20" i="20" s="1"/>
  <c r="DG35" i="20"/>
  <c r="AL35" i="20" s="1"/>
  <c r="AC37" i="1"/>
  <c r="T39" i="4" s="1"/>
  <c r="E41" i="7" s="1"/>
  <c r="E74" i="5" s="1"/>
  <c r="D74" i="5" s="1"/>
  <c r="FC37" i="1"/>
  <c r="D40" i="14"/>
  <c r="H40" i="14" s="1"/>
  <c r="CN39" i="20"/>
  <c r="Q39" i="20" s="1"/>
  <c r="Y37" i="1"/>
  <c r="FT37" i="1" s="1"/>
  <c r="AQ37" i="1"/>
  <c r="DI152" i="1" s="1"/>
  <c r="X26" i="7"/>
  <c r="X49" i="7"/>
  <c r="F23" i="4"/>
  <c r="CT17" i="4"/>
  <c r="CT43" i="4"/>
  <c r="BI6" i="18"/>
  <c r="AQ6" i="18" s="1"/>
  <c r="G43" i="10"/>
  <c r="G45" i="14"/>
  <c r="AE14" i="10"/>
  <c r="W14" i="10"/>
  <c r="AK14" i="10"/>
  <c r="Z21" i="10"/>
  <c r="AP21" i="10"/>
  <c r="AF14" i="10"/>
  <c r="AN14" i="10"/>
  <c r="AB14" i="10"/>
  <c r="AG14" i="10"/>
  <c r="G21" i="10"/>
  <c r="CO6" i="17"/>
  <c r="AW21" i="10"/>
  <c r="BR221" i="1"/>
  <c r="BR347" i="1" s="1"/>
  <c r="AM21" i="10"/>
  <c r="F14" i="10"/>
  <c r="AT14" i="10"/>
  <c r="AD14" i="10"/>
  <c r="U43" i="10"/>
  <c r="AK43" i="10"/>
  <c r="AA43" i="10"/>
  <c r="DY40" i="1"/>
  <c r="DZ40" i="1" s="1"/>
  <c r="EA40" i="1" s="1"/>
  <c r="EB40" i="1" s="1"/>
  <c r="EC40" i="1" s="1"/>
  <c r="ED40" i="1" s="1"/>
  <c r="EE40" i="1" s="1"/>
  <c r="DY27" i="1"/>
  <c r="DZ27" i="1" s="1"/>
  <c r="EA27" i="1" s="1"/>
  <c r="DJ12" i="20"/>
  <c r="AO12" i="20" s="1"/>
  <c r="U14" i="10"/>
  <c r="AU14" i="10"/>
  <c r="AS14" i="10"/>
  <c r="X14" i="10"/>
  <c r="AX14" i="10"/>
  <c r="Q28" i="14"/>
  <c r="U21" i="10"/>
  <c r="AA21" i="10"/>
  <c r="D13" i="7"/>
  <c r="J14" i="10"/>
  <c r="G14" i="10"/>
  <c r="AC43" i="10"/>
  <c r="AQ43" i="10"/>
  <c r="AC12" i="10"/>
  <c r="G20" i="10"/>
  <c r="BK243" i="1"/>
  <c r="CA214" i="1"/>
  <c r="CA340" i="1" s="1"/>
  <c r="AG20" i="10"/>
  <c r="BW6" i="17"/>
  <c r="BR313" i="1"/>
  <c r="FD35" i="1"/>
  <c r="CG37" i="20"/>
  <c r="D37" i="20" s="1"/>
  <c r="BR231" i="1"/>
  <c r="BR357" i="1" s="1"/>
  <c r="BY205" i="1"/>
  <c r="BY331" i="1" s="1"/>
  <c r="CF148" i="1"/>
  <c r="D44" i="7"/>
  <c r="EF25" i="20"/>
  <c r="BL25" i="20" s="1"/>
  <c r="I24" i="14"/>
  <c r="O22" i="14"/>
  <c r="X32" i="10"/>
  <c r="G16" i="10"/>
  <c r="CQ32" i="20"/>
  <c r="U32" i="20" s="1"/>
  <c r="AL32" i="10"/>
  <c r="AG22" i="1"/>
  <c r="AL20" i="10"/>
  <c r="BK161" i="1"/>
  <c r="BK325" i="1" s="1"/>
  <c r="BG253" i="1"/>
  <c r="AO20" i="10"/>
  <c r="U32" i="10"/>
  <c r="BQ171" i="1"/>
  <c r="CJ144" i="1"/>
  <c r="CI148" i="1"/>
  <c r="AW32" i="10"/>
  <c r="BH245" i="1"/>
  <c r="BY164" i="1"/>
  <c r="CT152" i="1"/>
  <c r="AH32" i="10"/>
  <c r="B9" i="26"/>
  <c r="EA18" i="20"/>
  <c r="BG18" i="20" s="1"/>
  <c r="I20" i="10"/>
  <c r="CO18" i="20"/>
  <c r="R18" i="20" s="1"/>
  <c r="BX17" i="1"/>
  <c r="S26" i="14"/>
  <c r="X20" i="10"/>
  <c r="Y32" i="10"/>
  <c r="AA20" i="10"/>
  <c r="BS277" i="1"/>
  <c r="S32" i="10"/>
  <c r="CQ138" i="1"/>
  <c r="BU261" i="1"/>
  <c r="AC32" i="10"/>
  <c r="CT123" i="1"/>
  <c r="F22" i="14"/>
  <c r="F42" i="14"/>
  <c r="BS189" i="1"/>
  <c r="V21" i="4"/>
  <c r="GH26" i="4"/>
  <c r="T42" i="14"/>
  <c r="BN161" i="1"/>
  <c r="BN325" i="1" s="1"/>
  <c r="BM284" i="1"/>
  <c r="BH253" i="1"/>
  <c r="CA173" i="1"/>
  <c r="BP294" i="1"/>
  <c r="Y20" i="10"/>
  <c r="U20" i="10"/>
  <c r="AU20" i="10"/>
  <c r="AU40" i="1"/>
  <c r="GP42" i="4" s="1"/>
  <c r="I42" i="14"/>
  <c r="BZ218" i="1"/>
  <c r="BZ344" i="1" s="1"/>
  <c r="BV220" i="1"/>
  <c r="BV346" i="1" s="1"/>
  <c r="BO185" i="1"/>
  <c r="BN189" i="1"/>
  <c r="CP138" i="1"/>
  <c r="BM239" i="1"/>
  <c r="BM365" i="1" s="1"/>
  <c r="BV179" i="1"/>
  <c r="CJ43" i="18"/>
  <c r="AH43" i="18" s="1"/>
  <c r="CU148" i="1"/>
  <c r="BY193" i="1"/>
  <c r="BO306" i="1"/>
  <c r="CN148" i="1"/>
  <c r="BK189" i="1"/>
  <c r="D14" i="7"/>
  <c r="BZ177" i="1"/>
  <c r="BX234" i="1"/>
  <c r="BX360" i="1" s="1"/>
  <c r="AV20" i="10"/>
  <c r="DN32" i="20"/>
  <c r="AS32" i="20" s="1"/>
  <c r="S29" i="7"/>
  <c r="CR16" i="1"/>
  <c r="BE22" i="1"/>
  <c r="AZ22" i="1" s="1"/>
  <c r="S22" i="14"/>
  <c r="GH33" i="4"/>
  <c r="K20" i="10"/>
  <c r="Q20" i="10"/>
  <c r="AF20" i="10"/>
  <c r="BN202" i="1"/>
  <c r="BN328" i="1" s="1"/>
  <c r="CC130" i="1"/>
  <c r="CL130" i="1"/>
  <c r="BQ253" i="1"/>
  <c r="AM20" i="10"/>
  <c r="AW20" i="10"/>
  <c r="AS20" i="10"/>
  <c r="CM144" i="1"/>
  <c r="CG42" i="20"/>
  <c r="D42" i="20" s="1"/>
  <c r="S45" i="7"/>
  <c r="O34" i="14"/>
  <c r="K34" i="14"/>
  <c r="H34" i="14"/>
  <c r="CR129" i="1"/>
  <c r="BR318" i="1"/>
  <c r="BQ185" i="1"/>
  <c r="BY230" i="1"/>
  <c r="BY356" i="1" s="1"/>
  <c r="BU179" i="1"/>
  <c r="BR8" i="17"/>
  <c r="BY312" i="1"/>
  <c r="EK39" i="1"/>
  <c r="BV275" i="1"/>
  <c r="BP183" i="1"/>
  <c r="D15" i="7"/>
  <c r="S36" i="7"/>
  <c r="D43" i="7"/>
  <c r="BY244" i="1"/>
  <c r="BY370" i="1" s="1"/>
  <c r="J34" i="14"/>
  <c r="CR32" i="20"/>
  <c r="V32" i="20" s="1"/>
  <c r="CQ18" i="20"/>
  <c r="U18" i="20" s="1"/>
  <c r="AU6" i="1"/>
  <c r="GP8" i="4" s="1"/>
  <c r="U37" i="4"/>
  <c r="FM37" i="4" s="1"/>
  <c r="CN37" i="4"/>
  <c r="CU37" i="4" s="1"/>
  <c r="G15" i="14"/>
  <c r="BK252" i="1"/>
  <c r="BB130" i="1"/>
  <c r="AE20" i="10"/>
  <c r="AK20" i="10"/>
  <c r="S40" i="7"/>
  <c r="L34" i="14"/>
  <c r="AJ20" i="10"/>
  <c r="C10" i="19"/>
  <c r="BX312" i="1"/>
  <c r="BT302" i="1"/>
  <c r="BU316" i="1"/>
  <c r="BP224" i="1"/>
  <c r="BP350" i="1" s="1"/>
  <c r="BJ312" i="1"/>
  <c r="D49" i="7"/>
  <c r="D32" i="7"/>
  <c r="DE18" i="20"/>
  <c r="AJ18" i="20" s="1"/>
  <c r="GR43" i="4"/>
  <c r="FI30" i="1"/>
  <c r="N20" i="10"/>
  <c r="FM10" i="1"/>
  <c r="X32" i="7"/>
  <c r="X48" i="7"/>
  <c r="CV11" i="4"/>
  <c r="CW11" i="4" s="1"/>
  <c r="F11" i="4"/>
  <c r="E12" i="10" s="1"/>
  <c r="CT11" i="4"/>
  <c r="GR23" i="4"/>
  <c r="V23" i="4"/>
  <c r="CT23" i="4"/>
  <c r="GR8" i="4"/>
  <c r="F8" i="4"/>
  <c r="E9" i="14" s="1"/>
  <c r="GR17" i="4"/>
  <c r="F17" i="4"/>
  <c r="E18" i="10" s="1"/>
  <c r="V17" i="4"/>
  <c r="DN30" i="1"/>
  <c r="DM30" i="1" s="1"/>
  <c r="DT32" i="20"/>
  <c r="AX32" i="20" s="1"/>
  <c r="B33" i="10"/>
  <c r="CK32" i="20"/>
  <c r="N32" i="20" s="1"/>
  <c r="FM30" i="1"/>
  <c r="CN32" i="20"/>
  <c r="Q32" i="20" s="1"/>
  <c r="DH32" i="20"/>
  <c r="AM32" i="20" s="1"/>
  <c r="C33" i="14"/>
  <c r="DG190" i="1"/>
  <c r="DK32" i="20"/>
  <c r="AP32" i="20" s="1"/>
  <c r="Y30" i="1"/>
  <c r="EK30" i="1" s="1"/>
  <c r="DB32" i="20"/>
  <c r="AF32" i="20" s="1"/>
  <c r="FS32" i="4"/>
  <c r="DC32" i="20"/>
  <c r="AG32" i="20" s="1"/>
  <c r="AC30" i="1"/>
  <c r="U32" i="4" s="1"/>
  <c r="FM32" i="4" s="1"/>
  <c r="CI32" i="20"/>
  <c r="F32" i="20" s="1"/>
  <c r="AB30" i="1"/>
  <c r="CF32" i="20"/>
  <c r="L32" i="20" s="1"/>
  <c r="BE30" i="1"/>
  <c r="CW30" i="1" s="1"/>
  <c r="C33" i="10"/>
  <c r="CS32" i="20"/>
  <c r="W32" i="20" s="1"/>
  <c r="CW32" i="20"/>
  <c r="AA32" i="20" s="1"/>
  <c r="AT30" i="1"/>
  <c r="CH32" i="20" s="1"/>
  <c r="E32" i="20" s="1"/>
  <c r="CM32" i="20"/>
  <c r="P32" i="20" s="1"/>
  <c r="DJ32" i="20"/>
  <c r="AO32" i="20" s="1"/>
  <c r="DC30" i="1"/>
  <c r="DS32" i="20"/>
  <c r="AY32" i="20" s="1"/>
  <c r="FQ30" i="1"/>
  <c r="DD32" i="20"/>
  <c r="AH32" i="20" s="1"/>
  <c r="AE30" i="1"/>
  <c r="DW30" i="1"/>
  <c r="D33" i="14"/>
  <c r="CX32" i="20"/>
  <c r="AB32" i="20" s="1"/>
  <c r="DU30" i="1"/>
  <c r="CL32" i="20"/>
  <c r="O32" i="20" s="1"/>
  <c r="DL32" i="20"/>
  <c r="AR32" i="20" s="1"/>
  <c r="CC32" i="20"/>
  <c r="I32" i="20" s="1"/>
  <c r="CP32" i="20"/>
  <c r="T32" i="20" s="1"/>
  <c r="CV32" i="20"/>
  <c r="Z32" i="20" s="1"/>
  <c r="DE30" i="1"/>
  <c r="J32" i="4" s="1"/>
  <c r="FQ32" i="4" s="1"/>
  <c r="AF30" i="1"/>
  <c r="FC30" i="1"/>
  <c r="DE32" i="20"/>
  <c r="AJ32" i="20" s="1"/>
  <c r="CI24" i="20"/>
  <c r="F24" i="20" s="1"/>
  <c r="FQ22" i="1"/>
  <c r="AF22" i="1"/>
  <c r="C25" i="10"/>
  <c r="D25" i="10"/>
  <c r="CK24" i="20"/>
  <c r="N24" i="20" s="1"/>
  <c r="AA22" i="1"/>
  <c r="CV24" i="20"/>
  <c r="Z24" i="20" s="1"/>
  <c r="DX24" i="20"/>
  <c r="BC24" i="20" s="1"/>
  <c r="FI22" i="1"/>
  <c r="AS22" i="1"/>
  <c r="AU22" i="1" s="1"/>
  <c r="GP24" i="4" s="1"/>
  <c r="CQ24" i="20"/>
  <c r="U24" i="20" s="1"/>
  <c r="CM24" i="20"/>
  <c r="P24" i="20" s="1"/>
  <c r="DN24" i="20"/>
  <c r="AS24" i="20" s="1"/>
  <c r="CW24" i="20"/>
  <c r="AA24" i="20" s="1"/>
  <c r="DS24" i="20"/>
  <c r="AY24" i="20" s="1"/>
  <c r="AE22" i="1"/>
  <c r="DW22" i="1"/>
  <c r="FC22" i="1"/>
  <c r="DE22" i="1"/>
  <c r="J24" i="4" s="1"/>
  <c r="FQ24" i="4" s="1"/>
  <c r="CX24" i="20"/>
  <c r="AB24" i="20" s="1"/>
  <c r="DV24" i="20"/>
  <c r="BA24" i="20" s="1"/>
  <c r="EA24" i="20"/>
  <c r="BG24" i="20" s="1"/>
  <c r="FM22" i="1"/>
  <c r="C25" i="14"/>
  <c r="CP24" i="20"/>
  <c r="T24" i="20" s="1"/>
  <c r="DG182" i="1"/>
  <c r="DL24" i="20"/>
  <c r="AR24" i="20" s="1"/>
  <c r="EB24" i="20"/>
  <c r="BH24" i="20" s="1"/>
  <c r="DT24" i="20"/>
  <c r="AX24" i="20" s="1"/>
  <c r="DU22" i="1"/>
  <c r="DJ24" i="20"/>
  <c r="AO24" i="20" s="1"/>
  <c r="Z22" i="1"/>
  <c r="DC24" i="20"/>
  <c r="AG24" i="20" s="1"/>
  <c r="H24" i="4"/>
  <c r="CR24" i="20"/>
  <c r="V24" i="20" s="1"/>
  <c r="DB24" i="20"/>
  <c r="AF24" i="20" s="1"/>
  <c r="AQ22" i="1"/>
  <c r="DI137" i="1" s="1"/>
  <c r="D25" i="14"/>
  <c r="F25" i="14" s="1"/>
  <c r="CO24" i="20"/>
  <c r="R24" i="20" s="1"/>
  <c r="CF24" i="20"/>
  <c r="L24" i="20" s="1"/>
  <c r="DN22" i="1"/>
  <c r="DM22" i="1" s="1"/>
  <c r="DH24" i="20"/>
  <c r="AM24" i="20" s="1"/>
  <c r="CC24" i="20"/>
  <c r="I24" i="20" s="1"/>
  <c r="Y22" i="1"/>
  <c r="DD24" i="20"/>
  <c r="AH24" i="20" s="1"/>
  <c r="DT22" i="1"/>
  <c r="DL22" i="1" s="1"/>
  <c r="CL24" i="20"/>
  <c r="O24" i="20" s="1"/>
  <c r="DV22" i="1"/>
  <c r="DS22" i="1"/>
  <c r="DE24" i="20"/>
  <c r="AJ24" i="20" s="1"/>
  <c r="CR22" i="1"/>
  <c r="DG24" i="20"/>
  <c r="AL24" i="20" s="1"/>
  <c r="CZ24" i="20"/>
  <c r="AD24" i="20" s="1"/>
  <c r="CP22" i="1"/>
  <c r="AT22" i="1"/>
  <c r="CH24" i="20" s="1"/>
  <c r="E24" i="20" s="1"/>
  <c r="AC22" i="1"/>
  <c r="Y26" i="7" s="1"/>
  <c r="AD15" i="1"/>
  <c r="Y19" i="7"/>
  <c r="L26" i="14"/>
  <c r="G26" i="14"/>
  <c r="AT10" i="1"/>
  <c r="CH12" i="20" s="1"/>
  <c r="FB30" i="1"/>
  <c r="FY22" i="1"/>
  <c r="EB32" i="20"/>
  <c r="BH32" i="20" s="1"/>
  <c r="AG16" i="1"/>
  <c r="EE32" i="20"/>
  <c r="EF32" i="20" s="1"/>
  <c r="BL32" i="20" s="1"/>
  <c r="F43" i="4"/>
  <c r="E44" i="14" s="1"/>
  <c r="DP32" i="20"/>
  <c r="AU32" i="20" s="1"/>
  <c r="AQ30" i="1"/>
  <c r="DI145" i="1" s="1"/>
  <c r="Z30" i="1"/>
  <c r="S34" i="7" s="1"/>
  <c r="DV30" i="1"/>
  <c r="DS30" i="1"/>
  <c r="EE18" i="20"/>
  <c r="EG32" i="20"/>
  <c r="BM32" i="20" s="1"/>
  <c r="DW16" i="1"/>
  <c r="DE16" i="1"/>
  <c r="J18" i="4" s="1"/>
  <c r="FQ18" i="4" s="1"/>
  <c r="Z16" i="1"/>
  <c r="S20" i="7" s="1"/>
  <c r="DA24" i="20"/>
  <c r="AE24" i="20" s="1"/>
  <c r="DP24" i="20"/>
  <c r="AU24" i="20" s="1"/>
  <c r="DK24" i="20"/>
  <c r="AP24" i="20" s="1"/>
  <c r="DC22" i="1"/>
  <c r="B25" i="10"/>
  <c r="DG22" i="1"/>
  <c r="K24" i="14"/>
  <c r="S24" i="14"/>
  <c r="O24" i="14"/>
  <c r="CS24" i="20"/>
  <c r="W24" i="20" s="1"/>
  <c r="CU18" i="20"/>
  <c r="Y18" i="20" s="1"/>
  <c r="AC16" i="1"/>
  <c r="T18" i="4" s="1"/>
  <c r="E20" i="7" s="1"/>
  <c r="F32" i="26" s="1"/>
  <c r="E32" i="26" s="1"/>
  <c r="CF18" i="20"/>
  <c r="L18" i="20" s="1"/>
  <c r="D19" i="14"/>
  <c r="AB16" i="1"/>
  <c r="DG176" i="1"/>
  <c r="CM18" i="20"/>
  <c r="P18" i="20" s="1"/>
  <c r="CP18" i="20"/>
  <c r="T18" i="20" s="1"/>
  <c r="C19" i="14"/>
  <c r="CV18" i="20"/>
  <c r="Z18" i="20" s="1"/>
  <c r="CC18" i="20"/>
  <c r="I18" i="20" s="1"/>
  <c r="DY18" i="20"/>
  <c r="BE18" i="20" s="1"/>
  <c r="DB18" i="20"/>
  <c r="AF18" i="20" s="1"/>
  <c r="FI16" i="1"/>
  <c r="CR18" i="20"/>
  <c r="V18" i="20" s="1"/>
  <c r="FC16" i="1"/>
  <c r="AF16" i="1"/>
  <c r="DJ18" i="20"/>
  <c r="AO18" i="20" s="1"/>
  <c r="FY16" i="1"/>
  <c r="AE16" i="1"/>
  <c r="EG18" i="20"/>
  <c r="BM18" i="20" s="1"/>
  <c r="EB18" i="20"/>
  <c r="BH18" i="20" s="1"/>
  <c r="FM16" i="1"/>
  <c r="AS16" i="1"/>
  <c r="CG18" i="20" s="1"/>
  <c r="DN16" i="1"/>
  <c r="DM16" i="1" s="1"/>
  <c r="DH18" i="20"/>
  <c r="AM18" i="20" s="1"/>
  <c r="FS18" i="4"/>
  <c r="BE16" i="1"/>
  <c r="AZ16" i="1" s="1"/>
  <c r="CK18" i="20"/>
  <c r="N18" i="20" s="1"/>
  <c r="DN18" i="20"/>
  <c r="AS18" i="20" s="1"/>
  <c r="DA18" i="20"/>
  <c r="AE18" i="20" s="1"/>
  <c r="CL18" i="20"/>
  <c r="O18" i="20" s="1"/>
  <c r="CZ18" i="20"/>
  <c r="AD18" i="20" s="1"/>
  <c r="DV16" i="1"/>
  <c r="CW18" i="20"/>
  <c r="AA18" i="20" s="1"/>
  <c r="FQ16" i="1"/>
  <c r="DZ18" i="20"/>
  <c r="BF18" i="20" s="1"/>
  <c r="C19" i="10"/>
  <c r="D19" i="10"/>
  <c r="AF19" i="10" s="1"/>
  <c r="DU16" i="1"/>
  <c r="DK18" i="20"/>
  <c r="AP18" i="20" s="1"/>
  <c r="CX18" i="20"/>
  <c r="AB18" i="20" s="1"/>
  <c r="DS16" i="1"/>
  <c r="CS18" i="20"/>
  <c r="W18" i="20" s="1"/>
  <c r="CI18" i="20"/>
  <c r="F18" i="20" s="1"/>
  <c r="DG16" i="1"/>
  <c r="DL18" i="20"/>
  <c r="AR18" i="20" s="1"/>
  <c r="DS18" i="20"/>
  <c r="AY18" i="20" s="1"/>
  <c r="CN18" i="20"/>
  <c r="Q18" i="20" s="1"/>
  <c r="DX18" i="20"/>
  <c r="BC18" i="20" s="1"/>
  <c r="DD18" i="20"/>
  <c r="AH18" i="20" s="1"/>
  <c r="DP18" i="20"/>
  <c r="AU18" i="20" s="1"/>
  <c r="FB16" i="1"/>
  <c r="CP16" i="1"/>
  <c r="CQ12" i="20"/>
  <c r="U12" i="20" s="1"/>
  <c r="DG12" i="20"/>
  <c r="AL12" i="20" s="1"/>
  <c r="D13" i="10"/>
  <c r="W13" i="10" s="1"/>
  <c r="DH12" i="20"/>
  <c r="AM12" i="20" s="1"/>
  <c r="CS12" i="20"/>
  <c r="W12" i="20" s="1"/>
  <c r="CK12" i="20"/>
  <c r="N12" i="20" s="1"/>
  <c r="DK12" i="20"/>
  <c r="AP12" i="20" s="1"/>
  <c r="CN12" i="20"/>
  <c r="Q12" i="20" s="1"/>
  <c r="B13" i="10"/>
  <c r="C13" i="10"/>
  <c r="C13" i="14"/>
  <c r="CP12" i="20"/>
  <c r="T12" i="20" s="1"/>
  <c r="CO12" i="20"/>
  <c r="R12" i="20" s="1"/>
  <c r="CM12" i="20"/>
  <c r="P12" i="20" s="1"/>
  <c r="AS10" i="1"/>
  <c r="O26" i="14"/>
  <c r="F45" i="4"/>
  <c r="AG30" i="1"/>
  <c r="FY30" i="1"/>
  <c r="CT45" i="4"/>
  <c r="DT30" i="1"/>
  <c r="DL30" i="1" s="1"/>
  <c r="EA32" i="20"/>
  <c r="BG32" i="20" s="1"/>
  <c r="AS30" i="1"/>
  <c r="DX32" i="20"/>
  <c r="BC32" i="20" s="1"/>
  <c r="CU32" i="20"/>
  <c r="Y32" i="20" s="1"/>
  <c r="DG32" i="20"/>
  <c r="AL32" i="20" s="1"/>
  <c r="DT18" i="20"/>
  <c r="AX18" i="20" s="1"/>
  <c r="Y16" i="1"/>
  <c r="EK16" i="1" s="1"/>
  <c r="AQ16" i="1"/>
  <c r="DI131" i="1" s="1"/>
  <c r="AT16" i="1"/>
  <c r="CH18" i="20" s="1"/>
  <c r="E18" i="20" s="1"/>
  <c r="CR30" i="1"/>
  <c r="CN24" i="20"/>
  <c r="Q24" i="20" s="1"/>
  <c r="FS24" i="4"/>
  <c r="FB22" i="1"/>
  <c r="G43" i="14"/>
  <c r="EG24" i="20"/>
  <c r="BM24" i="20" s="1"/>
  <c r="CR12" i="20"/>
  <c r="V12" i="20" s="1"/>
  <c r="V43" i="4"/>
  <c r="H26" i="14"/>
  <c r="CX12" i="20"/>
  <c r="AB12" i="20" s="1"/>
  <c r="H18" i="4"/>
  <c r="DC18" i="20"/>
  <c r="AG18" i="20" s="1"/>
  <c r="DG30" i="1"/>
  <c r="DY32" i="20"/>
  <c r="BE32" i="20" s="1"/>
  <c r="DZ32" i="20"/>
  <c r="BF32" i="20" s="1"/>
  <c r="CP30" i="1"/>
  <c r="DV32" i="20"/>
  <c r="BA32" i="20" s="1"/>
  <c r="H32" i="4"/>
  <c r="CO32" i="20"/>
  <c r="R32" i="20" s="1"/>
  <c r="D33" i="10"/>
  <c r="Q33" i="10" s="1"/>
  <c r="CZ32" i="20"/>
  <c r="AD32" i="20" s="1"/>
  <c r="DV18" i="20"/>
  <c r="BA18" i="20" s="1"/>
  <c r="DC16" i="1"/>
  <c r="DT16" i="1"/>
  <c r="DG18" i="20"/>
  <c r="AL18" i="20" s="1"/>
  <c r="AA16" i="1"/>
  <c r="CT27" i="4"/>
  <c r="DZ24" i="20"/>
  <c r="BF24" i="20" s="1"/>
  <c r="EE24" i="20"/>
  <c r="BK24" i="20" s="1"/>
  <c r="AB22" i="1"/>
  <c r="DG170" i="1"/>
  <c r="CF12" i="20"/>
  <c r="L12" i="20" s="1"/>
  <c r="BZ246" i="1"/>
  <c r="BZ205" i="1"/>
  <c r="BZ331" i="1" s="1"/>
  <c r="S15" i="7"/>
  <c r="FS28" i="4"/>
  <c r="DP28" i="20"/>
  <c r="AU28" i="20" s="1"/>
  <c r="EG28" i="20"/>
  <c r="BM28" i="20" s="1"/>
  <c r="S47" i="7"/>
  <c r="S32" i="7"/>
  <c r="S17" i="7"/>
  <c r="AV21" i="10"/>
  <c r="O43" i="10"/>
  <c r="S21" i="10"/>
  <c r="X22" i="7"/>
  <c r="S26" i="7"/>
  <c r="BT287" i="1"/>
  <c r="BU164" i="1"/>
  <c r="BU205" i="1"/>
  <c r="BU331" i="1" s="1"/>
  <c r="CP123" i="1"/>
  <c r="BU246" i="1"/>
  <c r="BU244" i="1"/>
  <c r="BU370" i="1" s="1"/>
  <c r="BU162" i="1"/>
  <c r="BU326" i="1" s="1"/>
  <c r="V25" i="4"/>
  <c r="CV25" i="4"/>
  <c r="CW25" i="4" s="1"/>
  <c r="H22" i="4"/>
  <c r="DT22" i="20"/>
  <c r="AX22" i="20" s="1"/>
  <c r="AB20" i="1"/>
  <c r="AF20" i="1"/>
  <c r="CP20" i="1"/>
  <c r="DZ22" i="20"/>
  <c r="BF22" i="20" s="1"/>
  <c r="DP22" i="20"/>
  <c r="AU22" i="20" s="1"/>
  <c r="BE20" i="1"/>
  <c r="AZ20" i="1" s="1"/>
  <c r="DG180" i="1"/>
  <c r="DN22" i="20"/>
  <c r="AS22" i="20" s="1"/>
  <c r="AA20" i="1"/>
  <c r="AQ20" i="1"/>
  <c r="DI135" i="1" s="1"/>
  <c r="CS22" i="20"/>
  <c r="W22" i="20" s="1"/>
  <c r="V26" i="4"/>
  <c r="F26" i="4"/>
  <c r="E27" i="14" s="1"/>
  <c r="CT26" i="4"/>
  <c r="F30" i="4"/>
  <c r="E31" i="10" s="1"/>
  <c r="V30" i="4"/>
  <c r="GR30" i="4"/>
  <c r="GR34" i="4"/>
  <c r="F34" i="4"/>
  <c r="E35" i="10" s="1"/>
  <c r="CT34" i="4"/>
  <c r="V34" i="4"/>
  <c r="AS44" i="1"/>
  <c r="AU44" i="1" s="1"/>
  <c r="GP46" i="4" s="1"/>
  <c r="B47" i="10"/>
  <c r="DX46" i="20"/>
  <c r="BC46" i="20" s="1"/>
  <c r="AT44" i="1"/>
  <c r="CH46" i="20" s="1"/>
  <c r="E46" i="20" s="1"/>
  <c r="DJ46" i="20"/>
  <c r="AO46" i="20" s="1"/>
  <c r="CZ46" i="20"/>
  <c r="AD46" i="20" s="1"/>
  <c r="DK46" i="20"/>
  <c r="AP46" i="20" s="1"/>
  <c r="Z44" i="1"/>
  <c r="S48" i="7" s="1"/>
  <c r="DG44" i="1"/>
  <c r="CP44" i="1"/>
  <c r="DZ46" i="20"/>
  <c r="BF46" i="20" s="1"/>
  <c r="FS46" i="4"/>
  <c r="DL46" i="20"/>
  <c r="AR46" i="20" s="1"/>
  <c r="EE46" i="20"/>
  <c r="EF46" i="20" s="1"/>
  <c r="BL46" i="20" s="1"/>
  <c r="BE44" i="1"/>
  <c r="CN46" i="20"/>
  <c r="Q46" i="20" s="1"/>
  <c r="DT44" i="1"/>
  <c r="DL44" i="1" s="1"/>
  <c r="AB44" i="1"/>
  <c r="CM46" i="20"/>
  <c r="P46" i="20" s="1"/>
  <c r="DV44" i="1"/>
  <c r="C47" i="10"/>
  <c r="DU44" i="1"/>
  <c r="DD46" i="20"/>
  <c r="AH46" i="20" s="1"/>
  <c r="CX46" i="20"/>
  <c r="AB46" i="20" s="1"/>
  <c r="CI46" i="20"/>
  <c r="F46" i="20" s="1"/>
  <c r="AF44" i="1"/>
  <c r="DA46" i="20"/>
  <c r="AE46" i="20" s="1"/>
  <c r="EG46" i="20"/>
  <c r="BM46" i="20" s="1"/>
  <c r="D47" i="14"/>
  <c r="I47" i="14" s="1"/>
  <c r="CV46" i="20"/>
  <c r="Z46" i="20" s="1"/>
  <c r="CF46" i="20"/>
  <c r="L46" i="20" s="1"/>
  <c r="AE44" i="1"/>
  <c r="AG44" i="1"/>
  <c r="DS46" i="20"/>
  <c r="AY46" i="20" s="1"/>
  <c r="D47" i="10"/>
  <c r="AQ47" i="10" s="1"/>
  <c r="AQ44" i="1"/>
  <c r="DI159" i="1" s="1"/>
  <c r="DG46" i="20"/>
  <c r="AL46" i="20" s="1"/>
  <c r="FQ44" i="1"/>
  <c r="CS46" i="20"/>
  <c r="W46" i="20" s="1"/>
  <c r="DN46" i="20"/>
  <c r="AS46" i="20" s="1"/>
  <c r="C47" i="14"/>
  <c r="DS44" i="1"/>
  <c r="EA46" i="20"/>
  <c r="BG46" i="20" s="1"/>
  <c r="DP46" i="20"/>
  <c r="AU46" i="20" s="1"/>
  <c r="DE44" i="1"/>
  <c r="J46" i="4" s="1"/>
  <c r="FQ46" i="4" s="1"/>
  <c r="CQ46" i="20"/>
  <c r="U46" i="20" s="1"/>
  <c r="CK46" i="20"/>
  <c r="N46" i="20" s="1"/>
  <c r="H46" i="4"/>
  <c r="CP46" i="20"/>
  <c r="T46" i="20" s="1"/>
  <c r="Y44" i="1"/>
  <c r="FT44" i="1" s="1"/>
  <c r="CC46" i="20"/>
  <c r="I46" i="20" s="1"/>
  <c r="DG204" i="1"/>
  <c r="FI44" i="1"/>
  <c r="AC44" i="1"/>
  <c r="T46" i="4" s="1"/>
  <c r="E48" i="7" s="1"/>
  <c r="FY44" i="1"/>
  <c r="F9" i="4"/>
  <c r="E10" i="14" s="1"/>
  <c r="CT9" i="4"/>
  <c r="GR37" i="4"/>
  <c r="CT37" i="4"/>
  <c r="F37" i="4"/>
  <c r="E38" i="10" s="1"/>
  <c r="Z34" i="1"/>
  <c r="S38" i="7" s="1"/>
  <c r="AE34" i="1"/>
  <c r="DC36" i="20"/>
  <c r="AG36" i="20" s="1"/>
  <c r="B37" i="10"/>
  <c r="DU34" i="1"/>
  <c r="CP36" i="20"/>
  <c r="T36" i="20" s="1"/>
  <c r="CF36" i="20"/>
  <c r="L36" i="20" s="1"/>
  <c r="CM36" i="20"/>
  <c r="P36" i="20" s="1"/>
  <c r="DN34" i="1"/>
  <c r="DM34" i="1" s="1"/>
  <c r="CU36" i="20"/>
  <c r="Y36" i="20" s="1"/>
  <c r="DX36" i="20"/>
  <c r="BC36" i="20" s="1"/>
  <c r="DE36" i="20"/>
  <c r="AJ36" i="20" s="1"/>
  <c r="DT34" i="1"/>
  <c r="CW36" i="20"/>
  <c r="AA36" i="20" s="1"/>
  <c r="EB36" i="20"/>
  <c r="BH36" i="20" s="1"/>
  <c r="C37" i="14"/>
  <c r="FQ34" i="1"/>
  <c r="DS36" i="20"/>
  <c r="AY36" i="20" s="1"/>
  <c r="DW34" i="1"/>
  <c r="FI34" i="1"/>
  <c r="AC34" i="1"/>
  <c r="T36" i="4" s="1"/>
  <c r="E38" i="7" s="1"/>
  <c r="F68" i="26" s="1"/>
  <c r="E68" i="26" s="1"/>
  <c r="D37" i="10"/>
  <c r="AT37" i="10" s="1"/>
  <c r="AA34" i="1"/>
  <c r="CL36" i="20"/>
  <c r="O36" i="20" s="1"/>
  <c r="D37" i="14"/>
  <c r="O37" i="14" s="1"/>
  <c r="CR36" i="20"/>
  <c r="V36" i="20" s="1"/>
  <c r="CS36" i="20"/>
  <c r="W36" i="20" s="1"/>
  <c r="CN36" i="20"/>
  <c r="Q36" i="20" s="1"/>
  <c r="CR34" i="1"/>
  <c r="DP36" i="20"/>
  <c r="AU36" i="20" s="1"/>
  <c r="AT34" i="1"/>
  <c r="CH36" i="20" s="1"/>
  <c r="E36" i="20" s="1"/>
  <c r="CI36" i="20"/>
  <c r="F36" i="20" s="1"/>
  <c r="DV36" i="20"/>
  <c r="BA36" i="20" s="1"/>
  <c r="BE34" i="1"/>
  <c r="AZ34" i="1" s="1"/>
  <c r="DN36" i="20"/>
  <c r="AS36" i="20" s="1"/>
  <c r="DZ36" i="20"/>
  <c r="BF36" i="20" s="1"/>
  <c r="FS36" i="4"/>
  <c r="FM34" i="1"/>
  <c r="AS34" i="1"/>
  <c r="FD34" i="1" s="1"/>
  <c r="DG194" i="1"/>
  <c r="CK36" i="20"/>
  <c r="N36" i="20" s="1"/>
  <c r="AB34" i="1"/>
  <c r="DS34" i="1"/>
  <c r="DG36" i="20"/>
  <c r="AL36" i="20" s="1"/>
  <c r="DJ36" i="20"/>
  <c r="AO36" i="20" s="1"/>
  <c r="DD36" i="20"/>
  <c r="AH36" i="20" s="1"/>
  <c r="DT36" i="20"/>
  <c r="AX36" i="20" s="1"/>
  <c r="CQ36" i="20"/>
  <c r="U36" i="20" s="1"/>
  <c r="EA36" i="20"/>
  <c r="BG36" i="20" s="1"/>
  <c r="AG34" i="1"/>
  <c r="H36" i="4"/>
  <c r="DC34" i="1"/>
  <c r="AF34" i="1"/>
  <c r="CP34" i="1"/>
  <c r="AD35" i="1"/>
  <c r="AC50" i="1"/>
  <c r="BC6" i="17"/>
  <c r="BB6" i="21"/>
  <c r="AJ6" i="21" s="1"/>
  <c r="B8" i="15"/>
  <c r="CZ36" i="20"/>
  <c r="AD36" i="20" s="1"/>
  <c r="DH36" i="20"/>
  <c r="AM36" i="20" s="1"/>
  <c r="CI133" i="1"/>
  <c r="FC34" i="1"/>
  <c r="DG34" i="1"/>
  <c r="CC36" i="20"/>
  <c r="I36" i="20" s="1"/>
  <c r="AQ34" i="1"/>
  <c r="DI149" i="1" s="1"/>
  <c r="DS20" i="1"/>
  <c r="CN134" i="1"/>
  <c r="BS257" i="1"/>
  <c r="CB263" i="1"/>
  <c r="CB222" i="1"/>
  <c r="CB348" i="1" s="1"/>
  <c r="BI304" i="1"/>
  <c r="BJ222" i="1"/>
  <c r="BJ348" i="1" s="1"/>
  <c r="BJ181" i="1"/>
  <c r="DY46" i="20"/>
  <c r="BE46" i="20" s="1"/>
  <c r="DV46" i="20"/>
  <c r="BA46" i="20" s="1"/>
  <c r="CR44" i="1"/>
  <c r="CL46" i="20"/>
  <c r="O46" i="20" s="1"/>
  <c r="CV41" i="4"/>
  <c r="CW41" i="4" s="1"/>
  <c r="V41" i="4"/>
  <c r="CT41" i="4"/>
  <c r="F41" i="4"/>
  <c r="E42" i="14" s="1"/>
  <c r="BQ310" i="1"/>
  <c r="BR187" i="1"/>
  <c r="GR26" i="4"/>
  <c r="DY36" i="20"/>
  <c r="BE36" i="20" s="1"/>
  <c r="DE34" i="1"/>
  <c r="J36" i="4" s="1"/>
  <c r="FQ36" i="4" s="1"/>
  <c r="DV34" i="1"/>
  <c r="C37" i="10"/>
  <c r="FB20" i="1"/>
  <c r="V37" i="4"/>
  <c r="AQ20" i="10"/>
  <c r="AC20" i="10"/>
  <c r="CF138" i="1"/>
  <c r="BK261" i="1"/>
  <c r="BK179" i="1"/>
  <c r="CT25" i="4"/>
  <c r="DW20" i="1"/>
  <c r="CV9" i="4"/>
  <c r="CW9" i="4" s="1"/>
  <c r="DT46" i="20"/>
  <c r="AX46" i="20" s="1"/>
  <c r="CO46" i="20"/>
  <c r="R46" i="20" s="1"/>
  <c r="DB46" i="20"/>
  <c r="AF46" i="20" s="1"/>
  <c r="CR46" i="20"/>
  <c r="V46" i="20" s="1"/>
  <c r="AC66" i="1"/>
  <c r="CG39" i="20"/>
  <c r="BN272" i="1"/>
  <c r="FB34" i="1"/>
  <c r="Y34" i="1"/>
  <c r="EK34" i="1" s="1"/>
  <c r="CV36" i="20"/>
  <c r="Z36" i="20" s="1"/>
  <c r="DL36" i="20"/>
  <c r="AR36" i="20" s="1"/>
  <c r="EE36" i="20"/>
  <c r="BB6" i="17"/>
  <c r="CL6" i="18"/>
  <c r="BF6" i="18"/>
  <c r="AN6" i="18" s="1"/>
  <c r="N3" i="1"/>
  <c r="FG4" i="1"/>
  <c r="F25" i="4"/>
  <c r="E26" i="14" s="1"/>
  <c r="EE22" i="20"/>
  <c r="EF22" i="20" s="1"/>
  <c r="BL22" i="20" s="1"/>
  <c r="FD37" i="1"/>
  <c r="BU203" i="1"/>
  <c r="BU329" i="1" s="1"/>
  <c r="K22" i="14"/>
  <c r="GS23" i="4"/>
  <c r="AZ21" i="1"/>
  <c r="S42" i="14"/>
  <c r="O42" i="14"/>
  <c r="K42" i="14"/>
  <c r="DN44" i="1"/>
  <c r="DM44" i="1" s="1"/>
  <c r="FC44" i="1"/>
  <c r="CW46" i="20"/>
  <c r="AA46" i="20" s="1"/>
  <c r="F24" i="14"/>
  <c r="J42" i="14"/>
  <c r="AB20" i="10"/>
  <c r="M24" i="14"/>
  <c r="P22" i="14"/>
  <c r="AJ30" i="10"/>
  <c r="N34" i="14"/>
  <c r="Q24" i="14"/>
  <c r="R26" i="14"/>
  <c r="M26" i="14"/>
  <c r="M45" i="14"/>
  <c r="X18" i="7"/>
  <c r="F14" i="4"/>
  <c r="E15" i="10" s="1"/>
  <c r="X28" i="7"/>
  <c r="S43" i="10"/>
  <c r="M34" i="14"/>
  <c r="L30" i="14"/>
  <c r="N42" i="14"/>
  <c r="I15" i="14"/>
  <c r="AN20" i="10"/>
  <c r="M20" i="10"/>
  <c r="Q26" i="14"/>
  <c r="S49" i="7"/>
  <c r="S21" i="7"/>
  <c r="S39" i="7"/>
  <c r="DY35" i="1"/>
  <c r="DZ35" i="1" s="1"/>
  <c r="EA35" i="1" s="1"/>
  <c r="EB35" i="1" s="1"/>
  <c r="EC35" i="1" s="1"/>
  <c r="ED35" i="1" s="1"/>
  <c r="EE35" i="1" s="1"/>
  <c r="S46" i="7"/>
  <c r="O45" i="10"/>
  <c r="DY39" i="1"/>
  <c r="DZ39" i="1" s="1"/>
  <c r="EA39" i="1" s="1"/>
  <c r="EB39" i="1" s="1"/>
  <c r="EC39" i="1" s="1"/>
  <c r="ED39" i="1" s="1"/>
  <c r="EE39" i="1" s="1"/>
  <c r="DY26" i="1"/>
  <c r="DZ26" i="1" s="1"/>
  <c r="EA26" i="1" s="1"/>
  <c r="EB26" i="1" s="1"/>
  <c r="EC26" i="1" s="1"/>
  <c r="ED26" i="1" s="1"/>
  <c r="EE26" i="1" s="1"/>
  <c r="S41" i="7"/>
  <c r="F30" i="14"/>
  <c r="T22" i="14"/>
  <c r="AX30" i="10"/>
  <c r="H30" i="10"/>
  <c r="J30" i="10"/>
  <c r="P20" i="10"/>
  <c r="P17" i="14"/>
  <c r="S16" i="7"/>
  <c r="K27" i="14"/>
  <c r="S25" i="7"/>
  <c r="DY23" i="1"/>
  <c r="DZ23" i="1" s="1"/>
  <c r="EA23" i="1" s="1"/>
  <c r="EB23" i="1" s="1"/>
  <c r="EC23" i="1" s="1"/>
  <c r="ED23" i="1" s="1"/>
  <c r="EE23" i="1" s="1"/>
  <c r="CV12" i="20"/>
  <c r="Z12" i="20" s="1"/>
  <c r="D13" i="14"/>
  <c r="J13" i="14" s="1"/>
  <c r="AQ10" i="1"/>
  <c r="DI125" i="1" s="1"/>
  <c r="O21" i="10"/>
  <c r="K45" i="14"/>
  <c r="T15" i="4"/>
  <c r="E17" i="7" s="1"/>
  <c r="E26" i="5" s="1"/>
  <c r="D26" i="5" s="1"/>
  <c r="F31" i="4"/>
  <c r="E32" i="10" s="1"/>
  <c r="BK314" i="1"/>
  <c r="BN172" i="1"/>
  <c r="BS233" i="1"/>
  <c r="BS359" i="1" s="1"/>
  <c r="F29" i="4"/>
  <c r="E30" i="10" s="1"/>
  <c r="CS120" i="1"/>
  <c r="CU6" i="20"/>
  <c r="Y6" i="20" s="1"/>
  <c r="BR219" i="1"/>
  <c r="BR345" i="1" s="1"/>
  <c r="T34" i="4"/>
  <c r="E36" i="7" s="1"/>
  <c r="F64" i="26" s="1"/>
  <c r="E64" i="26" s="1"/>
  <c r="DC6" i="20"/>
  <c r="AG6" i="20" s="1"/>
  <c r="V45" i="4"/>
  <c r="CT38" i="4"/>
  <c r="FY20" i="1"/>
  <c r="V27" i="4"/>
  <c r="U47" i="4"/>
  <c r="FM47" i="4" s="1"/>
  <c r="F12" i="4"/>
  <c r="E13" i="10" s="1"/>
  <c r="DX22" i="20"/>
  <c r="BC22" i="20" s="1"/>
  <c r="AG20" i="1"/>
  <c r="CU22" i="20"/>
  <c r="Y22" i="20" s="1"/>
  <c r="CT29" i="4"/>
  <c r="CV35" i="4"/>
  <c r="CW35" i="4" s="1"/>
  <c r="AS20" i="1"/>
  <c r="CG22" i="20" s="1"/>
  <c r="DC22" i="20"/>
  <c r="AG22" i="20" s="1"/>
  <c r="CK22" i="20"/>
  <c r="N22" i="20" s="1"/>
  <c r="DG22" i="20"/>
  <c r="AL22" i="20" s="1"/>
  <c r="DU20" i="1"/>
  <c r="DG20" i="1"/>
  <c r="CX22" i="20"/>
  <c r="AB22" i="20" s="1"/>
  <c r="CM22" i="20"/>
  <c r="P22" i="20" s="1"/>
  <c r="CN22" i="20"/>
  <c r="Q22" i="20" s="1"/>
  <c r="D23" i="10"/>
  <c r="F23" i="10" s="1"/>
  <c r="S18" i="7"/>
  <c r="Y44" i="7"/>
  <c r="Y33" i="7"/>
  <c r="T37" i="4"/>
  <c r="E39" i="7" s="1"/>
  <c r="Y20" i="1"/>
  <c r="EK20" i="1" s="1"/>
  <c r="FC20" i="1"/>
  <c r="DE22" i="20"/>
  <c r="AJ22" i="20" s="1"/>
  <c r="S27" i="7"/>
  <c r="FQ20" i="1"/>
  <c r="AD42" i="1"/>
  <c r="Y18" i="7"/>
  <c r="AV42" i="10"/>
  <c r="BS306" i="1"/>
  <c r="B23" i="10"/>
  <c r="CN30" i="4"/>
  <c r="CS30" i="4" s="1"/>
  <c r="T17" i="4"/>
  <c r="E19" i="7" s="1"/>
  <c r="E30" i="5" s="1"/>
  <c r="D30" i="5" s="1"/>
  <c r="U38" i="4"/>
  <c r="EA22" i="20"/>
  <c r="BG22" i="20" s="1"/>
  <c r="FI20" i="1"/>
  <c r="DT20" i="1"/>
  <c r="DL20" i="1" s="1"/>
  <c r="S19" i="7"/>
  <c r="CV29" i="4"/>
  <c r="CW29" i="4" s="1"/>
  <c r="F35" i="4"/>
  <c r="DB22" i="20"/>
  <c r="AF22" i="20" s="1"/>
  <c r="FS22" i="4"/>
  <c r="DV20" i="1"/>
  <c r="CR22" i="20"/>
  <c r="V22" i="20" s="1"/>
  <c r="DN20" i="1"/>
  <c r="DM20" i="1" s="1"/>
  <c r="EB22" i="20"/>
  <c r="BH22" i="20" s="1"/>
  <c r="DL22" i="20"/>
  <c r="AR22" i="20" s="1"/>
  <c r="CL22" i="20"/>
  <c r="O22" i="20" s="1"/>
  <c r="CQ22" i="20"/>
  <c r="U22" i="20" s="1"/>
  <c r="D23" i="14"/>
  <c r="N23" i="14" s="1"/>
  <c r="Y31" i="7"/>
  <c r="S42" i="7"/>
  <c r="S35" i="7"/>
  <c r="S31" i="7"/>
  <c r="EG22" i="20"/>
  <c r="BM22" i="20" s="1"/>
  <c r="DK22" i="20"/>
  <c r="AP22" i="20" s="1"/>
  <c r="DE20" i="1"/>
  <c r="J22" i="4" s="1"/>
  <c r="FQ22" i="4" s="1"/>
  <c r="CN25" i="4"/>
  <c r="S23" i="7"/>
  <c r="S43" i="7"/>
  <c r="DC46" i="20"/>
  <c r="AG46" i="20" s="1"/>
  <c r="DC44" i="1"/>
  <c r="FB44" i="1"/>
  <c r="DW44" i="1"/>
  <c r="AA44" i="1"/>
  <c r="CN33" i="4"/>
  <c r="CO33" i="4" s="1"/>
  <c r="Y17" i="7"/>
  <c r="EC23" i="20"/>
  <c r="BI23" i="20" s="1"/>
  <c r="DG5" i="20"/>
  <c r="AL5" i="20" s="1"/>
  <c r="BY172" i="1"/>
  <c r="FM20" i="1"/>
  <c r="C23" i="10"/>
  <c r="Y47" i="7"/>
  <c r="F38" i="4"/>
  <c r="E39" i="14" s="1"/>
  <c r="AC20" i="1"/>
  <c r="AD20" i="1" s="1"/>
  <c r="V38" i="4"/>
  <c r="DY22" i="20"/>
  <c r="BE22" i="20" s="1"/>
  <c r="U26" i="4"/>
  <c r="FM26" i="4" s="1"/>
  <c r="CZ22" i="20"/>
  <c r="AD22" i="20" s="1"/>
  <c r="DS22" i="20"/>
  <c r="AY22" i="20" s="1"/>
  <c r="AE20" i="1"/>
  <c r="CT14" i="4"/>
  <c r="F27" i="4"/>
  <c r="V14" i="4"/>
  <c r="DA22" i="20"/>
  <c r="AE22" i="20" s="1"/>
  <c r="CV22" i="20"/>
  <c r="Z22" i="20" s="1"/>
  <c r="CW22" i="20"/>
  <c r="AA22" i="20" s="1"/>
  <c r="CP22" i="20"/>
  <c r="T22" i="20" s="1"/>
  <c r="CF22" i="20"/>
  <c r="L22" i="20" s="1"/>
  <c r="DC20" i="1"/>
  <c r="Z20" i="1"/>
  <c r="S24" i="7" s="1"/>
  <c r="DH22" i="20"/>
  <c r="AM22" i="20" s="1"/>
  <c r="CO22" i="20"/>
  <c r="R22" i="20" s="1"/>
  <c r="AT20" i="1"/>
  <c r="CH22" i="20" s="1"/>
  <c r="E22" i="20" s="1"/>
  <c r="S33" i="7"/>
  <c r="T41" i="4"/>
  <c r="E43" i="7" s="1"/>
  <c r="F78" i="26" s="1"/>
  <c r="E78" i="26" s="1"/>
  <c r="S44" i="7"/>
  <c r="S28" i="7"/>
  <c r="T28" i="4"/>
  <c r="E30" i="7" s="1"/>
  <c r="F52" i="26" s="1"/>
  <c r="E52" i="26" s="1"/>
  <c r="DV22" i="20"/>
  <c r="BA22" i="20" s="1"/>
  <c r="C23" i="14"/>
  <c r="CI22" i="20"/>
  <c r="F22" i="20" s="1"/>
  <c r="CR20" i="1"/>
  <c r="CC22" i="20"/>
  <c r="I22" i="20" s="1"/>
  <c r="S30" i="7"/>
  <c r="DD22" i="20"/>
  <c r="AH22" i="20" s="1"/>
  <c r="FX25" i="4"/>
  <c r="FX33" i="4"/>
  <c r="FX38" i="4"/>
  <c r="BJ274" i="1"/>
  <c r="BX286" i="1"/>
  <c r="FX14" i="4"/>
  <c r="FX8" i="4"/>
  <c r="FX23" i="4"/>
  <c r="FX12" i="4"/>
  <c r="FX46" i="4"/>
  <c r="BM204" i="1"/>
  <c r="BM330" i="1" s="1"/>
  <c r="FX26" i="4"/>
  <c r="FX44" i="4"/>
  <c r="CN16" i="4"/>
  <c r="CR16" i="4" s="1"/>
  <c r="T44" i="4"/>
  <c r="E46" i="7" s="1"/>
  <c r="E84" i="5" s="1"/>
  <c r="D84" i="5" s="1"/>
  <c r="FX29" i="4"/>
  <c r="FX24" i="4"/>
  <c r="FX27" i="4"/>
  <c r="FX22" i="4"/>
  <c r="CA297" i="1"/>
  <c r="AU39" i="1"/>
  <c r="GP41" i="4" s="1"/>
  <c r="M36" i="14"/>
  <c r="BT221" i="1"/>
  <c r="BT347" i="1" s="1"/>
  <c r="FX45" i="4"/>
  <c r="FX15" i="4"/>
  <c r="FX30" i="4"/>
  <c r="FX28" i="4"/>
  <c r="FX31" i="4"/>
  <c r="M19" i="14"/>
  <c r="Y35" i="7"/>
  <c r="U44" i="4"/>
  <c r="F46" i="7" s="1"/>
  <c r="F84" i="5" s="1"/>
  <c r="U33" i="4"/>
  <c r="F35" i="7" s="1"/>
  <c r="T16" i="4"/>
  <c r="E18" i="7" s="1"/>
  <c r="E28" i="5" s="1"/>
  <c r="D28" i="5" s="1"/>
  <c r="AD31" i="1"/>
  <c r="U45" i="4"/>
  <c r="F47" i="7" s="1"/>
  <c r="FX40" i="4"/>
  <c r="FX36" i="4"/>
  <c r="BH215" i="1"/>
  <c r="BI315" i="1"/>
  <c r="CJ151" i="1"/>
  <c r="CE139" i="1"/>
  <c r="BW256" i="1"/>
  <c r="B92" i="26"/>
  <c r="D7" i="14"/>
  <c r="CA227" i="1"/>
  <c r="CA353" i="1" s="1"/>
  <c r="FX47" i="4"/>
  <c r="FX20" i="4"/>
  <c r="FX32" i="4"/>
  <c r="FX42" i="4"/>
  <c r="FX16" i="4"/>
  <c r="CI153" i="1"/>
  <c r="BN194" i="1"/>
  <c r="O47" i="10"/>
  <c r="AW47" i="10"/>
  <c r="AU47" i="10"/>
  <c r="S29" i="10"/>
  <c r="W29" i="10"/>
  <c r="AQ29" i="10"/>
  <c r="AO29" i="10"/>
  <c r="R29" i="10"/>
  <c r="AD29" i="10"/>
  <c r="AG24" i="10"/>
  <c r="K24" i="10"/>
  <c r="Q24" i="10"/>
  <c r="W24" i="10"/>
  <c r="O24" i="10"/>
  <c r="G24" i="10"/>
  <c r="AA24" i="10"/>
  <c r="S24" i="10"/>
  <c r="GS25" i="4"/>
  <c r="AZ23" i="1"/>
  <c r="AO42" i="10"/>
  <c r="AQ42" i="10"/>
  <c r="O42" i="10"/>
  <c r="AS42" i="10"/>
  <c r="AW42" i="10"/>
  <c r="AC42" i="10"/>
  <c r="G42" i="10"/>
  <c r="AK42" i="10"/>
  <c r="AA42" i="10"/>
  <c r="AE42" i="10"/>
  <c r="AR42" i="10"/>
  <c r="W42" i="10"/>
  <c r="Y42" i="10"/>
  <c r="AU42" i="10"/>
  <c r="U42" i="10"/>
  <c r="AM42" i="10"/>
  <c r="AX42" i="10"/>
  <c r="S29" i="14"/>
  <c r="O29" i="14"/>
  <c r="R29" i="14"/>
  <c r="K47" i="14"/>
  <c r="BX164" i="1"/>
  <c r="BW287" i="1"/>
  <c r="CS123" i="1"/>
  <c r="BX205" i="1"/>
  <c r="BX331" i="1" s="1"/>
  <c r="BJ164" i="1"/>
  <c r="CE123" i="1"/>
  <c r="BJ246" i="1"/>
  <c r="BJ205" i="1"/>
  <c r="B75" i="5"/>
  <c r="B75" i="26"/>
  <c r="G29" i="14"/>
  <c r="AN18" i="10"/>
  <c r="AN42" i="10"/>
  <c r="BI287" i="1"/>
  <c r="I29" i="10"/>
  <c r="CT141" i="1"/>
  <c r="EF38" i="20"/>
  <c r="BL38" i="20" s="1"/>
  <c r="R47" i="14"/>
  <c r="AR29" i="10"/>
  <c r="AE32" i="10"/>
  <c r="AU32" i="10"/>
  <c r="AO32" i="10"/>
  <c r="AK32" i="10"/>
  <c r="G32" i="10"/>
  <c r="AQ32" i="10"/>
  <c r="AS32" i="10"/>
  <c r="AA32" i="10"/>
  <c r="K32" i="10"/>
  <c r="AI32" i="10"/>
  <c r="O32" i="10"/>
  <c r="W32" i="10"/>
  <c r="AM32" i="10"/>
  <c r="AE29" i="10"/>
  <c r="BU270" i="1"/>
  <c r="BU188" i="1"/>
  <c r="EC28" i="20"/>
  <c r="BI28" i="20" s="1"/>
  <c r="AJ24" i="10"/>
  <c r="P47" i="10"/>
  <c r="AP29" i="10"/>
  <c r="BV241" i="1"/>
  <c r="BV367" i="1" s="1"/>
  <c r="AG42" i="10"/>
  <c r="AP24" i="10"/>
  <c r="BY248" i="1"/>
  <c r="BY166" i="1"/>
  <c r="BX219" i="1"/>
  <c r="BX345" i="1" s="1"/>
  <c r="CS137" i="1"/>
  <c r="AI42" i="10"/>
  <c r="CV120" i="1"/>
  <c r="AP120" i="1" s="1"/>
  <c r="CA202" i="1"/>
  <c r="CA328" i="1" s="1"/>
  <c r="CI122" i="1"/>
  <c r="BN245" i="1"/>
  <c r="FD19" i="1"/>
  <c r="DY15" i="1"/>
  <c r="DZ15" i="1" s="1"/>
  <c r="EA15" i="1" s="1"/>
  <c r="EB15" i="1" s="1"/>
  <c r="EC15" i="1" s="1"/>
  <c r="ED15" i="1" s="1"/>
  <c r="EE15" i="1" s="1"/>
  <c r="AU18" i="10"/>
  <c r="AL18" i="10"/>
  <c r="G18" i="10"/>
  <c r="O18" i="10"/>
  <c r="FT22" i="1"/>
  <c r="EK22" i="1"/>
  <c r="AU38" i="1"/>
  <c r="GP40" i="4" s="1"/>
  <c r="BK40" i="20"/>
  <c r="EF40" i="20"/>
  <c r="BL40" i="20" s="1"/>
  <c r="H29" i="14"/>
  <c r="Z42" i="10"/>
  <c r="BH211" i="1"/>
  <c r="BH337" i="1" s="1"/>
  <c r="BH170" i="1"/>
  <c r="BW264" i="1"/>
  <c r="CR141" i="1"/>
  <c r="AH47" i="10"/>
  <c r="AX29" i="10"/>
  <c r="X42" i="10"/>
  <c r="BX246" i="1"/>
  <c r="CW159" i="1"/>
  <c r="AQ159" i="1" s="1"/>
  <c r="AZ39" i="1"/>
  <c r="FL20" i="4"/>
  <c r="L21" i="10"/>
  <c r="CG41" i="20"/>
  <c r="D41" i="20" s="1"/>
  <c r="G47" i="10"/>
  <c r="K42" i="10"/>
  <c r="AZ19" i="1"/>
  <c r="M29" i="14"/>
  <c r="AH29" i="10"/>
  <c r="N47" i="14"/>
  <c r="AF29" i="10"/>
  <c r="AF24" i="10"/>
  <c r="AN32" i="10"/>
  <c r="L24" i="10"/>
  <c r="AD42" i="10"/>
  <c r="X29" i="10"/>
  <c r="V42" i="10"/>
  <c r="AJ29" i="10"/>
  <c r="AT42" i="10"/>
  <c r="AP42" i="10"/>
  <c r="AT29" i="10"/>
  <c r="AV18" i="10"/>
  <c r="H24" i="10"/>
  <c r="Q29" i="10"/>
  <c r="AP39" i="10"/>
  <c r="H47" i="14"/>
  <c r="T41" i="14"/>
  <c r="AN29" i="10"/>
  <c r="Z29" i="10"/>
  <c r="AR32" i="10"/>
  <c r="AB32" i="10"/>
  <c r="AH24" i="10"/>
  <c r="AJ18" i="10"/>
  <c r="AD24" i="10"/>
  <c r="V24" i="10"/>
  <c r="AL24" i="10"/>
  <c r="AD32" i="10"/>
  <c r="M32" i="10"/>
  <c r="AL27" i="10"/>
  <c r="AF42" i="10"/>
  <c r="AR24" i="10"/>
  <c r="P42" i="10"/>
  <c r="X24" i="10"/>
  <c r="K29" i="10"/>
  <c r="H32" i="10"/>
  <c r="L47" i="10"/>
  <c r="AJ32" i="10"/>
  <c r="N29" i="14"/>
  <c r="AL42" i="10"/>
  <c r="AB24" i="10"/>
  <c r="AT24" i="10"/>
  <c r="AV32" i="10"/>
  <c r="AV24" i="10"/>
  <c r="AN24" i="10"/>
  <c r="AF32" i="10"/>
  <c r="AR18" i="10"/>
  <c r="AX24" i="10"/>
  <c r="Z24" i="10"/>
  <c r="V32" i="10"/>
  <c r="AP32" i="10"/>
  <c r="AX32" i="10"/>
  <c r="AB47" i="10"/>
  <c r="AV29" i="10"/>
  <c r="N35" i="14"/>
  <c r="FL29" i="4"/>
  <c r="CA243" i="1"/>
  <c r="CA369" i="1" s="1"/>
  <c r="BT224" i="1"/>
  <c r="BT350" i="1" s="1"/>
  <c r="BM286" i="1"/>
  <c r="BY245" i="1"/>
  <c r="BJ296" i="1"/>
  <c r="BN293" i="1"/>
  <c r="AC4" i="4"/>
  <c r="BU217" i="1"/>
  <c r="BU343" i="1" s="1"/>
  <c r="BQ305" i="1"/>
  <c r="CQ141" i="1"/>
  <c r="BX223" i="1"/>
  <c r="BX349" i="1" s="1"/>
  <c r="BL286" i="1"/>
  <c r="BM245" i="1"/>
  <c r="U19" i="4"/>
  <c r="FM19" i="4" s="1"/>
  <c r="CN45" i="4"/>
  <c r="CQ45" i="4" s="1"/>
  <c r="AD43" i="1"/>
  <c r="AO9" i="10"/>
  <c r="T45" i="4"/>
  <c r="E47" i="7" s="1"/>
  <c r="E86" i="5" s="1"/>
  <c r="D86" i="5" s="1"/>
  <c r="AF9" i="10"/>
  <c r="AM9" i="10"/>
  <c r="AT15" i="10"/>
  <c r="AJ16" i="10"/>
  <c r="AH45" i="10"/>
  <c r="V15" i="10"/>
  <c r="X15" i="10"/>
  <c r="AX45" i="10"/>
  <c r="F32" i="10"/>
  <c r="K20" i="14"/>
  <c r="CA236" i="1"/>
  <c r="BR193" i="1"/>
  <c r="BW284" i="1"/>
  <c r="BN204" i="1"/>
  <c r="BN330" i="1" s="1"/>
  <c r="D29" i="16"/>
  <c r="D30" i="16" s="1"/>
  <c r="DH6" i="20"/>
  <c r="AM6" i="20" s="1"/>
  <c r="BJ278" i="1"/>
  <c r="BQ217" i="1"/>
  <c r="BQ343" i="1" s="1"/>
  <c r="BH301" i="1"/>
  <c r="BK47" i="20"/>
  <c r="BV182" i="1"/>
  <c r="CW135" i="1"/>
  <c r="AQ135" i="1" s="1"/>
  <c r="AH53" i="17"/>
  <c r="AD4" i="1"/>
  <c r="BM163" i="1"/>
  <c r="I12" i="14"/>
  <c r="AD17" i="1"/>
  <c r="CO19" i="4"/>
  <c r="H9" i="10"/>
  <c r="AW9" i="10"/>
  <c r="EF24" i="20"/>
  <c r="BL24" i="20" s="1"/>
  <c r="Z9" i="10"/>
  <c r="N42" i="10"/>
  <c r="R20" i="14"/>
  <c r="AV45" i="10"/>
  <c r="G20" i="14"/>
  <c r="CV146" i="1"/>
  <c r="AP146" i="1" s="1"/>
  <c r="BN163" i="1"/>
  <c r="BP281" i="1"/>
  <c r="BJ178" i="1"/>
  <c r="BV305" i="1"/>
  <c r="BM217" i="1"/>
  <c r="BM343" i="1" s="1"/>
  <c r="CT153" i="1"/>
  <c r="H14" i="10"/>
  <c r="CG144" i="1"/>
  <c r="BL185" i="1"/>
  <c r="BK212" i="1"/>
  <c r="BK338" i="1" s="1"/>
  <c r="BK253" i="1"/>
  <c r="BR285" i="1"/>
  <c r="CN121" i="1"/>
  <c r="BS244" i="1"/>
  <c r="BS370" i="1" s="1"/>
  <c r="BS162" i="1"/>
  <c r="BS326" i="1" s="1"/>
  <c r="BN205" i="1"/>
  <c r="BN331" i="1" s="1"/>
  <c r="CI123" i="1"/>
  <c r="BN164" i="1"/>
  <c r="BN246" i="1"/>
  <c r="BQ287" i="1"/>
  <c r="BR164" i="1"/>
  <c r="BR205" i="1"/>
  <c r="BR331" i="1" s="1"/>
  <c r="BR246" i="1"/>
  <c r="CM123" i="1"/>
  <c r="BW203" i="1"/>
  <c r="BW329" i="1" s="1"/>
  <c r="BV285" i="1"/>
  <c r="BW162" i="1"/>
  <c r="BW326" i="1" s="1"/>
  <c r="AW26" i="10"/>
  <c r="AM26" i="10"/>
  <c r="Y26" i="10"/>
  <c r="AG26" i="10"/>
  <c r="S26" i="10"/>
  <c r="AC26" i="10"/>
  <c r="W26" i="10"/>
  <c r="AK26" i="10"/>
  <c r="O26" i="10"/>
  <c r="AO26" i="10"/>
  <c r="U26" i="10"/>
  <c r="AS26" i="10"/>
  <c r="AI26" i="10"/>
  <c r="AE26" i="10"/>
  <c r="AA26" i="10"/>
  <c r="FD26" i="1"/>
  <c r="CG28" i="20"/>
  <c r="CA246" i="1"/>
  <c r="CA205" i="1"/>
  <c r="CA331" i="1" s="1"/>
  <c r="CA164" i="1"/>
  <c r="CV123" i="1"/>
  <c r="AP123" i="1" s="1"/>
  <c r="BL205" i="1"/>
  <c r="BL331" i="1" s="1"/>
  <c r="BL246" i="1"/>
  <c r="CG123" i="1"/>
  <c r="BK287" i="1"/>
  <c r="AO10" i="10"/>
  <c r="EK21" i="1"/>
  <c r="FT21" i="1"/>
  <c r="CQ19" i="4"/>
  <c r="U29" i="4"/>
  <c r="FM29" i="4" s="1"/>
  <c r="GS24" i="4"/>
  <c r="AU23" i="1"/>
  <c r="GP25" i="4" s="1"/>
  <c r="FT24" i="1"/>
  <c r="F15" i="10"/>
  <c r="H15" i="10"/>
  <c r="L31" i="14"/>
  <c r="X26" i="10"/>
  <c r="N12" i="14"/>
  <c r="BT183" i="1"/>
  <c r="G25" i="14"/>
  <c r="BK214" i="1"/>
  <c r="BK173" i="1"/>
  <c r="BT212" i="1"/>
  <c r="BT338" i="1" s="1"/>
  <c r="N48" i="14"/>
  <c r="AQ26" i="10"/>
  <c r="AF15" i="10"/>
  <c r="AI15" i="10"/>
  <c r="J26" i="10"/>
  <c r="CE127" i="1"/>
  <c r="BJ168" i="1"/>
  <c r="CR139" i="1"/>
  <c r="BW221" i="1"/>
  <c r="BW347" i="1" s="1"/>
  <c r="BU227" i="1"/>
  <c r="BU353" i="1" s="1"/>
  <c r="BU186" i="1"/>
  <c r="CL151" i="1"/>
  <c r="BQ192" i="1"/>
  <c r="CA321" i="1"/>
  <c r="CW157" i="1"/>
  <c r="AQ157" i="1" s="1"/>
  <c r="BX163" i="1"/>
  <c r="CS122" i="1"/>
  <c r="BX204" i="1"/>
  <c r="BX330" i="1" s="1"/>
  <c r="BW286" i="1"/>
  <c r="CV6" i="20"/>
  <c r="Z6" i="20" s="1"/>
  <c r="CQ6" i="20"/>
  <c r="U6" i="20" s="1"/>
  <c r="AS34" i="10"/>
  <c r="AE34" i="10"/>
  <c r="BR287" i="1"/>
  <c r="BS205" i="1"/>
  <c r="BS331" i="1" s="1"/>
  <c r="CN123" i="1"/>
  <c r="BS164" i="1"/>
  <c r="AG22" i="10"/>
  <c r="W22" i="10"/>
  <c r="AE22" i="10"/>
  <c r="BZ164" i="1"/>
  <c r="BY287" i="1"/>
  <c r="CU123" i="1"/>
  <c r="T29" i="4"/>
  <c r="E31" i="7" s="1"/>
  <c r="E54" i="5" s="1"/>
  <c r="D54" i="5" s="1"/>
  <c r="CP19" i="4"/>
  <c r="CU19" i="4"/>
  <c r="CG25" i="20"/>
  <c r="D25" i="20" s="1"/>
  <c r="EF42" i="20"/>
  <c r="BL42" i="20" s="1"/>
  <c r="AV26" i="10"/>
  <c r="AN26" i="10"/>
  <c r="AF26" i="10"/>
  <c r="P15" i="10"/>
  <c r="Z45" i="10"/>
  <c r="AN15" i="10"/>
  <c r="AB22" i="10"/>
  <c r="Z15" i="10"/>
  <c r="AL15" i="10"/>
  <c r="BT265" i="1"/>
  <c r="V26" i="10"/>
  <c r="BK255" i="1"/>
  <c r="BK171" i="1"/>
  <c r="CO130" i="1"/>
  <c r="BL164" i="1"/>
  <c r="K26" i="10"/>
  <c r="BT318" i="1"/>
  <c r="BZ287" i="1"/>
  <c r="AU26" i="10"/>
  <c r="CP154" i="1"/>
  <c r="P45" i="10"/>
  <c r="AT26" i="10"/>
  <c r="AD26" i="10"/>
  <c r="T31" i="14"/>
  <c r="O31" i="14"/>
  <c r="EK37" i="1"/>
  <c r="E7" i="14"/>
  <c r="E7" i="10"/>
  <c r="CC121" i="1"/>
  <c r="BD121" i="1" s="1"/>
  <c r="CB121" i="1" s="1"/>
  <c r="CB285" i="1" s="1"/>
  <c r="BH203" i="1"/>
  <c r="BH329" i="1" s="1"/>
  <c r="CW123" i="1"/>
  <c r="AQ123" i="1" s="1"/>
  <c r="CA287" i="1"/>
  <c r="CB205" i="1"/>
  <c r="CB331" i="1" s="1"/>
  <c r="CB246" i="1"/>
  <c r="BK162" i="1"/>
  <c r="BK326" i="1" s="1"/>
  <c r="BK244" i="1"/>
  <c r="BK370" i="1" s="1"/>
  <c r="BJ285" i="1"/>
  <c r="CF121" i="1"/>
  <c r="CG46" i="20"/>
  <c r="D46" i="20" s="1"/>
  <c r="CR19" i="4"/>
  <c r="AD27" i="1"/>
  <c r="T19" i="4"/>
  <c r="E21" i="7" s="1"/>
  <c r="F34" i="26" s="1"/>
  <c r="E34" i="26" s="1"/>
  <c r="Y21" i="7"/>
  <c r="AT34" i="10"/>
  <c r="EF16" i="20"/>
  <c r="BL16" i="20" s="1"/>
  <c r="X34" i="10"/>
  <c r="K45" i="10"/>
  <c r="L45" i="10"/>
  <c r="CA195" i="1"/>
  <c r="CF130" i="1"/>
  <c r="P48" i="14"/>
  <c r="AA34" i="10"/>
  <c r="AZ45" i="1"/>
  <c r="H12" i="14"/>
  <c r="AB26" i="10"/>
  <c r="V16" i="10"/>
  <c r="M16" i="10"/>
  <c r="BW244" i="1"/>
  <c r="BW370" i="1" s="1"/>
  <c r="AL26" i="10"/>
  <c r="I22" i="10"/>
  <c r="AR26" i="10"/>
  <c r="AD34" i="10"/>
  <c r="AX34" i="10"/>
  <c r="AX26" i="10"/>
  <c r="EC25" i="20"/>
  <c r="BI25" i="20" s="1"/>
  <c r="AF45" i="10"/>
  <c r="T26" i="10"/>
  <c r="AX22" i="10"/>
  <c r="AH26" i="10"/>
  <c r="AV41" i="10"/>
  <c r="M12" i="14"/>
  <c r="DY21" i="1"/>
  <c r="DZ21" i="1" s="1"/>
  <c r="EA21" i="1" s="1"/>
  <c r="EB21" i="1" s="1"/>
  <c r="EC21" i="1" s="1"/>
  <c r="ED21" i="1" s="1"/>
  <c r="EE21" i="1" s="1"/>
  <c r="S15" i="10"/>
  <c r="T34" i="10"/>
  <c r="AP22" i="10"/>
  <c r="Z26" i="10"/>
  <c r="AJ26" i="10"/>
  <c r="N26" i="10"/>
  <c r="H26" i="10"/>
  <c r="F26" i="10"/>
  <c r="AP26" i="10"/>
  <c r="EC29" i="20"/>
  <c r="BI29" i="20" s="1"/>
  <c r="BG6" i="18"/>
  <c r="AO6" i="18" s="1"/>
  <c r="CN26" i="4"/>
  <c r="CQ26" i="4" s="1"/>
  <c r="EC27" i="20"/>
  <c r="BI27" i="20" s="1"/>
  <c r="L17" i="10"/>
  <c r="AJ28" i="10"/>
  <c r="AH17" i="10"/>
  <c r="BX293" i="1"/>
  <c r="DN6" i="20"/>
  <c r="AS6" i="20" s="1"/>
  <c r="EC37" i="20"/>
  <c r="BI37" i="20" s="1"/>
  <c r="BX196" i="1"/>
  <c r="BH174" i="1"/>
  <c r="CZ6" i="20"/>
  <c r="AD6" i="20" s="1"/>
  <c r="D51" i="7"/>
  <c r="E91" i="26" s="1"/>
  <c r="BZ309" i="1"/>
  <c r="BJ180" i="1"/>
  <c r="DX185" i="1"/>
  <c r="FN25" i="1" s="1"/>
  <c r="CW133" i="1"/>
  <c r="AQ133" i="1" s="1"/>
  <c r="CR133" i="1"/>
  <c r="CO6" i="18"/>
  <c r="D7" i="10"/>
  <c r="BR180" i="1"/>
  <c r="CD149" i="1"/>
  <c r="BR197" i="1"/>
  <c r="BJ239" i="1"/>
  <c r="BJ365" i="1" s="1"/>
  <c r="CC139" i="1"/>
  <c r="BD139" i="1" s="1"/>
  <c r="CB139" i="1" s="1"/>
  <c r="CB303" i="1" s="1"/>
  <c r="CX6" i="20"/>
  <c r="AB6" i="20" s="1"/>
  <c r="AZ40" i="1"/>
  <c r="P21" i="10"/>
  <c r="Y46" i="7"/>
  <c r="T26" i="4"/>
  <c r="E28" i="7" s="1"/>
  <c r="F48" i="26" s="1"/>
  <c r="E48" i="26" s="1"/>
  <c r="AC65" i="1"/>
  <c r="GG23" i="4"/>
  <c r="BJ192" i="1"/>
  <c r="BI321" i="1"/>
  <c r="CP6" i="20"/>
  <c r="T6" i="20" s="1"/>
  <c r="F2" i="8"/>
  <c r="A26" i="16" s="1"/>
  <c r="CZ5" i="20"/>
  <c r="AD5" i="20" s="1"/>
  <c r="BJ221" i="1"/>
  <c r="BJ347" i="1" s="1"/>
  <c r="CB256" i="1"/>
  <c r="BW174" i="1"/>
  <c r="CW141" i="1"/>
  <c r="AQ141" i="1" s="1"/>
  <c r="C6" i="4"/>
  <c r="C4" i="1"/>
  <c r="C6" i="20" s="1"/>
  <c r="D48" i="20" s="1"/>
  <c r="DJ6" i="20"/>
  <c r="AO6" i="20" s="1"/>
  <c r="E45" i="14"/>
  <c r="BQ303" i="1"/>
  <c r="DL6" i="20"/>
  <c r="AR6" i="20" s="1"/>
  <c r="CW137" i="1"/>
  <c r="AQ137" i="1" s="1"/>
  <c r="G2" i="8"/>
  <c r="A27" i="16" s="1"/>
  <c r="CS6" i="20"/>
  <c r="W6" i="20" s="1"/>
  <c r="EG6" i="20"/>
  <c r="BM6" i="20" s="1"/>
  <c r="B87" i="26"/>
  <c r="AD66" i="1"/>
  <c r="CN44" i="4"/>
  <c r="CO44" i="4" s="1"/>
  <c r="AD50" i="1"/>
  <c r="AC57" i="1"/>
  <c r="AC55" i="1"/>
  <c r="Y28" i="7"/>
  <c r="AC54" i="1"/>
  <c r="X46" i="10"/>
  <c r="BJ233" i="1"/>
  <c r="BJ359" i="1" s="1"/>
  <c r="DP6" i="20"/>
  <c r="AU6" i="20" s="1"/>
  <c r="AJ40" i="7"/>
  <c r="L6" i="4"/>
  <c r="FT38" i="1"/>
  <c r="BW231" i="1"/>
  <c r="BW357" i="1" s="1"/>
  <c r="BI303" i="1"/>
  <c r="FP4" i="1"/>
  <c r="BW215" i="1"/>
  <c r="BW341" i="1" s="1"/>
  <c r="CM139" i="1"/>
  <c r="CA305" i="1"/>
  <c r="CA252" i="1"/>
  <c r="BZ219" i="1"/>
  <c r="BZ345" i="1" s="1"/>
  <c r="BZ260" i="1"/>
  <c r="BN237" i="1"/>
  <c r="BN363" i="1" s="1"/>
  <c r="BN278" i="1"/>
  <c r="E12" i="14"/>
  <c r="BI205" i="1"/>
  <c r="BI331" i="1" s="1"/>
  <c r="BI246" i="1"/>
  <c r="BI164" i="1"/>
  <c r="CD123" i="1"/>
  <c r="EK19" i="1"/>
  <c r="FT19" i="1"/>
  <c r="AR40" i="10"/>
  <c r="B73" i="5"/>
  <c r="B73" i="26"/>
  <c r="GS17" i="4"/>
  <c r="AZ15" i="1"/>
  <c r="AZ38" i="1"/>
  <c r="GS40" i="4"/>
  <c r="CJ43" i="17"/>
  <c r="AH43" i="17" s="1"/>
  <c r="P29" i="14"/>
  <c r="P29" i="10"/>
  <c r="AK15" i="10"/>
  <c r="U15" i="10"/>
  <c r="AA15" i="10"/>
  <c r="AW15" i="10"/>
  <c r="AM15" i="10"/>
  <c r="AK34" i="10"/>
  <c r="AU34" i="10"/>
  <c r="W34" i="10"/>
  <c r="U34" i="10"/>
  <c r="BO179" i="1"/>
  <c r="BN302" i="1"/>
  <c r="BS220" i="1"/>
  <c r="BS346" i="1" s="1"/>
  <c r="CN138" i="1"/>
  <c r="BS226" i="1"/>
  <c r="BS352" i="1" s="1"/>
  <c r="BS185" i="1"/>
  <c r="BP185" i="1"/>
  <c r="CK144" i="1"/>
  <c r="BN201" i="1"/>
  <c r="BN283" i="1"/>
  <c r="BO312" i="1"/>
  <c r="BP271" i="1"/>
  <c r="BP230" i="1"/>
  <c r="BP356" i="1" s="1"/>
  <c r="BP189" i="1"/>
  <c r="CG148" i="1"/>
  <c r="BK312" i="1"/>
  <c r="BL189" i="1"/>
  <c r="BL271" i="1"/>
  <c r="E34" i="10"/>
  <c r="E34" i="14"/>
  <c r="S27" i="14"/>
  <c r="T27" i="14"/>
  <c r="BT175" i="1"/>
  <c r="BS298" i="1"/>
  <c r="CO134" i="1"/>
  <c r="BT257" i="1"/>
  <c r="BS260" i="1"/>
  <c r="BR301" i="1"/>
  <c r="BQ260" i="1"/>
  <c r="BQ178" i="1"/>
  <c r="CJ59" i="17"/>
  <c r="AH59" i="17"/>
  <c r="CL123" i="1"/>
  <c r="BQ246" i="1"/>
  <c r="BQ162" i="1"/>
  <c r="BQ326" i="1" s="1"/>
  <c r="CL121" i="1"/>
  <c r="BQ244" i="1"/>
  <c r="BQ370" i="1" s="1"/>
  <c r="BP285" i="1"/>
  <c r="BP178" i="1"/>
  <c r="BT261" i="1"/>
  <c r="BS302" i="1"/>
  <c r="CF158" i="1"/>
  <c r="BK240" i="1"/>
  <c r="BK366" i="1" s="1"/>
  <c r="BX199" i="1"/>
  <c r="CS158" i="1"/>
  <c r="Q37" i="14"/>
  <c r="BZ297" i="1"/>
  <c r="CA256" i="1"/>
  <c r="GH35" i="4"/>
  <c r="GH42" i="4"/>
  <c r="D8" i="7"/>
  <c r="E8" i="26" s="1"/>
  <c r="D2" i="8"/>
  <c r="CJ8" i="18"/>
  <c r="H6" i="4"/>
  <c r="AZ8" i="21"/>
  <c r="AH8" i="21" s="1"/>
  <c r="BR8" i="21"/>
  <c r="C15" i="19"/>
  <c r="AZ8" i="18"/>
  <c r="CJ8" i="17"/>
  <c r="AH8" i="17" s="1"/>
  <c r="CU52" i="1" s="1"/>
  <c r="C5" i="19"/>
  <c r="C19" i="19" s="1"/>
  <c r="BR8" i="18"/>
  <c r="D35" i="7"/>
  <c r="D31" i="7"/>
  <c r="D26" i="7"/>
  <c r="D10" i="7"/>
  <c r="D11" i="7"/>
  <c r="D12" i="7"/>
  <c r="D17" i="7"/>
  <c r="D40" i="7"/>
  <c r="D25" i="7"/>
  <c r="D18" i="7"/>
  <c r="D20" i="7"/>
  <c r="D39" i="7"/>
  <c r="D19" i="7"/>
  <c r="D9" i="7"/>
  <c r="D27" i="7"/>
  <c r="D22" i="7"/>
  <c r="D34" i="7"/>
  <c r="D21" i="7"/>
  <c r="D47" i="7"/>
  <c r="D16" i="7"/>
  <c r="D45" i="7"/>
  <c r="CE6" i="20"/>
  <c r="K6" i="20" s="1"/>
  <c r="GN6" i="4"/>
  <c r="E6" i="4"/>
  <c r="E4" i="1"/>
  <c r="CH6" i="20" s="1"/>
  <c r="E6" i="20" s="1"/>
  <c r="CP6" i="17"/>
  <c r="BX6" i="17"/>
  <c r="BY6" i="17"/>
  <c r="CM6" i="18"/>
  <c r="BD6" i="18"/>
  <c r="CN6" i="18"/>
  <c r="BE6" i="17"/>
  <c r="AM6" i="17" s="1"/>
  <c r="CZ50" i="1" s="1"/>
  <c r="H3" i="19" s="1"/>
  <c r="DR6" i="20"/>
  <c r="AW6" i="20" s="1"/>
  <c r="AU48" i="20" s="1"/>
  <c r="EF6" i="20"/>
  <c r="BL6" i="20" s="1"/>
  <c r="FW38" i="4"/>
  <c r="AH41" i="18"/>
  <c r="BS181" i="1"/>
  <c r="BJ310" i="1"/>
  <c r="BR201" i="1"/>
  <c r="BQ203" i="1"/>
  <c r="BQ329" i="1" s="1"/>
  <c r="BL199" i="1"/>
  <c r="BL281" i="1"/>
  <c r="CU160" i="1"/>
  <c r="BY324" i="1"/>
  <c r="I26" i="14"/>
  <c r="I26" i="10"/>
  <c r="CK159" i="1"/>
  <c r="BO323" i="1"/>
  <c r="BH287" i="1"/>
  <c r="Q27" i="14"/>
  <c r="R27" i="14"/>
  <c r="AL34" i="10"/>
  <c r="AB15" i="10"/>
  <c r="O15" i="10"/>
  <c r="X21" i="10"/>
  <c r="F34" i="10"/>
  <c r="F21" i="14"/>
  <c r="Z34" i="10"/>
  <c r="I48" i="14"/>
  <c r="J11" i="14"/>
  <c r="F40" i="10"/>
  <c r="AF40" i="10"/>
  <c r="DY31" i="1"/>
  <c r="DZ31" i="1" s="1"/>
  <c r="EA31" i="1" s="1"/>
  <c r="EB31" i="1" s="1"/>
  <c r="EC31" i="1" s="1"/>
  <c r="ED31" i="1" s="1"/>
  <c r="EE31" i="1" s="1"/>
  <c r="H27" i="14"/>
  <c r="T40" i="10"/>
  <c r="R31" i="14"/>
  <c r="AN40" i="10"/>
  <c r="P17" i="10"/>
  <c r="E24" i="14"/>
  <c r="E24" i="10"/>
  <c r="Y23" i="10"/>
  <c r="I23" i="10"/>
  <c r="BQ179" i="1"/>
  <c r="BQ261" i="1"/>
  <c r="BI185" i="1"/>
  <c r="BI226" i="1"/>
  <c r="BI352" i="1" s="1"/>
  <c r="L35" i="14"/>
  <c r="FL34" i="4"/>
  <c r="BH218" i="1"/>
  <c r="BH344" i="1" s="1"/>
  <c r="BB136" i="1"/>
  <c r="BQ189" i="1"/>
  <c r="BQ230" i="1"/>
  <c r="BQ356" i="1" s="1"/>
  <c r="BH271" i="1"/>
  <c r="BH230" i="1"/>
  <c r="BH356" i="1" s="1"/>
  <c r="BH189" i="1"/>
  <c r="BU271" i="1"/>
  <c r="BU230" i="1"/>
  <c r="BU356" i="1" s="1"/>
  <c r="CA271" i="1"/>
  <c r="CA230" i="1"/>
  <c r="CA356" i="1" s="1"/>
  <c r="BM230" i="1"/>
  <c r="BM356" i="1" s="1"/>
  <c r="BM271" i="1"/>
  <c r="BL312" i="1"/>
  <c r="BM189" i="1"/>
  <c r="CV152" i="1"/>
  <c r="AP152" i="1" s="1"/>
  <c r="CA193" i="1"/>
  <c r="CJ152" i="1"/>
  <c r="BN316" i="1"/>
  <c r="BO193" i="1"/>
  <c r="BL193" i="1"/>
  <c r="BK316" i="1"/>
  <c r="BK31" i="20"/>
  <c r="EF31" i="20"/>
  <c r="BL31" i="20" s="1"/>
  <c r="AZ29" i="1"/>
  <c r="GS31" i="4"/>
  <c r="BO181" i="1"/>
  <c r="BN304" i="1"/>
  <c r="CJ140" i="1"/>
  <c r="BO263" i="1"/>
  <c r="EK44" i="1"/>
  <c r="AZ26" i="1"/>
  <c r="GS28" i="4"/>
  <c r="AO40" i="10"/>
  <c r="AK40" i="10"/>
  <c r="AW40" i="10"/>
  <c r="O40" i="10"/>
  <c r="AE40" i="10"/>
  <c r="AU40" i="10"/>
  <c r="G40" i="10"/>
  <c r="Y40" i="10"/>
  <c r="AI40" i="10"/>
  <c r="AA40" i="10"/>
  <c r="H40" i="10"/>
  <c r="K40" i="10"/>
  <c r="CJ52" i="17"/>
  <c r="AH52" i="17" s="1"/>
  <c r="FL41" i="4"/>
  <c r="L42" i="10"/>
  <c r="AD21" i="1"/>
  <c r="AD26" i="1"/>
  <c r="Y25" i="7"/>
  <c r="EC41" i="20"/>
  <c r="BI41" i="20" s="1"/>
  <c r="EC31" i="20"/>
  <c r="BI31" i="20" s="1"/>
  <c r="Z25" i="10"/>
  <c r="AJ40" i="10"/>
  <c r="AR48" i="10"/>
  <c r="AB48" i="10"/>
  <c r="EF28" i="20"/>
  <c r="BL28" i="20" s="1"/>
  <c r="N23" i="10"/>
  <c r="AP17" i="10"/>
  <c r="H17" i="10"/>
  <c r="X40" i="10"/>
  <c r="AL23" i="10"/>
  <c r="AB25" i="10"/>
  <c r="Q17" i="10"/>
  <c r="AX17" i="10"/>
  <c r="J40" i="10"/>
  <c r="AH25" i="10"/>
  <c r="BU313" i="1"/>
  <c r="BU189" i="1"/>
  <c r="AH40" i="10"/>
  <c r="Q30" i="14"/>
  <c r="Q30" i="10"/>
  <c r="AC40" i="10"/>
  <c r="CI121" i="1"/>
  <c r="BN203" i="1"/>
  <c r="BN329" i="1" s="1"/>
  <c r="BN244" i="1"/>
  <c r="BN370" i="1" s="1"/>
  <c r="BM285" i="1"/>
  <c r="BP203" i="1"/>
  <c r="BP329" i="1" s="1"/>
  <c r="BO285" i="1"/>
  <c r="BX162" i="1"/>
  <c r="BX326" i="1" s="1"/>
  <c r="BX244" i="1"/>
  <c r="BX370" i="1" s="1"/>
  <c r="BX203" i="1"/>
  <c r="BX329" i="1" s="1"/>
  <c r="BW285" i="1"/>
  <c r="CR123" i="1"/>
  <c r="BW164" i="1"/>
  <c r="BV287" i="1"/>
  <c r="BH286" i="1"/>
  <c r="BI245" i="1"/>
  <c r="V48" i="10"/>
  <c r="P48" i="10"/>
  <c r="N48" i="10"/>
  <c r="S48" i="10"/>
  <c r="CN23" i="4"/>
  <c r="CO23" i="4" s="1"/>
  <c r="CN28" i="4"/>
  <c r="CU28" i="4" s="1"/>
  <c r="Y43" i="7"/>
  <c r="EC16" i="20"/>
  <c r="BI16" i="20" s="1"/>
  <c r="Q27" i="10"/>
  <c r="EK26" i="1"/>
  <c r="BX171" i="1"/>
  <c r="BO222" i="1"/>
  <c r="BO348" i="1" s="1"/>
  <c r="BO275" i="1"/>
  <c r="CC148" i="1"/>
  <c r="BD148" i="1" s="1"/>
  <c r="EF41" i="20"/>
  <c r="BL41" i="20" s="1"/>
  <c r="CL148" i="1"/>
  <c r="BJ316" i="1"/>
  <c r="F12" i="14"/>
  <c r="F12" i="10"/>
  <c r="AZ37" i="1"/>
  <c r="BP174" i="1"/>
  <c r="BP256" i="1"/>
  <c r="BP180" i="1"/>
  <c r="CK139" i="1"/>
  <c r="BL303" i="1"/>
  <c r="CH139" i="1"/>
  <c r="BT274" i="1"/>
  <c r="BT233" i="1"/>
  <c r="BT359" i="1" s="1"/>
  <c r="BZ315" i="1"/>
  <c r="CA233" i="1"/>
  <c r="CA359" i="1" s="1"/>
  <c r="CB211" i="1"/>
  <c r="CB337" i="1" s="1"/>
  <c r="CA293" i="1"/>
  <c r="CW129" i="1"/>
  <c r="AQ129" i="1" s="1"/>
  <c r="CB252" i="1"/>
  <c r="BI217" i="1"/>
  <c r="BI343" i="1" s="1"/>
  <c r="BI258" i="1"/>
  <c r="BI176" i="1"/>
  <c r="CA217" i="1"/>
  <c r="CA343" i="1" s="1"/>
  <c r="CA258" i="1"/>
  <c r="BU299" i="1"/>
  <c r="CQ135" i="1"/>
  <c r="BV176" i="1"/>
  <c r="BV217" i="1"/>
  <c r="BV343" i="1" s="1"/>
  <c r="BH258" i="1"/>
  <c r="BH217" i="1"/>
  <c r="BH343" i="1" s="1"/>
  <c r="CR135" i="1"/>
  <c r="BW176" i="1"/>
  <c r="BZ264" i="1"/>
  <c r="BZ182" i="1"/>
  <c r="BL305" i="1"/>
  <c r="BM264" i="1"/>
  <c r="BM182" i="1"/>
  <c r="BJ235" i="1"/>
  <c r="BJ361" i="1" s="1"/>
  <c r="CE153" i="1"/>
  <c r="BJ276" i="1"/>
  <c r="CC153" i="1"/>
  <c r="BD153" i="1" s="1"/>
  <c r="CB153" i="1" s="1"/>
  <c r="CB317" i="1" s="1"/>
  <c r="BH276" i="1"/>
  <c r="BY241" i="1"/>
  <c r="BY367" i="1" s="1"/>
  <c r="BY282" i="1"/>
  <c r="CS159" i="1"/>
  <c r="BX200" i="1"/>
  <c r="BX241" i="1"/>
  <c r="BX367" i="1" s="1"/>
  <c r="BX282" i="1"/>
  <c r="AA16" i="21"/>
  <c r="Z39" i="21"/>
  <c r="Z19" i="21"/>
  <c r="B3" i="7"/>
  <c r="B3" i="14"/>
  <c r="B3" i="10"/>
  <c r="FQ4" i="1"/>
  <c r="DX6" i="20"/>
  <c r="BC6" i="20" s="1"/>
  <c r="DT6" i="20"/>
  <c r="AX6" i="20" s="1"/>
  <c r="R11" i="7"/>
  <c r="R41" i="7"/>
  <c r="AZ9" i="17"/>
  <c r="AH9" i="17" s="1"/>
  <c r="CU53" i="1" s="1"/>
  <c r="C6" i="19" s="1"/>
  <c r="C16" i="19" s="1"/>
  <c r="BD6" i="20"/>
  <c r="AM40" i="10"/>
  <c r="AQ40" i="10"/>
  <c r="BJ162" i="1"/>
  <c r="BJ326" i="1" s="1"/>
  <c r="BI244" i="1"/>
  <c r="CE121" i="1"/>
  <c r="BI162" i="1"/>
  <c r="BI326" i="1" s="1"/>
  <c r="BI285" i="1"/>
  <c r="BI203" i="1"/>
  <c r="BI329" i="1" s="1"/>
  <c r="BJ244" i="1"/>
  <c r="BJ370" i="1" s="1"/>
  <c r="BG287" i="1"/>
  <c r="BB123" i="1"/>
  <c r="BH205" i="1"/>
  <c r="BH331" i="1" s="1"/>
  <c r="BH164" i="1"/>
  <c r="BH246" i="1"/>
  <c r="BG246" i="1"/>
  <c r="AE9" i="10"/>
  <c r="BY202" i="1"/>
  <c r="BY328" i="1" s="1"/>
  <c r="BY161" i="1"/>
  <c r="BY325" i="1" s="1"/>
  <c r="AA25" i="10"/>
  <c r="T25" i="10"/>
  <c r="I25" i="10"/>
  <c r="G25" i="10"/>
  <c r="FT45" i="1"/>
  <c r="EK45" i="1"/>
  <c r="BG42" i="20"/>
  <c r="EC42" i="20"/>
  <c r="BI42" i="20" s="1"/>
  <c r="Y30" i="7"/>
  <c r="CN41" i="4"/>
  <c r="CR41" i="4" s="1"/>
  <c r="V23" i="10"/>
  <c r="BX40" i="1"/>
  <c r="EC26" i="20"/>
  <c r="BI26" i="20" s="1"/>
  <c r="I48" i="10"/>
  <c r="S40" i="10"/>
  <c r="BO234" i="1"/>
  <c r="BO360" i="1" s="1"/>
  <c r="CD122" i="1"/>
  <c r="B35" i="5"/>
  <c r="BI222" i="1"/>
  <c r="BI348" i="1" s="1"/>
  <c r="BH304" i="1"/>
  <c r="CA310" i="1"/>
  <c r="CB269" i="1"/>
  <c r="BM201" i="1"/>
  <c r="CH160" i="1"/>
  <c r="BS201" i="1"/>
  <c r="BS283" i="1"/>
  <c r="CC136" i="1"/>
  <c r="BD136" i="1" s="1"/>
  <c r="BD177" i="1" s="1"/>
  <c r="BH173" i="1"/>
  <c r="FL25" i="4"/>
  <c r="L26" i="10"/>
  <c r="R32" i="14"/>
  <c r="R32" i="10"/>
  <c r="J32" i="10"/>
  <c r="J32" i="14"/>
  <c r="BN282" i="1"/>
  <c r="BN241" i="1"/>
  <c r="BN367" i="1" s="1"/>
  <c r="AS40" i="10"/>
  <c r="L42" i="14"/>
  <c r="BZ286" i="1"/>
  <c r="CA245" i="1"/>
  <c r="AT27" i="10"/>
  <c r="V27" i="10"/>
  <c r="Q31" i="10"/>
  <c r="AX25" i="10"/>
  <c r="AP25" i="10"/>
  <c r="H25" i="10"/>
  <c r="K48" i="10"/>
  <c r="H48" i="10"/>
  <c r="AN25" i="10"/>
  <c r="X17" i="10"/>
  <c r="S17" i="10"/>
  <c r="AB40" i="10"/>
  <c r="L25" i="10"/>
  <c r="I9" i="10"/>
  <c r="M40" i="10"/>
  <c r="Z40" i="10"/>
  <c r="V40" i="10"/>
  <c r="AV40" i="10"/>
  <c r="K16" i="10"/>
  <c r="AX16" i="10"/>
  <c r="L9" i="10"/>
  <c r="K23" i="10"/>
  <c r="Q40" i="10"/>
  <c r="AX40" i="10"/>
  <c r="AT40" i="10"/>
  <c r="AD40" i="10"/>
  <c r="AL40" i="10"/>
  <c r="AP40" i="10"/>
  <c r="T14" i="10"/>
  <c r="DX21" i="1"/>
  <c r="DV7" i="1"/>
  <c r="R36" i="7"/>
  <c r="F26" i="14"/>
  <c r="P32" i="10"/>
  <c r="BI322" i="1"/>
  <c r="BP199" i="1"/>
  <c r="BT219" i="1"/>
  <c r="BT345" i="1" s="1"/>
  <c r="BQ313" i="1"/>
  <c r="BI231" i="1"/>
  <c r="BI357" i="1" s="1"/>
  <c r="BY265" i="1"/>
  <c r="DX23" i="1"/>
  <c r="BM306" i="1"/>
  <c r="CS160" i="1"/>
  <c r="BR319" i="1"/>
  <c r="CE158" i="1"/>
  <c r="BG254" i="1"/>
  <c r="BS184" i="1"/>
  <c r="CH150" i="1"/>
  <c r="DY29" i="1"/>
  <c r="DZ29" i="1" s="1"/>
  <c r="EA29" i="1" s="1"/>
  <c r="EB29" i="1" s="1"/>
  <c r="EC29" i="1" s="1"/>
  <c r="ED29" i="1" s="1"/>
  <c r="EE29" i="1" s="1"/>
  <c r="AD33" i="1"/>
  <c r="CK125" i="1"/>
  <c r="BI283" i="1"/>
  <c r="BW254" i="1"/>
  <c r="BJ281" i="1"/>
  <c r="DX35" i="1"/>
  <c r="CT142" i="1"/>
  <c r="BX216" i="1"/>
  <c r="BX342" i="1" s="1"/>
  <c r="CG121" i="1"/>
  <c r="CC1" i="1"/>
  <c r="CH1" i="1" s="1"/>
  <c r="AU29" i="10"/>
  <c r="AA29" i="10"/>
  <c r="AE24" i="10"/>
  <c r="Y24" i="10"/>
  <c r="AR28" i="10"/>
  <c r="G38" i="10"/>
  <c r="BI320" i="1"/>
  <c r="I30" i="10"/>
  <c r="BY200" i="1"/>
  <c r="CN155" i="1"/>
  <c r="CN137" i="1"/>
  <c r="CH141" i="1"/>
  <c r="CA176" i="1"/>
  <c r="BZ299" i="1"/>
  <c r="BJ194" i="1"/>
  <c r="BS219" i="1"/>
  <c r="BS345" i="1" s="1"/>
  <c r="BS301" i="1"/>
  <c r="BV272" i="1"/>
  <c r="BL283" i="1"/>
  <c r="BH172" i="1"/>
  <c r="BH254" i="1"/>
  <c r="BN196" i="1"/>
  <c r="BO301" i="1"/>
  <c r="CU141" i="1"/>
  <c r="CD135" i="1"/>
  <c r="BH299" i="1"/>
  <c r="CN143" i="1"/>
  <c r="BJ248" i="1"/>
  <c r="BS263" i="1"/>
  <c r="BY174" i="1"/>
  <c r="CU137" i="1"/>
  <c r="CV141" i="1"/>
  <c r="AP141" i="1" s="1"/>
  <c r="BT223" i="1"/>
  <c r="BT349" i="1" s="1"/>
  <c r="BW217" i="1"/>
  <c r="BW343" i="1" s="1"/>
  <c r="BH176" i="1"/>
  <c r="N36" i="14"/>
  <c r="BR303" i="1"/>
  <c r="CL137" i="1"/>
  <c r="BP223" i="1"/>
  <c r="BP349" i="1" s="1"/>
  <c r="CR125" i="1"/>
  <c r="N14" i="10"/>
  <c r="CG21" i="20"/>
  <c r="F21" i="10"/>
  <c r="FT23" i="1"/>
  <c r="AB4" i="1"/>
  <c r="AB6" i="1"/>
  <c r="AK29" i="10"/>
  <c r="O29" i="10"/>
  <c r="AM24" i="10"/>
  <c r="U24" i="10"/>
  <c r="AU24" i="10"/>
  <c r="G29" i="10"/>
  <c r="AC29" i="10"/>
  <c r="BK285" i="1"/>
  <c r="AU22" i="10"/>
  <c r="AU21" i="1"/>
  <c r="GP23" i="4" s="1"/>
  <c r="FD21" i="1"/>
  <c r="CK88" i="20"/>
  <c r="CL11" i="20"/>
  <c r="O11" i="20" s="1"/>
  <c r="CP11" i="20"/>
  <c r="T11" i="20" s="1"/>
  <c r="CN11" i="20"/>
  <c r="Q11" i="20" s="1"/>
  <c r="FE18" i="1"/>
  <c r="BL172" i="1"/>
  <c r="BW248" i="1"/>
  <c r="BV258" i="1"/>
  <c r="R47" i="10"/>
  <c r="T28" i="10"/>
  <c r="BI317" i="1"/>
  <c r="BM223" i="1"/>
  <c r="BM349" i="1" s="1"/>
  <c r="BT178" i="1"/>
  <c r="BJ227" i="1"/>
  <c r="BJ353" i="1" s="1"/>
  <c r="BT260" i="1"/>
  <c r="BH213" i="1"/>
  <c r="BH339" i="1" s="1"/>
  <c r="BB131" i="1"/>
  <c r="CI155" i="1"/>
  <c r="BM319" i="1"/>
  <c r="CK137" i="1"/>
  <c r="BZ223" i="1"/>
  <c r="BZ349" i="1" s="1"/>
  <c r="BR307" i="1"/>
  <c r="BS225" i="1"/>
  <c r="BS351" i="1" s="1"/>
  <c r="BI289" i="1"/>
  <c r="BS218" i="1"/>
  <c r="BS344" i="1" s="1"/>
  <c r="BG276" i="1"/>
  <c r="BN216" i="1"/>
  <c r="BN342" i="1" s="1"/>
  <c r="BP200" i="1"/>
  <c r="BQ262" i="1"/>
  <c r="BY301" i="1"/>
  <c r="CA182" i="1"/>
  <c r="BG258" i="1"/>
  <c r="FW33" i="4"/>
  <c r="BH235" i="1"/>
  <c r="BH361" i="1" s="1"/>
  <c r="I22" i="14"/>
  <c r="BQ219" i="1"/>
  <c r="BQ345" i="1" s="1"/>
  <c r="FW40" i="4"/>
  <c r="M14" i="14"/>
  <c r="BR317" i="1"/>
  <c r="BW166" i="1"/>
  <c r="F28" i="14"/>
  <c r="AL29" i="10"/>
  <c r="V29" i="10"/>
  <c r="AB29" i="10"/>
  <c r="AH42" i="10"/>
  <c r="AJ42" i="10"/>
  <c r="AQ24" i="10"/>
  <c r="AC24" i="10"/>
  <c r="AW24" i="10"/>
  <c r="AS24" i="10"/>
  <c r="AW29" i="10"/>
  <c r="U29" i="10"/>
  <c r="AM29" i="10"/>
  <c r="AG29" i="10"/>
  <c r="BT285" i="1"/>
  <c r="CP121" i="1"/>
  <c r="BB160" i="1"/>
  <c r="BS178" i="1"/>
  <c r="L20" i="14"/>
  <c r="CC131" i="1"/>
  <c r="BD131" i="1" s="1"/>
  <c r="BZ221" i="1"/>
  <c r="BZ347" i="1" s="1"/>
  <c r="BP219" i="1"/>
  <c r="BP345" i="1" s="1"/>
  <c r="BO279" i="1"/>
  <c r="BZ178" i="1"/>
  <c r="BN200" i="1"/>
  <c r="BP301" i="1"/>
  <c r="BW207" i="1"/>
  <c r="BW333" i="1" s="1"/>
  <c r="BR299" i="1"/>
  <c r="AB42" i="10"/>
  <c r="Y29" i="10"/>
  <c r="AA6" i="1"/>
  <c r="AO24" i="10"/>
  <c r="AI24" i="10"/>
  <c r="AI29" i="10"/>
  <c r="AS29" i="10"/>
  <c r="AK24" i="10"/>
  <c r="H10" i="14"/>
  <c r="BE123" i="1"/>
  <c r="CZ123" i="1" s="1"/>
  <c r="BL203" i="1"/>
  <c r="BL329" i="1" s="1"/>
  <c r="BL162" i="1"/>
  <c r="BL326" i="1" s="1"/>
  <c r="W40" i="10"/>
  <c r="AG40" i="10"/>
  <c r="AF16" i="10"/>
  <c r="AW16" i="10"/>
  <c r="AU16" i="10"/>
  <c r="AC16" i="10"/>
  <c r="T16" i="10"/>
  <c r="F16" i="10"/>
  <c r="AU30" i="1"/>
  <c r="GP32" i="4" s="1"/>
  <c r="CG32" i="20"/>
  <c r="D32" i="20" s="1"/>
  <c r="BP231" i="1"/>
  <c r="BP357" i="1" s="1"/>
  <c r="BP190" i="1"/>
  <c r="BO313" i="1"/>
  <c r="BR289" i="1"/>
  <c r="BS248" i="1"/>
  <c r="BL260" i="1"/>
  <c r="BK301" i="1"/>
  <c r="BN178" i="1"/>
  <c r="BN219" i="1"/>
  <c r="BN345" i="1" s="1"/>
  <c r="CI137" i="1"/>
  <c r="FW16" i="4"/>
  <c r="FW37" i="4"/>
  <c r="FW42" i="4"/>
  <c r="FW31" i="4"/>
  <c r="FW43" i="4"/>
  <c r="FW9" i="4"/>
  <c r="FW13" i="4"/>
  <c r="FW8" i="4"/>
  <c r="FW25" i="4"/>
  <c r="FW30" i="4"/>
  <c r="FW28" i="4"/>
  <c r="FW24" i="4"/>
  <c r="FW20" i="4"/>
  <c r="FW15" i="4"/>
  <c r="CB203" i="1"/>
  <c r="CB329" i="1" s="1"/>
  <c r="CB244" i="1"/>
  <c r="CB370" i="1" s="1"/>
  <c r="BC121" i="1"/>
  <c r="BZ203" i="1"/>
  <c r="BZ329" i="1" s="1"/>
  <c r="CU121" i="1"/>
  <c r="BT205" i="1"/>
  <c r="BT331" i="1" s="1"/>
  <c r="BT164" i="1"/>
  <c r="BT246" i="1"/>
  <c r="CH11" i="20"/>
  <c r="DN9" i="1"/>
  <c r="DM9" i="1" s="1"/>
  <c r="AA9" i="1"/>
  <c r="AB9" i="1"/>
  <c r="BT203" i="1"/>
  <c r="BT329" i="1" s="1"/>
  <c r="CO121" i="1"/>
  <c r="BT162" i="1"/>
  <c r="BT326" i="1" s="1"/>
  <c r="BT244" i="1"/>
  <c r="BT370" i="1" s="1"/>
  <c r="BL287" i="1"/>
  <c r="BM246" i="1"/>
  <c r="BM205" i="1"/>
  <c r="BM331" i="1" s="1"/>
  <c r="BM164" i="1"/>
  <c r="BO205" i="1"/>
  <c r="BO331" i="1" s="1"/>
  <c r="BN287" i="1"/>
  <c r="CJ123" i="1"/>
  <c r="BO164" i="1"/>
  <c r="DJ7" i="20"/>
  <c r="AO7" i="20" s="1"/>
  <c r="CI131" i="1"/>
  <c r="Q42" i="10"/>
  <c r="Q42" i="14"/>
  <c r="AR16" i="10"/>
  <c r="X16" i="10"/>
  <c r="AA16" i="10"/>
  <c r="AS16" i="10"/>
  <c r="AV16" i="10"/>
  <c r="CG137" i="1"/>
  <c r="BQ164" i="1"/>
  <c r="CA269" i="1"/>
  <c r="CA228" i="1"/>
  <c r="CA354" i="1" s="1"/>
  <c r="CN125" i="1"/>
  <c r="CB219" i="1"/>
  <c r="CB345" i="1" s="1"/>
  <c r="FW46" i="4"/>
  <c r="CW121" i="1"/>
  <c r="AQ121" i="1" s="1"/>
  <c r="BN191" i="1"/>
  <c r="BN232" i="1"/>
  <c r="BN358" i="1" s="1"/>
  <c r="BZ191" i="1"/>
  <c r="BZ232" i="1"/>
  <c r="BZ358" i="1" s="1"/>
  <c r="N22" i="14"/>
  <c r="FW11" i="4"/>
  <c r="BS287" i="1"/>
  <c r="FW7" i="4"/>
  <c r="BK308" i="1"/>
  <c r="BL226" i="1"/>
  <c r="BL352" i="1" s="1"/>
  <c r="W15" i="10"/>
  <c r="AU15" i="10"/>
  <c r="AE15" i="10"/>
  <c r="AV15" i="10"/>
  <c r="AU31" i="1"/>
  <c r="GP33" i="4" s="1"/>
  <c r="CG33" i="20"/>
  <c r="D33" i="20" s="1"/>
  <c r="AG34" i="10"/>
  <c r="AC34" i="10"/>
  <c r="G34" i="10"/>
  <c r="M34" i="10"/>
  <c r="M45" i="10"/>
  <c r="N45" i="10"/>
  <c r="AP45" i="10"/>
  <c r="BT171" i="1"/>
  <c r="BT253" i="1"/>
  <c r="BO261" i="1"/>
  <c r="CJ138" i="1"/>
  <c r="CN144" i="1"/>
  <c r="BS267" i="1"/>
  <c r="BZ318" i="1"/>
  <c r="CV154" i="1"/>
  <c r="AP154" i="1" s="1"/>
  <c r="P25" i="10"/>
  <c r="CA255" i="1"/>
  <c r="CV132" i="1"/>
  <c r="AP132" i="1" s="1"/>
  <c r="CU136" i="1"/>
  <c r="BY300" i="1"/>
  <c r="BS230" i="1"/>
  <c r="BS356" i="1" s="1"/>
  <c r="BR312" i="1"/>
  <c r="BZ230" i="1"/>
  <c r="BZ356" i="1" s="1"/>
  <c r="BZ189" i="1"/>
  <c r="BN230" i="1"/>
  <c r="BN356" i="1" s="1"/>
  <c r="BM312" i="1"/>
  <c r="BR316" i="1"/>
  <c r="BS275" i="1"/>
  <c r="BJ275" i="1"/>
  <c r="CE152" i="1"/>
  <c r="BJ234" i="1"/>
  <c r="BJ360" i="1" s="1"/>
  <c r="BW316" i="1"/>
  <c r="BX275" i="1"/>
  <c r="BX193" i="1"/>
  <c r="FD14" i="1"/>
  <c r="CG16" i="20"/>
  <c r="D16" i="20" s="1"/>
  <c r="S30" i="14"/>
  <c r="K30" i="14"/>
  <c r="O30" i="14"/>
  <c r="G30" i="14"/>
  <c r="O30" i="10"/>
  <c r="K30" i="10"/>
  <c r="BR298" i="1"/>
  <c r="BS216" i="1"/>
  <c r="BS342" i="1" s="1"/>
  <c r="CA304" i="1"/>
  <c r="CW140" i="1"/>
  <c r="AQ140" i="1" s="1"/>
  <c r="CJ54" i="17"/>
  <c r="AH54" i="17" s="1"/>
  <c r="BM203" i="1"/>
  <c r="BM329" i="1" s="1"/>
  <c r="BL285" i="1"/>
  <c r="CH121" i="1"/>
  <c r="BM244" i="1"/>
  <c r="BM370" i="1" s="1"/>
  <c r="BM162" i="1"/>
  <c r="BM326" i="1" s="1"/>
  <c r="BB121" i="1"/>
  <c r="BH162" i="1"/>
  <c r="BH326" i="1" s="1"/>
  <c r="BG244" i="1"/>
  <c r="BH244" i="1"/>
  <c r="BH370" i="1" s="1"/>
  <c r="BG285" i="1"/>
  <c r="V9" i="10"/>
  <c r="Y9" i="10"/>
  <c r="AG9" i="10"/>
  <c r="AI9" i="10"/>
  <c r="BP244" i="1"/>
  <c r="BP370" i="1" s="1"/>
  <c r="CK121" i="1"/>
  <c r="CJ58" i="17"/>
  <c r="AH58" i="17" s="1"/>
  <c r="BK205" i="1"/>
  <c r="BK331" i="1" s="1"/>
  <c r="CF123" i="1"/>
  <c r="BK164" i="1"/>
  <c r="BJ287" i="1"/>
  <c r="CQ123" i="1"/>
  <c r="BU287" i="1"/>
  <c r="BV205" i="1"/>
  <c r="BV331" i="1" s="1"/>
  <c r="BV246" i="1"/>
  <c r="CS7" i="20"/>
  <c r="W7" i="20" s="1"/>
  <c r="H31" i="14"/>
  <c r="T35" i="10"/>
  <c r="Y32" i="7"/>
  <c r="CQ7" i="20"/>
  <c r="U7" i="20" s="1"/>
  <c r="CK7" i="20"/>
  <c r="N7" i="20" s="1"/>
  <c r="I42" i="10"/>
  <c r="J26" i="14"/>
  <c r="AB16" i="10"/>
  <c r="AR44" i="10"/>
  <c r="FW35" i="4"/>
  <c r="F30" i="10"/>
  <c r="K34" i="10"/>
  <c r="L47" i="14"/>
  <c r="BR259" i="1"/>
  <c r="BN213" i="1"/>
  <c r="BN339" i="1" s="1"/>
  <c r="GF41" i="4"/>
  <c r="FW36" i="4"/>
  <c r="AP16" i="10"/>
  <c r="CT131" i="1"/>
  <c r="BS285" i="1"/>
  <c r="AQ16" i="10"/>
  <c r="AI16" i="10"/>
  <c r="P31" i="14"/>
  <c r="AK16" i="10"/>
  <c r="BL178" i="1"/>
  <c r="BZ244" i="1"/>
  <c r="BZ370" i="1" s="1"/>
  <c r="BP287" i="1"/>
  <c r="L37" i="10"/>
  <c r="BN240" i="1"/>
  <c r="BN366" i="1" s="1"/>
  <c r="BS166" i="1"/>
  <c r="AG16" i="10"/>
  <c r="FW32" i="4"/>
  <c r="F17" i="14"/>
  <c r="F17" i="10"/>
  <c r="E36" i="10"/>
  <c r="E36" i="14"/>
  <c r="N40" i="10"/>
  <c r="S48" i="14"/>
  <c r="I32" i="14"/>
  <c r="I32" i="10"/>
  <c r="FL8" i="4"/>
  <c r="L9" i="14"/>
  <c r="BL298" i="1"/>
  <c r="BM216" i="1"/>
  <c r="BM342" i="1" s="1"/>
  <c r="CU13" i="20"/>
  <c r="Y13" i="20" s="1"/>
  <c r="T13" i="20"/>
  <c r="X37" i="10"/>
  <c r="G31" i="14"/>
  <c r="N31" i="14"/>
  <c r="BR260" i="1"/>
  <c r="BR178" i="1"/>
  <c r="BU301" i="1"/>
  <c r="BV219" i="1"/>
  <c r="BV345" i="1" s="1"/>
  <c r="BI307" i="1"/>
  <c r="CE143" i="1"/>
  <c r="AD13" i="1"/>
  <c r="U30" i="4"/>
  <c r="FM30" i="4" s="1"/>
  <c r="CQ11" i="20"/>
  <c r="U11" i="20" s="1"/>
  <c r="DK8" i="20"/>
  <c r="AP8" i="20" s="1"/>
  <c r="CM7" i="20"/>
  <c r="P7" i="20" s="1"/>
  <c r="CM8" i="20"/>
  <c r="U15" i="4"/>
  <c r="F17" i="7" s="1"/>
  <c r="DG7" i="20"/>
  <c r="AL7" i="20" s="1"/>
  <c r="CK87" i="20"/>
  <c r="CS11" i="20"/>
  <c r="W11" i="20" s="1"/>
  <c r="CL87" i="20"/>
  <c r="CN15" i="4"/>
  <c r="CU15" i="4" s="1"/>
  <c r="AD28" i="1"/>
  <c r="CL8" i="20"/>
  <c r="O8" i="20" s="1"/>
  <c r="DH11" i="20"/>
  <c r="AM11" i="20" s="1"/>
  <c r="CQ8" i="20"/>
  <c r="U8" i="20" s="1"/>
  <c r="DH10" i="20"/>
  <c r="AM10" i="20" s="1"/>
  <c r="DK10" i="20"/>
  <c r="AP10" i="20" s="1"/>
  <c r="CN7" i="20"/>
  <c r="Q7" i="20" s="1"/>
  <c r="DX13" i="1"/>
  <c r="G37" i="14"/>
  <c r="K37" i="14"/>
  <c r="L16" i="10"/>
  <c r="FL46" i="4"/>
  <c r="K31" i="14"/>
  <c r="BZ324" i="1"/>
  <c r="BM295" i="1"/>
  <c r="CA187" i="1"/>
  <c r="BY285" i="1"/>
  <c r="BO266" i="1"/>
  <c r="BO184" i="1"/>
  <c r="FW22" i="4"/>
  <c r="CM137" i="1"/>
  <c r="BE121" i="1"/>
  <c r="BC123" i="1"/>
  <c r="BQ205" i="1"/>
  <c r="BQ331" i="1" s="1"/>
  <c r="P37" i="10"/>
  <c r="BI228" i="1"/>
  <c r="BI354" i="1" s="1"/>
  <c r="BH310" i="1"/>
  <c r="BW273" i="1"/>
  <c r="BW232" i="1"/>
  <c r="BW358" i="1" s="1"/>
  <c r="BM301" i="1"/>
  <c r="F10" i="14"/>
  <c r="FW21" i="4"/>
  <c r="P20" i="14"/>
  <c r="Z16" i="10"/>
  <c r="G30" i="10"/>
  <c r="N34" i="10"/>
  <c r="N33" i="14"/>
  <c r="BV164" i="1"/>
  <c r="CH125" i="1"/>
  <c r="BM248" i="1"/>
  <c r="BO260" i="1"/>
  <c r="BO178" i="1"/>
  <c r="BW219" i="1"/>
  <c r="BW345" i="1" s="1"/>
  <c r="CR137" i="1"/>
  <c r="BR272" i="1"/>
  <c r="BR190" i="1"/>
  <c r="BH313" i="1"/>
  <c r="BI190" i="1"/>
  <c r="AF34" i="10"/>
  <c r="AD15" i="10"/>
  <c r="AN34" i="10"/>
  <c r="AV34" i="10"/>
  <c r="M31" i="14"/>
  <c r="AT16" i="10"/>
  <c r="P16" i="10"/>
  <c r="Q48" i="14"/>
  <c r="S34" i="10"/>
  <c r="G9" i="10"/>
  <c r="S16" i="10"/>
  <c r="AN45" i="10"/>
  <c r="AH16" i="10"/>
  <c r="N30" i="14"/>
  <c r="T30" i="10"/>
  <c r="Z36" i="10"/>
  <c r="AL30" i="10"/>
  <c r="T21" i="10"/>
  <c r="AR21" i="10"/>
  <c r="AR30" i="10"/>
  <c r="BK180" i="1"/>
  <c r="CF139" i="1"/>
  <c r="CH151" i="1"/>
  <c r="BL315" i="1"/>
  <c r="CC135" i="1"/>
  <c r="BD135" i="1" s="1"/>
  <c r="CB135" i="1" s="1"/>
  <c r="CB299" i="1" s="1"/>
  <c r="BB135" i="1"/>
  <c r="BG299" i="1"/>
  <c r="BW258" i="1"/>
  <c r="BV299" i="1"/>
  <c r="BO305" i="1"/>
  <c r="BP264" i="1"/>
  <c r="CK141" i="1"/>
  <c r="BS305" i="1"/>
  <c r="BT182" i="1"/>
  <c r="CO141" i="1"/>
  <c r="CN153" i="1"/>
  <c r="BS276" i="1"/>
  <c r="BS235" i="1"/>
  <c r="BS361" i="1" s="1"/>
  <c r="D41" i="7"/>
  <c r="D42" i="7"/>
  <c r="D23" i="7"/>
  <c r="D30" i="7"/>
  <c r="D28" i="7"/>
  <c r="D33" i="7"/>
  <c r="D48" i="7"/>
  <c r="D29" i="7"/>
  <c r="D38" i="7"/>
  <c r="D37" i="7"/>
  <c r="D46" i="7"/>
  <c r="FR4" i="1"/>
  <c r="K4" i="1"/>
  <c r="B14" i="19" s="1"/>
  <c r="L10" i="14"/>
  <c r="AX15" i="10"/>
  <c r="AR34" i="10"/>
  <c r="AP30" i="10"/>
  <c r="AT30" i="10"/>
  <c r="FW26" i="4"/>
  <c r="H20" i="14"/>
  <c r="F48" i="14"/>
  <c r="CI6" i="20"/>
  <c r="F6" i="20" s="1"/>
  <c r="CF120" i="1"/>
  <c r="BK202" i="1"/>
  <c r="BK328" i="1" s="1"/>
  <c r="X30" i="10"/>
  <c r="AN21" i="10"/>
  <c r="M30" i="14"/>
  <c r="AD45" i="10"/>
  <c r="AH30" i="10"/>
  <c r="AD30" i="10"/>
  <c r="FW29" i="4"/>
  <c r="AL45" i="10"/>
  <c r="AB30" i="10"/>
  <c r="I15" i="10"/>
  <c r="J34" i="10"/>
  <c r="AJ45" i="10"/>
  <c r="X45" i="10"/>
  <c r="AT45" i="10"/>
  <c r="FX37" i="4"/>
  <c r="R40" i="10"/>
  <c r="CQ140" i="1"/>
  <c r="BV181" i="1"/>
  <c r="BV243" i="1"/>
  <c r="BV369" i="1" s="1"/>
  <c r="BU284" i="1"/>
  <c r="AH18" i="10"/>
  <c r="AT32" i="10"/>
  <c r="Z32" i="10"/>
  <c r="I36" i="10"/>
  <c r="CW26" i="1"/>
  <c r="N17" i="14"/>
  <c r="EC33" i="20"/>
  <c r="BI33" i="20" s="1"/>
  <c r="BY203" i="1"/>
  <c r="BY329" i="1" s="1"/>
  <c r="BY162" i="1"/>
  <c r="BY326" i="1" s="1"/>
  <c r="BW205" i="1"/>
  <c r="BW331" i="1" s="1"/>
  <c r="BW246" i="1"/>
  <c r="M17" i="14"/>
  <c r="M21" i="10"/>
  <c r="J35" i="14"/>
  <c r="AJ21" i="10"/>
  <c r="H31" i="10"/>
  <c r="R27" i="10"/>
  <c r="DX29" i="1"/>
  <c r="AQ12" i="10"/>
  <c r="AI12" i="10"/>
  <c r="BO283" i="1"/>
  <c r="BO201" i="1"/>
  <c r="AA43" i="21"/>
  <c r="AA24" i="21"/>
  <c r="AA17" i="21"/>
  <c r="AA22" i="21"/>
  <c r="AA44" i="21"/>
  <c r="Z15" i="21"/>
  <c r="AA46" i="21"/>
  <c r="E22" i="10"/>
  <c r="E22" i="14"/>
  <c r="B59" i="26"/>
  <c r="B59" i="5"/>
  <c r="R42" i="14"/>
  <c r="R42" i="10"/>
  <c r="AE23" i="10"/>
  <c r="AP23" i="10"/>
  <c r="AQ23" i="10"/>
  <c r="AU23" i="10"/>
  <c r="P23" i="10"/>
  <c r="AG23" i="10"/>
  <c r="AB23" i="10"/>
  <c r="AF23" i="10"/>
  <c r="K25" i="10"/>
  <c r="AG25" i="10"/>
  <c r="AQ25" i="10"/>
  <c r="AW25" i="10"/>
  <c r="AU25" i="10"/>
  <c r="F25" i="10"/>
  <c r="AC25" i="10"/>
  <c r="AK25" i="10"/>
  <c r="AR25" i="10"/>
  <c r="AV25" i="10"/>
  <c r="W25" i="10"/>
  <c r="O25" i="10"/>
  <c r="Y25" i="10"/>
  <c r="U25" i="10"/>
  <c r="AE25" i="10"/>
  <c r="EF37" i="20"/>
  <c r="BL37" i="20" s="1"/>
  <c r="BK37" i="20"/>
  <c r="R44" i="7"/>
  <c r="BY212" i="1"/>
  <c r="BY338" i="1" s="1"/>
  <c r="BY171" i="1"/>
  <c r="BW277" i="1"/>
  <c r="BW236" i="1"/>
  <c r="BW362" i="1" s="1"/>
  <c r="BO236" i="1"/>
  <c r="BO362" i="1" s="1"/>
  <c r="BO277" i="1"/>
  <c r="L40" i="10"/>
  <c r="FL39" i="4"/>
  <c r="CJ132" i="1"/>
  <c r="BN296" i="1"/>
  <c r="BW230" i="1"/>
  <c r="BW356" i="1" s="1"/>
  <c r="BW189" i="1"/>
  <c r="CJ148" i="1"/>
  <c r="BO189" i="1"/>
  <c r="BO271" i="1"/>
  <c r="BO230" i="1"/>
  <c r="BO356" i="1" s="1"/>
  <c r="BT189" i="1"/>
  <c r="BT271" i="1"/>
  <c r="BT230" i="1"/>
  <c r="BT356" i="1" s="1"/>
  <c r="BS312" i="1"/>
  <c r="CW148" i="1"/>
  <c r="AQ148" i="1" s="1"/>
  <c r="CA312" i="1"/>
  <c r="CB271" i="1"/>
  <c r="BT234" i="1"/>
  <c r="BT360" i="1" s="1"/>
  <c r="BT275" i="1"/>
  <c r="BQ281" i="1"/>
  <c r="BQ240" i="1"/>
  <c r="BQ366" i="1" s="1"/>
  <c r="EK35" i="1"/>
  <c r="FT35" i="1"/>
  <c r="CO49" i="1"/>
  <c r="CV49" i="1"/>
  <c r="DL187" i="1" s="1"/>
  <c r="B13" i="5"/>
  <c r="B13" i="26"/>
  <c r="CJ44" i="18"/>
  <c r="AH44" i="18" s="1"/>
  <c r="BN226" i="1"/>
  <c r="BN352" i="1" s="1"/>
  <c r="BM308" i="1"/>
  <c r="BN185" i="1"/>
  <c r="CI144" i="1"/>
  <c r="CT122" i="1"/>
  <c r="BY163" i="1"/>
  <c r="R46" i="14"/>
  <c r="Q46" i="14"/>
  <c r="J47" i="14"/>
  <c r="BO286" i="1"/>
  <c r="BP163" i="1"/>
  <c r="GS18" i="4"/>
  <c r="CM11" i="20"/>
  <c r="DK7" i="20"/>
  <c r="AP7" i="20" s="1"/>
  <c r="CR11" i="20"/>
  <c r="V11" i="20" s="1"/>
  <c r="L29" i="10"/>
  <c r="L11" i="10"/>
  <c r="BN229" i="1"/>
  <c r="BN355" i="1" s="1"/>
  <c r="BS215" i="1"/>
  <c r="BS341" i="1" s="1"/>
  <c r="B3" i="26"/>
  <c r="A1" i="1"/>
  <c r="B1" i="4" s="1"/>
  <c r="BH269" i="1"/>
  <c r="F40" i="14"/>
  <c r="G48" i="10"/>
  <c r="AA45" i="21"/>
  <c r="B47" i="26"/>
  <c r="BM272" i="1"/>
  <c r="BM231" i="1"/>
  <c r="BM357" i="1" s="1"/>
  <c r="CH149" i="1"/>
  <c r="CA41" i="1"/>
  <c r="CA9" i="1"/>
  <c r="CN15" i="1"/>
  <c r="AS25" i="10"/>
  <c r="O9" i="14"/>
  <c r="AS41" i="10"/>
  <c r="W41" i="10"/>
  <c r="AA41" i="10"/>
  <c r="AJ41" i="10"/>
  <c r="AE41" i="10"/>
  <c r="AI41" i="10"/>
  <c r="T47" i="4"/>
  <c r="E49" i="7" s="1"/>
  <c r="E90" i="5" s="1"/>
  <c r="D90" i="5" s="1"/>
  <c r="M30" i="10"/>
  <c r="AP41" i="10"/>
  <c r="DJ10" i="20"/>
  <c r="AO10" i="20" s="1"/>
  <c r="CR10" i="20"/>
  <c r="V10" i="20" s="1"/>
  <c r="CO10" i="20"/>
  <c r="R10" i="20" s="1"/>
  <c r="CK10" i="20"/>
  <c r="N10" i="20" s="1"/>
  <c r="DG10" i="20"/>
  <c r="AL10" i="20" s="1"/>
  <c r="DH7" i="20"/>
  <c r="AM7" i="20" s="1"/>
  <c r="CS8" i="20"/>
  <c r="W8" i="20" s="1"/>
  <c r="CG83" i="20"/>
  <c r="CH88" i="20"/>
  <c r="DH8" i="20"/>
  <c r="AM8" i="20" s="1"/>
  <c r="DJ8" i="20"/>
  <c r="AO8" i="20" s="1"/>
  <c r="CO8" i="20"/>
  <c r="R8" i="20" s="1"/>
  <c r="CH87" i="20"/>
  <c r="DJ11" i="20"/>
  <c r="AO11" i="20" s="1"/>
  <c r="CD87" i="20"/>
  <c r="CN8" i="20"/>
  <c r="CX8" i="20" s="1"/>
  <c r="CQ10" i="20"/>
  <c r="U10" i="20" s="1"/>
  <c r="CS10" i="20"/>
  <c r="CL10" i="20"/>
  <c r="O10" i="20" s="1"/>
  <c r="CH68" i="20"/>
  <c r="CJ69" i="20" s="1"/>
  <c r="CR7" i="20"/>
  <c r="V7" i="20" s="1"/>
  <c r="Q48" i="10"/>
  <c r="BN270" i="1"/>
  <c r="B3" i="15"/>
  <c r="E29" i="14"/>
  <c r="R33" i="7"/>
  <c r="B3" i="5"/>
  <c r="AJ48" i="10"/>
  <c r="B4" i="1"/>
  <c r="B6" i="20" s="1"/>
  <c r="O15" i="14"/>
  <c r="BV261" i="1"/>
  <c r="Z44" i="21"/>
  <c r="BT201" i="1"/>
  <c r="J25" i="10"/>
  <c r="E20" i="14"/>
  <c r="BN297" i="1"/>
  <c r="BO256" i="1"/>
  <c r="BO215" i="1"/>
  <c r="BO341" i="1" s="1"/>
  <c r="CJ133" i="1"/>
  <c r="BT180" i="1"/>
  <c r="BT262" i="1"/>
  <c r="CO139" i="1"/>
  <c r="BU303" i="1"/>
  <c r="BV262" i="1"/>
  <c r="CQ139" i="1"/>
  <c r="BH262" i="1"/>
  <c r="BG303" i="1"/>
  <c r="BH221" i="1"/>
  <c r="BH347" i="1" s="1"/>
  <c r="BH180" i="1"/>
  <c r="BG262" i="1"/>
  <c r="CI145" i="1"/>
  <c r="BN227" i="1"/>
  <c r="BN353" i="1" s="1"/>
  <c r="BN186" i="1"/>
  <c r="BM309" i="1"/>
  <c r="BN309" i="1"/>
  <c r="BO268" i="1"/>
  <c r="BO186" i="1"/>
  <c r="BW192" i="1"/>
  <c r="BW233" i="1"/>
  <c r="BW359" i="1" s="1"/>
  <c r="CR151" i="1"/>
  <c r="BW274" i="1"/>
  <c r="BJ198" i="1"/>
  <c r="BJ280" i="1"/>
  <c r="AM25" i="10"/>
  <c r="AX48" i="10"/>
  <c r="O48" i="10"/>
  <c r="N25" i="10"/>
  <c r="S23" i="10"/>
  <c r="F41" i="10"/>
  <c r="AJ14" i="10"/>
  <c r="BI370" i="1"/>
  <c r="AN23" i="10"/>
  <c r="AH20" i="10"/>
  <c r="DY43" i="1"/>
  <c r="DZ43" i="1" s="1"/>
  <c r="EA43" i="1" s="1"/>
  <c r="EB43" i="1" s="1"/>
  <c r="EC43" i="1" s="1"/>
  <c r="ED43" i="1" s="1"/>
  <c r="EE43" i="1" s="1"/>
  <c r="X25" i="10"/>
  <c r="X48" i="10"/>
  <c r="AF25" i="10"/>
  <c r="S35" i="10"/>
  <c r="AH48" i="10"/>
  <c r="G23" i="10"/>
  <c r="R34" i="14"/>
  <c r="AL41" i="10"/>
  <c r="Z48" i="10"/>
  <c r="AH46" i="10"/>
  <c r="M46" i="10"/>
  <c r="AJ46" i="10"/>
  <c r="BX268" i="1"/>
  <c r="BX227" i="1"/>
  <c r="BX353" i="1" s="1"/>
  <c r="BJ202" i="1"/>
  <c r="BJ328" i="1" s="1"/>
  <c r="BJ243" i="1"/>
  <c r="BJ369" i="1" s="1"/>
  <c r="BI161" i="1"/>
  <c r="BI325" i="1" s="1"/>
  <c r="AU8" i="1"/>
  <c r="GP10" i="4" s="1"/>
  <c r="CG10" i="20"/>
  <c r="D10" i="20" s="1"/>
  <c r="DN8" i="1"/>
  <c r="AA8" i="1"/>
  <c r="AD60" i="1"/>
  <c r="AD57" i="1"/>
  <c r="AC58" i="1"/>
  <c r="AD56" i="1"/>
  <c r="AD62" i="1"/>
  <c r="AD55" i="1"/>
  <c r="DL34" i="1"/>
  <c r="H34" i="10"/>
  <c r="Q20" i="14"/>
  <c r="Z35" i="10"/>
  <c r="CD88" i="20"/>
  <c r="CI88" i="20" s="1"/>
  <c r="CG88" i="20"/>
  <c r="CG87" i="20"/>
  <c r="CO7" i="20"/>
  <c r="R7" i="20" s="1"/>
  <c r="CK11" i="20"/>
  <c r="N11" i="20" s="1"/>
  <c r="CO11" i="20"/>
  <c r="R11" i="20" s="1"/>
  <c r="CK8" i="20"/>
  <c r="CS9" i="20"/>
  <c r="W9" i="20" s="1"/>
  <c r="CN9" i="20"/>
  <c r="DH9" i="20"/>
  <c r="AM9" i="20" s="1"/>
  <c r="CR8" i="20"/>
  <c r="V8" i="20" s="1"/>
  <c r="CP8" i="20"/>
  <c r="T8" i="20" s="1"/>
  <c r="CR9" i="20"/>
  <c r="V9" i="20" s="1"/>
  <c r="CL9" i="20"/>
  <c r="O9" i="20" s="1"/>
  <c r="CP9" i="20"/>
  <c r="T9" i="20" s="1"/>
  <c r="CM9" i="20"/>
  <c r="DK9" i="20"/>
  <c r="AP9" i="20" s="1"/>
  <c r="CL7" i="20"/>
  <c r="O7" i="20" s="1"/>
  <c r="CK9" i="20"/>
  <c r="CO9" i="20"/>
  <c r="R9" i="20" s="1"/>
  <c r="CQ9" i="20"/>
  <c r="CP7" i="20"/>
  <c r="T7" i="20" s="1"/>
  <c r="CN10" i="20"/>
  <c r="Q10" i="20" s="1"/>
  <c r="DG9" i="20"/>
  <c r="DJ9" i="20"/>
  <c r="AO9" i="20" s="1"/>
  <c r="CP10" i="20"/>
  <c r="T10" i="20" s="1"/>
  <c r="CA192" i="1"/>
  <c r="H30" i="14"/>
  <c r="M44" i="14"/>
  <c r="CK132" i="1"/>
  <c r="BI175" i="1"/>
  <c r="BO198" i="1"/>
  <c r="BM180" i="1"/>
  <c r="BM262" i="1"/>
  <c r="CJ48" i="17"/>
  <c r="AH48" i="17" s="1"/>
  <c r="BP245" i="1"/>
  <c r="BS315" i="1"/>
  <c r="CU139" i="1"/>
  <c r="BO303" i="1"/>
  <c r="EC17" i="20"/>
  <c r="BI17" i="20" s="1"/>
  <c r="BR257" i="1"/>
  <c r="BX297" i="1"/>
  <c r="BQ180" i="1"/>
  <c r="BJ225" i="1"/>
  <c r="BJ351" i="1" s="1"/>
  <c r="BV260" i="1"/>
  <c r="DG166" i="1"/>
  <c r="DG165" i="1"/>
  <c r="DG168" i="1"/>
  <c r="BJ161" i="1"/>
  <c r="BJ325" i="1" s="1"/>
  <c r="BN231" i="1"/>
  <c r="BN357" i="1" s="1"/>
  <c r="BM313" i="1"/>
  <c r="CI149" i="1"/>
  <c r="H42" i="14"/>
  <c r="H42" i="10"/>
  <c r="S20" i="10"/>
  <c r="O20" i="10"/>
  <c r="EK31" i="1"/>
  <c r="FT31" i="1"/>
  <c r="EK40" i="1"/>
  <c r="FT40" i="1"/>
  <c r="BY253" i="1"/>
  <c r="BX294" i="1"/>
  <c r="CT130" i="1"/>
  <c r="CL144" i="1"/>
  <c r="BP308" i="1"/>
  <c r="BQ267" i="1"/>
  <c r="BI318" i="1"/>
  <c r="BJ195" i="1"/>
  <c r="BO195" i="1"/>
  <c r="BN318" i="1"/>
  <c r="CJ154" i="1"/>
  <c r="CD154" i="1"/>
  <c r="BI236" i="1"/>
  <c r="BI362" i="1" s="1"/>
  <c r="CR148" i="1"/>
  <c r="BW271" i="1"/>
  <c r="BI275" i="1"/>
  <c r="CD152" i="1"/>
  <c r="BH316" i="1"/>
  <c r="BI193" i="1"/>
  <c r="BU193" i="1"/>
  <c r="BU234" i="1"/>
  <c r="BU360" i="1" s="1"/>
  <c r="CK152" i="1"/>
  <c r="BO316" i="1"/>
  <c r="BP275" i="1"/>
  <c r="BP193" i="1"/>
  <c r="CL158" i="1"/>
  <c r="BP322" i="1"/>
  <c r="BQ199" i="1"/>
  <c r="EK14" i="1"/>
  <c r="FT14" i="1"/>
  <c r="D8" i="20"/>
  <c r="DR8" i="20"/>
  <c r="AW8" i="20" s="1"/>
  <c r="BK274" i="1"/>
  <c r="BJ315" i="1"/>
  <c r="I40" i="10"/>
  <c r="AC64" i="1"/>
  <c r="AD53" i="1"/>
  <c r="AD59" i="1"/>
  <c r="CN47" i="4"/>
  <c r="CR47" i="4" s="1"/>
  <c r="AD45" i="1"/>
  <c r="AC52" i="1"/>
  <c r="AN46" i="10"/>
  <c r="AC62" i="1"/>
  <c r="AD51" i="1"/>
  <c r="AD54" i="1"/>
  <c r="AC60" i="1"/>
  <c r="AC59" i="1"/>
  <c r="Y49" i="7"/>
  <c r="AD63" i="1"/>
  <c r="Y2" i="4"/>
  <c r="AC61" i="1"/>
  <c r="DN203" i="1"/>
  <c r="GS26" i="4"/>
  <c r="AV46" i="10"/>
  <c r="AF46" i="10"/>
  <c r="P36" i="14"/>
  <c r="T30" i="14"/>
  <c r="P47" i="14"/>
  <c r="J9" i="14"/>
  <c r="BY256" i="1"/>
  <c r="BK278" i="1"/>
  <c r="BB155" i="1"/>
  <c r="CA274" i="1"/>
  <c r="J28" i="10"/>
  <c r="T44" i="10"/>
  <c r="BI281" i="1"/>
  <c r="BH199" i="1"/>
  <c r="CJ157" i="1"/>
  <c r="BM221" i="1"/>
  <c r="BM347" i="1" s="1"/>
  <c r="BH224" i="1"/>
  <c r="BH350" i="1" s="1"/>
  <c r="BP204" i="1"/>
  <c r="BP330" i="1" s="1"/>
  <c r="BT192" i="1"/>
  <c r="BZ262" i="1"/>
  <c r="BP262" i="1"/>
  <c r="BP221" i="1"/>
  <c r="BP347" i="1" s="1"/>
  <c r="F48" i="10"/>
  <c r="CT133" i="1"/>
  <c r="CL139" i="1"/>
  <c r="BN260" i="1"/>
  <c r="BJ184" i="1"/>
  <c r="J30" i="14"/>
  <c r="CG145" i="1"/>
  <c r="E19" i="10"/>
  <c r="E19" i="14"/>
  <c r="AT20" i="10"/>
  <c r="T20" i="10"/>
  <c r="P26" i="14"/>
  <c r="P26" i="10"/>
  <c r="CI159" i="1"/>
  <c r="BM323" i="1"/>
  <c r="Z20" i="10"/>
  <c r="CM10" i="20"/>
  <c r="P10" i="20" s="1"/>
  <c r="AC51" i="1"/>
  <c r="AC56" i="1"/>
  <c r="AC63" i="1"/>
  <c r="AD61" i="1"/>
  <c r="AD58" i="1"/>
  <c r="AD52" i="1"/>
  <c r="AC53" i="1"/>
  <c r="AD65" i="1"/>
  <c r="I17" i="10"/>
  <c r="P43" i="14"/>
  <c r="CV151" i="1"/>
  <c r="AP151" i="1" s="1"/>
  <c r="AL46" i="10"/>
  <c r="CK122" i="1"/>
  <c r="CO151" i="1"/>
  <c r="BY303" i="1"/>
  <c r="BQ221" i="1"/>
  <c r="BQ347" i="1" s="1"/>
  <c r="BW309" i="1"/>
  <c r="BS180" i="1"/>
  <c r="CH10" i="20"/>
  <c r="AB8" i="1"/>
  <c r="AQ8" i="1"/>
  <c r="FE8" i="1" s="1"/>
  <c r="E40" i="14"/>
  <c r="E40" i="10"/>
  <c r="CV125" i="1"/>
  <c r="AP125" i="1" s="1"/>
  <c r="BZ289" i="1"/>
  <c r="CA166" i="1"/>
  <c r="CA207" i="1"/>
  <c r="CA333" i="1" s="1"/>
  <c r="BV178" i="1"/>
  <c r="CQ137" i="1"/>
  <c r="BV6" i="17"/>
  <c r="BZ6" i="17"/>
  <c r="E41" i="10"/>
  <c r="E41" i="14"/>
  <c r="S18" i="10"/>
  <c r="K18" i="10"/>
  <c r="BO244" i="1"/>
  <c r="BO370" i="1" s="1"/>
  <c r="CJ121" i="1"/>
  <c r="BO203" i="1"/>
  <c r="BO329" i="1" s="1"/>
  <c r="BN285" i="1"/>
  <c r="BO162" i="1"/>
  <c r="BO326" i="1" s="1"/>
  <c r="FD45" i="1"/>
  <c r="CG47" i="20"/>
  <c r="D47" i="20" s="1"/>
  <c r="C7" i="26"/>
  <c r="C7" i="5"/>
  <c r="Z18" i="10"/>
  <c r="M18" i="10"/>
  <c r="L18" i="10"/>
  <c r="V18" i="10"/>
  <c r="V20" i="10"/>
  <c r="AP20" i="10"/>
  <c r="GX32" i="4"/>
  <c r="AQ9" i="1"/>
  <c r="AQ6" i="1"/>
  <c r="DI121" i="1" s="1"/>
  <c r="AQ7" i="1"/>
  <c r="DI122" i="1" s="1"/>
  <c r="N16" i="10"/>
  <c r="R21" i="10"/>
  <c r="J46" i="10"/>
  <c r="DX15" i="1"/>
  <c r="L18" i="14"/>
  <c r="EC44" i="20"/>
  <c r="BI44" i="20" s="1"/>
  <c r="DY45" i="1"/>
  <c r="DZ45" i="1" s="1"/>
  <c r="EA45" i="1" s="1"/>
  <c r="EB45" i="1" s="1"/>
  <c r="EC45" i="1" s="1"/>
  <c r="ED45" i="1" s="1"/>
  <c r="EE45" i="1" s="1"/>
  <c r="V21" i="10"/>
  <c r="J21" i="10"/>
  <c r="DX24" i="1"/>
  <c r="X27" i="10"/>
  <c r="BC152" i="1"/>
  <c r="AQ5" i="1"/>
  <c r="P34" i="14"/>
  <c r="F33" i="14"/>
  <c r="AD18" i="10"/>
  <c r="AT18" i="10"/>
  <c r="P18" i="10"/>
  <c r="AX20" i="10"/>
  <c r="CD120" i="1"/>
  <c r="BC122" i="1"/>
  <c r="DM6" i="1"/>
  <c r="DV6" i="1"/>
  <c r="DU6" i="1"/>
  <c r="X18" i="10"/>
  <c r="S14" i="10"/>
  <c r="F34" i="14"/>
  <c r="CB1" i="1"/>
  <c r="M11" i="14"/>
  <c r="AB18" i="10"/>
  <c r="AP18" i="10"/>
  <c r="AX18" i="10"/>
  <c r="Q18" i="10"/>
  <c r="F18" i="10"/>
  <c r="AD20" i="10"/>
  <c r="AX31" i="10"/>
  <c r="I21" i="10"/>
  <c r="FL4" i="1"/>
  <c r="DV9" i="1"/>
  <c r="DU9" i="1"/>
  <c r="BO248" i="1"/>
  <c r="BN289" i="1"/>
  <c r="BW295" i="1"/>
  <c r="BX172" i="1"/>
  <c r="BX254" i="1"/>
  <c r="BP258" i="1"/>
  <c r="BP176" i="1"/>
  <c r="BO299" i="1"/>
  <c r="BO235" i="1"/>
  <c r="BO361" i="1" s="1"/>
  <c r="BO194" i="1"/>
  <c r="CL159" i="1"/>
  <c r="BQ282" i="1"/>
  <c r="E47" i="10"/>
  <c r="E47" i="14"/>
  <c r="BT185" i="1"/>
  <c r="BS308" i="1"/>
  <c r="BP195" i="1"/>
  <c r="BO318" i="1"/>
  <c r="BV271" i="1"/>
  <c r="BV189" i="1"/>
  <c r="BU312" i="1"/>
  <c r="CQ148" i="1"/>
  <c r="CE148" i="1"/>
  <c r="BI312" i="1"/>
  <c r="BJ189" i="1"/>
  <c r="BJ230" i="1"/>
  <c r="BJ356" i="1" s="1"/>
  <c r="BN234" i="1"/>
  <c r="BN360" i="1" s="1"/>
  <c r="BM316" i="1"/>
  <c r="AD14" i="1"/>
  <c r="H24" i="14"/>
  <c r="M43" i="14"/>
  <c r="CJ153" i="1"/>
  <c r="CB234" i="1"/>
  <c r="CB360" i="1" s="1"/>
  <c r="GF25" i="4"/>
  <c r="BQ220" i="1"/>
  <c r="BQ346" i="1" s="1"/>
  <c r="BX218" i="1"/>
  <c r="BX344" i="1" s="1"/>
  <c r="G18" i="14"/>
  <c r="BE130" i="1"/>
  <c r="CZ130" i="1" s="1"/>
  <c r="N11" i="14"/>
  <c r="DY36" i="1"/>
  <c r="DZ36" i="1" s="1"/>
  <c r="EA36" i="1" s="1"/>
  <c r="EB36" i="1" s="1"/>
  <c r="EC36" i="1" s="1"/>
  <c r="ED36" i="1" s="1"/>
  <c r="EE36" i="1" s="1"/>
  <c r="I18" i="14"/>
  <c r="S18" i="14"/>
  <c r="FE40" i="1"/>
  <c r="BG261" i="1"/>
  <c r="CA25" i="1"/>
  <c r="BK299" i="1"/>
  <c r="BN217" i="1"/>
  <c r="BN343" i="1" s="1"/>
  <c r="H29" i="10"/>
  <c r="BP277" i="1"/>
  <c r="L46" i="10"/>
  <c r="P10" i="14"/>
  <c r="P10" i="10"/>
  <c r="GF19" i="4"/>
  <c r="N38" i="10"/>
  <c r="N4" i="1"/>
  <c r="GB6" i="4" s="1"/>
  <c r="L4" i="1"/>
  <c r="FZ6" i="4" s="1"/>
  <c r="FE31" i="1"/>
  <c r="FE35" i="1"/>
  <c r="FE42" i="1"/>
  <c r="BY272" i="1"/>
  <c r="CT149" i="1"/>
  <c r="CJ49" i="17"/>
  <c r="AH49" i="17" s="1"/>
  <c r="BX284" i="1"/>
  <c r="BC120" i="1"/>
  <c r="BY243" i="1"/>
  <c r="BY369" i="1" s="1"/>
  <c r="CT120" i="1"/>
  <c r="CO120" i="1"/>
  <c r="BT161" i="1"/>
  <c r="BT325" i="1" s="1"/>
  <c r="BN286" i="1"/>
  <c r="CJ122" i="1"/>
  <c r="BI204" i="1"/>
  <c r="BI330" i="1" s="1"/>
  <c r="BI163" i="1"/>
  <c r="Z27" i="21"/>
  <c r="Z42" i="21"/>
  <c r="AA21" i="21"/>
  <c r="AA47" i="21"/>
  <c r="Z16" i="21"/>
  <c r="Z24" i="21"/>
  <c r="Z40" i="21"/>
  <c r="AA39" i="21"/>
  <c r="AA8" i="21"/>
  <c r="Z43" i="21"/>
  <c r="AA18" i="21"/>
  <c r="Z20" i="21"/>
  <c r="AA13" i="21"/>
  <c r="Z14" i="21"/>
  <c r="AA25" i="21"/>
  <c r="AA7" i="21"/>
  <c r="AA14" i="21"/>
  <c r="Z10" i="21"/>
  <c r="Z22" i="21"/>
  <c r="Z21" i="21"/>
  <c r="Z41" i="21"/>
  <c r="AA27" i="21"/>
  <c r="AA11" i="21"/>
  <c r="Z18" i="21"/>
  <c r="Z12" i="21"/>
  <c r="AA9" i="21"/>
  <c r="Z45" i="21"/>
  <c r="Z11" i="21"/>
  <c r="Z23" i="21"/>
  <c r="Z13" i="21"/>
  <c r="AA10" i="21"/>
  <c r="AA20" i="21"/>
  <c r="Z25" i="21"/>
  <c r="Z7" i="21"/>
  <c r="AA26" i="21"/>
  <c r="AA41" i="21"/>
  <c r="AA40" i="21"/>
  <c r="AA12" i="21"/>
  <c r="AA15" i="21"/>
  <c r="AA19" i="21"/>
  <c r="Z9" i="21"/>
  <c r="Z26" i="21"/>
  <c r="AA42" i="21"/>
  <c r="Z8" i="21"/>
  <c r="A23" i="16"/>
  <c r="B7" i="10"/>
  <c r="B8" i="7"/>
  <c r="B10" i="15" s="1"/>
  <c r="DZ6" i="20"/>
  <c r="BF6" i="20" s="1"/>
  <c r="J3" i="1"/>
  <c r="R28" i="7"/>
  <c r="R38" i="7"/>
  <c r="R35" i="7"/>
  <c r="R18" i="7"/>
  <c r="R31" i="7"/>
  <c r="R20" i="7"/>
  <c r="R12" i="7"/>
  <c r="R16" i="7"/>
  <c r="C8" i="7"/>
  <c r="V4" i="1"/>
  <c r="C7" i="14"/>
  <c r="R4" i="1"/>
  <c r="GL6" i="4" s="1"/>
  <c r="FK4" i="1"/>
  <c r="F6" i="4"/>
  <c r="AA4" i="1"/>
  <c r="AG4" i="1"/>
  <c r="BR9" i="21"/>
  <c r="AZ14" i="17"/>
  <c r="AH14" i="17" s="1"/>
  <c r="BR19" i="21"/>
  <c r="AZ9" i="21"/>
  <c r="AH9" i="21" s="1"/>
  <c r="BR14" i="21"/>
  <c r="AZ9" i="18"/>
  <c r="AH9" i="18" s="1"/>
  <c r="AZ19" i="17"/>
  <c r="AH19" i="17" s="1"/>
  <c r="BR9" i="17"/>
  <c r="BR9" i="18"/>
  <c r="AZ19" i="21"/>
  <c r="AH19" i="21" s="1"/>
  <c r="BR14" i="17"/>
  <c r="P40" i="14"/>
  <c r="P40" i="10"/>
  <c r="CJ60" i="17"/>
  <c r="AH60" i="17"/>
  <c r="BQ284" i="1"/>
  <c r="BR243" i="1"/>
  <c r="BR369" i="1" s="1"/>
  <c r="BR202" i="1"/>
  <c r="BR328" i="1" s="1"/>
  <c r="BR161" i="1"/>
  <c r="BR325" i="1" s="1"/>
  <c r="BX202" i="1"/>
  <c r="BX328" i="1" s="1"/>
  <c r="BX243" i="1"/>
  <c r="BX369" i="1" s="1"/>
  <c r="CA163" i="1"/>
  <c r="CV122" i="1"/>
  <c r="AP122" i="1" s="1"/>
  <c r="BW313" i="1"/>
  <c r="BX231" i="1"/>
  <c r="BX357" i="1" s="1"/>
  <c r="CA219" i="1"/>
  <c r="CA345" i="1" s="1"/>
  <c r="BC137" i="1"/>
  <c r="BP293" i="1"/>
  <c r="CL129" i="1"/>
  <c r="BQ252" i="1"/>
  <c r="CA317" i="1"/>
  <c r="CW153" i="1"/>
  <c r="AQ153" i="1" s="1"/>
  <c r="BL282" i="1"/>
  <c r="BL241" i="1"/>
  <c r="BL367" i="1" s="1"/>
  <c r="CA26" i="1"/>
  <c r="CA24" i="1"/>
  <c r="CA13" i="1"/>
  <c r="CA11" i="1"/>
  <c r="CA38" i="1"/>
  <c r="CA5" i="1"/>
  <c r="CA37" i="1"/>
  <c r="CA15" i="1"/>
  <c r="CA6" i="1"/>
  <c r="CA43" i="1"/>
  <c r="CA32" i="1"/>
  <c r="CA21" i="1"/>
  <c r="CA7" i="1"/>
  <c r="AV43" i="1"/>
  <c r="AV12" i="1"/>
  <c r="BU23" i="1"/>
  <c r="AV44" i="1"/>
  <c r="CN20" i="1"/>
  <c r="J29" i="14"/>
  <c r="J29" i="10"/>
  <c r="T29" i="14"/>
  <c r="T29" i="10"/>
  <c r="DY17" i="1"/>
  <c r="DZ17" i="1" s="1"/>
  <c r="EA17" i="1" s="1"/>
  <c r="EB17" i="1" s="1"/>
  <c r="EC17" i="1" s="1"/>
  <c r="ED17" i="1" s="1"/>
  <c r="EE17" i="1" s="1"/>
  <c r="K43" i="14"/>
  <c r="L43" i="14"/>
  <c r="O43" i="14"/>
  <c r="BU171" i="1"/>
  <c r="BU212" i="1"/>
  <c r="BU338" i="1" s="1"/>
  <c r="BR212" i="1"/>
  <c r="BR338" i="1" s="1"/>
  <c r="BR253" i="1"/>
  <c r="CE138" i="1"/>
  <c r="BJ220" i="1"/>
  <c r="BJ346" i="1" s="1"/>
  <c r="BI302" i="1"/>
  <c r="BJ179" i="1"/>
  <c r="BH308" i="1"/>
  <c r="BI267" i="1"/>
  <c r="CD144" i="1"/>
  <c r="BT236" i="1"/>
  <c r="BT362" i="1" s="1"/>
  <c r="CO154" i="1"/>
  <c r="BT195" i="1"/>
  <c r="BS318" i="1"/>
  <c r="CD148" i="1"/>
  <c r="BH312" i="1"/>
  <c r="BI189" i="1"/>
  <c r="BI230" i="1"/>
  <c r="BI356" i="1" s="1"/>
  <c r="BB152" i="1"/>
  <c r="BH234" i="1"/>
  <c r="BH360" i="1" s="1"/>
  <c r="BH193" i="1"/>
  <c r="BZ234" i="1"/>
  <c r="BZ360" i="1" s="1"/>
  <c r="BZ193" i="1"/>
  <c r="BZ275" i="1"/>
  <c r="BY316" i="1"/>
  <c r="AV38" i="10"/>
  <c r="L20" i="10"/>
  <c r="X38" i="10"/>
  <c r="AN38" i="10"/>
  <c r="BK17" i="20"/>
  <c r="BL213" i="1"/>
  <c r="BL339" i="1" s="1"/>
  <c r="H38" i="10"/>
  <c r="H32" i="14"/>
  <c r="I18" i="10"/>
  <c r="J12" i="10"/>
  <c r="O38" i="10"/>
  <c r="P11" i="14"/>
  <c r="FV30" i="4"/>
  <c r="BV270" i="1"/>
  <c r="GF36" i="4"/>
  <c r="B71" i="26"/>
  <c r="CL138" i="1"/>
  <c r="BX259" i="1"/>
  <c r="H11" i="14"/>
  <c r="S43" i="14"/>
  <c r="R11" i="14"/>
  <c r="AV40" i="1"/>
  <c r="BU311" i="1"/>
  <c r="CG159" i="1"/>
  <c r="FE29" i="1"/>
  <c r="FE20" i="1"/>
  <c r="M18" i="14"/>
  <c r="CD138" i="1"/>
  <c r="BI261" i="1"/>
  <c r="CF140" i="1"/>
  <c r="BK263" i="1"/>
  <c r="BH191" i="1"/>
  <c r="BB150" i="1"/>
  <c r="CO160" i="1"/>
  <c r="BT283" i="1"/>
  <c r="BS324" i="1"/>
  <c r="CT160" i="1"/>
  <c r="BX324" i="1"/>
  <c r="BJ261" i="1"/>
  <c r="F35" i="14"/>
  <c r="K35" i="14"/>
  <c r="G11" i="14"/>
  <c r="BG316" i="1"/>
  <c r="BI271" i="1"/>
  <c r="Q11" i="14"/>
  <c r="BY177" i="1"/>
  <c r="CT136" i="1"/>
  <c r="BY259" i="1"/>
  <c r="BK224" i="1"/>
  <c r="BK350" i="1" s="1"/>
  <c r="BJ306" i="1"/>
  <c r="BK265" i="1"/>
  <c r="BK183" i="1"/>
  <c r="CF142" i="1"/>
  <c r="BW228" i="1"/>
  <c r="BW354" i="1" s="1"/>
  <c r="BW187" i="1"/>
  <c r="BV310" i="1"/>
  <c r="BO228" i="1"/>
  <c r="BO354" i="1" s="1"/>
  <c r="BO269" i="1"/>
  <c r="BJ314" i="1"/>
  <c r="CF150" i="1"/>
  <c r="BK191" i="1"/>
  <c r="BK232" i="1"/>
  <c r="BK358" i="1" s="1"/>
  <c r="CU158" i="1"/>
  <c r="BZ240" i="1"/>
  <c r="BZ366" i="1" s="1"/>
  <c r="T32" i="14"/>
  <c r="T32" i="10"/>
  <c r="Q41" i="10"/>
  <c r="J19" i="14"/>
  <c r="S19" i="14"/>
  <c r="GE17" i="4"/>
  <c r="GE44" i="4"/>
  <c r="GE9" i="4"/>
  <c r="BR19" i="17"/>
  <c r="E11" i="14"/>
  <c r="E11" i="10"/>
  <c r="M23" i="10"/>
  <c r="FL42" i="4"/>
  <c r="L43" i="10"/>
  <c r="BT237" i="1"/>
  <c r="BT363" i="1" s="1"/>
  <c r="BT278" i="1"/>
  <c r="BH223" i="1"/>
  <c r="BH349" i="1" s="1"/>
  <c r="CC141" i="1"/>
  <c r="BD141" i="1" s="1"/>
  <c r="CB141" i="1" s="1"/>
  <c r="BG305" i="1"/>
  <c r="CG153" i="1"/>
  <c r="BL235" i="1"/>
  <c r="BL361" i="1" s="1"/>
  <c r="E43" i="14"/>
  <c r="E43" i="10"/>
  <c r="EF33" i="20"/>
  <c r="BL33" i="20" s="1"/>
  <c r="BK33" i="20"/>
  <c r="FD33" i="1"/>
  <c r="AU33" i="1"/>
  <c r="GP35" i="4" s="1"/>
  <c r="BX212" i="1"/>
  <c r="BX338" i="1" s="1"/>
  <c r="BX253" i="1"/>
  <c r="CS130" i="1"/>
  <c r="BH220" i="1"/>
  <c r="BH346" i="1" s="1"/>
  <c r="BB138" i="1"/>
  <c r="CC138" i="1"/>
  <c r="BD138" i="1" s="1"/>
  <c r="BG302" i="1"/>
  <c r="BH179" i="1"/>
  <c r="BY226" i="1"/>
  <c r="BY352" i="1" s="1"/>
  <c r="CT144" i="1"/>
  <c r="BY267" i="1"/>
  <c r="BY185" i="1"/>
  <c r="BZ267" i="1"/>
  <c r="BY308" i="1"/>
  <c r="BZ226" i="1"/>
  <c r="BZ352" i="1" s="1"/>
  <c r="CU144" i="1"/>
  <c r="CH154" i="1"/>
  <c r="BL318" i="1"/>
  <c r="CB242" i="1"/>
  <c r="CB368" i="1" s="1"/>
  <c r="CW160" i="1"/>
  <c r="AQ160" i="1" s="1"/>
  <c r="CB283" i="1"/>
  <c r="BY306" i="1"/>
  <c r="BZ224" i="1"/>
  <c r="BZ350" i="1" s="1"/>
  <c r="BX189" i="1"/>
  <c r="BX271" i="1"/>
  <c r="BW312" i="1"/>
  <c r="BR271" i="1"/>
  <c r="BR230" i="1"/>
  <c r="BR356" i="1" s="1"/>
  <c r="CM148" i="1"/>
  <c r="BR189" i="1"/>
  <c r="BM275" i="1"/>
  <c r="BM193" i="1"/>
  <c r="BL316" i="1"/>
  <c r="CH152" i="1"/>
  <c r="BW199" i="1"/>
  <c r="BV322" i="1"/>
  <c r="BW281" i="1"/>
  <c r="BW240" i="1"/>
  <c r="BW366" i="1" s="1"/>
  <c r="U41" i="4"/>
  <c r="F43" i="7" s="1"/>
  <c r="EC19" i="20"/>
  <c r="BI19" i="20" s="1"/>
  <c r="H45" i="10"/>
  <c r="U16" i="4"/>
  <c r="F18" i="7" s="1"/>
  <c r="AD29" i="1"/>
  <c r="AD39" i="1"/>
  <c r="T31" i="4"/>
  <c r="E33" i="7" s="1"/>
  <c r="F58" i="26" s="1"/>
  <c r="E58" i="26" s="1"/>
  <c r="CN31" i="4"/>
  <c r="CS31" i="4" s="1"/>
  <c r="F11" i="14"/>
  <c r="FV35" i="4"/>
  <c r="H43" i="14"/>
  <c r="K18" i="14"/>
  <c r="FL12" i="4"/>
  <c r="N12" i="10"/>
  <c r="P19" i="14"/>
  <c r="R36" i="14"/>
  <c r="FV44" i="4"/>
  <c r="FV45" i="4"/>
  <c r="FV39" i="4"/>
  <c r="BU17" i="1"/>
  <c r="BZ265" i="1"/>
  <c r="BP302" i="1"/>
  <c r="BW300" i="1"/>
  <c r="S11" i="14"/>
  <c r="O18" i="14"/>
  <c r="FE21" i="1"/>
  <c r="AV11" i="1"/>
  <c r="E44" i="10"/>
  <c r="CA42" i="1"/>
  <c r="BX230" i="1"/>
  <c r="BX356" i="1" s="1"/>
  <c r="BC148" i="1"/>
  <c r="EK17" i="1"/>
  <c r="AV33" i="1"/>
  <c r="BZ185" i="1"/>
  <c r="BX308" i="1"/>
  <c r="BN193" i="1"/>
  <c r="BU264" i="1"/>
  <c r="CR158" i="1"/>
  <c r="T24" i="10"/>
  <c r="T24" i="14"/>
  <c r="GF23" i="4"/>
  <c r="B43" i="26"/>
  <c r="CF149" i="1"/>
  <c r="BK231" i="1"/>
  <c r="BK357" i="1" s="1"/>
  <c r="BK190" i="1"/>
  <c r="BE148" i="1"/>
  <c r="CZ148" i="1" s="1"/>
  <c r="J17" i="10"/>
  <c r="N17" i="10"/>
  <c r="DL27" i="1"/>
  <c r="DX27" i="1"/>
  <c r="BU298" i="1"/>
  <c r="BV257" i="1"/>
  <c r="V31" i="10"/>
  <c r="P11" i="10"/>
  <c r="AL21" i="10"/>
  <c r="R47" i="7"/>
  <c r="T18" i="14"/>
  <c r="AD48" i="10"/>
  <c r="AB21" i="10"/>
  <c r="O35" i="10"/>
  <c r="I38" i="10"/>
  <c r="AL38" i="10"/>
  <c r="DY13" i="1"/>
  <c r="DZ13" i="1" s="1"/>
  <c r="EA13" i="1" s="1"/>
  <c r="EB13" i="1" s="1"/>
  <c r="EC13" i="1" s="1"/>
  <c r="ED13" i="1" s="1"/>
  <c r="EE13" i="1" s="1"/>
  <c r="G2" i="4"/>
  <c r="A4" i="16" s="1"/>
  <c r="I6" i="4"/>
  <c r="AH27" i="10"/>
  <c r="AR23" i="10"/>
  <c r="AV23" i="10"/>
  <c r="X23" i="10"/>
  <c r="BV161" i="1"/>
  <c r="BV325" i="1" s="1"/>
  <c r="CQ120" i="1"/>
  <c r="BG286" i="1"/>
  <c r="BG245" i="1"/>
  <c r="BH163" i="1"/>
  <c r="CC122" i="1"/>
  <c r="BD122" i="1" s="1"/>
  <c r="P35" i="14"/>
  <c r="S35" i="14"/>
  <c r="AJ35" i="10"/>
  <c r="AJ27" i="10"/>
  <c r="AD27" i="10"/>
  <c r="Z17" i="10"/>
  <c r="R14" i="14"/>
  <c r="B21" i="5"/>
  <c r="B21" i="26"/>
  <c r="B17" i="5"/>
  <c r="B17" i="26"/>
  <c r="BI284" i="1"/>
  <c r="CE120" i="1"/>
  <c r="BU204" i="1"/>
  <c r="BU330" i="1" s="1"/>
  <c r="BU163" i="1"/>
  <c r="CP122" i="1"/>
  <c r="BU245" i="1"/>
  <c r="BT286" i="1"/>
  <c r="K29" i="14"/>
  <c r="M29" i="10"/>
  <c r="CU134" i="1"/>
  <c r="BY298" i="1"/>
  <c r="BY170" i="1"/>
  <c r="BY211" i="1"/>
  <c r="BY337" i="1" s="1"/>
  <c r="CV129" i="1"/>
  <c r="AP129" i="1" s="1"/>
  <c r="CA211" i="1"/>
  <c r="CA337" i="1" s="1"/>
  <c r="BT217" i="1"/>
  <c r="BT343" i="1" s="1"/>
  <c r="BT176" i="1"/>
  <c r="CO135" i="1"/>
  <c r="BJ217" i="1"/>
  <c r="BJ343" i="1" s="1"/>
  <c r="CE135" i="1"/>
  <c r="BI299" i="1"/>
  <c r="BQ264" i="1"/>
  <c r="BQ182" i="1"/>
  <c r="CL141" i="1"/>
  <c r="BW200" i="1"/>
  <c r="BV323" i="1"/>
  <c r="CR159" i="1"/>
  <c r="GF38" i="4"/>
  <c r="GF17" i="4"/>
  <c r="GF44" i="4"/>
  <c r="GF40" i="4"/>
  <c r="CE38" i="1"/>
  <c r="AV34" i="1"/>
  <c r="AV18" i="1"/>
  <c r="AV39" i="1"/>
  <c r="AV23" i="1"/>
  <c r="AV21" i="1"/>
  <c r="AV30" i="1"/>
  <c r="AV28" i="1"/>
  <c r="AV29" i="1"/>
  <c r="AV24" i="1"/>
  <c r="AV42" i="1"/>
  <c r="AV8" i="1"/>
  <c r="AV37" i="1"/>
  <c r="AV9" i="1"/>
  <c r="AV17" i="1"/>
  <c r="AV10" i="1"/>
  <c r="AV15" i="1"/>
  <c r="AV31" i="1"/>
  <c r="AV35" i="1"/>
  <c r="AV5" i="1"/>
  <c r="FV8" i="4"/>
  <c r="FV33" i="4"/>
  <c r="FV42" i="4"/>
  <c r="FV13" i="4"/>
  <c r="FV37" i="4"/>
  <c r="FV25" i="4"/>
  <c r="FV31" i="4"/>
  <c r="FV12" i="4"/>
  <c r="FV16" i="4"/>
  <c r="FV18" i="4"/>
  <c r="FV47" i="4"/>
  <c r="Y29" i="7"/>
  <c r="T27" i="4"/>
  <c r="E29" i="7" s="1"/>
  <c r="F50" i="26" s="1"/>
  <c r="E50" i="26" s="1"/>
  <c r="DX40" i="1"/>
  <c r="V11" i="10"/>
  <c r="I9" i="14"/>
  <c r="FL24" i="4"/>
  <c r="FV26" i="4"/>
  <c r="BV188" i="1"/>
  <c r="FV40" i="4"/>
  <c r="CJ143" i="1"/>
  <c r="BX238" i="1"/>
  <c r="BX364" i="1" s="1"/>
  <c r="BU182" i="1"/>
  <c r="BU256" i="1"/>
  <c r="GF42" i="4"/>
  <c r="CE33" i="1"/>
  <c r="GE46" i="4"/>
  <c r="FV36" i="4"/>
  <c r="AV36" i="1"/>
  <c r="CA40" i="1"/>
  <c r="AV41" i="1"/>
  <c r="GF9" i="4"/>
  <c r="R30" i="7"/>
  <c r="BX23" i="1"/>
  <c r="BZ175" i="1"/>
  <c r="AJ11" i="10"/>
  <c r="BT196" i="1"/>
  <c r="BL194" i="1"/>
  <c r="BX201" i="1"/>
  <c r="BR269" i="1"/>
  <c r="BM273" i="1"/>
  <c r="CO155" i="1"/>
  <c r="BX213" i="1"/>
  <c r="BX339" i="1" s="1"/>
  <c r="BO276" i="1"/>
  <c r="BM219" i="1"/>
  <c r="BM345" i="1" s="1"/>
  <c r="BJ240" i="1"/>
  <c r="BJ366" i="1" s="1"/>
  <c r="DA31" i="1"/>
  <c r="R37" i="7"/>
  <c r="R46" i="7"/>
  <c r="R39" i="7"/>
  <c r="BZ242" i="1"/>
  <c r="BZ368" i="1" s="1"/>
  <c r="CK158" i="1"/>
  <c r="CG158" i="1"/>
  <c r="CB223" i="1"/>
  <c r="CB349" i="1" s="1"/>
  <c r="CK135" i="1"/>
  <c r="CA20" i="1"/>
  <c r="CA22" i="1"/>
  <c r="CA31" i="1"/>
  <c r="CA23" i="1"/>
  <c r="CA14" i="1"/>
  <c r="CA34" i="1"/>
  <c r="CA12" i="1"/>
  <c r="BX306" i="1"/>
  <c r="BH264" i="1"/>
  <c r="CG160" i="1"/>
  <c r="AT11" i="10"/>
  <c r="CT129" i="1"/>
  <c r="BW241" i="1"/>
  <c r="BW367" i="1" s="1"/>
  <c r="CJ15" i="1"/>
  <c r="FV22" i="4"/>
  <c r="BX27" i="1"/>
  <c r="FV41" i="4"/>
  <c r="R10" i="7"/>
  <c r="AV20" i="1"/>
  <c r="AV7" i="1"/>
  <c r="AV6" i="1"/>
  <c r="AV25" i="1"/>
  <c r="BX38" i="1"/>
  <c r="BV313" i="1"/>
  <c r="AV32" i="1"/>
  <c r="BJ258" i="1"/>
  <c r="AV45" i="1"/>
  <c r="AK31" i="10"/>
  <c r="DX42" i="1"/>
  <c r="GF37" i="4"/>
  <c r="GF27" i="4"/>
  <c r="GF31" i="4"/>
  <c r="GF35" i="4"/>
  <c r="I31" i="14"/>
  <c r="S31" i="14"/>
  <c r="CA29" i="1"/>
  <c r="BU250" i="1"/>
  <c r="BU168" i="1"/>
  <c r="BU297" i="1"/>
  <c r="BV215" i="1"/>
  <c r="BV341" i="1" s="1"/>
  <c r="BU262" i="1"/>
  <c r="BU180" i="1"/>
  <c r="BR186" i="1"/>
  <c r="CM145" i="1"/>
  <c r="FE4" i="1"/>
  <c r="M25" i="14"/>
  <c r="M25" i="10"/>
  <c r="CS132" i="1"/>
  <c r="BX214" i="1"/>
  <c r="BX340" i="1" s="1"/>
  <c r="BW296" i="1"/>
  <c r="BX173" i="1"/>
  <c r="BX255" i="1"/>
  <c r="AW17" i="10"/>
  <c r="W17" i="10"/>
  <c r="AC17" i="10"/>
  <c r="AU17" i="10"/>
  <c r="AA17" i="10"/>
  <c r="Y17" i="10"/>
  <c r="AK17" i="10"/>
  <c r="AE17" i="10"/>
  <c r="AG17" i="10"/>
  <c r="AO17" i="10"/>
  <c r="AM17" i="10"/>
  <c r="K17" i="10"/>
  <c r="AQ17" i="10"/>
  <c r="AS17" i="10"/>
  <c r="U17" i="10"/>
  <c r="AI17" i="10"/>
  <c r="G17" i="10"/>
  <c r="M17" i="10"/>
  <c r="CG26" i="20"/>
  <c r="FD24" i="1"/>
  <c r="AU24" i="1"/>
  <c r="GP26" i="4" s="1"/>
  <c r="O27" i="10"/>
  <c r="Y27" i="10"/>
  <c r="AB27" i="10"/>
  <c r="P27" i="10"/>
  <c r="AE27" i="10"/>
  <c r="AK27" i="10"/>
  <c r="AN27" i="10"/>
  <c r="AS27" i="10"/>
  <c r="AW27" i="10"/>
  <c r="W27" i="10"/>
  <c r="AC27" i="10"/>
  <c r="AI27" i="10"/>
  <c r="AA27" i="10"/>
  <c r="AM27" i="10"/>
  <c r="AU27" i="10"/>
  <c r="H27" i="10"/>
  <c r="AG27" i="10"/>
  <c r="AO27" i="10"/>
  <c r="AQ27" i="10"/>
  <c r="U27" i="10"/>
  <c r="AF27" i="10"/>
  <c r="S27" i="10"/>
  <c r="K27" i="10"/>
  <c r="BV175" i="1"/>
  <c r="BV216" i="1"/>
  <c r="BV342" i="1" s="1"/>
  <c r="CQ134" i="1"/>
  <c r="J44" i="14"/>
  <c r="BX175" i="1"/>
  <c r="CS134" i="1"/>
  <c r="BX257" i="1"/>
  <c r="BI259" i="1"/>
  <c r="BH300" i="1"/>
  <c r="BI177" i="1"/>
  <c r="BL228" i="1"/>
  <c r="BL354" i="1" s="1"/>
  <c r="BL269" i="1"/>
  <c r="BO310" i="1"/>
  <c r="CK146" i="1"/>
  <c r="BM232" i="1"/>
  <c r="BM358" i="1" s="1"/>
  <c r="BM191" i="1"/>
  <c r="DS11" i="1"/>
  <c r="DM11" i="1"/>
  <c r="BX190" i="1"/>
  <c r="CS149" i="1"/>
  <c r="BN258" i="1"/>
  <c r="BM299" i="1"/>
  <c r="BN176" i="1"/>
  <c r="BH182" i="1"/>
  <c r="BG264" i="1"/>
  <c r="BO182" i="1"/>
  <c r="CJ141" i="1"/>
  <c r="BN305" i="1"/>
  <c r="GE35" i="4"/>
  <c r="GE29" i="4"/>
  <c r="GE25" i="4"/>
  <c r="GE15" i="4"/>
  <c r="GE42" i="4"/>
  <c r="GE19" i="4"/>
  <c r="GE21" i="4"/>
  <c r="GE31" i="4"/>
  <c r="GE23" i="4"/>
  <c r="GE33" i="4"/>
  <c r="GE37" i="4"/>
  <c r="T35" i="4"/>
  <c r="E37" i="7" s="1"/>
  <c r="E66" i="5" s="1"/>
  <c r="D66" i="5" s="1"/>
  <c r="U27" i="4"/>
  <c r="F29" i="7" s="1"/>
  <c r="G50" i="26" s="1"/>
  <c r="DX38" i="1"/>
  <c r="FV38" i="4"/>
  <c r="DX26" i="1"/>
  <c r="DX39" i="1"/>
  <c r="L11" i="14"/>
  <c r="T10" i="14"/>
  <c r="CN35" i="4"/>
  <c r="CS35" i="4" s="1"/>
  <c r="U35" i="4"/>
  <c r="FM35" i="4" s="1"/>
  <c r="CN27" i="4"/>
  <c r="CP27" i="4" s="1"/>
  <c r="EC34" i="20"/>
  <c r="BI34" i="20" s="1"/>
  <c r="DX17" i="1"/>
  <c r="R9" i="10"/>
  <c r="FV27" i="4"/>
  <c r="DX45" i="1"/>
  <c r="J8" i="10"/>
  <c r="L19" i="14"/>
  <c r="FV43" i="4"/>
  <c r="BN307" i="1"/>
  <c r="BU223" i="1"/>
  <c r="BU349" i="1" s="1"/>
  <c r="CA33" i="1"/>
  <c r="GF24" i="4"/>
  <c r="R12" i="14"/>
  <c r="GF46" i="4"/>
  <c r="BX12" i="1"/>
  <c r="CA36" i="1"/>
  <c r="BZ216" i="1"/>
  <c r="BZ342" i="1" s="1"/>
  <c r="BS319" i="1"/>
  <c r="BK317" i="1"/>
  <c r="BV229" i="1"/>
  <c r="BV355" i="1" s="1"/>
  <c r="BR228" i="1"/>
  <c r="BR354" i="1" s="1"/>
  <c r="CP132" i="1"/>
  <c r="BL184" i="1"/>
  <c r="CS131" i="1"/>
  <c r="BT305" i="1"/>
  <c r="BU8" i="1"/>
  <c r="M26" i="10"/>
  <c r="BW272" i="1"/>
  <c r="BU43" i="1"/>
  <c r="DA5" i="1"/>
  <c r="BF6" i="17"/>
  <c r="AN6" i="17" s="1"/>
  <c r="DA50" i="1" s="1"/>
  <c r="I3" i="19" s="1"/>
  <c r="BE6" i="18"/>
  <c r="AM6" i="18" s="1"/>
  <c r="BB6" i="18"/>
  <c r="AJ6" i="18" s="1"/>
  <c r="CL6" i="17"/>
  <c r="BG6" i="17"/>
  <c r="AO6" i="17" s="1"/>
  <c r="DB50" i="1" s="1"/>
  <c r="J3" i="19" s="1"/>
  <c r="CA35" i="1"/>
  <c r="DX31" i="1"/>
  <c r="BM183" i="1"/>
  <c r="BO322" i="1"/>
  <c r="BP217" i="1"/>
  <c r="BP343" i="1" s="1"/>
  <c r="CA39" i="1"/>
  <c r="CA30" i="1"/>
  <c r="CA17" i="1"/>
  <c r="CA27" i="1"/>
  <c r="CA44" i="1"/>
  <c r="CA18" i="1"/>
  <c r="CA8" i="1"/>
  <c r="AH47" i="1"/>
  <c r="BY224" i="1"/>
  <c r="BY350" i="1" s="1"/>
  <c r="BB141" i="1"/>
  <c r="CA170" i="1"/>
  <c r="BM238" i="1"/>
  <c r="BM364" i="1" s="1"/>
  <c r="BW282" i="1"/>
  <c r="BI218" i="1"/>
  <c r="BI344" i="1" s="1"/>
  <c r="BG260" i="1"/>
  <c r="BO223" i="1"/>
  <c r="BO349" i="1" s="1"/>
  <c r="FV29" i="4"/>
  <c r="FV15" i="4"/>
  <c r="B15" i="5"/>
  <c r="AV38" i="1"/>
  <c r="AV26" i="1"/>
  <c r="AV27" i="1"/>
  <c r="BW190" i="1"/>
  <c r="BU173" i="1"/>
  <c r="CA178" i="1"/>
  <c r="AV14" i="1"/>
  <c r="BO187" i="1"/>
  <c r="BN310" i="1"/>
  <c r="CI158" i="1"/>
  <c r="BN281" i="1"/>
  <c r="BM322" i="1"/>
  <c r="BY322" i="1"/>
  <c r="BZ199" i="1"/>
  <c r="BT258" i="1"/>
  <c r="GE38" i="4"/>
  <c r="GE40" i="4"/>
  <c r="GE27" i="4"/>
  <c r="FJ4" i="1"/>
  <c r="M4" i="1"/>
  <c r="GA6" i="4" s="1"/>
  <c r="AS15" i="10"/>
  <c r="AQ15" i="10"/>
  <c r="Y15" i="10"/>
  <c r="AC15" i="10"/>
  <c r="AG15" i="10"/>
  <c r="L15" i="10"/>
  <c r="M20" i="14"/>
  <c r="S20" i="14"/>
  <c r="I20" i="14"/>
  <c r="AQ34" i="10"/>
  <c r="AW34" i="10"/>
  <c r="Y34" i="10"/>
  <c r="AI34" i="10"/>
  <c r="AO34" i="10"/>
  <c r="AM34" i="10"/>
  <c r="O34" i="10"/>
  <c r="W45" i="10"/>
  <c r="AA45" i="10"/>
  <c r="AE45" i="10"/>
  <c r="AQ45" i="10"/>
  <c r="AG45" i="10"/>
  <c r="AK45" i="10"/>
  <c r="Y45" i="10"/>
  <c r="AC45" i="10"/>
  <c r="AM45" i="10"/>
  <c r="AW45" i="10"/>
  <c r="AO45" i="10"/>
  <c r="AI45" i="10"/>
  <c r="AS45" i="10"/>
  <c r="AU45" i="10"/>
  <c r="U45" i="10"/>
  <c r="G45" i="10"/>
  <c r="S45" i="10"/>
  <c r="CA171" i="1"/>
  <c r="CA253" i="1"/>
  <c r="BZ294" i="1"/>
  <c r="CV130" i="1"/>
  <c r="AP130" i="1" s="1"/>
  <c r="CA212" i="1"/>
  <c r="CA338" i="1" s="1"/>
  <c r="BC130" i="1"/>
  <c r="CQ130" i="1"/>
  <c r="BV171" i="1"/>
  <c r="BU294" i="1"/>
  <c r="BV253" i="1"/>
  <c r="BV212" i="1"/>
  <c r="BV338" i="1" s="1"/>
  <c r="BO212" i="1"/>
  <c r="BO338" i="1" s="1"/>
  <c r="BO253" i="1"/>
  <c r="CJ130" i="1"/>
  <c r="BO171" i="1"/>
  <c r="BS261" i="1"/>
  <c r="BS179" i="1"/>
  <c r="BR302" i="1"/>
  <c r="CM138" i="1"/>
  <c r="BR261" i="1"/>
  <c r="BQ302" i="1"/>
  <c r="BR220" i="1"/>
  <c r="BR346" i="1" s="1"/>
  <c r="BP226" i="1"/>
  <c r="BP352" i="1" s="1"/>
  <c r="BP267" i="1"/>
  <c r="BU277" i="1"/>
  <c r="BU195" i="1"/>
  <c r="CT154" i="1"/>
  <c r="BY236" i="1"/>
  <c r="BY362" i="1" s="1"/>
  <c r="BY195" i="1"/>
  <c r="BY277" i="1"/>
  <c r="BX318" i="1"/>
  <c r="CF154" i="1"/>
  <c r="BK195" i="1"/>
  <c r="BJ318" i="1"/>
  <c r="BK277" i="1"/>
  <c r="BK236" i="1"/>
  <c r="BK362" i="1" s="1"/>
  <c r="CM154" i="1"/>
  <c r="BQ318" i="1"/>
  <c r="BR277" i="1"/>
  <c r="BR236" i="1"/>
  <c r="BR362" i="1" s="1"/>
  <c r="CI160" i="1"/>
  <c r="BM324" i="1"/>
  <c r="BN242" i="1"/>
  <c r="BN368" i="1" s="1"/>
  <c r="AX27" i="10"/>
  <c r="AP27" i="10"/>
  <c r="V17" i="10"/>
  <c r="AJ17" i="10"/>
  <c r="P34" i="10"/>
  <c r="BZ257" i="1"/>
  <c r="BN317" i="1"/>
  <c r="FV28" i="4"/>
  <c r="FV21" i="4"/>
  <c r="AV16" i="1"/>
  <c r="AV19" i="1"/>
  <c r="AV13" i="1"/>
  <c r="DX37" i="1"/>
  <c r="BX272" i="1"/>
  <c r="N38" i="14"/>
  <c r="CM146" i="1"/>
  <c r="BQ223" i="1"/>
  <c r="BQ349" i="1" s="1"/>
  <c r="AV22" i="1"/>
  <c r="GF21" i="4"/>
  <c r="J22" i="14"/>
  <c r="N11" i="10"/>
  <c r="O11" i="10"/>
  <c r="BQ200" i="1"/>
  <c r="BS299" i="1"/>
  <c r="GF33" i="4"/>
  <c r="M46" i="14"/>
  <c r="L46" i="14"/>
  <c r="J24" i="14"/>
  <c r="J24" i="10"/>
  <c r="GF29" i="4"/>
  <c r="AP31" i="10"/>
  <c r="AQ31" i="10"/>
  <c r="AF31" i="10"/>
  <c r="X31" i="10"/>
  <c r="S31" i="10"/>
  <c r="R48" i="7"/>
  <c r="R13" i="7"/>
  <c r="R25" i="7"/>
  <c r="R26" i="7"/>
  <c r="R23" i="7"/>
  <c r="R21" i="7"/>
  <c r="BL231" i="1"/>
  <c r="BL357" i="1" s="1"/>
  <c r="BL272" i="1"/>
  <c r="CG149" i="1"/>
  <c r="BL190" i="1"/>
  <c r="E14" i="10"/>
  <c r="E14" i="14"/>
  <c r="CB245" i="1"/>
  <c r="CW122" i="1"/>
  <c r="AQ122" i="1" s="1"/>
  <c r="CB204" i="1"/>
  <c r="CB330" i="1" s="1"/>
  <c r="BE122" i="1"/>
  <c r="CZ122" i="1" s="1"/>
  <c r="CN120" i="1"/>
  <c r="BS161" i="1"/>
  <c r="BS325" i="1" s="1"/>
  <c r="BZ202" i="1"/>
  <c r="BZ328" i="1" s="1"/>
  <c r="BZ243" i="1"/>
  <c r="BZ369" i="1" s="1"/>
  <c r="BY284" i="1"/>
  <c r="BZ161" i="1"/>
  <c r="BZ325" i="1" s="1"/>
  <c r="CW120" i="1"/>
  <c r="AQ120" i="1" s="1"/>
  <c r="CB202" i="1"/>
  <c r="CB328" i="1" s="1"/>
  <c r="BE120" i="1"/>
  <c r="CZ120" i="1" s="1"/>
  <c r="CE122" i="1"/>
  <c r="BI286" i="1"/>
  <c r="BJ163" i="1"/>
  <c r="BJ204" i="1"/>
  <c r="BJ330" i="1" s="1"/>
  <c r="BJ245" i="1"/>
  <c r="BR163" i="1"/>
  <c r="BQ286" i="1"/>
  <c r="BR245" i="1"/>
  <c r="CM122" i="1"/>
  <c r="BR204" i="1"/>
  <c r="BR330" i="1" s="1"/>
  <c r="BQ163" i="1"/>
  <c r="BQ245" i="1"/>
  <c r="BQ204" i="1"/>
  <c r="BQ330" i="1" s="1"/>
  <c r="CL122" i="1"/>
  <c r="BP286" i="1"/>
  <c r="CQ122" i="1"/>
  <c r="BV163" i="1"/>
  <c r="BV204" i="1"/>
  <c r="BV330" i="1" s="1"/>
  <c r="BU286" i="1"/>
  <c r="BV245" i="1"/>
  <c r="CK6" i="18"/>
  <c r="CN6" i="17"/>
  <c r="BS6" i="17"/>
  <c r="BC6" i="21"/>
  <c r="AK6" i="21" s="1"/>
  <c r="BC6" i="18"/>
  <c r="AK6" i="18" s="1"/>
  <c r="BH6" i="17"/>
  <c r="AP6" i="17" s="1"/>
  <c r="DC50" i="1" s="1"/>
  <c r="K3" i="19" s="1"/>
  <c r="BU6" i="17"/>
  <c r="CM6" i="17"/>
  <c r="BH6" i="18"/>
  <c r="AP6" i="18" s="1"/>
  <c r="DD6" i="20"/>
  <c r="AH6" i="20" s="1"/>
  <c r="CO6" i="20"/>
  <c r="R6" i="20" s="1"/>
  <c r="AC2" i="4"/>
  <c r="A3" i="16"/>
  <c r="A13" i="16"/>
  <c r="A29" i="16"/>
  <c r="B46" i="1"/>
  <c r="B48" i="20" s="1"/>
  <c r="C51" i="7"/>
  <c r="J48" i="4"/>
  <c r="Q51" i="7"/>
  <c r="DR5" i="20"/>
  <c r="AW5" i="20" s="1"/>
  <c r="DS6" i="20"/>
  <c r="AY6" i="20" s="1"/>
  <c r="B63" i="5"/>
  <c r="B63" i="26"/>
  <c r="AU15" i="1"/>
  <c r="GP17" i="4" s="1"/>
  <c r="FD15" i="1"/>
  <c r="CG17" i="20"/>
  <c r="BM226" i="1"/>
  <c r="BM352" i="1" s="1"/>
  <c r="CH144" i="1"/>
  <c r="BM185" i="1"/>
  <c r="BM267" i="1"/>
  <c r="AZ31" i="1"/>
  <c r="GS33" i="4"/>
  <c r="BL296" i="1"/>
  <c r="BM255" i="1"/>
  <c r="BM214" i="1"/>
  <c r="BM340" i="1" s="1"/>
  <c r="CH132" i="1"/>
  <c r="BM173" i="1"/>
  <c r="BH214" i="1"/>
  <c r="BH340" i="1" s="1"/>
  <c r="BG255" i="1"/>
  <c r="CC132" i="1"/>
  <c r="BD132" i="1" s="1"/>
  <c r="BH255" i="1"/>
  <c r="BG296" i="1"/>
  <c r="BH177" i="1"/>
  <c r="BG259" i="1"/>
  <c r="BG300" i="1"/>
  <c r="BH259" i="1"/>
  <c r="BP312" i="1"/>
  <c r="BQ271" i="1"/>
  <c r="BG271" i="1"/>
  <c r="BB148" i="1"/>
  <c r="BG312" i="1"/>
  <c r="CP148" i="1"/>
  <c r="BT312" i="1"/>
  <c r="CV148" i="1"/>
  <c r="AP148" i="1" s="1"/>
  <c r="BZ312" i="1"/>
  <c r="CA189" i="1"/>
  <c r="CR152" i="1"/>
  <c r="BW234" i="1"/>
  <c r="BW360" i="1" s="1"/>
  <c r="BV316" i="1"/>
  <c r="BW193" i="1"/>
  <c r="CA234" i="1"/>
  <c r="CA360" i="1" s="1"/>
  <c r="CA275" i="1"/>
  <c r="BE152" i="1"/>
  <c r="CZ152" i="1" s="1"/>
  <c r="BZ316" i="1"/>
  <c r="BL275" i="1"/>
  <c r="CG152" i="1"/>
  <c r="BL234" i="1"/>
  <c r="BL360" i="1" s="1"/>
  <c r="BP316" i="1"/>
  <c r="BQ193" i="1"/>
  <c r="BQ234" i="1"/>
  <c r="BQ360" i="1" s="1"/>
  <c r="CL152" i="1"/>
  <c r="CF152" i="1"/>
  <c r="BK234" i="1"/>
  <c r="BK360" i="1" s="1"/>
  <c r="BK193" i="1"/>
  <c r="Q34" i="10"/>
  <c r="T48" i="14"/>
  <c r="BV301" i="1"/>
  <c r="BM190" i="1"/>
  <c r="AJ15" i="10"/>
  <c r="BS262" i="1"/>
  <c r="CA215" i="1"/>
  <c r="CA341" i="1" s="1"/>
  <c r="CV133" i="1"/>
  <c r="AP133" i="1" s="1"/>
  <c r="FE32" i="1"/>
  <c r="BY194" i="1"/>
  <c r="BT235" i="1"/>
  <c r="BT361" i="1" s="1"/>
  <c r="BK258" i="1"/>
  <c r="V34" i="10"/>
  <c r="AH15" i="10"/>
  <c r="AD21" i="10"/>
  <c r="V45" i="10"/>
  <c r="L14" i="10"/>
  <c r="EC47" i="20"/>
  <c r="BI47" i="20" s="1"/>
  <c r="AB45" i="10"/>
  <c r="J45" i="10"/>
  <c r="N14" i="14"/>
  <c r="AB34" i="10"/>
  <c r="Z17" i="21"/>
  <c r="BL161" i="1"/>
  <c r="BL325" i="1" s="1"/>
  <c r="BL243" i="1"/>
  <c r="BL369" i="1" s="1"/>
  <c r="CG120" i="1"/>
  <c r="CA161" i="1"/>
  <c r="CA325" i="1" s="1"/>
  <c r="BZ284" i="1"/>
  <c r="BH243" i="1"/>
  <c r="BH369" i="1" s="1"/>
  <c r="CC120" i="1"/>
  <c r="BD120" i="1" s="1"/>
  <c r="BH202" i="1"/>
  <c r="BH328" i="1" s="1"/>
  <c r="BH161" i="1"/>
  <c r="BH325" i="1" s="1"/>
  <c r="BB120" i="1"/>
  <c r="BG243" i="1"/>
  <c r="BG284" i="1"/>
  <c r="BI243" i="1"/>
  <c r="BI202" i="1"/>
  <c r="BI328" i="1" s="1"/>
  <c r="BO202" i="1"/>
  <c r="BO328" i="1" s="1"/>
  <c r="BN284" i="1"/>
  <c r="BO243" i="1"/>
  <c r="BO369" i="1" s="1"/>
  <c r="BO161" i="1"/>
  <c r="BO325" i="1" s="1"/>
  <c r="CJ120" i="1"/>
  <c r="CG122" i="1"/>
  <c r="BK286" i="1"/>
  <c r="BL245" i="1"/>
  <c r="BL163" i="1"/>
  <c r="BL204" i="1"/>
  <c r="BL330" i="1" s="1"/>
  <c r="BT163" i="1"/>
  <c r="CO122" i="1"/>
  <c r="BT245" i="1"/>
  <c r="BT204" i="1"/>
  <c r="BT330" i="1" s="1"/>
  <c r="BS286" i="1"/>
  <c r="AF17" i="10"/>
  <c r="H2" i="8"/>
  <c r="K6" i="4"/>
  <c r="AA1" i="4"/>
  <c r="AZ7" i="17"/>
  <c r="AH7" i="17" s="1"/>
  <c r="CU51" i="1" s="1"/>
  <c r="C4" i="19" s="1"/>
  <c r="AZ17" i="21"/>
  <c r="AH17" i="21" s="1"/>
  <c r="BR12" i="21"/>
  <c r="BR7" i="18"/>
  <c r="AZ12" i="21"/>
  <c r="AH12" i="21" s="1"/>
  <c r="AZ7" i="21"/>
  <c r="AH7" i="21" s="1"/>
  <c r="AZ7" i="18"/>
  <c r="AH7" i="18" s="1"/>
  <c r="BR17" i="21"/>
  <c r="BR7" i="17"/>
  <c r="BR7" i="21"/>
  <c r="EB6" i="20"/>
  <c r="BH6" i="20" s="1"/>
  <c r="B51" i="26"/>
  <c r="B51" i="5"/>
  <c r="AS18" i="10"/>
  <c r="Y18" i="10"/>
  <c r="U18" i="10"/>
  <c r="AI18" i="10"/>
  <c r="AO18" i="10"/>
  <c r="W18" i="10"/>
  <c r="AG18" i="10"/>
  <c r="AQ18" i="10"/>
  <c r="AM18" i="10"/>
  <c r="AK18" i="10"/>
  <c r="AW18" i="10"/>
  <c r="AE18" i="10"/>
  <c r="AA18" i="10"/>
  <c r="AC18" i="10"/>
  <c r="AF48" i="10"/>
  <c r="CG14" i="20"/>
  <c r="AU12" i="1"/>
  <c r="GP14" i="4" s="1"/>
  <c r="FD12" i="1"/>
  <c r="AU17" i="1"/>
  <c r="GP19" i="4" s="1"/>
  <c r="CG19" i="20"/>
  <c r="FD17" i="1"/>
  <c r="AS43" i="10"/>
  <c r="Y43" i="10"/>
  <c r="AE43" i="10"/>
  <c r="BJ212" i="1"/>
  <c r="BJ338" i="1" s="1"/>
  <c r="BJ253" i="1"/>
  <c r="CE130" i="1"/>
  <c r="BI294" i="1"/>
  <c r="BJ171" i="1"/>
  <c r="BO294" i="1"/>
  <c r="BP212" i="1"/>
  <c r="BP338" i="1" s="1"/>
  <c r="BP171" i="1"/>
  <c r="CU130" i="1"/>
  <c r="BY294" i="1"/>
  <c r="BZ212" i="1"/>
  <c r="BZ338" i="1" s="1"/>
  <c r="BZ253" i="1"/>
  <c r="BZ171" i="1"/>
  <c r="CW130" i="1"/>
  <c r="AQ130" i="1" s="1"/>
  <c r="CA294" i="1"/>
  <c r="CB253" i="1"/>
  <c r="CB212" i="1"/>
  <c r="CB338" i="1" s="1"/>
  <c r="BS212" i="1"/>
  <c r="BS338" i="1" s="1"/>
  <c r="BS253" i="1"/>
  <c r="BS171" i="1"/>
  <c r="CN130" i="1"/>
  <c r="BR294" i="1"/>
  <c r="BJ267" i="1"/>
  <c r="BJ226" i="1"/>
  <c r="BJ352" i="1" s="1"/>
  <c r="BG277" i="1"/>
  <c r="BG318" i="1"/>
  <c r="BH277" i="1"/>
  <c r="BQ277" i="1"/>
  <c r="BQ236" i="1"/>
  <c r="BQ362" i="1" s="1"/>
  <c r="BN195" i="1"/>
  <c r="BM318" i="1"/>
  <c r="BN236" i="1"/>
  <c r="BN362" i="1" s="1"/>
  <c r="CI154" i="1"/>
  <c r="BN277" i="1"/>
  <c r="BL195" i="1"/>
  <c r="BK318" i="1"/>
  <c r="T27" i="10"/>
  <c r="BO214" i="1"/>
  <c r="BO340" i="1" s="1"/>
  <c r="BO173" i="1"/>
  <c r="CM152" i="1"/>
  <c r="BR234" i="1"/>
  <c r="BR360" i="1" s="1"/>
  <c r="BR275" i="1"/>
  <c r="BS316" i="1"/>
  <c r="BT193" i="1"/>
  <c r="CO152" i="1"/>
  <c r="BT316" i="1"/>
  <c r="CP152" i="1"/>
  <c r="AT25" i="10"/>
  <c r="AL25" i="10"/>
  <c r="Z23" i="10"/>
  <c r="AN17" i="10"/>
  <c r="AB17" i="10"/>
  <c r="O27" i="14"/>
  <c r="P27" i="14"/>
  <c r="GS29" i="4"/>
  <c r="AZ27" i="1"/>
  <c r="BV263" i="1"/>
  <c r="BV222" i="1"/>
  <c r="BV348" i="1" s="1"/>
  <c r="BM161" i="1"/>
  <c r="BM325" i="1" s="1"/>
  <c r="CH120" i="1"/>
  <c r="BL284" i="1"/>
  <c r="BT284" i="1"/>
  <c r="BU161" i="1"/>
  <c r="BU325" i="1" s="1"/>
  <c r="BU202" i="1"/>
  <c r="BU328" i="1" s="1"/>
  <c r="BU243" i="1"/>
  <c r="BU369" i="1" s="1"/>
  <c r="CP120" i="1"/>
  <c r="BP284" i="1"/>
  <c r="BQ243" i="1"/>
  <c r="BQ369" i="1" s="1"/>
  <c r="CL120" i="1"/>
  <c r="BQ202" i="1"/>
  <c r="BQ328" i="1" s="1"/>
  <c r="BT202" i="1"/>
  <c r="BT328" i="1" s="1"/>
  <c r="BT243" i="1"/>
  <c r="BT369" i="1" s="1"/>
  <c r="BS284" i="1"/>
  <c r="BO245" i="1"/>
  <c r="BO204" i="1"/>
  <c r="BO330" i="1" s="1"/>
  <c r="BO163" i="1"/>
  <c r="BS204" i="1"/>
  <c r="BS330" i="1" s="1"/>
  <c r="CN122" i="1"/>
  <c r="BR286" i="1"/>
  <c r="BS163" i="1"/>
  <c r="BS245" i="1"/>
  <c r="AV17" i="10"/>
  <c r="AR27" i="10"/>
  <c r="CD6" i="20"/>
  <c r="J6" i="20" s="1"/>
  <c r="GM6" i="4"/>
  <c r="A5" i="16"/>
  <c r="A6" i="16"/>
  <c r="DA6" i="20"/>
  <c r="AE6" i="20" s="1"/>
  <c r="CL6" i="20"/>
  <c r="O6" i="20" s="1"/>
  <c r="B39" i="5"/>
  <c r="B39" i="26"/>
  <c r="B55" i="5"/>
  <c r="B55" i="26"/>
  <c r="B67" i="26"/>
  <c r="B67" i="5"/>
  <c r="B77" i="5"/>
  <c r="B77" i="26"/>
  <c r="CO144" i="1"/>
  <c r="BT226" i="1"/>
  <c r="BT352" i="1" s="1"/>
  <c r="BT267" i="1"/>
  <c r="EF19" i="20"/>
  <c r="BL19" i="20" s="1"/>
  <c r="BK19" i="20"/>
  <c r="AT48" i="10"/>
  <c r="GS14" i="4"/>
  <c r="AZ12" i="1"/>
  <c r="BG294" i="1"/>
  <c r="BH171" i="1"/>
  <c r="BM171" i="1"/>
  <c r="BM253" i="1"/>
  <c r="BM212" i="1"/>
  <c r="BM338" i="1" s="1"/>
  <c r="BL294" i="1"/>
  <c r="CH130" i="1"/>
  <c r="BW212" i="1"/>
  <c r="BW338" i="1" s="1"/>
  <c r="BW171" i="1"/>
  <c r="BW253" i="1"/>
  <c r="BV294" i="1"/>
  <c r="CR130" i="1"/>
  <c r="BK220" i="1"/>
  <c r="BK346" i="1" s="1"/>
  <c r="BJ302" i="1"/>
  <c r="BR185" i="1"/>
  <c r="BQ308" i="1"/>
  <c r="BR226" i="1"/>
  <c r="BR352" i="1" s="1"/>
  <c r="BO226" i="1"/>
  <c r="BO352" i="1" s="1"/>
  <c r="BO267" i="1"/>
  <c r="BW195" i="1"/>
  <c r="BV318" i="1"/>
  <c r="CR154" i="1"/>
  <c r="BJ277" i="1"/>
  <c r="BJ236" i="1"/>
  <c r="BJ362" i="1" s="1"/>
  <c r="CN154" i="1"/>
  <c r="BS195" i="1"/>
  <c r="BI277" i="1"/>
  <c r="BI195" i="1"/>
  <c r="BL255" i="1"/>
  <c r="CG132" i="1"/>
  <c r="BL173" i="1"/>
  <c r="BL214" i="1"/>
  <c r="BL340" i="1" s="1"/>
  <c r="BK296" i="1"/>
  <c r="CR132" i="1"/>
  <c r="BW173" i="1"/>
  <c r="BW214" i="1"/>
  <c r="BW340" i="1" s="1"/>
  <c r="BW255" i="1"/>
  <c r="BV296" i="1"/>
  <c r="BG275" i="1"/>
  <c r="BH275" i="1"/>
  <c r="CC152" i="1"/>
  <c r="BD152" i="1" s="1"/>
  <c r="CB275" i="1"/>
  <c r="CA316" i="1"/>
  <c r="CW152" i="1"/>
  <c r="AQ152" i="1" s="1"/>
  <c r="CI152" i="1"/>
  <c r="BN275" i="1"/>
  <c r="AN48" i="10"/>
  <c r="AL17" i="10"/>
  <c r="AD25" i="10"/>
  <c r="G17" i="14"/>
  <c r="K17" i="14"/>
  <c r="AU27" i="1"/>
  <c r="GP29" i="4" s="1"/>
  <c r="FD27" i="1"/>
  <c r="AQ30" i="10"/>
  <c r="AO30" i="10"/>
  <c r="AI30" i="10"/>
  <c r="AC30" i="10"/>
  <c r="AW30" i="10"/>
  <c r="AU30" i="10"/>
  <c r="AM30" i="10"/>
  <c r="W30" i="10"/>
  <c r="U30" i="10"/>
  <c r="AK30" i="10"/>
  <c r="Y30" i="10"/>
  <c r="AG30" i="10"/>
  <c r="AA30" i="10"/>
  <c r="AS30" i="10"/>
  <c r="AE30" i="10"/>
  <c r="BJ263" i="1"/>
  <c r="CE140" i="1"/>
  <c r="I34" i="10"/>
  <c r="L48" i="14"/>
  <c r="DX33" i="1"/>
  <c r="AR35" i="10"/>
  <c r="BS221" i="1"/>
  <c r="BS347" i="1" s="1"/>
  <c r="CJ137" i="1"/>
  <c r="AJ34" i="10"/>
  <c r="AR15" i="10"/>
  <c r="AP15" i="10"/>
  <c r="M15" i="10"/>
  <c r="GH27" i="4"/>
  <c r="AH34" i="10"/>
  <c r="AP34" i="10"/>
  <c r="AR45" i="10"/>
  <c r="N20" i="14"/>
  <c r="FE15" i="1"/>
  <c r="BC159" i="1"/>
  <c r="BM243" i="1"/>
  <c r="BM369" i="1" s="1"/>
  <c r="BV284" i="1"/>
  <c r="BW161" i="1"/>
  <c r="BW325" i="1" s="1"/>
  <c r="BW243" i="1"/>
  <c r="BW369" i="1" s="1"/>
  <c r="CR120" i="1"/>
  <c r="BW202" i="1"/>
  <c r="BW328" i="1" s="1"/>
  <c r="BP243" i="1"/>
  <c r="BP369" i="1" s="1"/>
  <c r="BO284" i="1"/>
  <c r="BP161" i="1"/>
  <c r="BP325" i="1" s="1"/>
  <c r="CK120" i="1"/>
  <c r="BP202" i="1"/>
  <c r="BP328" i="1" s="1"/>
  <c r="BW163" i="1"/>
  <c r="BW245" i="1"/>
  <c r="CR122" i="1"/>
  <c r="BV286" i="1"/>
  <c r="BW204" i="1"/>
  <c r="BW330" i="1" s="1"/>
  <c r="BJ286" i="1"/>
  <c r="BK204" i="1"/>
  <c r="BK330" i="1" s="1"/>
  <c r="BK163" i="1"/>
  <c r="CF122" i="1"/>
  <c r="CU122" i="1"/>
  <c r="BZ245" i="1"/>
  <c r="BZ163" i="1"/>
  <c r="BZ204" i="1"/>
  <c r="BZ330" i="1" s="1"/>
  <c r="BY286" i="1"/>
  <c r="EC6" i="20"/>
  <c r="BI6" i="20" s="1"/>
  <c r="EA6" i="20"/>
  <c r="BG6" i="20" s="1"/>
  <c r="DY6" i="20"/>
  <c r="BE6" i="20" s="1"/>
  <c r="DY5" i="20"/>
  <c r="BE5" i="20" s="1"/>
  <c r="B49" i="14"/>
  <c r="B49" i="10"/>
  <c r="CR6" i="20"/>
  <c r="V6" i="20" s="1"/>
  <c r="CW6" i="20"/>
  <c r="AA6" i="20" s="1"/>
  <c r="CM6" i="20"/>
  <c r="P6" i="20" s="1"/>
  <c r="DB6" i="20"/>
  <c r="AF6" i="20" s="1"/>
  <c r="BF6" i="21"/>
  <c r="AN6" i="21" s="1"/>
  <c r="BE6" i="21"/>
  <c r="AM6" i="21" s="1"/>
  <c r="BD6" i="21"/>
  <c r="AL6" i="21" s="1"/>
  <c r="B81" i="5"/>
  <c r="B81" i="26"/>
  <c r="B89" i="5"/>
  <c r="B89" i="26"/>
  <c r="W23" i="10"/>
  <c r="AA23" i="10"/>
  <c r="CG24" i="20"/>
  <c r="FD22" i="1"/>
  <c r="AI25" i="10"/>
  <c r="AO25" i="10"/>
  <c r="W48" i="10"/>
  <c r="AO48" i="10"/>
  <c r="AQ48" i="10"/>
  <c r="AC48" i="10"/>
  <c r="AE48" i="10"/>
  <c r="AW48" i="10"/>
  <c r="AG48" i="10"/>
  <c r="AA48" i="10"/>
  <c r="AM48" i="10"/>
  <c r="Y48" i="10"/>
  <c r="AK48" i="10"/>
  <c r="AI48" i="10"/>
  <c r="AU48" i="10"/>
  <c r="U48" i="10"/>
  <c r="AS48" i="10"/>
  <c r="AJ23" i="10"/>
  <c r="AP48" i="10"/>
  <c r="Z27" i="10"/>
  <c r="P23" i="14"/>
  <c r="AL48" i="10"/>
  <c r="CP130" i="1"/>
  <c r="BU253" i="1"/>
  <c r="BI171" i="1"/>
  <c r="BH294" i="1"/>
  <c r="CD130" i="1"/>
  <c r="BI212" i="1"/>
  <c r="BI338" i="1" s="1"/>
  <c r="BI253" i="1"/>
  <c r="BL253" i="1"/>
  <c r="CG130" i="1"/>
  <c r="BK294" i="1"/>
  <c r="BL212" i="1"/>
  <c r="BL338" i="1" s="1"/>
  <c r="BL171" i="1"/>
  <c r="BR171" i="1"/>
  <c r="CM130" i="1"/>
  <c r="CW154" i="1"/>
  <c r="AQ154" i="1" s="1"/>
  <c r="CA318" i="1"/>
  <c r="CB236" i="1"/>
  <c r="CB362" i="1" s="1"/>
  <c r="BM195" i="1"/>
  <c r="BM277" i="1"/>
  <c r="BP236" i="1"/>
  <c r="BP362" i="1" s="1"/>
  <c r="CK154" i="1"/>
  <c r="AJ25" i="10"/>
  <c r="AV27" i="10"/>
  <c r="D36" i="7"/>
  <c r="CB214" i="1"/>
  <c r="CB340" i="1" s="1"/>
  <c r="CA296" i="1"/>
  <c r="CW132" i="1"/>
  <c r="AQ132" i="1" s="1"/>
  <c r="CB255" i="1"/>
  <c r="CT148" i="1"/>
  <c r="BY271" i="1"/>
  <c r="BS193" i="1"/>
  <c r="BS234" i="1"/>
  <c r="BS360" i="1" s="1"/>
  <c r="CN152" i="1"/>
  <c r="BI316" i="1"/>
  <c r="BJ193" i="1"/>
  <c r="BY275" i="1"/>
  <c r="BY234" i="1"/>
  <c r="BY360" i="1" s="1"/>
  <c r="CQ152" i="1"/>
  <c r="BV193" i="1"/>
  <c r="AV48" i="10"/>
  <c r="AT17" i="10"/>
  <c r="AD17" i="10"/>
  <c r="V25" i="10"/>
  <c r="AR17" i="10"/>
  <c r="G27" i="14"/>
  <c r="H18" i="14"/>
  <c r="H18" i="10"/>
  <c r="BO209" i="1"/>
  <c r="BO335" i="1" s="1"/>
  <c r="BO250" i="1"/>
  <c r="BO168" i="1"/>
  <c r="BI256" i="1"/>
  <c r="BH297" i="1"/>
  <c r="CD133" i="1"/>
  <c r="BI215" i="1"/>
  <c r="BI341" i="1" s="1"/>
  <c r="BI174" i="1"/>
  <c r="CA180" i="1"/>
  <c r="BZ303" i="1"/>
  <c r="CV139" i="1"/>
  <c r="AP139" i="1" s="1"/>
  <c r="BP309" i="1"/>
  <c r="BQ227" i="1"/>
  <c r="BQ353" i="1" s="1"/>
  <c r="BQ268" i="1"/>
  <c r="CL145" i="1"/>
  <c r="BQ186" i="1"/>
  <c r="BP233" i="1"/>
  <c r="BP359" i="1" s="1"/>
  <c r="BP192" i="1"/>
  <c r="CK151" i="1"/>
  <c r="BP274" i="1"/>
  <c r="BB151" i="1"/>
  <c r="CC151" i="1"/>
  <c r="BD151" i="1" s="1"/>
  <c r="BG274" i="1"/>
  <c r="BH274" i="1"/>
  <c r="BH192" i="1"/>
  <c r="BX258" i="1"/>
  <c r="BW299" i="1"/>
  <c r="BX217" i="1"/>
  <c r="BX343" i="1" s="1"/>
  <c r="BX176" i="1"/>
  <c r="BK264" i="1"/>
  <c r="CF141" i="1"/>
  <c r="BK182" i="1"/>
  <c r="BJ305" i="1"/>
  <c r="BK223" i="1"/>
  <c r="BK349" i="1" s="1"/>
  <c r="BQ29" i="1"/>
  <c r="BQ21" i="1"/>
  <c r="BQ19" i="1"/>
  <c r="BQ22" i="1"/>
  <c r="DX171" i="1"/>
  <c r="FN11" i="1" s="1"/>
  <c r="DX183" i="1"/>
  <c r="FN23" i="1" s="1"/>
  <c r="DX197" i="1"/>
  <c r="FN37" i="1" s="1"/>
  <c r="DX199" i="1"/>
  <c r="FN39" i="1" s="1"/>
  <c r="DX202" i="1"/>
  <c r="FN42" i="1" s="1"/>
  <c r="AJ20" i="7"/>
  <c r="AJ42" i="7"/>
  <c r="DX193" i="1"/>
  <c r="FN33" i="1" s="1"/>
  <c r="DX186" i="1"/>
  <c r="FN26" i="1" s="1"/>
  <c r="DX166" i="1"/>
  <c r="FN6" i="1" s="1"/>
  <c r="DX196" i="1"/>
  <c r="FN36" i="1" s="1"/>
  <c r="DX192" i="1"/>
  <c r="FN32" i="1" s="1"/>
  <c r="AJ19" i="7"/>
  <c r="AJ29" i="7"/>
  <c r="DX176" i="1"/>
  <c r="FN16" i="1" s="1"/>
  <c r="DX172" i="1"/>
  <c r="FN12" i="1" s="1"/>
  <c r="AJ43" i="7"/>
  <c r="AJ49" i="7"/>
  <c r="AJ48" i="7"/>
  <c r="DX204" i="1"/>
  <c r="FN44" i="1" s="1"/>
  <c r="DX181" i="1"/>
  <c r="FN21" i="1" s="1"/>
  <c r="DX195" i="1"/>
  <c r="FN35" i="1" s="1"/>
  <c r="DX180" i="1"/>
  <c r="FN20" i="1" s="1"/>
  <c r="AJ28" i="7"/>
  <c r="DX174" i="1"/>
  <c r="FN14" i="1" s="1"/>
  <c r="DX179" i="1"/>
  <c r="FN19" i="1" s="1"/>
  <c r="DX165" i="1"/>
  <c r="FN5" i="1" s="1"/>
  <c r="DX194" i="1"/>
  <c r="FN34" i="1" s="1"/>
  <c r="DX200" i="1"/>
  <c r="FN40" i="1" s="1"/>
  <c r="AJ33" i="7"/>
  <c r="DX203" i="1"/>
  <c r="FN43" i="1" s="1"/>
  <c r="AJ36" i="7"/>
  <c r="DX182" i="1"/>
  <c r="FN22" i="1" s="1"/>
  <c r="AJ21" i="7"/>
  <c r="DX177" i="1"/>
  <c r="FN17" i="1" s="1"/>
  <c r="DX201" i="1"/>
  <c r="FN41" i="1" s="1"/>
  <c r="AJ12" i="7"/>
  <c r="AJ38" i="7"/>
  <c r="AJ10" i="7"/>
  <c r="AJ41" i="7"/>
  <c r="DX175" i="1"/>
  <c r="FN15" i="1" s="1"/>
  <c r="AJ14" i="7"/>
  <c r="AJ18" i="7"/>
  <c r="AJ9" i="7"/>
  <c r="AJ45" i="7"/>
  <c r="AJ44" i="7"/>
  <c r="DX190" i="1"/>
  <c r="FN30" i="1" s="1"/>
  <c r="DX168" i="1"/>
  <c r="FN8" i="1" s="1"/>
  <c r="DX184" i="1"/>
  <c r="FN24" i="1" s="1"/>
  <c r="AJ11" i="7"/>
  <c r="DX178" i="1"/>
  <c r="FN18" i="1" s="1"/>
  <c r="AJ39" i="7"/>
  <c r="DX191" i="1"/>
  <c r="FN31" i="1" s="1"/>
  <c r="AJ13" i="7"/>
  <c r="AJ47" i="7"/>
  <c r="AJ16" i="7"/>
  <c r="DX189" i="1"/>
  <c r="FN29" i="1" s="1"/>
  <c r="AJ46" i="7"/>
  <c r="DX167" i="1"/>
  <c r="FN7" i="1" s="1"/>
  <c r="AJ31" i="7"/>
  <c r="DX170" i="1"/>
  <c r="FN10" i="1" s="1"/>
  <c r="AJ17" i="7"/>
  <c r="AJ37" i="7"/>
  <c r="AJ32" i="7"/>
  <c r="AJ35" i="7"/>
  <c r="DX188" i="1"/>
  <c r="FN28" i="1" s="1"/>
  <c r="AJ26" i="7"/>
  <c r="AJ25" i="7"/>
  <c r="CW16" i="1"/>
  <c r="CW20" i="1"/>
  <c r="CW29" i="1"/>
  <c r="CW25" i="1"/>
  <c r="CG24" i="1"/>
  <c r="CG28" i="1"/>
  <c r="CG38" i="1"/>
  <c r="DA19" i="1"/>
  <c r="BU34" i="1"/>
  <c r="CJ28" i="1"/>
  <c r="CJ45" i="1"/>
  <c r="CE10" i="1"/>
  <c r="CJ32" i="1"/>
  <c r="CE30" i="1"/>
  <c r="BU15" i="1"/>
  <c r="CE20" i="1"/>
  <c r="DA17" i="1"/>
  <c r="CE15" i="1"/>
  <c r="DA45" i="1"/>
  <c r="CE8" i="1"/>
  <c r="BU37" i="1"/>
  <c r="BU21" i="1"/>
  <c r="DA26" i="1"/>
  <c r="CN42" i="1"/>
  <c r="DA13" i="1"/>
  <c r="BU24" i="1"/>
  <c r="DA23" i="1"/>
  <c r="CN23" i="1"/>
  <c r="CE25" i="1"/>
  <c r="CJ9" i="1"/>
  <c r="BU20" i="1"/>
  <c r="BU45" i="1"/>
  <c r="CE24" i="1"/>
  <c r="BU19" i="1"/>
  <c r="DA7" i="1"/>
  <c r="CJ14" i="1"/>
  <c r="CJ13" i="1"/>
  <c r="BU22" i="1"/>
  <c r="DA35" i="1"/>
  <c r="CN27" i="1"/>
  <c r="CE9" i="1"/>
  <c r="CN18" i="1"/>
  <c r="DA39" i="1"/>
  <c r="CE39" i="1"/>
  <c r="CE13" i="1"/>
  <c r="BU9" i="1"/>
  <c r="CE31" i="1"/>
  <c r="CN24" i="1"/>
  <c r="CE28" i="1"/>
  <c r="CN44" i="1"/>
  <c r="DA27" i="1"/>
  <c r="BU38" i="1"/>
  <c r="CE18" i="1"/>
  <c r="CJ44" i="1"/>
  <c r="CN30" i="1"/>
  <c r="CN37" i="1"/>
  <c r="DA30" i="1"/>
  <c r="DA34" i="1"/>
  <c r="CN8" i="1"/>
  <c r="CJ25" i="1"/>
  <c r="DA9" i="1"/>
  <c r="BU6" i="1"/>
  <c r="CN39" i="1"/>
  <c r="DA32" i="1"/>
  <c r="CE40" i="1"/>
  <c r="CJ40" i="1"/>
  <c r="CJ36" i="1"/>
  <c r="CE11" i="1"/>
  <c r="BU41" i="1"/>
  <c r="CE17" i="1"/>
  <c r="BU10" i="1"/>
  <c r="DA43" i="1"/>
  <c r="BU29" i="1"/>
  <c r="BU26" i="1"/>
  <c r="CN21" i="1"/>
  <c r="CN6" i="1"/>
  <c r="BU16" i="1"/>
  <c r="BU28" i="1"/>
  <c r="CE32" i="1"/>
  <c r="DA42" i="1"/>
  <c r="DA16" i="1"/>
  <c r="CN32" i="1"/>
  <c r="CE45" i="1"/>
  <c r="BU33" i="1"/>
  <c r="DA21" i="1"/>
  <c r="BU32" i="1"/>
  <c r="CE27" i="1"/>
  <c r="CJ20" i="1"/>
  <c r="CJ16" i="1"/>
  <c r="CN10" i="1"/>
  <c r="DA6" i="1"/>
  <c r="CN33" i="1"/>
  <c r="CN31" i="1"/>
  <c r="CE7" i="1"/>
  <c r="CN26" i="1"/>
  <c r="CJ35" i="1"/>
  <c r="CE37" i="1"/>
  <c r="CJ6" i="1"/>
  <c r="CE42" i="1"/>
  <c r="BU42" i="1"/>
  <c r="CN43" i="1"/>
  <c r="CJ43" i="1"/>
  <c r="DA28" i="1"/>
  <c r="CJ7" i="1"/>
  <c r="CE12" i="1"/>
  <c r="CE41" i="1"/>
  <c r="CN41" i="1"/>
  <c r="BU40" i="1"/>
  <c r="CN36" i="1"/>
  <c r="BU36" i="1"/>
  <c r="DA11" i="1"/>
  <c r="CN12" i="1"/>
  <c r="CJ22" i="1"/>
  <c r="CN19" i="1"/>
  <c r="DA8" i="1"/>
  <c r="CN38" i="1"/>
  <c r="CJ33" i="1"/>
  <c r="CJ23" i="1"/>
  <c r="BU13" i="1"/>
  <c r="DA38" i="1"/>
  <c r="CJ18" i="1"/>
  <c r="DA14" i="1"/>
  <c r="CE43" i="1"/>
  <c r="CJ37" i="1"/>
  <c r="DA44" i="1"/>
  <c r="CN25" i="1"/>
  <c r="CN35" i="1"/>
  <c r="CE14" i="1"/>
  <c r="CE22" i="1"/>
  <c r="CE5" i="1"/>
  <c r="DA12" i="1"/>
  <c r="DA24" i="1"/>
  <c r="CE34" i="1"/>
  <c r="CJ5" i="1"/>
  <c r="DA29" i="1"/>
  <c r="CJ17" i="1"/>
  <c r="BU5" i="1"/>
  <c r="CE23" i="1"/>
  <c r="CJ21" i="1"/>
  <c r="DA10" i="1"/>
  <c r="CE21" i="1"/>
  <c r="CN9" i="1"/>
  <c r="CN22" i="1"/>
  <c r="CN29" i="1"/>
  <c r="CJ19" i="1"/>
  <c r="CJ26" i="1"/>
  <c r="CJ41" i="1"/>
  <c r="CN40" i="1"/>
  <c r="DA36" i="1"/>
  <c r="CJ11" i="1"/>
  <c r="BU35" i="1"/>
  <c r="BU30" i="1"/>
  <c r="DA18" i="1"/>
  <c r="CJ38" i="1"/>
  <c r="DA15" i="1"/>
  <c r="DA33" i="1"/>
  <c r="CJ42" i="1"/>
  <c r="GG42" i="4"/>
  <c r="GG18" i="4"/>
  <c r="GG29" i="4"/>
  <c r="GG33" i="4"/>
  <c r="GG45" i="4"/>
  <c r="GG21" i="4"/>
  <c r="GG20" i="4"/>
  <c r="GG15" i="4"/>
  <c r="GG36" i="4"/>
  <c r="GG30" i="4"/>
  <c r="GG35" i="4"/>
  <c r="GG39" i="4"/>
  <c r="GG44" i="4"/>
  <c r="GG46" i="4"/>
  <c r="GG40" i="4"/>
  <c r="GG14" i="4"/>
  <c r="GG27" i="4"/>
  <c r="GG25" i="4"/>
  <c r="GG7" i="4"/>
  <c r="GG32" i="4"/>
  <c r="GG22" i="4"/>
  <c r="GG9" i="4"/>
  <c r="GG38" i="4"/>
  <c r="GG37" i="4"/>
  <c r="GG26" i="4"/>
  <c r="GG24" i="4"/>
  <c r="GG31" i="4"/>
  <c r="CA190" i="1"/>
  <c r="CA231" i="1"/>
  <c r="CA357" i="1" s="1"/>
  <c r="CA272" i="1"/>
  <c r="BZ313" i="1"/>
  <c r="CV149" i="1"/>
  <c r="AP149" i="1" s="1"/>
  <c r="CA313" i="1"/>
  <c r="CB231" i="1"/>
  <c r="CB357" i="1" s="1"/>
  <c r="CW149" i="1"/>
  <c r="AQ149" i="1" s="1"/>
  <c r="CB272" i="1"/>
  <c r="FR35" i="1"/>
  <c r="DN173" i="1"/>
  <c r="GG43" i="4"/>
  <c r="M10" i="14"/>
  <c r="T42" i="10"/>
  <c r="AJ22" i="7"/>
  <c r="CE19" i="1"/>
  <c r="CJ34" i="1"/>
  <c r="CG20" i="1"/>
  <c r="DA40" i="1"/>
  <c r="DA37" i="1"/>
  <c r="GG12" i="4"/>
  <c r="CJ8" i="1"/>
  <c r="BU25" i="1"/>
  <c r="GG13" i="4"/>
  <c r="CE29" i="1"/>
  <c r="BU12" i="1"/>
  <c r="CN28" i="1"/>
  <c r="BU31" i="1"/>
  <c r="CJ24" i="1"/>
  <c r="CE44" i="1"/>
  <c r="DX173" i="1"/>
  <c r="FN13" i="1" s="1"/>
  <c r="GG17" i="4"/>
  <c r="BU7" i="1"/>
  <c r="BM252" i="1"/>
  <c r="Q22" i="14"/>
  <c r="BN250" i="1"/>
  <c r="BM291" i="1"/>
  <c r="BN209" i="1"/>
  <c r="BN335" i="1" s="1"/>
  <c r="BN168" i="1"/>
  <c r="CA168" i="1"/>
  <c r="CA209" i="1"/>
  <c r="CA335" i="1" s="1"/>
  <c r="BZ291" i="1"/>
  <c r="CA250" i="1"/>
  <c r="CV127" i="1"/>
  <c r="AP127" i="1" s="1"/>
  <c r="BQ297" i="1"/>
  <c r="BR174" i="1"/>
  <c r="BO221" i="1"/>
  <c r="BO347" i="1" s="1"/>
  <c r="CJ139" i="1"/>
  <c r="BN303" i="1"/>
  <c r="BO180" i="1"/>
  <c r="BO262" i="1"/>
  <c r="BI268" i="1"/>
  <c r="CD145" i="1"/>
  <c r="BH309" i="1"/>
  <c r="BI186" i="1"/>
  <c r="CA315" i="1"/>
  <c r="CB274" i="1"/>
  <c r="CW151" i="1"/>
  <c r="AQ151" i="1" s="1"/>
  <c r="CB233" i="1"/>
  <c r="CB359" i="1" s="1"/>
  <c r="CM135" i="1"/>
  <c r="BR176" i="1"/>
  <c r="BQ299" i="1"/>
  <c r="BR217" i="1"/>
  <c r="BR343" i="1" s="1"/>
  <c r="BR258" i="1"/>
  <c r="BY258" i="1"/>
  <c r="BX299" i="1"/>
  <c r="BY217" i="1"/>
  <c r="BY343" i="1" s="1"/>
  <c r="BY176" i="1"/>
  <c r="CT135" i="1"/>
  <c r="BI264" i="1"/>
  <c r="BI182" i="1"/>
  <c r="CD141" i="1"/>
  <c r="BH305" i="1"/>
  <c r="CB270" i="1"/>
  <c r="CB229" i="1"/>
  <c r="CB355" i="1" s="1"/>
  <c r="CA235" i="1"/>
  <c r="CA361" i="1" s="1"/>
  <c r="CV153" i="1"/>
  <c r="AP153" i="1" s="1"/>
  <c r="BT317" i="1"/>
  <c r="BU276" i="1"/>
  <c r="CP153" i="1"/>
  <c r="BU235" i="1"/>
  <c r="BU361" i="1" s="1"/>
  <c r="BU194" i="1"/>
  <c r="BD200" i="1"/>
  <c r="CB159" i="1"/>
  <c r="CB323" i="1" s="1"/>
  <c r="AU28" i="1"/>
  <c r="GP30" i="4" s="1"/>
  <c r="H8" i="10"/>
  <c r="P8" i="14"/>
  <c r="F20" i="10"/>
  <c r="F20" i="14"/>
  <c r="AJ24" i="7"/>
  <c r="BU27" i="1"/>
  <c r="BO315" i="1"/>
  <c r="BQ14" i="1"/>
  <c r="BQ26" i="1"/>
  <c r="CG29" i="1"/>
  <c r="CN11" i="1"/>
  <c r="CW42" i="1"/>
  <c r="CE36" i="1"/>
  <c r="AH44" i="10"/>
  <c r="AX44" i="10"/>
  <c r="CN45" i="1"/>
  <c r="BI227" i="1"/>
  <c r="BI353" i="1" s="1"/>
  <c r="GG19" i="4"/>
  <c r="CN13" i="1"/>
  <c r="CJ39" i="1"/>
  <c r="CN17" i="1"/>
  <c r="BU44" i="1"/>
  <c r="CJ30" i="1"/>
  <c r="DA25" i="1"/>
  <c r="AJ27" i="7"/>
  <c r="P24" i="10"/>
  <c r="P24" i="14"/>
  <c r="BX180" i="1"/>
  <c r="BX262" i="1"/>
  <c r="BW303" i="1"/>
  <c r="BX221" i="1"/>
  <c r="BX347" i="1" s="1"/>
  <c r="BY262" i="1"/>
  <c r="BY180" i="1"/>
  <c r="BY221" i="1"/>
  <c r="BY347" i="1" s="1"/>
  <c r="BX309" i="1"/>
  <c r="BY227" i="1"/>
  <c r="BY353" i="1" s="1"/>
  <c r="BY186" i="1"/>
  <c r="CT145" i="1"/>
  <c r="BY268" i="1"/>
  <c r="CN145" i="1"/>
  <c r="BS268" i="1"/>
  <c r="BS227" i="1"/>
  <c r="BS353" i="1" s="1"/>
  <c r="CC157" i="1"/>
  <c r="BD157" i="1" s="1"/>
  <c r="BH198" i="1"/>
  <c r="BB157" i="1"/>
  <c r="BH239" i="1"/>
  <c r="BH365" i="1" s="1"/>
  <c r="BG280" i="1"/>
  <c r="BG321" i="1"/>
  <c r="BZ258" i="1"/>
  <c r="BZ176" i="1"/>
  <c r="BY299" i="1"/>
  <c r="BO176" i="1"/>
  <c r="BN299" i="1"/>
  <c r="BO217" i="1"/>
  <c r="BO343" i="1" s="1"/>
  <c r="BO258" i="1"/>
  <c r="BS223" i="1"/>
  <c r="BS349" i="1" s="1"/>
  <c r="BR305" i="1"/>
  <c r="BS264" i="1"/>
  <c r="BC141" i="1"/>
  <c r="CN141" i="1"/>
  <c r="BM305" i="1"/>
  <c r="CI141" i="1"/>
  <c r="BN264" i="1"/>
  <c r="BL182" i="1"/>
  <c r="BL223" i="1"/>
  <c r="BL349" i="1" s="1"/>
  <c r="BK305" i="1"/>
  <c r="CG141" i="1"/>
  <c r="BL264" i="1"/>
  <c r="BM270" i="1"/>
  <c r="BL311" i="1"/>
  <c r="BM229" i="1"/>
  <c r="BM355" i="1" s="1"/>
  <c r="BM188" i="1"/>
  <c r="CD153" i="1"/>
  <c r="BH317" i="1"/>
  <c r="BN323" i="1"/>
  <c r="BO282" i="1"/>
  <c r="BO241" i="1"/>
  <c r="BO367" i="1" s="1"/>
  <c r="CJ159" i="1"/>
  <c r="BO200" i="1"/>
  <c r="FR10" i="1"/>
  <c r="GG34" i="4"/>
  <c r="DN194" i="1"/>
  <c r="GG47" i="4"/>
  <c r="G15" i="10"/>
  <c r="CN5" i="1"/>
  <c r="CE26" i="1"/>
  <c r="BU11" i="1"/>
  <c r="DA41" i="1"/>
  <c r="BG313" i="1"/>
  <c r="AJ23" i="7"/>
  <c r="BH233" i="1"/>
  <c r="BH359" i="1" s="1"/>
  <c r="BN223" i="1"/>
  <c r="BN349" i="1" s="1"/>
  <c r="GG41" i="4"/>
  <c r="DA20" i="1"/>
  <c r="BU14" i="1"/>
  <c r="CN14" i="1"/>
  <c r="BU18" i="1"/>
  <c r="DA22" i="1"/>
  <c r="AJ30" i="7"/>
  <c r="CS139" i="1"/>
  <c r="CI127" i="1"/>
  <c r="CJ135" i="1"/>
  <c r="CS135" i="1"/>
  <c r="J10" i="10"/>
  <c r="J10" i="14"/>
  <c r="CA259" i="1"/>
  <c r="CA177" i="1"/>
  <c r="CA218" i="1"/>
  <c r="CA344" i="1" s="1"/>
  <c r="BZ300" i="1"/>
  <c r="DX36" i="1"/>
  <c r="BW242" i="1"/>
  <c r="BW368" i="1" s="1"/>
  <c r="BV324" i="1"/>
  <c r="AR46" i="10"/>
  <c r="H46" i="10"/>
  <c r="R46" i="10"/>
  <c r="V46" i="10"/>
  <c r="Z46" i="10"/>
  <c r="N46" i="10"/>
  <c r="AX46" i="10"/>
  <c r="AP46" i="10"/>
  <c r="AT46" i="10"/>
  <c r="P46" i="10"/>
  <c r="J20" i="10"/>
  <c r="J20" i="14"/>
  <c r="N24" i="10"/>
  <c r="N24" i="14"/>
  <c r="BW289" i="1"/>
  <c r="BX207" i="1"/>
  <c r="BX333" i="1" s="1"/>
  <c r="BB137" i="1"/>
  <c r="BH260" i="1"/>
  <c r="BG301" i="1"/>
  <c r="CC137" i="1"/>
  <c r="BD137" i="1" s="1"/>
  <c r="BD178" i="1" s="1"/>
  <c r="BH219" i="1"/>
  <c r="BH345" i="1" s="1"/>
  <c r="CP137" i="1"/>
  <c r="BU178" i="1"/>
  <c r="BU219" i="1"/>
  <c r="BU345" i="1" s="1"/>
  <c r="BU260" i="1"/>
  <c r="BZ301" i="1"/>
  <c r="CV137" i="1"/>
  <c r="AP137" i="1" s="1"/>
  <c r="CA260" i="1"/>
  <c r="BJ301" i="1"/>
  <c r="CF137" i="1"/>
  <c r="BK260" i="1"/>
  <c r="BK178" i="1"/>
  <c r="BU184" i="1"/>
  <c r="CP143" i="1"/>
  <c r="BU225" i="1"/>
  <c r="BU351" i="1" s="1"/>
  <c r="BT307" i="1"/>
  <c r="BO190" i="1"/>
  <c r="BO272" i="1"/>
  <c r="CJ149" i="1"/>
  <c r="BN313" i="1"/>
  <c r="T43" i="10"/>
  <c r="T43" i="14"/>
  <c r="R43" i="14"/>
  <c r="R43" i="10"/>
  <c r="O28" i="10"/>
  <c r="AT28" i="10"/>
  <c r="BK27" i="20"/>
  <c r="EF27" i="20"/>
  <c r="BL27" i="20" s="1"/>
  <c r="CN149" i="1"/>
  <c r="BS272" i="1"/>
  <c r="BS190" i="1"/>
  <c r="V39" i="10"/>
  <c r="L8" i="10"/>
  <c r="S8" i="14"/>
  <c r="X44" i="10"/>
  <c r="BC154" i="1"/>
  <c r="AY154" i="1" s="1"/>
  <c r="BX277" i="1"/>
  <c r="CT156" i="1"/>
  <c r="BY279" i="1"/>
  <c r="BY238" i="1"/>
  <c r="BY364" i="1" s="1"/>
  <c r="BT240" i="1"/>
  <c r="BT366" i="1" s="1"/>
  <c r="BT199" i="1"/>
  <c r="Q12" i="14"/>
  <c r="Q12" i="10"/>
  <c r="FE33" i="1"/>
  <c r="CG33" i="1"/>
  <c r="DY32" i="1"/>
  <c r="DZ32" i="1" s="1"/>
  <c r="EA32" i="1" s="1"/>
  <c r="EB32" i="1" s="1"/>
  <c r="EC32" i="1" s="1"/>
  <c r="ED32" i="1" s="1"/>
  <c r="EE32" i="1" s="1"/>
  <c r="AL14" i="10"/>
  <c r="Q14" i="10"/>
  <c r="R14" i="10"/>
  <c r="AF38" i="10"/>
  <c r="N28" i="14"/>
  <c r="DX43" i="1"/>
  <c r="CJ57" i="17"/>
  <c r="AH57" i="17"/>
  <c r="K14" i="10"/>
  <c r="AH14" i="10"/>
  <c r="DY18" i="1"/>
  <c r="DZ18" i="1" s="1"/>
  <c r="EA18" i="1" s="1"/>
  <c r="EB18" i="1" s="1"/>
  <c r="EC18" i="1" s="1"/>
  <c r="ED18" i="1" s="1"/>
  <c r="EE18" i="1" s="1"/>
  <c r="S11" i="10"/>
  <c r="P14" i="10"/>
  <c r="CG27" i="1"/>
  <c r="BX14" i="1"/>
  <c r="CW14" i="1"/>
  <c r="EI47" i="1"/>
  <c r="EJ47" i="1" s="1"/>
  <c r="EK47" i="1" s="1"/>
  <c r="BJ313" i="1"/>
  <c r="BK272" i="1"/>
  <c r="BI172" i="1"/>
  <c r="BI213" i="1"/>
  <c r="BI339" i="1" s="1"/>
  <c r="CD131" i="1"/>
  <c r="BH295" i="1"/>
  <c r="BI254" i="1"/>
  <c r="BI168" i="1"/>
  <c r="BI209" i="1"/>
  <c r="BI335" i="1" s="1"/>
  <c r="BH291" i="1"/>
  <c r="BP291" i="1"/>
  <c r="CL127" i="1"/>
  <c r="BQ168" i="1"/>
  <c r="BS168" i="1"/>
  <c r="BS250" i="1"/>
  <c r="BS209" i="1"/>
  <c r="BS335" i="1" s="1"/>
  <c r="CN127" i="1"/>
  <c r="BR291" i="1"/>
  <c r="CG133" i="1"/>
  <c r="BK297" i="1"/>
  <c r="BL215" i="1"/>
  <c r="BL341" i="1" s="1"/>
  <c r="BL256" i="1"/>
  <c r="BL174" i="1"/>
  <c r="BL221" i="1"/>
  <c r="BL347" i="1" s="1"/>
  <c r="BL262" i="1"/>
  <c r="BK303" i="1"/>
  <c r="CG139" i="1"/>
  <c r="BL180" i="1"/>
  <c r="BJ211" i="1"/>
  <c r="BJ337" i="1" s="1"/>
  <c r="BI293" i="1"/>
  <c r="BJ252" i="1"/>
  <c r="CE129" i="1"/>
  <c r="BK229" i="1"/>
  <c r="BK355" i="1" s="1"/>
  <c r="BJ311" i="1"/>
  <c r="BK188" i="1"/>
  <c r="BK270" i="1"/>
  <c r="CF147" i="1"/>
  <c r="BI241" i="1"/>
  <c r="BI367" i="1" s="1"/>
  <c r="CD159" i="1"/>
  <c r="BI282" i="1"/>
  <c r="BU200" i="1"/>
  <c r="BT323" i="1"/>
  <c r="BQ15" i="1"/>
  <c r="DN181" i="1"/>
  <c r="DN196" i="1"/>
  <c r="FR12" i="1"/>
  <c r="DN171" i="1"/>
  <c r="FR21" i="1"/>
  <c r="BQ34" i="1"/>
  <c r="CW36" i="1"/>
  <c r="CG26" i="1"/>
  <c r="GH24" i="4"/>
  <c r="GH18" i="4"/>
  <c r="GH38" i="4"/>
  <c r="GH16" i="4"/>
  <c r="BX19" i="1"/>
  <c r="CG15" i="1"/>
  <c r="DR29" i="20"/>
  <c r="AW29" i="20" s="1"/>
  <c r="BX11" i="1"/>
  <c r="EK11" i="1"/>
  <c r="F14" i="14"/>
  <c r="G16" i="14"/>
  <c r="H20" i="10"/>
  <c r="K48" i="14"/>
  <c r="K31" i="10"/>
  <c r="L28" i="10"/>
  <c r="L8" i="14"/>
  <c r="L12" i="14"/>
  <c r="M31" i="10"/>
  <c r="N32" i="10"/>
  <c r="Q28" i="10"/>
  <c r="R28" i="10"/>
  <c r="T33" i="14"/>
  <c r="AH31" i="10"/>
  <c r="M33" i="14"/>
  <c r="X28" i="10"/>
  <c r="N30" i="10"/>
  <c r="BG252" i="1"/>
  <c r="P38" i="14"/>
  <c r="BV314" i="1"/>
  <c r="BQ324" i="1"/>
  <c r="BS274" i="1"/>
  <c r="BS242" i="1"/>
  <c r="BS368" i="1" s="1"/>
  <c r="BR324" i="1"/>
  <c r="BM283" i="1"/>
  <c r="CW35" i="1"/>
  <c r="CG45" i="1"/>
  <c r="CG17" i="1"/>
  <c r="BX32" i="1"/>
  <c r="CG18" i="1"/>
  <c r="BX34" i="1"/>
  <c r="CW22" i="1"/>
  <c r="H48" i="14"/>
  <c r="CG12" i="1"/>
  <c r="CG34" i="1"/>
  <c r="AU43" i="1"/>
  <c r="GP45" i="4" s="1"/>
  <c r="CG23" i="1"/>
  <c r="FE19" i="1"/>
  <c r="BE159" i="1"/>
  <c r="AF48" i="7" s="1"/>
  <c r="BO170" i="1"/>
  <c r="BP214" i="1"/>
  <c r="BP340" i="1" s="1"/>
  <c r="BI216" i="1"/>
  <c r="BI342" i="1" s="1"/>
  <c r="BM314" i="1"/>
  <c r="BG322" i="1"/>
  <c r="BY273" i="1"/>
  <c r="CF146" i="1"/>
  <c r="CT125" i="1"/>
  <c r="CB280" i="1"/>
  <c r="BL289" i="1"/>
  <c r="CP159" i="1"/>
  <c r="BQ274" i="1"/>
  <c r="CG39" i="1"/>
  <c r="BH265" i="1"/>
  <c r="BY182" i="1"/>
  <c r="BJ260" i="1"/>
  <c r="R34" i="10"/>
  <c r="CT137" i="1"/>
  <c r="BY178" i="1"/>
  <c r="BC135" i="1"/>
  <c r="BV200" i="1"/>
  <c r="CA323" i="1"/>
  <c r="BQ25" i="1"/>
  <c r="BQ43" i="1"/>
  <c r="GX29" i="4" s="1"/>
  <c r="CG14" i="1"/>
  <c r="CW45" i="1"/>
  <c r="M15" i="14"/>
  <c r="AU34" i="1"/>
  <c r="GP36" i="4" s="1"/>
  <c r="CP147" i="1"/>
  <c r="BG265" i="1"/>
  <c r="BW201" i="1"/>
  <c r="BM198" i="1"/>
  <c r="BJ196" i="1"/>
  <c r="BH303" i="1"/>
  <c r="BJ219" i="1"/>
  <c r="BJ345" i="1" s="1"/>
  <c r="BX305" i="1"/>
  <c r="BU258" i="1"/>
  <c r="BQ176" i="1"/>
  <c r="BM317" i="1"/>
  <c r="N16" i="14"/>
  <c r="BY190" i="1"/>
  <c r="FE12" i="1"/>
  <c r="FE30" i="1"/>
  <c r="FE38" i="1"/>
  <c r="BX29" i="1"/>
  <c r="EK25" i="1"/>
  <c r="BJ322" i="1"/>
  <c r="BW262" i="1"/>
  <c r="BI260" i="1"/>
  <c r="CD137" i="1"/>
  <c r="BW223" i="1"/>
  <c r="BW349" i="1" s="1"/>
  <c r="BR182" i="1"/>
  <c r="BE135" i="1"/>
  <c r="BJ250" i="1"/>
  <c r="BC127" i="1"/>
  <c r="CW146" i="1"/>
  <c r="AQ146" i="1" s="1"/>
  <c r="BT309" i="1"/>
  <c r="BQ309" i="1"/>
  <c r="BR268" i="1"/>
  <c r="CE159" i="1"/>
  <c r="P28" i="10"/>
  <c r="AJ31" i="10"/>
  <c r="AD31" i="10"/>
  <c r="BN257" i="1"/>
  <c r="BR279" i="1"/>
  <c r="CP127" i="1"/>
  <c r="BR304" i="1"/>
  <c r="BH252" i="1"/>
  <c r="BX281" i="1"/>
  <c r="BV174" i="1"/>
  <c r="BT220" i="1"/>
  <c r="BT346" i="1" s="1"/>
  <c r="BV223" i="1"/>
  <c r="BV349" i="1" s="1"/>
  <c r="BM258" i="1"/>
  <c r="BX45" i="1"/>
  <c r="BX28" i="1"/>
  <c r="P45" i="14"/>
  <c r="Q45" i="10"/>
  <c r="BX25" i="1"/>
  <c r="BX39" i="1"/>
  <c r="CW21" i="1"/>
  <c r="R29" i="7"/>
  <c r="BP272" i="1"/>
  <c r="O14" i="14"/>
  <c r="BQ39" i="1"/>
  <c r="GX25" i="4" s="1"/>
  <c r="AH28" i="10"/>
  <c r="CB239" i="1"/>
  <c r="CB365" i="1" s="1"/>
  <c r="BW178" i="1"/>
  <c r="BK221" i="1"/>
  <c r="BK347" i="1" s="1"/>
  <c r="CP139" i="1"/>
  <c r="BN301" i="1"/>
  <c r="BW301" i="1"/>
  <c r="BW305" i="1"/>
  <c r="CA299" i="1"/>
  <c r="BM233" i="1"/>
  <c r="BM359" i="1" s="1"/>
  <c r="R31" i="10"/>
  <c r="FW44" i="4"/>
  <c r="CW13" i="1"/>
  <c r="M32" i="14"/>
  <c r="EK43" i="1"/>
  <c r="AA31" i="10"/>
  <c r="AI31" i="10"/>
  <c r="AO31" i="10"/>
  <c r="U31" i="10"/>
  <c r="BY276" i="1"/>
  <c r="BT276" i="1"/>
  <c r="BM166" i="1"/>
  <c r="T16" i="14"/>
  <c r="J46" i="14"/>
  <c r="BQ44" i="1"/>
  <c r="GX30" i="4" s="1"/>
  <c r="CW27" i="1"/>
  <c r="AL11" i="10"/>
  <c r="GH15" i="4"/>
  <c r="DY28" i="1"/>
  <c r="DZ28" i="1" s="1"/>
  <c r="EA28" i="1" s="1"/>
  <c r="EB28" i="1" s="1"/>
  <c r="EC28" i="1" s="1"/>
  <c r="ED28" i="1" s="1"/>
  <c r="EE28" i="1" s="1"/>
  <c r="DX28" i="1"/>
  <c r="R48" i="14"/>
  <c r="R48" i="10"/>
  <c r="R43" i="7"/>
  <c r="BQ248" i="1"/>
  <c r="CL125" i="1"/>
  <c r="BP289" i="1"/>
  <c r="BQ207" i="1"/>
  <c r="BQ333" i="1" s="1"/>
  <c r="BQ166" i="1"/>
  <c r="BK248" i="1"/>
  <c r="CF125" i="1"/>
  <c r="BK207" i="1"/>
  <c r="BK333" i="1" s="1"/>
  <c r="BJ289" i="1"/>
  <c r="BK166" i="1"/>
  <c r="BE125" i="1"/>
  <c r="CZ125" i="1" s="1"/>
  <c r="BH289" i="1"/>
  <c r="BI248" i="1"/>
  <c r="BI166" i="1"/>
  <c r="BI207" i="1"/>
  <c r="BI333" i="1" s="1"/>
  <c r="CD125" i="1"/>
  <c r="BY254" i="1"/>
  <c r="BY213" i="1"/>
  <c r="BY339" i="1" s="1"/>
  <c r="CB260" i="1"/>
  <c r="BE137" i="1"/>
  <c r="CZ137" i="1" s="1"/>
  <c r="BI225" i="1"/>
  <c r="BI351" i="1" s="1"/>
  <c r="CD143" i="1"/>
  <c r="BH307" i="1"/>
  <c r="BI266" i="1"/>
  <c r="BX237" i="1"/>
  <c r="BX363" i="1" s="1"/>
  <c r="CS155" i="1"/>
  <c r="BW319" i="1"/>
  <c r="BV231" i="1"/>
  <c r="BV357" i="1" s="1"/>
  <c r="CQ149" i="1"/>
  <c r="BW209" i="1"/>
  <c r="BW335" i="1" s="1"/>
  <c r="BW250" i="1"/>
  <c r="BW168" i="1"/>
  <c r="CR127" i="1"/>
  <c r="BV291" i="1"/>
  <c r="BQ291" i="1"/>
  <c r="BR168" i="1"/>
  <c r="BR209" i="1"/>
  <c r="BR335" i="1" s="1"/>
  <c r="CM127" i="1"/>
  <c r="BR250" i="1"/>
  <c r="BK168" i="1"/>
  <c r="CF127" i="1"/>
  <c r="BK250" i="1"/>
  <c r="BK209" i="1"/>
  <c r="BK335" i="1" s="1"/>
  <c r="BJ291" i="1"/>
  <c r="CA291" i="1"/>
  <c r="CB209" i="1"/>
  <c r="CB335" i="1" s="1"/>
  <c r="CB250" i="1"/>
  <c r="CW127" i="1"/>
  <c r="AQ127" i="1" s="1"/>
  <c r="BZ168" i="1"/>
  <c r="BY291" i="1"/>
  <c r="BZ209" i="1"/>
  <c r="BZ335" i="1" s="1"/>
  <c r="BZ250" i="1"/>
  <c r="CU127" i="1"/>
  <c r="BH256" i="1"/>
  <c r="BG256" i="1"/>
  <c r="BB133" i="1"/>
  <c r="BG297" i="1"/>
  <c r="BV180" i="1"/>
  <c r="BV221" i="1"/>
  <c r="BV347" i="1" s="1"/>
  <c r="CA268" i="1"/>
  <c r="CV145" i="1"/>
  <c r="AP145" i="1" s="1"/>
  <c r="CJ145" i="1"/>
  <c r="BO227" i="1"/>
  <c r="BO353" i="1" s="1"/>
  <c r="BL309" i="1"/>
  <c r="BM186" i="1"/>
  <c r="BM227" i="1"/>
  <c r="BM353" i="1" s="1"/>
  <c r="CH145" i="1"/>
  <c r="BY315" i="1"/>
  <c r="BZ274" i="1"/>
  <c r="BZ233" i="1"/>
  <c r="BZ359" i="1" s="1"/>
  <c r="BZ192" i="1"/>
  <c r="BN315" i="1"/>
  <c r="BO274" i="1"/>
  <c r="BO192" i="1"/>
  <c r="BG272" i="1"/>
  <c r="BH231" i="1"/>
  <c r="BH357" i="1" s="1"/>
  <c r="CC149" i="1"/>
  <c r="BD149" i="1" s="1"/>
  <c r="CB149" i="1" s="1"/>
  <c r="BH190" i="1"/>
  <c r="BB149" i="1"/>
  <c r="BX170" i="1"/>
  <c r="BW293" i="1"/>
  <c r="BX252" i="1"/>
  <c r="BX211" i="1"/>
  <c r="BX337" i="1" s="1"/>
  <c r="CS129" i="1"/>
  <c r="BM211" i="1"/>
  <c r="BM337" i="1" s="1"/>
  <c r="BL293" i="1"/>
  <c r="BM170" i="1"/>
  <c r="BI211" i="1"/>
  <c r="BI337" i="1" s="1"/>
  <c r="CD129" i="1"/>
  <c r="BI170" i="1"/>
  <c r="BH293" i="1"/>
  <c r="BI252" i="1"/>
  <c r="BO293" i="1"/>
  <c r="BP252" i="1"/>
  <c r="BP170" i="1"/>
  <c r="BP211" i="1"/>
  <c r="BP337" i="1" s="1"/>
  <c r="CK129" i="1"/>
  <c r="BN252" i="1"/>
  <c r="BM293" i="1"/>
  <c r="CI129" i="1"/>
  <c r="BN170" i="1"/>
  <c r="BN211" i="1"/>
  <c r="BN337" i="1" s="1"/>
  <c r="BZ217" i="1"/>
  <c r="BZ343" i="1" s="1"/>
  <c r="CU135" i="1"/>
  <c r="CW147" i="1"/>
  <c r="AQ147" i="1" s="1"/>
  <c r="CA311" i="1"/>
  <c r="CA276" i="1"/>
  <c r="CA194" i="1"/>
  <c r="BZ317" i="1"/>
  <c r="BZ235" i="1"/>
  <c r="BZ361" i="1" s="1"/>
  <c r="CU153" i="1"/>
  <c r="BZ194" i="1"/>
  <c r="BY317" i="1"/>
  <c r="BZ276" i="1"/>
  <c r="BI194" i="1"/>
  <c r="BI235" i="1"/>
  <c r="BI361" i="1" s="1"/>
  <c r="BM282" i="1"/>
  <c r="CH159" i="1"/>
  <c r="BL323" i="1"/>
  <c r="BM200" i="1"/>
  <c r="CO159" i="1"/>
  <c r="BT200" i="1"/>
  <c r="BS323" i="1"/>
  <c r="BT241" i="1"/>
  <c r="BT367" i="1" s="1"/>
  <c r="BT282" i="1"/>
  <c r="BH200" i="1"/>
  <c r="BG323" i="1"/>
  <c r="BH282" i="1"/>
  <c r="BB159" i="1"/>
  <c r="BG282" i="1"/>
  <c r="BH241" i="1"/>
  <c r="BH367" i="1" s="1"/>
  <c r="AJ34" i="7"/>
  <c r="DX205" i="1"/>
  <c r="FN45" i="1" s="1"/>
  <c r="DX198" i="1"/>
  <c r="FN38" i="1" s="1"/>
  <c r="DX169" i="1"/>
  <c r="FN9" i="1" s="1"/>
  <c r="GG11" i="4"/>
  <c r="GG10" i="4"/>
  <c r="GG28" i="4"/>
  <c r="BV166" i="1"/>
  <c r="BU289" i="1"/>
  <c r="CQ125" i="1"/>
  <c r="BV248" i="1"/>
  <c r="BV207" i="1"/>
  <c r="BV333" i="1" s="1"/>
  <c r="BS307" i="1"/>
  <c r="CO143" i="1"/>
  <c r="BT225" i="1"/>
  <c r="BT351" i="1" s="1"/>
  <c r="BT184" i="1"/>
  <c r="BT266" i="1"/>
  <c r="BK291" i="1"/>
  <c r="BL250" i="1"/>
  <c r="BL209" i="1"/>
  <c r="BL335" i="1" s="1"/>
  <c r="BL168" i="1"/>
  <c r="CG127" i="1"/>
  <c r="BT268" i="1"/>
  <c r="CO145" i="1"/>
  <c r="BK315" i="1"/>
  <c r="BL192" i="1"/>
  <c r="CG151" i="1"/>
  <c r="BL274" i="1"/>
  <c r="BL233" i="1"/>
  <c r="BL359" i="1" s="1"/>
  <c r="BY313" i="1"/>
  <c r="BZ272" i="1"/>
  <c r="BZ231" i="1"/>
  <c r="BZ357" i="1" s="1"/>
  <c r="BZ252" i="1"/>
  <c r="BZ211" i="1"/>
  <c r="BZ337" i="1" s="1"/>
  <c r="CU129" i="1"/>
  <c r="BZ170" i="1"/>
  <c r="BY293" i="1"/>
  <c r="BK282" i="1"/>
  <c r="BK200" i="1"/>
  <c r="BK241" i="1"/>
  <c r="BK367" i="1" s="1"/>
  <c r="GH12" i="4"/>
  <c r="GH28" i="4"/>
  <c r="GH32" i="4"/>
  <c r="GH41" i="4"/>
  <c r="GH20" i="4"/>
  <c r="GH34" i="4"/>
  <c r="GH10" i="4"/>
  <c r="GH13" i="4"/>
  <c r="GH36" i="4"/>
  <c r="GH30" i="4"/>
  <c r="GH22" i="4"/>
  <c r="GH45" i="4"/>
  <c r="GH8" i="4"/>
  <c r="GH39" i="4"/>
  <c r="FR36" i="1"/>
  <c r="DN167" i="1"/>
  <c r="DN200" i="1"/>
  <c r="DN193" i="1"/>
  <c r="DZ182" i="1"/>
  <c r="DN176" i="1"/>
  <c r="FR15" i="1"/>
  <c r="CG36" i="1"/>
  <c r="FE17" i="1"/>
  <c r="CG45" i="20"/>
  <c r="D45" i="20" s="1"/>
  <c r="BQ35" i="1"/>
  <c r="CG22" i="1"/>
  <c r="GH7" i="4"/>
  <c r="GH11" i="4"/>
  <c r="GH14" i="4"/>
  <c r="GH37" i="4"/>
  <c r="CG19" i="1"/>
  <c r="CW15" i="1"/>
  <c r="Q9" i="10"/>
  <c r="DX32" i="1"/>
  <c r="F42" i="10"/>
  <c r="F16" i="14"/>
  <c r="H38" i="14"/>
  <c r="I19" i="14"/>
  <c r="I33" i="14"/>
  <c r="J43" i="14"/>
  <c r="K28" i="10"/>
  <c r="K33" i="14"/>
  <c r="K19" i="14"/>
  <c r="L31" i="10"/>
  <c r="L28" i="14"/>
  <c r="L33" i="14"/>
  <c r="Q29" i="14"/>
  <c r="R10" i="14"/>
  <c r="T28" i="14"/>
  <c r="AL31" i="10"/>
  <c r="AB28" i="10"/>
  <c r="CE147" i="1"/>
  <c r="BG293" i="1"/>
  <c r="BW276" i="1"/>
  <c r="BW191" i="1"/>
  <c r="BE127" i="1"/>
  <c r="CZ127" i="1" s="1"/>
  <c r="CM160" i="1"/>
  <c r="CN160" i="1"/>
  <c r="BM242" i="1"/>
  <c r="BM368" i="1" s="1"/>
  <c r="BL324" i="1"/>
  <c r="CN151" i="1"/>
  <c r="G31" i="10"/>
  <c r="BQ17" i="1"/>
  <c r="CG32" i="1"/>
  <c r="BX26" i="1"/>
  <c r="BX24" i="1"/>
  <c r="P18" i="14"/>
  <c r="BQ20" i="1"/>
  <c r="BX42" i="1"/>
  <c r="FE39" i="1"/>
  <c r="BX22" i="1"/>
  <c r="BQ12" i="1"/>
  <c r="BX41" i="1"/>
  <c r="BX18" i="1"/>
  <c r="FD43" i="1"/>
  <c r="BQ23" i="1"/>
  <c r="BJ241" i="1"/>
  <c r="BJ367" i="1" s="1"/>
  <c r="CJ129" i="1"/>
  <c r="BP173" i="1"/>
  <c r="BI181" i="1"/>
  <c r="BI257" i="1"/>
  <c r="BN273" i="1"/>
  <c r="BH281" i="1"/>
  <c r="BK228" i="1"/>
  <c r="BK354" i="1" s="1"/>
  <c r="CD146" i="1"/>
  <c r="BY207" i="1"/>
  <c r="BY333" i="1" s="1"/>
  <c r="I16" i="14"/>
  <c r="BP315" i="1"/>
  <c r="FE24" i="1"/>
  <c r="BH183" i="1"/>
  <c r="N19" i="14"/>
  <c r="H33" i="14"/>
  <c r="O33" i="14"/>
  <c r="CW38" i="1"/>
  <c r="CK149" i="1"/>
  <c r="BC139" i="1"/>
  <c r="AY139" i="1" s="1"/>
  <c r="BX301" i="1"/>
  <c r="BU323" i="1"/>
  <c r="CB282" i="1"/>
  <c r="BQ31" i="1"/>
  <c r="BQ27" i="1"/>
  <c r="CW40" i="1"/>
  <c r="CG36" i="20"/>
  <c r="DR36" i="20" s="1"/>
  <c r="AW36" i="20" s="1"/>
  <c r="BT311" i="1"/>
  <c r="BB142" i="1"/>
  <c r="BW283" i="1"/>
  <c r="BM280" i="1"/>
  <c r="BL321" i="1"/>
  <c r="BI319" i="1"/>
  <c r="BE141" i="1"/>
  <c r="CZ141" i="1" s="1"/>
  <c r="BT299" i="1"/>
  <c r="BU176" i="1"/>
  <c r="BQ258" i="1"/>
  <c r="BN235" i="1"/>
  <c r="BN361" i="1" s="1"/>
  <c r="M16" i="14"/>
  <c r="BE149" i="1"/>
  <c r="CZ149" i="1" s="1"/>
  <c r="FE43" i="1"/>
  <c r="FE26" i="1"/>
  <c r="FE25" i="1"/>
  <c r="E21" i="14"/>
  <c r="BK199" i="1"/>
  <c r="BK281" i="1"/>
  <c r="BV303" i="1"/>
  <c r="BI178" i="1"/>
  <c r="BW182" i="1"/>
  <c r="BR264" i="1"/>
  <c r="BI291" i="1"/>
  <c r="CB228" i="1"/>
  <c r="CB354" i="1" s="1"/>
  <c r="BE129" i="1"/>
  <c r="BU268" i="1"/>
  <c r="BR227" i="1"/>
  <c r="BR353" i="1" s="1"/>
  <c r="BJ200" i="1"/>
  <c r="BO273" i="1"/>
  <c r="BS222" i="1"/>
  <c r="BS348" i="1" s="1"/>
  <c r="BQ320" i="1"/>
  <c r="BS259" i="1"/>
  <c r="BB129" i="1"/>
  <c r="BX240" i="1"/>
  <c r="BX366" i="1" s="1"/>
  <c r="BW322" i="1"/>
  <c r="BV256" i="1"/>
  <c r="CO138" i="1"/>
  <c r="BW260" i="1"/>
  <c r="BV264" i="1"/>
  <c r="BL299" i="1"/>
  <c r="CG31" i="1"/>
  <c r="CW37" i="1"/>
  <c r="BX44" i="1"/>
  <c r="CW31" i="1"/>
  <c r="L14" i="14"/>
  <c r="Z28" i="10"/>
  <c r="BQ28" i="1"/>
  <c r="CG21" i="1"/>
  <c r="E42" i="10"/>
  <c r="S14" i="14"/>
  <c r="G14" i="14"/>
  <c r="CG16" i="1"/>
  <c r="BQ209" i="1"/>
  <c r="BQ335" i="1" s="1"/>
  <c r="CJ150" i="1"/>
  <c r="BT186" i="1"/>
  <c r="BJ303" i="1"/>
  <c r="BU221" i="1"/>
  <c r="BU347" i="1" s="1"/>
  <c r="BO219" i="1"/>
  <c r="BO345" i="1" s="1"/>
  <c r="BX178" i="1"/>
  <c r="CS141" i="1"/>
  <c r="CB217" i="1"/>
  <c r="CB343" i="1" s="1"/>
  <c r="BM274" i="1"/>
  <c r="I31" i="10"/>
  <c r="AB31" i="10"/>
  <c r="H46" i="14"/>
  <c r="CW19" i="1"/>
  <c r="CW23" i="1"/>
  <c r="N31" i="10"/>
  <c r="AG31" i="10"/>
  <c r="BK43" i="20"/>
  <c r="W31" i="10"/>
  <c r="AS31" i="10"/>
  <c r="Y31" i="10"/>
  <c r="AW31" i="10"/>
  <c r="BC140" i="1"/>
  <c r="BY235" i="1"/>
  <c r="BY361" i="1" s="1"/>
  <c r="CO153" i="1"/>
  <c r="T46" i="14"/>
  <c r="AN31" i="10"/>
  <c r="CW44" i="1"/>
  <c r="AN28" i="10"/>
  <c r="GH19" i="4"/>
  <c r="GH40" i="4"/>
  <c r="CW18" i="1"/>
  <c r="DY25" i="1"/>
  <c r="DZ25" i="1" s="1"/>
  <c r="EA25" i="1" s="1"/>
  <c r="EB25" i="1" s="1"/>
  <c r="EC25" i="1" s="1"/>
  <c r="ED25" i="1" s="1"/>
  <c r="EE25" i="1" s="1"/>
  <c r="BQ42" i="1"/>
  <c r="GX28" i="4" s="1"/>
  <c r="DX25" i="1"/>
  <c r="GH17" i="4"/>
  <c r="BN248" i="1"/>
  <c r="CI125" i="1"/>
  <c r="BN207" i="1"/>
  <c r="BN333" i="1" s="1"/>
  <c r="BN166" i="1"/>
  <c r="BM289" i="1"/>
  <c r="BL166" i="1"/>
  <c r="CG125" i="1"/>
  <c r="BK289" i="1"/>
  <c r="BL248" i="1"/>
  <c r="BL207" i="1"/>
  <c r="BL333" i="1" s="1"/>
  <c r="BX248" i="1"/>
  <c r="CS125" i="1"/>
  <c r="BX166" i="1"/>
  <c r="BO207" i="1"/>
  <c r="BO333" i="1" s="1"/>
  <c r="BO166" i="1"/>
  <c r="CJ125" i="1"/>
  <c r="BQ289" i="1"/>
  <c r="BR207" i="1"/>
  <c r="BR333" i="1" s="1"/>
  <c r="BR248" i="1"/>
  <c r="BR166" i="1"/>
  <c r="CM125" i="1"/>
  <c r="BR172" i="1"/>
  <c r="BR213" i="1"/>
  <c r="BR339" i="1" s="1"/>
  <c r="BQ295" i="1"/>
  <c r="BR254" i="1"/>
  <c r="CM131" i="1"/>
  <c r="CH137" i="1"/>
  <c r="BL301" i="1"/>
  <c r="BM178" i="1"/>
  <c r="BL266" i="1"/>
  <c r="BK307" i="1"/>
  <c r="BL225" i="1"/>
  <c r="BL351" i="1" s="1"/>
  <c r="BS291" i="1"/>
  <c r="BT209" i="1"/>
  <c r="BT335" i="1" s="1"/>
  <c r="BT250" i="1"/>
  <c r="CO127" i="1"/>
  <c r="BT168" i="1"/>
  <c r="BG250" i="1"/>
  <c r="BG291" i="1"/>
  <c r="BB127" i="1"/>
  <c r="BH209" i="1"/>
  <c r="BH335" i="1" s="1"/>
  <c r="BH168" i="1"/>
  <c r="BH250" i="1"/>
  <c r="CC127" i="1"/>
  <c r="BD127" i="1" s="1"/>
  <c r="BM168" i="1"/>
  <c r="BM250" i="1"/>
  <c r="CH127" i="1"/>
  <c r="BL291" i="1"/>
  <c r="BM209" i="1"/>
  <c r="BM335" i="1" s="1"/>
  <c r="BY168" i="1"/>
  <c r="CT127" i="1"/>
  <c r="BX291" i="1"/>
  <c r="BY209" i="1"/>
  <c r="BY335" i="1" s="1"/>
  <c r="BY250" i="1"/>
  <c r="BO291" i="1"/>
  <c r="BP168" i="1"/>
  <c r="BP250" i="1"/>
  <c r="CK127" i="1"/>
  <c r="BJ297" i="1"/>
  <c r="BK215" i="1"/>
  <c r="BK341" i="1" s="1"/>
  <c r="CF133" i="1"/>
  <c r="BK256" i="1"/>
  <c r="BK174" i="1"/>
  <c r="BO297" i="1"/>
  <c r="CK133" i="1"/>
  <c r="BP215" i="1"/>
  <c r="BP341" i="1" s="1"/>
  <c r="CW139" i="1"/>
  <c r="AQ139" i="1" s="1"/>
  <c r="CB221" i="1"/>
  <c r="CB347" i="1" s="1"/>
  <c r="BE139" i="1"/>
  <c r="CA303" i="1"/>
  <c r="CF145" i="1"/>
  <c r="BK186" i="1"/>
  <c r="BJ309" i="1"/>
  <c r="BK268" i="1"/>
  <c r="BJ268" i="1"/>
  <c r="CE145" i="1"/>
  <c r="BJ186" i="1"/>
  <c r="BX186" i="1"/>
  <c r="CS145" i="1"/>
  <c r="BK309" i="1"/>
  <c r="BL186" i="1"/>
  <c r="BL268" i="1"/>
  <c r="BX233" i="1"/>
  <c r="BX359" i="1" s="1"/>
  <c r="BX274" i="1"/>
  <c r="BX192" i="1"/>
  <c r="CS151" i="1"/>
  <c r="BK233" i="1"/>
  <c r="BK359" i="1" s="1"/>
  <c r="BK192" i="1"/>
  <c r="CF151" i="1"/>
  <c r="BN321" i="1"/>
  <c r="BO280" i="1"/>
  <c r="BJ231" i="1"/>
  <c r="BJ357" i="1" s="1"/>
  <c r="CE149" i="1"/>
  <c r="BJ190" i="1"/>
  <c r="BI313" i="1"/>
  <c r="BJ272" i="1"/>
  <c r="BU190" i="1"/>
  <c r="BU272" i="1"/>
  <c r="BT313" i="1"/>
  <c r="BU231" i="1"/>
  <c r="BU357" i="1" s="1"/>
  <c r="CP149" i="1"/>
  <c r="BR211" i="1"/>
  <c r="BR337" i="1" s="1"/>
  <c r="CM129" i="1"/>
  <c r="BR170" i="1"/>
  <c r="BR252" i="1"/>
  <c r="BQ293" i="1"/>
  <c r="BQ170" i="1"/>
  <c r="BQ211" i="1"/>
  <c r="BQ337" i="1" s="1"/>
  <c r="CP129" i="1"/>
  <c r="BU211" i="1"/>
  <c r="BU337" i="1" s="1"/>
  <c r="BU170" i="1"/>
  <c r="BU252" i="1"/>
  <c r="BT293" i="1"/>
  <c r="BL217" i="1"/>
  <c r="BL343" i="1" s="1"/>
  <c r="BL176" i="1"/>
  <c r="BL258" i="1"/>
  <c r="CB276" i="1"/>
  <c r="CB235" i="1"/>
  <c r="CB361" i="1" s="1"/>
  <c r="CF153" i="1"/>
  <c r="BK194" i="1"/>
  <c r="BJ317" i="1"/>
  <c r="BK276" i="1"/>
  <c r="BK235" i="1"/>
  <c r="BK361" i="1" s="1"/>
  <c r="BM235" i="1"/>
  <c r="BM361" i="1" s="1"/>
  <c r="BM276" i="1"/>
  <c r="CH153" i="1"/>
  <c r="BL317" i="1"/>
  <c r="BM194" i="1"/>
  <c r="BL200" i="1"/>
  <c r="BK323" i="1"/>
  <c r="BQ241" i="1"/>
  <c r="BQ367" i="1" s="1"/>
  <c r="BP323" i="1"/>
  <c r="CA200" i="1"/>
  <c r="CA282" i="1"/>
  <c r="BZ323" i="1"/>
  <c r="CA241" i="1"/>
  <c r="CA367" i="1" s="1"/>
  <c r="CV159" i="1"/>
  <c r="AP159" i="1" s="1"/>
  <c r="GE18" i="4"/>
  <c r="GE47" i="4"/>
  <c r="GE24" i="4"/>
  <c r="GE12" i="4"/>
  <c r="GE14" i="4"/>
  <c r="GE10" i="4"/>
  <c r="GE41" i="4"/>
  <c r="GE11" i="4"/>
  <c r="GE39" i="4"/>
  <c r="GE32" i="4"/>
  <c r="GE7" i="4"/>
  <c r="GE30" i="4"/>
  <c r="GE16" i="4"/>
  <c r="GE34" i="4"/>
  <c r="GE13" i="4"/>
  <c r="GE8" i="4"/>
  <c r="GE28" i="4"/>
  <c r="GE36" i="4"/>
  <c r="GE22" i="4"/>
  <c r="GE26" i="4"/>
  <c r="GE20" i="4"/>
  <c r="GE43" i="4"/>
  <c r="GE45" i="4"/>
  <c r="CA16" i="1"/>
  <c r="CA28" i="1"/>
  <c r="CA19" i="1"/>
  <c r="CA45" i="1"/>
  <c r="CA10" i="1"/>
  <c r="GF16" i="4"/>
  <c r="GF22" i="4"/>
  <c r="GF47" i="4"/>
  <c r="GF14" i="4"/>
  <c r="GF13" i="4"/>
  <c r="GF11" i="4"/>
  <c r="GF18" i="4"/>
  <c r="GF45" i="4"/>
  <c r="GF10" i="4"/>
  <c r="GF43" i="4"/>
  <c r="GF32" i="4"/>
  <c r="GF8" i="4"/>
  <c r="GF30" i="4"/>
  <c r="GF39" i="4"/>
  <c r="GF28" i="4"/>
  <c r="GF26" i="4"/>
  <c r="GF20" i="4"/>
  <c r="GF12" i="4"/>
  <c r="GF34" i="4"/>
  <c r="GF7" i="4"/>
  <c r="CE6" i="1"/>
  <c r="CE35" i="1"/>
  <c r="CE16" i="1"/>
  <c r="CN34" i="1"/>
  <c r="BU39" i="1"/>
  <c r="CJ10" i="1"/>
  <c r="CJ27" i="1"/>
  <c r="CJ29" i="1"/>
  <c r="CJ31" i="1"/>
  <c r="CJ12" i="1"/>
  <c r="CN16" i="1"/>
  <c r="FV34" i="4"/>
  <c r="FV17" i="4"/>
  <c r="FV7" i="4"/>
  <c r="FV23" i="4"/>
  <c r="FV46" i="4"/>
  <c r="FV11" i="4"/>
  <c r="FV32" i="4"/>
  <c r="FV9" i="4"/>
  <c r="FV20" i="4"/>
  <c r="CN7" i="1"/>
  <c r="J48" i="10"/>
  <c r="J48" i="14"/>
  <c r="BU207" i="1"/>
  <c r="BU333" i="1" s="1"/>
  <c r="CP125" i="1"/>
  <c r="BU248" i="1"/>
  <c r="BU166" i="1"/>
  <c r="BT289" i="1"/>
  <c r="BZ166" i="1"/>
  <c r="BZ207" i="1"/>
  <c r="BZ333" i="1" s="1"/>
  <c r="BY289" i="1"/>
  <c r="CU125" i="1"/>
  <c r="BZ248" i="1"/>
  <c r="BU209" i="1"/>
  <c r="BU335" i="1" s="1"/>
  <c r="BT291" i="1"/>
  <c r="BZ215" i="1"/>
  <c r="BZ341" i="1" s="1"/>
  <c r="BY297" i="1"/>
  <c r="BZ256" i="1"/>
  <c r="CU133" i="1"/>
  <c r="BZ174" i="1"/>
  <c r="BI180" i="1"/>
  <c r="BI221" i="1"/>
  <c r="BI347" i="1" s="1"/>
  <c r="BG309" i="1"/>
  <c r="BH268" i="1"/>
  <c r="BG268" i="1"/>
  <c r="BH227" i="1"/>
  <c r="BH353" i="1" s="1"/>
  <c r="BV211" i="1"/>
  <c r="BV337" i="1" s="1"/>
  <c r="BV252" i="1"/>
  <c r="BV170" i="1"/>
  <c r="CQ129" i="1"/>
  <c r="BU293" i="1"/>
  <c r="CF135" i="1"/>
  <c r="BJ299" i="1"/>
  <c r="BV317" i="1"/>
  <c r="BW194" i="1"/>
  <c r="BW235" i="1"/>
  <c r="BW361" i="1" s="1"/>
  <c r="CG37" i="1"/>
  <c r="CG44" i="1"/>
  <c r="DN187" i="1"/>
  <c r="DN175" i="1"/>
  <c r="FR23" i="1"/>
  <c r="FR44" i="1"/>
  <c r="FR27" i="1"/>
  <c r="BX35" i="1"/>
  <c r="FE13" i="1"/>
  <c r="AD28" i="10"/>
  <c r="CG40" i="1"/>
  <c r="CW24" i="1"/>
  <c r="GH47" i="4"/>
  <c r="GH44" i="4"/>
  <c r="GH43" i="4"/>
  <c r="GH29" i="4"/>
  <c r="BX15" i="1"/>
  <c r="N26" i="14"/>
  <c r="J14" i="14"/>
  <c r="K12" i="14"/>
  <c r="L34" i="10"/>
  <c r="P16" i="14"/>
  <c r="T38" i="14"/>
  <c r="T31" i="10"/>
  <c r="Z31" i="10"/>
  <c r="T14" i="14"/>
  <c r="CF159" i="1"/>
  <c r="BH323" i="1"/>
  <c r="CR150" i="1"/>
  <c r="CD127" i="1"/>
  <c r="P33" i="14"/>
  <c r="BK254" i="1"/>
  <c r="BR315" i="1"/>
  <c r="FE27" i="1"/>
  <c r="CG35" i="1"/>
  <c r="CG25" i="1"/>
  <c r="BX31" i="1"/>
  <c r="O31" i="10"/>
  <c r="FE28" i="1"/>
  <c r="GH46" i="4"/>
  <c r="CW12" i="1"/>
  <c r="FT32" i="1"/>
  <c r="CU149" i="1"/>
  <c r="CW33" i="1"/>
  <c r="O16" i="14"/>
  <c r="BR238" i="1"/>
  <c r="BR364" i="1" s="1"/>
  <c r="BO252" i="1"/>
  <c r="BC131" i="1"/>
  <c r="BP255" i="1"/>
  <c r="BH298" i="1"/>
  <c r="CI150" i="1"/>
  <c r="BK269" i="1"/>
  <c r="BX289" i="1"/>
  <c r="BU282" i="1"/>
  <c r="BQ233" i="1"/>
  <c r="BQ359" i="1" s="1"/>
  <c r="BQ40" i="1"/>
  <c r="GX26" i="4" s="1"/>
  <c r="BR283" i="1"/>
  <c r="CW17" i="1"/>
  <c r="FE45" i="1"/>
  <c r="BY219" i="1"/>
  <c r="BY345" i="1" s="1"/>
  <c r="CQ159" i="1"/>
  <c r="BQ38" i="1"/>
  <c r="GX24" i="4" s="1"/>
  <c r="BQ32" i="1"/>
  <c r="CW32" i="1"/>
  <c r="BU229" i="1"/>
  <c r="BU355" i="1" s="1"/>
  <c r="BG306" i="1"/>
  <c r="CR160" i="1"/>
  <c r="CE155" i="1"/>
  <c r="CD139" i="1"/>
  <c r="BI301" i="1"/>
  <c r="BY223" i="1"/>
  <c r="BY349" i="1" s="1"/>
  <c r="CL135" i="1"/>
  <c r="BN276" i="1"/>
  <c r="J16" i="14"/>
  <c r="BC129" i="1"/>
  <c r="BY231" i="1"/>
  <c r="BY357" i="1" s="1"/>
  <c r="FE14" i="1"/>
  <c r="FE23" i="1"/>
  <c r="FE22" i="1"/>
  <c r="BW180" i="1"/>
  <c r="BR223" i="1"/>
  <c r="BR349" i="1" s="1"/>
  <c r="BJ282" i="1"/>
  <c r="AT31" i="10"/>
  <c r="BN314" i="1"/>
  <c r="BS177" i="1"/>
  <c r="BC144" i="1"/>
  <c r="AY144" i="1" s="1"/>
  <c r="BE158" i="1"/>
  <c r="CZ158" i="1" s="1"/>
  <c r="BR300" i="1"/>
  <c r="CC129" i="1"/>
  <c r="BD129" i="1" s="1"/>
  <c r="CQ133" i="1"/>
  <c r="F10" i="10"/>
  <c r="BT179" i="1"/>
  <c r="CH135" i="1"/>
  <c r="BQ37" i="1"/>
  <c r="GX23" i="4" s="1"/>
  <c r="BX21" i="1"/>
  <c r="BX16" i="1"/>
  <c r="BX13" i="1"/>
  <c r="BX43" i="1"/>
  <c r="AF35" i="10"/>
  <c r="BX37" i="1"/>
  <c r="H14" i="14"/>
  <c r="BQ45" i="1"/>
  <c r="GX31" i="4" s="1"/>
  <c r="BC149" i="1"/>
  <c r="P14" i="14"/>
  <c r="BQ16" i="1"/>
  <c r="CW39" i="1"/>
  <c r="I14" i="14"/>
  <c r="AP28" i="10"/>
  <c r="BQ250" i="1"/>
  <c r="BO232" i="1"/>
  <c r="BO358" i="1" s="1"/>
  <c r="BJ170" i="1"/>
  <c r="BS309" i="1"/>
  <c r="BK262" i="1"/>
  <c r="BT303" i="1"/>
  <c r="BX260" i="1"/>
  <c r="BX182" i="1"/>
  <c r="AV31" i="10"/>
  <c r="BM192" i="1"/>
  <c r="AR31" i="10"/>
  <c r="P31" i="10"/>
  <c r="EK28" i="1"/>
  <c r="BQ11" i="1"/>
  <c r="M12" i="10"/>
  <c r="CW11" i="1"/>
  <c r="AU31" i="10"/>
  <c r="AC31" i="10"/>
  <c r="AM31" i="10"/>
  <c r="BB145" i="1"/>
  <c r="CC145" i="1"/>
  <c r="BD145" i="1" s="1"/>
  <c r="CB145" i="1" s="1"/>
  <c r="CB309" i="1" s="1"/>
  <c r="BS317" i="1"/>
  <c r="BK217" i="1"/>
  <c r="BK343" i="1" s="1"/>
  <c r="Q32" i="10"/>
  <c r="BC125" i="1"/>
  <c r="M11" i="10"/>
  <c r="AN16" i="10"/>
  <c r="BQ24" i="1"/>
  <c r="CG42" i="1"/>
  <c r="FE34" i="1"/>
  <c r="AF28" i="10"/>
  <c r="GH23" i="4"/>
  <c r="GH25" i="4"/>
  <c r="R49" i="7"/>
  <c r="R19" i="7"/>
  <c r="FE37" i="1"/>
  <c r="BN256" i="1"/>
  <c r="BN174" i="1"/>
  <c r="BM297" i="1"/>
  <c r="BO289" i="1"/>
  <c r="BP166" i="1"/>
  <c r="BP248" i="1"/>
  <c r="BH248" i="1"/>
  <c r="BB125" i="1"/>
  <c r="CC125" i="1"/>
  <c r="BD125" i="1" s="1"/>
  <c r="BG248" i="1"/>
  <c r="BG289" i="1"/>
  <c r="BH207" i="1"/>
  <c r="BH333" i="1" s="1"/>
  <c r="BH166" i="1"/>
  <c r="BT207" i="1"/>
  <c r="BT333" i="1" s="1"/>
  <c r="BT248" i="1"/>
  <c r="BS289" i="1"/>
  <c r="CO125" i="1"/>
  <c r="BT166" i="1"/>
  <c r="BJ207" i="1"/>
  <c r="BJ333" i="1" s="1"/>
  <c r="CE125" i="1"/>
  <c r="CR131" i="1"/>
  <c r="BV295" i="1"/>
  <c r="BW172" i="1"/>
  <c r="BS278" i="1"/>
  <c r="BS196" i="1"/>
  <c r="BW291" i="1"/>
  <c r="CS127" i="1"/>
  <c r="BX250" i="1"/>
  <c r="BX209" i="1"/>
  <c r="BX335" i="1" s="1"/>
  <c r="BX168" i="1"/>
  <c r="BV250" i="1"/>
  <c r="CQ127" i="1"/>
  <c r="BV209" i="1"/>
  <c r="BV335" i="1" s="1"/>
  <c r="BV168" i="1"/>
  <c r="BU291" i="1"/>
  <c r="CJ127" i="1"/>
  <c r="BN291" i="1"/>
  <c r="BS297" i="1"/>
  <c r="BT256" i="1"/>
  <c r="CO133" i="1"/>
  <c r="BT215" i="1"/>
  <c r="BT341" i="1" s="1"/>
  <c r="BR256" i="1"/>
  <c r="BR215" i="1"/>
  <c r="BR341" i="1" s="1"/>
  <c r="CM133" i="1"/>
  <c r="CA221" i="1"/>
  <c r="CA347" i="1" s="1"/>
  <c r="CA262" i="1"/>
  <c r="CI139" i="1"/>
  <c r="BN221" i="1"/>
  <c r="BN347" i="1" s="1"/>
  <c r="BN262" i="1"/>
  <c r="BM303" i="1"/>
  <c r="BN180" i="1"/>
  <c r="BR309" i="1"/>
  <c r="BS186" i="1"/>
  <c r="BV227" i="1"/>
  <c r="BV353" i="1" s="1"/>
  <c r="BU309" i="1"/>
  <c r="BV186" i="1"/>
  <c r="BV268" i="1"/>
  <c r="CQ145" i="1"/>
  <c r="BN274" i="1"/>
  <c r="BN233" i="1"/>
  <c r="BN359" i="1" s="1"/>
  <c r="BM315" i="1"/>
  <c r="BN192" i="1"/>
  <c r="CI151" i="1"/>
  <c r="R42" i="7"/>
  <c r="BT272" i="1"/>
  <c r="CO149" i="1"/>
  <c r="BT190" i="1"/>
  <c r="BT231" i="1"/>
  <c r="BT357" i="1" s="1"/>
  <c r="BS313" i="1"/>
  <c r="BS170" i="1"/>
  <c r="BS252" i="1"/>
  <c r="CN129" i="1"/>
  <c r="BR293" i="1"/>
  <c r="BS211" i="1"/>
  <c r="BS337" i="1" s="1"/>
  <c r="BK170" i="1"/>
  <c r="BJ293" i="1"/>
  <c r="BK211" i="1"/>
  <c r="BK337" i="1" s="1"/>
  <c r="BT252" i="1"/>
  <c r="BS293" i="1"/>
  <c r="CO129" i="1"/>
  <c r="BT211" i="1"/>
  <c r="BT337" i="1" s="1"/>
  <c r="BT170" i="1"/>
  <c r="BW211" i="1"/>
  <c r="BW337" i="1" s="1"/>
  <c r="BV293" i="1"/>
  <c r="BW252" i="1"/>
  <c r="CN135" i="1"/>
  <c r="BS176" i="1"/>
  <c r="BS258" i="1"/>
  <c r="BD176" i="1"/>
  <c r="BZ305" i="1"/>
  <c r="CA264" i="1"/>
  <c r="BB147" i="1"/>
  <c r="BG270" i="1"/>
  <c r="CC147" i="1"/>
  <c r="BD147" i="1" s="1"/>
  <c r="BG311" i="1"/>
  <c r="BH270" i="1"/>
  <c r="BH229" i="1"/>
  <c r="BH355" i="1" s="1"/>
  <c r="BQ194" i="1"/>
  <c r="BP317" i="1"/>
  <c r="CL153" i="1"/>
  <c r="BQ235" i="1"/>
  <c r="BQ361" i="1" s="1"/>
  <c r="BQ276" i="1"/>
  <c r="BG317" i="1"/>
  <c r="BH194" i="1"/>
  <c r="BB153" i="1"/>
  <c r="BR200" i="1"/>
  <c r="BR282" i="1"/>
  <c r="CM159" i="1"/>
  <c r="BR241" i="1"/>
  <c r="BR367" i="1" s="1"/>
  <c r="BQ323" i="1"/>
  <c r="BS200" i="1"/>
  <c r="BR323" i="1"/>
  <c r="CN159" i="1"/>
  <c r="BS282" i="1"/>
  <c r="BS241" i="1"/>
  <c r="BS367" i="1" s="1"/>
  <c r="BP241" i="1"/>
  <c r="BP367" i="1" s="1"/>
  <c r="BP282" i="1"/>
  <c r="FW39" i="4"/>
  <c r="FW17" i="4"/>
  <c r="FW18" i="4"/>
  <c r="FW34" i="4"/>
  <c r="FW45" i="4"/>
  <c r="FW23" i="4"/>
  <c r="FW47" i="4"/>
  <c r="FW12" i="4"/>
  <c r="FX21" i="4"/>
  <c r="FX43" i="4"/>
  <c r="FX41" i="4"/>
  <c r="FX39" i="4"/>
  <c r="FX18" i="4"/>
  <c r="FX7" i="4"/>
  <c r="CO146" i="1"/>
  <c r="BT269" i="1"/>
  <c r="BT187" i="1"/>
  <c r="BT228" i="1"/>
  <c r="BT354" i="1" s="1"/>
  <c r="BS310" i="1"/>
  <c r="BN173" i="1"/>
  <c r="CI132" i="1"/>
  <c r="BN255" i="1"/>
  <c r="CA216" i="1"/>
  <c r="CA342" i="1" s="1"/>
  <c r="BZ298" i="1"/>
  <c r="CA257" i="1"/>
  <c r="CA175" i="1"/>
  <c r="BN300" i="1"/>
  <c r="BO259" i="1"/>
  <c r="BS224" i="1"/>
  <c r="BS350" i="1" s="1"/>
  <c r="BS265" i="1"/>
  <c r="BS183" i="1"/>
  <c r="CN142" i="1"/>
  <c r="BR306" i="1"/>
  <c r="BU187" i="1"/>
  <c r="BU269" i="1"/>
  <c r="I28" i="14"/>
  <c r="G28" i="14"/>
  <c r="BK36" i="20"/>
  <c r="EF36" i="20"/>
  <c r="BL36" i="20" s="1"/>
  <c r="FT16" i="1"/>
  <c r="CN34" i="4"/>
  <c r="CS34" i="4" s="1"/>
  <c r="DN165" i="1"/>
  <c r="DN179" i="1"/>
  <c r="DN168" i="1"/>
  <c r="DN195" i="1"/>
  <c r="DZ198" i="1"/>
  <c r="FR45" i="1"/>
  <c r="FR24" i="1"/>
  <c r="DN169" i="1"/>
  <c r="DN183" i="1"/>
  <c r="DZ192" i="1"/>
  <c r="DZ189" i="1"/>
  <c r="CJ71" i="1"/>
  <c r="DN204" i="1"/>
  <c r="FR42" i="1"/>
  <c r="FR16" i="1"/>
  <c r="FR40" i="1"/>
  <c r="DZ194" i="1"/>
  <c r="FR6" i="1"/>
  <c r="FR34" i="1"/>
  <c r="FR30" i="1"/>
  <c r="DN199" i="1"/>
  <c r="DL16" i="1"/>
  <c r="AR36" i="10"/>
  <c r="G9" i="14"/>
  <c r="FR43" i="1"/>
  <c r="EB14" i="1"/>
  <c r="EC14" i="1" s="1"/>
  <c r="ED14" i="1" s="1"/>
  <c r="EE14" i="1" s="1"/>
  <c r="P9" i="10"/>
  <c r="R41" i="14"/>
  <c r="CG30" i="20"/>
  <c r="D30" i="20" s="1"/>
  <c r="L21" i="14"/>
  <c r="DL25" i="1"/>
  <c r="DX18" i="1"/>
  <c r="H44" i="14"/>
  <c r="I11" i="14"/>
  <c r="K28" i="14"/>
  <c r="L32" i="10"/>
  <c r="FL11" i="4"/>
  <c r="O38" i="14"/>
  <c r="O35" i="14"/>
  <c r="R44" i="14"/>
  <c r="T44" i="14"/>
  <c r="H21" i="14"/>
  <c r="CG150" i="1"/>
  <c r="P36" i="10"/>
  <c r="BH228" i="1"/>
  <c r="BH354" i="1" s="1"/>
  <c r="BS174" i="1"/>
  <c r="BB146" i="1"/>
  <c r="CF155" i="1"/>
  <c r="BJ319" i="1"/>
  <c r="CC155" i="1"/>
  <c r="BD155" i="1" s="1"/>
  <c r="BH196" i="1"/>
  <c r="Q14" i="14"/>
  <c r="J45" i="14"/>
  <c r="DX41" i="1"/>
  <c r="T21" i="14"/>
  <c r="L39" i="14"/>
  <c r="R26" i="10"/>
  <c r="AZ33" i="1"/>
  <c r="I38" i="14"/>
  <c r="BE131" i="1"/>
  <c r="CZ131" i="1" s="1"/>
  <c r="BE133" i="1"/>
  <c r="BC18" i="1" s="1"/>
  <c r="BC151" i="1"/>
  <c r="BE155" i="1"/>
  <c r="CZ155" i="1" s="1"/>
  <c r="BI201" i="1"/>
  <c r="BE154" i="1"/>
  <c r="CZ154" i="1" s="1"/>
  <c r="Q18" i="14"/>
  <c r="BH187" i="1"/>
  <c r="Q26" i="10"/>
  <c r="BM265" i="1"/>
  <c r="F45" i="10"/>
  <c r="BO242" i="1"/>
  <c r="BO368" i="1" s="1"/>
  <c r="BX320" i="1"/>
  <c r="BN214" i="1"/>
  <c r="BN340" i="1" s="1"/>
  <c r="CU150" i="1"/>
  <c r="BU281" i="1"/>
  <c r="BS322" i="1"/>
  <c r="H36" i="10"/>
  <c r="AN36" i="10"/>
  <c r="BP181" i="1"/>
  <c r="BT310" i="1"/>
  <c r="BO218" i="1"/>
  <c r="BO344" i="1" s="1"/>
  <c r="BX195" i="1"/>
  <c r="CS154" i="1"/>
  <c r="AB38" i="10"/>
  <c r="AR38" i="10"/>
  <c r="R21" i="14"/>
  <c r="BO197" i="1"/>
  <c r="BO238" i="1"/>
  <c r="BO364" i="1" s="1"/>
  <c r="BN320" i="1"/>
  <c r="BU255" i="1"/>
  <c r="BT296" i="1"/>
  <c r="BR296" i="1"/>
  <c r="BS255" i="1"/>
  <c r="CN132" i="1"/>
  <c r="BS173" i="1"/>
  <c r="BS214" i="1"/>
  <c r="BS340" i="1" s="1"/>
  <c r="BL218" i="1"/>
  <c r="BL344" i="1" s="1"/>
  <c r="BL177" i="1"/>
  <c r="BL259" i="1"/>
  <c r="CG136" i="1"/>
  <c r="BK300" i="1"/>
  <c r="BJ259" i="1"/>
  <c r="BI300" i="1"/>
  <c r="BJ177" i="1"/>
  <c r="BJ218" i="1"/>
  <c r="BJ344" i="1" s="1"/>
  <c r="CE136" i="1"/>
  <c r="BK304" i="1"/>
  <c r="BL263" i="1"/>
  <c r="BL181" i="1"/>
  <c r="CG140" i="1"/>
  <c r="BK310" i="1"/>
  <c r="BL187" i="1"/>
  <c r="BP269" i="1"/>
  <c r="BP187" i="1"/>
  <c r="CH156" i="1"/>
  <c r="BM279" i="1"/>
  <c r="BM197" i="1"/>
  <c r="BX242" i="1"/>
  <c r="BX368" i="1" s="1"/>
  <c r="BX283" i="1"/>
  <c r="AE4" i="1"/>
  <c r="AB11" i="10"/>
  <c r="AJ33" i="10"/>
  <c r="CG11" i="1"/>
  <c r="AZ11" i="1"/>
  <c r="Z11" i="10"/>
  <c r="V33" i="10"/>
  <c r="FT18" i="1"/>
  <c r="EK18" i="1"/>
  <c r="GS27" i="4"/>
  <c r="AZ25" i="1"/>
  <c r="EF30" i="20"/>
  <c r="BL30" i="20" s="1"/>
  <c r="BK30" i="20"/>
  <c r="AT33" i="10"/>
  <c r="FX19" i="4"/>
  <c r="FV19" i="4"/>
  <c r="FW19" i="4"/>
  <c r="S33" i="14"/>
  <c r="G33" i="14"/>
  <c r="P46" i="14"/>
  <c r="N46" i="14"/>
  <c r="G11" i="10"/>
  <c r="AV28" i="10"/>
  <c r="B25" i="5"/>
  <c r="B25" i="26"/>
  <c r="E17" i="14"/>
  <c r="E17" i="10"/>
  <c r="E25" i="10"/>
  <c r="E25" i="14"/>
  <c r="AS19" i="10"/>
  <c r="W19" i="10"/>
  <c r="AM19" i="10"/>
  <c r="AQ19" i="10"/>
  <c r="FL26" i="4"/>
  <c r="L27" i="14"/>
  <c r="L27" i="10"/>
  <c r="BT255" i="1"/>
  <c r="BS296" i="1"/>
  <c r="BT214" i="1"/>
  <c r="BT340" i="1" s="1"/>
  <c r="BT173" i="1"/>
  <c r="CO132" i="1"/>
  <c r="BV300" i="1"/>
  <c r="BW218" i="1"/>
  <c r="BW344" i="1" s="1"/>
  <c r="BY263" i="1"/>
  <c r="BX304" i="1"/>
  <c r="BY181" i="1"/>
  <c r="CT140" i="1"/>
  <c r="BY222" i="1"/>
  <c r="BY348" i="1" s="1"/>
  <c r="U4" i="1"/>
  <c r="R17" i="7"/>
  <c r="FD13" i="1"/>
  <c r="CG15" i="20"/>
  <c r="AU13" i="1"/>
  <c r="GP15" i="4" s="1"/>
  <c r="AZ18" i="1"/>
  <c r="GS20" i="4"/>
  <c r="R22" i="7"/>
  <c r="FD18" i="1"/>
  <c r="E33" i="14"/>
  <c r="E33" i="10"/>
  <c r="U34" i="4"/>
  <c r="FM34" i="4" s="1"/>
  <c r="Y36" i="7"/>
  <c r="AD32" i="1"/>
  <c r="FR22" i="1"/>
  <c r="DZ179" i="1"/>
  <c r="FR19" i="1"/>
  <c r="FR39" i="1"/>
  <c r="DN170" i="1"/>
  <c r="DZ180" i="1"/>
  <c r="DN201" i="1"/>
  <c r="FR14" i="1"/>
  <c r="DN178" i="1"/>
  <c r="FR41" i="1"/>
  <c r="DN174" i="1"/>
  <c r="DN172" i="1"/>
  <c r="DN177" i="1"/>
  <c r="DN202" i="1"/>
  <c r="DN189" i="1"/>
  <c r="DN185" i="1"/>
  <c r="DN186" i="1"/>
  <c r="DN166" i="1"/>
  <c r="FR13" i="1"/>
  <c r="FR37" i="1"/>
  <c r="FR5" i="1"/>
  <c r="DN197" i="1"/>
  <c r="DN205" i="1"/>
  <c r="AJ36" i="10"/>
  <c r="AB36" i="10"/>
  <c r="FR33" i="1"/>
  <c r="DZ166" i="1"/>
  <c r="CW41" i="1"/>
  <c r="R32" i="7"/>
  <c r="EB27" i="1"/>
  <c r="EC27" i="1" s="1"/>
  <c r="ED27" i="1" s="1"/>
  <c r="EE27" i="1" s="1"/>
  <c r="L36" i="10"/>
  <c r="FL33" i="4"/>
  <c r="M24" i="10"/>
  <c r="R28" i="14"/>
  <c r="R36" i="10"/>
  <c r="S34" i="14"/>
  <c r="T20" i="14"/>
  <c r="X36" i="10"/>
  <c r="H25" i="14"/>
  <c r="BL273" i="1"/>
  <c r="BE150" i="1"/>
  <c r="CC146" i="1"/>
  <c r="BD146" i="1" s="1"/>
  <c r="BD187" i="1" s="1"/>
  <c r="BR297" i="1"/>
  <c r="BK237" i="1"/>
  <c r="BK363" i="1" s="1"/>
  <c r="BH237" i="1"/>
  <c r="BG278" i="1"/>
  <c r="T18" i="10"/>
  <c r="EC45" i="20"/>
  <c r="BI45" i="20" s="1"/>
  <c r="BQ18" i="1"/>
  <c r="BQ33" i="1"/>
  <c r="AU18" i="1"/>
  <c r="GP20" i="4" s="1"/>
  <c r="BL306" i="1"/>
  <c r="F18" i="14"/>
  <c r="DN184" i="1"/>
  <c r="BN324" i="1"/>
  <c r="BP222" i="1"/>
  <c r="BP348" i="1" s="1"/>
  <c r="BU199" i="1"/>
  <c r="BZ273" i="1"/>
  <c r="BE134" i="1"/>
  <c r="CZ134" i="1" s="1"/>
  <c r="BE138" i="1"/>
  <c r="CZ138" i="1" s="1"/>
  <c r="BE140" i="1"/>
  <c r="CZ140" i="1" s="1"/>
  <c r="BE142" i="1"/>
  <c r="CZ142" i="1" s="1"/>
  <c r="BE144" i="1"/>
  <c r="BC29" i="1" s="1"/>
  <c r="BC146" i="1"/>
  <c r="BC158" i="1"/>
  <c r="CO158" i="1"/>
  <c r="BT281" i="1"/>
  <c r="BW259" i="1"/>
  <c r="F36" i="10"/>
  <c r="AD36" i="10"/>
  <c r="AT36" i="10"/>
  <c r="CK140" i="1"/>
  <c r="CJ136" i="1"/>
  <c r="V38" i="10"/>
  <c r="BW318" i="1"/>
  <c r="AX38" i="10"/>
  <c r="G10" i="14"/>
  <c r="BV255" i="1"/>
  <c r="BV214" i="1"/>
  <c r="BV340" i="1" s="1"/>
  <c r="BV173" i="1"/>
  <c r="CQ132" i="1"/>
  <c r="BU296" i="1"/>
  <c r="BN175" i="1"/>
  <c r="CI134" i="1"/>
  <c r="BL216" i="1"/>
  <c r="BL342" i="1" s="1"/>
  <c r="BL175" i="1"/>
  <c r="BK298" i="1"/>
  <c r="CG134" i="1"/>
  <c r="BL257" i="1"/>
  <c r="BU300" i="1"/>
  <c r="BV259" i="1"/>
  <c r="BV218" i="1"/>
  <c r="BV344" i="1" s="1"/>
  <c r="BV177" i="1"/>
  <c r="BI306" i="1"/>
  <c r="CE142" i="1"/>
  <c r="BJ183" i="1"/>
  <c r="BJ265" i="1"/>
  <c r="BZ187" i="1"/>
  <c r="CU146" i="1"/>
  <c r="BZ269" i="1"/>
  <c r="BY310" i="1"/>
  <c r="BY191" i="1"/>
  <c r="CT150" i="1"/>
  <c r="BX314" i="1"/>
  <c r="AC4" i="1"/>
  <c r="F33" i="10"/>
  <c r="BK45" i="20"/>
  <c r="EF45" i="20"/>
  <c r="BL45" i="20" s="1"/>
  <c r="R15" i="7"/>
  <c r="FD11" i="1"/>
  <c r="AU11" i="1"/>
  <c r="GP13" i="4" s="1"/>
  <c r="AZ13" i="1"/>
  <c r="BQ13" i="1"/>
  <c r="CG13" i="1"/>
  <c r="GS15" i="4"/>
  <c r="AG28" i="10"/>
  <c r="F28" i="10"/>
  <c r="AS28" i="10"/>
  <c r="AM28" i="10"/>
  <c r="I28" i="10"/>
  <c r="AW28" i="10"/>
  <c r="AI28" i="10"/>
  <c r="Y28" i="10"/>
  <c r="G28" i="10"/>
  <c r="AA28" i="10"/>
  <c r="AE28" i="10"/>
  <c r="AL28" i="10"/>
  <c r="AK28" i="10"/>
  <c r="AX28" i="10"/>
  <c r="U28" i="10"/>
  <c r="AU28" i="10"/>
  <c r="AO28" i="10"/>
  <c r="S28" i="10"/>
  <c r="W28" i="10"/>
  <c r="N28" i="10"/>
  <c r="AC28" i="10"/>
  <c r="AQ28" i="10"/>
  <c r="CG27" i="20"/>
  <c r="FD25" i="1"/>
  <c r="V28" i="10"/>
  <c r="R34" i="7"/>
  <c r="FD30" i="1"/>
  <c r="BQ30" i="1"/>
  <c r="AQ37" i="10"/>
  <c r="AU37" i="10"/>
  <c r="AC37" i="10"/>
  <c r="GS45" i="4"/>
  <c r="AZ43" i="1"/>
  <c r="CW43" i="1"/>
  <c r="CG43" i="1"/>
  <c r="O11" i="14"/>
  <c r="L24" i="14"/>
  <c r="FL23" i="4"/>
  <c r="R24" i="10"/>
  <c r="R24" i="14"/>
  <c r="E37" i="14"/>
  <c r="E37" i="10"/>
  <c r="AU16" i="1"/>
  <c r="GP18" i="4" s="1"/>
  <c r="FD16" i="1"/>
  <c r="AZ28" i="1"/>
  <c r="GS30" i="4"/>
  <c r="CW28" i="1"/>
  <c r="BL300" i="1"/>
  <c r="BM218" i="1"/>
  <c r="BM344" i="1" s="1"/>
  <c r="BM177" i="1"/>
  <c r="CH136" i="1"/>
  <c r="BM259" i="1"/>
  <c r="BU240" i="1"/>
  <c r="BU366" i="1" s="1"/>
  <c r="CP158" i="1"/>
  <c r="BK15" i="20"/>
  <c r="EF15" i="20"/>
  <c r="BL15" i="20" s="1"/>
  <c r="G21" i="14"/>
  <c r="M21" i="14"/>
  <c r="I21" i="14"/>
  <c r="P21" i="14"/>
  <c r="S21" i="14"/>
  <c r="J21" i="14"/>
  <c r="O21" i="14"/>
  <c r="K21" i="14"/>
  <c r="E39" i="10"/>
  <c r="AI33" i="10"/>
  <c r="AM33" i="10"/>
  <c r="AS33" i="10"/>
  <c r="U33" i="10"/>
  <c r="FE11" i="1"/>
  <c r="DI126" i="1"/>
  <c r="FR32" i="1"/>
  <c r="DN190" i="1"/>
  <c r="FR25" i="1"/>
  <c r="DZ173" i="1"/>
  <c r="FR26" i="1"/>
  <c r="FR18" i="1"/>
  <c r="DN192" i="1"/>
  <c r="DN180" i="1"/>
  <c r="FR31" i="1"/>
  <c r="FR38" i="1"/>
  <c r="FR29" i="1"/>
  <c r="FR9" i="1"/>
  <c r="DN188" i="1"/>
  <c r="DN182" i="1"/>
  <c r="FR11" i="1"/>
  <c r="DZ195" i="1"/>
  <c r="FR20" i="1"/>
  <c r="FR8" i="1"/>
  <c r="DN198" i="1"/>
  <c r="FR7" i="1"/>
  <c r="FR28" i="1"/>
  <c r="K15" i="10"/>
  <c r="DN191" i="1"/>
  <c r="FE16" i="1"/>
  <c r="T26" i="14"/>
  <c r="K33" i="10"/>
  <c r="L32" i="14"/>
  <c r="Q34" i="14"/>
  <c r="K9" i="14"/>
  <c r="BL191" i="1"/>
  <c r="BG269" i="1"/>
  <c r="CN133" i="1"/>
  <c r="BH278" i="1"/>
  <c r="EC15" i="20"/>
  <c r="BI15" i="20" s="1"/>
  <c r="GS35" i="4"/>
  <c r="T48" i="10"/>
  <c r="R33" i="14"/>
  <c r="S28" i="14"/>
  <c r="EC30" i="20"/>
  <c r="BI30" i="20" s="1"/>
  <c r="BM224" i="1"/>
  <c r="BM350" i="1" s="1"/>
  <c r="CJ160" i="1"/>
  <c r="BO304" i="1"/>
  <c r="BY314" i="1"/>
  <c r="M36" i="10"/>
  <c r="CR136" i="1"/>
  <c r="AF36" i="10"/>
  <c r="V36" i="10"/>
  <c r="N43" i="14"/>
  <c r="AX36" i="10"/>
  <c r="AH36" i="10"/>
  <c r="BY197" i="1"/>
  <c r="CP146" i="1"/>
  <c r="EB42" i="1"/>
  <c r="EC42" i="1" s="1"/>
  <c r="ED42" i="1" s="1"/>
  <c r="EE42" i="1" s="1"/>
  <c r="BX236" i="1"/>
  <c r="BX362" i="1" s="1"/>
  <c r="R22" i="14"/>
  <c r="FL22" i="4"/>
  <c r="L23" i="14"/>
  <c r="BI173" i="1"/>
  <c r="BI255" i="1"/>
  <c r="BI214" i="1"/>
  <c r="BI340" i="1" s="1"/>
  <c r="BH296" i="1"/>
  <c r="BM257" i="1"/>
  <c r="BM175" i="1"/>
  <c r="CH134" i="1"/>
  <c r="BJ257" i="1"/>
  <c r="BJ175" i="1"/>
  <c r="BJ216" i="1"/>
  <c r="BJ342" i="1" s="1"/>
  <c r="BI298" i="1"/>
  <c r="CE134" i="1"/>
  <c r="CM136" i="1"/>
  <c r="BR177" i="1"/>
  <c r="BR218" i="1"/>
  <c r="BR344" i="1" s="1"/>
  <c r="BX300" i="1"/>
  <c r="BY218" i="1"/>
  <c r="BY344" i="1" s="1"/>
  <c r="BX179" i="1"/>
  <c r="BX220" i="1"/>
  <c r="BX346" i="1" s="1"/>
  <c r="CS138" i="1"/>
  <c r="BW302" i="1"/>
  <c r="BY304" i="1"/>
  <c r="CU140" i="1"/>
  <c r="BZ222" i="1"/>
  <c r="BZ348" i="1" s="1"/>
  <c r="BZ263" i="1"/>
  <c r="BZ181" i="1"/>
  <c r="CR146" i="1"/>
  <c r="BW269" i="1"/>
  <c r="BV195" i="1"/>
  <c r="CQ154" i="1"/>
  <c r="BU318" i="1"/>
  <c r="BV236" i="1"/>
  <c r="BV362" i="1" s="1"/>
  <c r="BV277" i="1"/>
  <c r="CB238" i="1"/>
  <c r="CB364" i="1" s="1"/>
  <c r="CB279" i="1"/>
  <c r="CW156" i="1"/>
  <c r="AQ156" i="1" s="1"/>
  <c r="CA320" i="1"/>
  <c r="BU324" i="1"/>
  <c r="CQ160" i="1"/>
  <c r="BV242" i="1"/>
  <c r="BV368" i="1" s="1"/>
  <c r="BV201" i="1"/>
  <c r="N21" i="14"/>
  <c r="AK11" i="10"/>
  <c r="W11" i="10"/>
  <c r="AG11" i="10"/>
  <c r="J11" i="10"/>
  <c r="AM11" i="10"/>
  <c r="AE11" i="10"/>
  <c r="AU11" i="10"/>
  <c r="AO11" i="10"/>
  <c r="AS11" i="10"/>
  <c r="AW11" i="10"/>
  <c r="F11" i="10"/>
  <c r="H11" i="10"/>
  <c r="AF11" i="10"/>
  <c r="AX11" i="10"/>
  <c r="AQ11" i="10"/>
  <c r="Y11" i="10"/>
  <c r="AA11" i="10"/>
  <c r="AC11" i="10"/>
  <c r="R11" i="10"/>
  <c r="AR11" i="10"/>
  <c r="U11" i="10"/>
  <c r="AI11" i="10"/>
  <c r="Q11" i="10"/>
  <c r="AN11" i="10"/>
  <c r="AP11" i="10"/>
  <c r="J16" i="10"/>
  <c r="AD16" i="10"/>
  <c r="AE16" i="10"/>
  <c r="I16" i="10"/>
  <c r="AM16" i="10"/>
  <c r="U16" i="10"/>
  <c r="Y16" i="10"/>
  <c r="W16" i="10"/>
  <c r="AO16" i="10"/>
  <c r="AU21" i="10"/>
  <c r="W21" i="10"/>
  <c r="AI21" i="10"/>
  <c r="T45" i="14"/>
  <c r="T45" i="10"/>
  <c r="U46" i="10"/>
  <c r="Y46" i="10"/>
  <c r="AO46" i="10"/>
  <c r="AU46" i="10"/>
  <c r="AI46" i="10"/>
  <c r="AS46" i="10"/>
  <c r="AE46" i="10"/>
  <c r="AG46" i="10"/>
  <c r="AW46" i="10"/>
  <c r="AA46" i="10"/>
  <c r="AQ46" i="10"/>
  <c r="AM46" i="10"/>
  <c r="Q46" i="10"/>
  <c r="AD46" i="10"/>
  <c r="W46" i="10"/>
  <c r="T46" i="10"/>
  <c r="AC46" i="10"/>
  <c r="AK46" i="10"/>
  <c r="EF18" i="20"/>
  <c r="BL18" i="20" s="1"/>
  <c r="BK18" i="20"/>
  <c r="BK20" i="20"/>
  <c r="EF20" i="20"/>
  <c r="BL20" i="20" s="1"/>
  <c r="AH11" i="10"/>
  <c r="AB46" i="10"/>
  <c r="E23" i="14"/>
  <c r="E23" i="10"/>
  <c r="H19" i="14"/>
  <c r="G19" i="14"/>
  <c r="O19" i="14"/>
  <c r="K11" i="14"/>
  <c r="P12" i="10"/>
  <c r="P12" i="14"/>
  <c r="Q8" i="10"/>
  <c r="DZ196" i="1"/>
  <c r="DZ197" i="1"/>
  <c r="DZ170" i="1"/>
  <c r="DZ176" i="1"/>
  <c r="DZ171" i="1"/>
  <c r="DZ169" i="1"/>
  <c r="DZ203" i="1"/>
  <c r="DZ199" i="1"/>
  <c r="DZ201" i="1"/>
  <c r="V35" i="10"/>
  <c r="DZ190" i="1"/>
  <c r="DR42" i="20"/>
  <c r="AW42" i="20" s="1"/>
  <c r="AL35" i="10"/>
  <c r="F24" i="10"/>
  <c r="H12" i="10"/>
  <c r="L36" i="14"/>
  <c r="L37" i="14"/>
  <c r="M44" i="10"/>
  <c r="M33" i="10"/>
  <c r="N29" i="10"/>
  <c r="O16" i="10"/>
  <c r="O48" i="14"/>
  <c r="Q17" i="14"/>
  <c r="T19" i="14"/>
  <c r="X35" i="10"/>
  <c r="BJ270" i="1"/>
  <c r="BC160" i="1"/>
  <c r="BJ256" i="1"/>
  <c r="BJ295" i="1"/>
  <c r="AN44" i="10"/>
  <c r="AJ39" i="10"/>
  <c r="M22" i="14"/>
  <c r="L48" i="10"/>
  <c r="BJ242" i="1"/>
  <c r="BJ368" i="1" s="1"/>
  <c r="BT218" i="1"/>
  <c r="BT344" i="1" s="1"/>
  <c r="DR23" i="20"/>
  <c r="AW23" i="20" s="1"/>
  <c r="DR35" i="20"/>
  <c r="AW35" i="20" s="1"/>
  <c r="BC138" i="1"/>
  <c r="BZ201" i="1"/>
  <c r="BL240" i="1"/>
  <c r="BL366" i="1" s="1"/>
  <c r="BC142" i="1"/>
  <c r="CM134" i="1"/>
  <c r="BK324" i="1"/>
  <c r="H35" i="10"/>
  <c r="Q35" i="10"/>
  <c r="AN35" i="10"/>
  <c r="J36" i="14"/>
  <c r="G38" i="14"/>
  <c r="L38" i="14"/>
  <c r="K38" i="14"/>
  <c r="F38" i="14"/>
  <c r="S38" i="14"/>
  <c r="Q38" i="14"/>
  <c r="N37" i="14"/>
  <c r="K14" i="14"/>
  <c r="AA48" i="4"/>
  <c r="E102" i="26" s="1"/>
  <c r="G12" i="10"/>
  <c r="G12" i="14"/>
  <c r="DZ187" i="1"/>
  <c r="DZ200" i="1"/>
  <c r="DZ165" i="1"/>
  <c r="DZ204" i="1"/>
  <c r="DZ168" i="1"/>
  <c r="DZ193" i="1"/>
  <c r="DZ184" i="1"/>
  <c r="DZ172" i="1"/>
  <c r="DZ186" i="1"/>
  <c r="DZ181" i="1"/>
  <c r="DZ191" i="1"/>
  <c r="AT35" i="10"/>
  <c r="AJ44" i="10"/>
  <c r="M14" i="10"/>
  <c r="AD39" i="10"/>
  <c r="AT39" i="10"/>
  <c r="CG34" i="20"/>
  <c r="D34" i="20" s="1"/>
  <c r="F35" i="10"/>
  <c r="H44" i="10"/>
  <c r="I24" i="10"/>
  <c r="J42" i="10"/>
  <c r="K39" i="10"/>
  <c r="L39" i="10"/>
  <c r="L29" i="14"/>
  <c r="L25" i="14"/>
  <c r="FL36" i="4"/>
  <c r="P35" i="10"/>
  <c r="T41" i="10"/>
  <c r="AH35" i="10"/>
  <c r="BJ229" i="1"/>
  <c r="BJ355" i="1" s="1"/>
  <c r="BJ215" i="1"/>
  <c r="BJ341" i="1" s="1"/>
  <c r="CF131" i="1"/>
  <c r="AV44" i="10"/>
  <c r="DI147" i="1"/>
  <c r="AX35" i="10"/>
  <c r="BI324" i="1"/>
  <c r="BT259" i="1"/>
  <c r="BC134" i="1"/>
  <c r="BZ283" i="1"/>
  <c r="BK322" i="1"/>
  <c r="BR175" i="1"/>
  <c r="BL201" i="1"/>
  <c r="J35" i="10"/>
  <c r="N35" i="10"/>
  <c r="AP35" i="10"/>
  <c r="N36" i="10"/>
  <c r="R35" i="10"/>
  <c r="S12" i="10"/>
  <c r="S12" i="14"/>
  <c r="N8" i="10"/>
  <c r="AW38" i="10"/>
  <c r="AI38" i="10"/>
  <c r="Y38" i="10"/>
  <c r="AO38" i="10"/>
  <c r="AA38" i="10"/>
  <c r="AQ38" i="10"/>
  <c r="AG38" i="10"/>
  <c r="AE38" i="10"/>
  <c r="AU38" i="10"/>
  <c r="AK38" i="10"/>
  <c r="AM38" i="10"/>
  <c r="P38" i="10"/>
  <c r="AS38" i="10"/>
  <c r="U38" i="10"/>
  <c r="L38" i="10"/>
  <c r="S38" i="10"/>
  <c r="W38" i="10"/>
  <c r="Q38" i="10"/>
  <c r="AC38" i="10"/>
  <c r="F38" i="10"/>
  <c r="L22" i="14"/>
  <c r="FL21" i="4"/>
  <c r="Z38" i="10"/>
  <c r="H22" i="14"/>
  <c r="F8" i="10"/>
  <c r="DZ174" i="1"/>
  <c r="DZ188" i="1"/>
  <c r="DZ185" i="1"/>
  <c r="DZ202" i="1"/>
  <c r="DZ178" i="1"/>
  <c r="DZ183" i="1"/>
  <c r="DZ175" i="1"/>
  <c r="DZ205" i="1"/>
  <c r="DZ177" i="1"/>
  <c r="AB44" i="10"/>
  <c r="T9" i="10"/>
  <c r="AD35" i="10"/>
  <c r="AL39" i="10"/>
  <c r="AU32" i="1"/>
  <c r="GP34" i="4" s="1"/>
  <c r="BI311" i="1"/>
  <c r="F19" i="14"/>
  <c r="I35" i="10"/>
  <c r="K39" i="14"/>
  <c r="L35" i="10"/>
  <c r="FL16" i="4"/>
  <c r="Z39" i="10"/>
  <c r="P28" i="14"/>
  <c r="T34" i="14"/>
  <c r="BE160" i="1"/>
  <c r="CZ160" i="1" s="1"/>
  <c r="BK172" i="1"/>
  <c r="BE146" i="1"/>
  <c r="CZ146" i="1" s="1"/>
  <c r="BC136" i="1"/>
  <c r="AB39" i="10"/>
  <c r="DR44" i="20"/>
  <c r="AW44" i="20" s="1"/>
  <c r="I34" i="14"/>
  <c r="BQ298" i="1"/>
  <c r="AB35" i="10"/>
  <c r="AH38" i="10"/>
  <c r="AT38" i="10"/>
  <c r="AP38" i="10"/>
  <c r="T38" i="10"/>
  <c r="AD38" i="10"/>
  <c r="AJ38" i="10"/>
  <c r="O12" i="10"/>
  <c r="O12" i="14"/>
  <c r="FL9" i="4"/>
  <c r="L10" i="10"/>
  <c r="DG3" i="4"/>
  <c r="J5" i="8" s="1"/>
  <c r="S5" i="8" s="1"/>
  <c r="L45" i="14"/>
  <c r="O10" i="14"/>
  <c r="J44" i="10"/>
  <c r="F39" i="10"/>
  <c r="G39" i="10"/>
  <c r="Q19" i="14"/>
  <c r="Q19" i="10"/>
  <c r="H28" i="14"/>
  <c r="H28" i="10"/>
  <c r="P30" i="14"/>
  <c r="P30" i="10"/>
  <c r="BR255" i="1"/>
  <c r="BR214" i="1"/>
  <c r="BR340" i="1" s="1"/>
  <c r="CM132" i="1"/>
  <c r="BQ296" i="1"/>
  <c r="BR173" i="1"/>
  <c r="BQ216" i="1"/>
  <c r="BQ342" i="1" s="1"/>
  <c r="CL134" i="1"/>
  <c r="BP298" i="1"/>
  <c r="BQ257" i="1"/>
  <c r="BQ175" i="1"/>
  <c r="BO298" i="1"/>
  <c r="BP257" i="1"/>
  <c r="BP175" i="1"/>
  <c r="BP216" i="1"/>
  <c r="BP342" i="1" s="1"/>
  <c r="CK134" i="1"/>
  <c r="BO216" i="1"/>
  <c r="BO342" i="1" s="1"/>
  <c r="BO257" i="1"/>
  <c r="CJ134" i="1"/>
  <c r="BO175" i="1"/>
  <c r="BN298" i="1"/>
  <c r="BT300" i="1"/>
  <c r="BU177" i="1"/>
  <c r="BU259" i="1"/>
  <c r="BU218" i="1"/>
  <c r="BU344" i="1" s="1"/>
  <c r="CP136" i="1"/>
  <c r="BO302" i="1"/>
  <c r="BP179" i="1"/>
  <c r="BP261" i="1"/>
  <c r="CK138" i="1"/>
  <c r="BP220" i="1"/>
  <c r="BP346" i="1" s="1"/>
  <c r="BH302" i="1"/>
  <c r="BI220" i="1"/>
  <c r="BI346" i="1" s="1"/>
  <c r="BI179" i="1"/>
  <c r="BU181" i="1"/>
  <c r="BT304" i="1"/>
  <c r="BU263" i="1"/>
  <c r="BU222" i="1"/>
  <c r="BU348" i="1" s="1"/>
  <c r="CP140" i="1"/>
  <c r="BZ304" i="1"/>
  <c r="CA263" i="1"/>
  <c r="CV140" i="1"/>
  <c r="AP140" i="1" s="1"/>
  <c r="CA222" i="1"/>
  <c r="CA348" i="1" s="1"/>
  <c r="CA181" i="1"/>
  <c r="BK222" i="1"/>
  <c r="BK348" i="1" s="1"/>
  <c r="BK181" i="1"/>
  <c r="BT306" i="1"/>
  <c r="BU224" i="1"/>
  <c r="BU350" i="1" s="1"/>
  <c r="CP142" i="1"/>
  <c r="BU265" i="1"/>
  <c r="BU183" i="1"/>
  <c r="BZ306" i="1"/>
  <c r="CA183" i="1"/>
  <c r="CA265" i="1"/>
  <c r="CA224" i="1"/>
  <c r="CA350" i="1" s="1"/>
  <c r="CV142" i="1"/>
  <c r="AP142" i="1" s="1"/>
  <c r="BU306" i="1"/>
  <c r="BV265" i="1"/>
  <c r="CQ142" i="1"/>
  <c r="BV224" i="1"/>
  <c r="BV350" i="1" s="1"/>
  <c r="BV183" i="1"/>
  <c r="BL265" i="1"/>
  <c r="BL183" i="1"/>
  <c r="BK306" i="1"/>
  <c r="BL224" i="1"/>
  <c r="BL350" i="1" s="1"/>
  <c r="CG142" i="1"/>
  <c r="BV267" i="1"/>
  <c r="BV185" i="1"/>
  <c r="CQ144" i="1"/>
  <c r="BV226" i="1"/>
  <c r="BV352" i="1" s="1"/>
  <c r="BQ187" i="1"/>
  <c r="CL146" i="1"/>
  <c r="BQ269" i="1"/>
  <c r="BP310" i="1"/>
  <c r="BQ228" i="1"/>
  <c r="BQ354" i="1" s="1"/>
  <c r="BH314" i="1"/>
  <c r="BI273" i="1"/>
  <c r="BI232" i="1"/>
  <c r="BI358" i="1" s="1"/>
  <c r="CD150" i="1"/>
  <c r="BI191" i="1"/>
  <c r="CC150" i="1"/>
  <c r="BD150" i="1" s="1"/>
  <c r="BH232" i="1"/>
  <c r="BH358" i="1" s="1"/>
  <c r="BG314" i="1"/>
  <c r="BG273" i="1"/>
  <c r="CA191" i="1"/>
  <c r="CA232" i="1"/>
  <c r="CA358" i="1" s="1"/>
  <c r="CA273" i="1"/>
  <c r="CV150" i="1"/>
  <c r="AP150" i="1" s="1"/>
  <c r="BZ314" i="1"/>
  <c r="CF156" i="1"/>
  <c r="BK279" i="1"/>
  <c r="BK197" i="1"/>
  <c r="BK238" i="1"/>
  <c r="BK364" i="1" s="1"/>
  <c r="BJ320" i="1"/>
  <c r="CE156" i="1"/>
  <c r="BJ197" i="1"/>
  <c r="BJ279" i="1"/>
  <c r="BS197" i="1"/>
  <c r="BS279" i="1"/>
  <c r="BR320" i="1"/>
  <c r="BS238" i="1"/>
  <c r="BS364" i="1" s="1"/>
  <c r="CN156" i="1"/>
  <c r="CC156" i="1"/>
  <c r="BG279" i="1"/>
  <c r="BB156" i="1"/>
  <c r="BH238" i="1"/>
  <c r="BH364" i="1" s="1"/>
  <c r="BH279" i="1"/>
  <c r="BG320" i="1"/>
  <c r="BH197" i="1"/>
  <c r="BZ322" i="1"/>
  <c r="CA281" i="1"/>
  <c r="CA240" i="1"/>
  <c r="CA366" i="1" s="1"/>
  <c r="CA199" i="1"/>
  <c r="CV158" i="1"/>
  <c r="AP158" i="1" s="1"/>
  <c r="CM158" i="1"/>
  <c r="BR199" i="1"/>
  <c r="BR281" i="1"/>
  <c r="BR240" i="1"/>
  <c r="BR366" i="1" s="1"/>
  <c r="BQ322" i="1"/>
  <c r="CD158" i="1"/>
  <c r="BI199" i="1"/>
  <c r="BH322" i="1"/>
  <c r="BY201" i="1"/>
  <c r="BY242" i="1"/>
  <c r="BY368" i="1" s="1"/>
  <c r="CA201" i="1"/>
  <c r="CA242" i="1"/>
  <c r="CA368" i="1" s="1"/>
  <c r="CV160" i="1"/>
  <c r="AP160" i="1" s="1"/>
  <c r="BG324" i="1"/>
  <c r="BG283" i="1"/>
  <c r="CC160" i="1"/>
  <c r="BD160" i="1" s="1"/>
  <c r="BH242" i="1"/>
  <c r="BH368" i="1" s="1"/>
  <c r="BH283" i="1"/>
  <c r="BK34" i="20"/>
  <c r="EF34" i="20"/>
  <c r="BL34" i="20" s="1"/>
  <c r="AZ32" i="1"/>
  <c r="GS34" i="4"/>
  <c r="D31" i="20"/>
  <c r="DR31" i="20"/>
  <c r="AW31" i="20" s="1"/>
  <c r="R37" i="14"/>
  <c r="AV35" i="10"/>
  <c r="FL44" i="4"/>
  <c r="X39" i="10"/>
  <c r="R44" i="10"/>
  <c r="AF39" i="10"/>
  <c r="AR39" i="10"/>
  <c r="Z44" i="10"/>
  <c r="AV39" i="10"/>
  <c r="AH39" i="10"/>
  <c r="AX39" i="10"/>
  <c r="F27" i="14"/>
  <c r="F27" i="10"/>
  <c r="F46" i="14"/>
  <c r="F46" i="10"/>
  <c r="CA314" i="1"/>
  <c r="CW150" i="1"/>
  <c r="AQ150" i="1" s="1"/>
  <c r="CB273" i="1"/>
  <c r="BC150" i="1"/>
  <c r="CB232" i="1"/>
  <c r="CB358" i="1" s="1"/>
  <c r="N25" i="14"/>
  <c r="BZ255" i="1"/>
  <c r="BY296" i="1"/>
  <c r="BZ214" i="1"/>
  <c r="BZ340" i="1" s="1"/>
  <c r="BZ173" i="1"/>
  <c r="CU132" i="1"/>
  <c r="BC132" i="1"/>
  <c r="AY132" i="1" s="1"/>
  <c r="BE132" i="1"/>
  <c r="BY214" i="1"/>
  <c r="BY340" i="1" s="1"/>
  <c r="CT132" i="1"/>
  <c r="BX296" i="1"/>
  <c r="BY173" i="1"/>
  <c r="BY255" i="1"/>
  <c r="BX298" i="1"/>
  <c r="BY216" i="1"/>
  <c r="BY342" i="1" s="1"/>
  <c r="BY175" i="1"/>
  <c r="CT134" i="1"/>
  <c r="BW175" i="1"/>
  <c r="CR134" i="1"/>
  <c r="BV298" i="1"/>
  <c r="BW257" i="1"/>
  <c r="BW216" i="1"/>
  <c r="BW342" i="1" s="1"/>
  <c r="BQ218" i="1"/>
  <c r="BQ344" i="1" s="1"/>
  <c r="BQ259" i="1"/>
  <c r="CL136" i="1"/>
  <c r="BQ177" i="1"/>
  <c r="BP300" i="1"/>
  <c r="BO300" i="1"/>
  <c r="CK136" i="1"/>
  <c r="BP218" i="1"/>
  <c r="BP344" i="1" s="1"/>
  <c r="BP177" i="1"/>
  <c r="BP259" i="1"/>
  <c r="BN220" i="1"/>
  <c r="BN346" i="1" s="1"/>
  <c r="BN179" i="1"/>
  <c r="CI138" i="1"/>
  <c r="BM302" i="1"/>
  <c r="BN261" i="1"/>
  <c r="BY261" i="1"/>
  <c r="BX302" i="1"/>
  <c r="BY220" i="1"/>
  <c r="BY346" i="1" s="1"/>
  <c r="CT138" i="1"/>
  <c r="BY179" i="1"/>
  <c r="BQ304" i="1"/>
  <c r="BR263" i="1"/>
  <c r="BR222" i="1"/>
  <c r="BR348" i="1" s="1"/>
  <c r="BR181" i="1"/>
  <c r="CM140" i="1"/>
  <c r="BV304" i="1"/>
  <c r="BW181" i="1"/>
  <c r="CR140" i="1"/>
  <c r="BW222" i="1"/>
  <c r="BW348" i="1" s="1"/>
  <c r="BX263" i="1"/>
  <c r="BX222" i="1"/>
  <c r="BX348" i="1" s="1"/>
  <c r="BX181" i="1"/>
  <c r="CS140" i="1"/>
  <c r="BW304" i="1"/>
  <c r="BN183" i="1"/>
  <c r="CI142" i="1"/>
  <c r="BN224" i="1"/>
  <c r="BN350" i="1" s="1"/>
  <c r="CM142" i="1"/>
  <c r="BQ306" i="1"/>
  <c r="BR265" i="1"/>
  <c r="BR183" i="1"/>
  <c r="BR224" i="1"/>
  <c r="BR350" i="1" s="1"/>
  <c r="BU226" i="1"/>
  <c r="BU352" i="1" s="1"/>
  <c r="BU267" i="1"/>
  <c r="BU185" i="1"/>
  <c r="CP144" i="1"/>
  <c r="BT308" i="1"/>
  <c r="CB267" i="1"/>
  <c r="CB226" i="1"/>
  <c r="CB352" i="1" s="1"/>
  <c r="CW144" i="1"/>
  <c r="AQ144" i="1" s="1"/>
  <c r="CA308" i="1"/>
  <c r="BV269" i="1"/>
  <c r="BU310" i="1"/>
  <c r="BV228" i="1"/>
  <c r="BV354" i="1" s="1"/>
  <c r="CQ146" i="1"/>
  <c r="BV187" i="1"/>
  <c r="BS228" i="1"/>
  <c r="BS354" i="1" s="1"/>
  <c r="CN146" i="1"/>
  <c r="BS187" i="1"/>
  <c r="BR310" i="1"/>
  <c r="BS269" i="1"/>
  <c r="BU232" i="1"/>
  <c r="BU358" i="1" s="1"/>
  <c r="BT314" i="1"/>
  <c r="BU191" i="1"/>
  <c r="CP150" i="1"/>
  <c r="BU273" i="1"/>
  <c r="BV232" i="1"/>
  <c r="BV358" i="1" s="1"/>
  <c r="BU314" i="1"/>
  <c r="BV191" i="1"/>
  <c r="BV273" i="1"/>
  <c r="CQ150" i="1"/>
  <c r="BR232" i="1"/>
  <c r="BR358" i="1" s="1"/>
  <c r="BQ314" i="1"/>
  <c r="BR191" i="1"/>
  <c r="CM150" i="1"/>
  <c r="BR273" i="1"/>
  <c r="BY320" i="1"/>
  <c r="BZ279" i="1"/>
  <c r="BZ197" i="1"/>
  <c r="BZ238" i="1"/>
  <c r="BZ364" i="1" s="1"/>
  <c r="CU156" i="1"/>
  <c r="BW238" i="1"/>
  <c r="BW364" i="1" s="1"/>
  <c r="BV320" i="1"/>
  <c r="BW197" i="1"/>
  <c r="BW279" i="1"/>
  <c r="CR156" i="1"/>
  <c r="BV197" i="1"/>
  <c r="CQ156" i="1"/>
  <c r="BU320" i="1"/>
  <c r="BV279" i="1"/>
  <c r="BV238" i="1"/>
  <c r="BV364" i="1" s="1"/>
  <c r="BM320" i="1"/>
  <c r="BN238" i="1"/>
  <c r="BN364" i="1" s="1"/>
  <c r="BN279" i="1"/>
  <c r="CI156" i="1"/>
  <c r="BN197" i="1"/>
  <c r="BS199" i="1"/>
  <c r="BS281" i="1"/>
  <c r="BS240" i="1"/>
  <c r="BS366" i="1" s="1"/>
  <c r="BR322" i="1"/>
  <c r="CN158" i="1"/>
  <c r="CQ158" i="1"/>
  <c r="BV199" i="1"/>
  <c r="BV240" i="1"/>
  <c r="BV366" i="1" s="1"/>
  <c r="BV281" i="1"/>
  <c r="BU322" i="1"/>
  <c r="CA322" i="1"/>
  <c r="CB281" i="1"/>
  <c r="CB240" i="1"/>
  <c r="CB366" i="1" s="1"/>
  <c r="CW158" i="1"/>
  <c r="AQ158" i="1" s="1"/>
  <c r="BK201" i="1"/>
  <c r="BJ324" i="1"/>
  <c r="CF160" i="1"/>
  <c r="BK283" i="1"/>
  <c r="BK242" i="1"/>
  <c r="BK368" i="1" s="1"/>
  <c r="CD160" i="1"/>
  <c r="BH324" i="1"/>
  <c r="BQ283" i="1"/>
  <c r="BQ201" i="1"/>
  <c r="CL160" i="1"/>
  <c r="BP324" i="1"/>
  <c r="BQ242" i="1"/>
  <c r="BQ368" i="1" s="1"/>
  <c r="FT33" i="1"/>
  <c r="EK33" i="1"/>
  <c r="BK35" i="20"/>
  <c r="EF35" i="20"/>
  <c r="BL35" i="20" s="1"/>
  <c r="BX33" i="1"/>
  <c r="K36" i="10"/>
  <c r="AQ36" i="10"/>
  <c r="Y36" i="10"/>
  <c r="AO36" i="10"/>
  <c r="AI36" i="10"/>
  <c r="J36" i="10"/>
  <c r="O36" i="10"/>
  <c r="G36" i="10"/>
  <c r="AU36" i="10"/>
  <c r="AC36" i="10"/>
  <c r="W36" i="10"/>
  <c r="AW36" i="10"/>
  <c r="AG36" i="10"/>
  <c r="AA36" i="10"/>
  <c r="AM36" i="10"/>
  <c r="T36" i="10"/>
  <c r="Q36" i="10"/>
  <c r="U36" i="10"/>
  <c r="AE36" i="10"/>
  <c r="AK36" i="10"/>
  <c r="S36" i="10"/>
  <c r="AP36" i="10"/>
  <c r="R30" i="14"/>
  <c r="R30" i="10"/>
  <c r="J27" i="14"/>
  <c r="J27" i="10"/>
  <c r="J31" i="10"/>
  <c r="J31" i="14"/>
  <c r="BL279" i="1"/>
  <c r="BL238" i="1"/>
  <c r="BL364" i="1" s="1"/>
  <c r="BK320" i="1"/>
  <c r="CG156" i="1"/>
  <c r="BL197" i="1"/>
  <c r="BP296" i="1"/>
  <c r="BQ255" i="1"/>
  <c r="BQ214" i="1"/>
  <c r="BQ340" i="1" s="1"/>
  <c r="CL132" i="1"/>
  <c r="BQ173" i="1"/>
  <c r="BT298" i="1"/>
  <c r="BU216" i="1"/>
  <c r="BU342" i="1" s="1"/>
  <c r="BU257" i="1"/>
  <c r="CP134" i="1"/>
  <c r="BU175" i="1"/>
  <c r="BK177" i="1"/>
  <c r="BJ300" i="1"/>
  <c r="CF136" i="1"/>
  <c r="BK259" i="1"/>
  <c r="BK218" i="1"/>
  <c r="BK344" i="1" s="1"/>
  <c r="CA300" i="1"/>
  <c r="CW136" i="1"/>
  <c r="AQ136" i="1" s="1"/>
  <c r="CB259" i="1"/>
  <c r="CB218" i="1"/>
  <c r="CB344" i="1" s="1"/>
  <c r="BE136" i="1"/>
  <c r="CZ136" i="1" s="1"/>
  <c r="BK302" i="1"/>
  <c r="BL220" i="1"/>
  <c r="BL346" i="1" s="1"/>
  <c r="CG138" i="1"/>
  <c r="BL261" i="1"/>
  <c r="BL179" i="1"/>
  <c r="BZ179" i="1"/>
  <c r="BY302" i="1"/>
  <c r="CU138" i="1"/>
  <c r="BZ261" i="1"/>
  <c r="BZ220" i="1"/>
  <c r="BZ346" i="1" s="1"/>
  <c r="BB140" i="1"/>
  <c r="BH263" i="1"/>
  <c r="CC140" i="1"/>
  <c r="BD140" i="1" s="1"/>
  <c r="BH222" i="1"/>
  <c r="BH348" i="1" s="1"/>
  <c r="BH181" i="1"/>
  <c r="BG304" i="1"/>
  <c r="BG263" i="1"/>
  <c r="BN181" i="1"/>
  <c r="BM304" i="1"/>
  <c r="BN263" i="1"/>
  <c r="BN222" i="1"/>
  <c r="BN348" i="1" s="1"/>
  <c r="CI140" i="1"/>
  <c r="CD140" i="1"/>
  <c r="BI263" i="1"/>
  <c r="BX183" i="1"/>
  <c r="BW306" i="1"/>
  <c r="BX224" i="1"/>
  <c r="BX350" i="1" s="1"/>
  <c r="CS142" i="1"/>
  <c r="BX265" i="1"/>
  <c r="BW265" i="1"/>
  <c r="BW183" i="1"/>
  <c r="CR142" i="1"/>
  <c r="BV306" i="1"/>
  <c r="BW224" i="1"/>
  <c r="BW350" i="1" s="1"/>
  <c r="BW308" i="1"/>
  <c r="BX185" i="1"/>
  <c r="BX226" i="1"/>
  <c r="BX352" i="1" s="1"/>
  <c r="CS144" i="1"/>
  <c r="BX267" i="1"/>
  <c r="BI269" i="1"/>
  <c r="BI187" i="1"/>
  <c r="BM228" i="1"/>
  <c r="BM354" i="1" s="1"/>
  <c r="CH146" i="1"/>
  <c r="BL310" i="1"/>
  <c r="BM269" i="1"/>
  <c r="BM187" i="1"/>
  <c r="BW314" i="1"/>
  <c r="BX273" i="1"/>
  <c r="CS150" i="1"/>
  <c r="BX191" i="1"/>
  <c r="BX232" i="1"/>
  <c r="BX358" i="1" s="1"/>
  <c r="BT191" i="1"/>
  <c r="BT232" i="1"/>
  <c r="BT358" i="1" s="1"/>
  <c r="BS314" i="1"/>
  <c r="CO150" i="1"/>
  <c r="BT273" i="1"/>
  <c r="BU238" i="1"/>
  <c r="BU364" i="1" s="1"/>
  <c r="BU279" i="1"/>
  <c r="CP156" i="1"/>
  <c r="BT320" i="1"/>
  <c r="BU197" i="1"/>
  <c r="BO320" i="1"/>
  <c r="BP279" i="1"/>
  <c r="BP197" i="1"/>
  <c r="BP238" i="1"/>
  <c r="BP364" i="1" s="1"/>
  <c r="CK156" i="1"/>
  <c r="BZ320" i="1"/>
  <c r="CA279" i="1"/>
  <c r="CV156" i="1"/>
  <c r="AP156" i="1" s="1"/>
  <c r="BC156" i="1"/>
  <c r="BE156" i="1"/>
  <c r="CZ156" i="1" s="1"/>
  <c r="CA197" i="1"/>
  <c r="CA238" i="1"/>
  <c r="CA364" i="1" s="1"/>
  <c r="BQ238" i="1"/>
  <c r="BQ364" i="1" s="1"/>
  <c r="BQ279" i="1"/>
  <c r="CL156" i="1"/>
  <c r="BP320" i="1"/>
  <c r="BQ197" i="1"/>
  <c r="CH158" i="1"/>
  <c r="BM240" i="1"/>
  <c r="BM366" i="1" s="1"/>
  <c r="BM281" i="1"/>
  <c r="BL322" i="1"/>
  <c r="BM199" i="1"/>
  <c r="BH240" i="1"/>
  <c r="BH366" i="1" s="1"/>
  <c r="BG281" i="1"/>
  <c r="BB158" i="1"/>
  <c r="BT324" i="1"/>
  <c r="BU201" i="1"/>
  <c r="BU242" i="1"/>
  <c r="BU368" i="1" s="1"/>
  <c r="BU283" i="1"/>
  <c r="CP160" i="1"/>
  <c r="M35" i="14"/>
  <c r="Q35" i="14"/>
  <c r="H35" i="14"/>
  <c r="R35" i="14"/>
  <c r="AW35" i="10"/>
  <c r="W35" i="10"/>
  <c r="AU35" i="10"/>
  <c r="AE35" i="10"/>
  <c r="AC35" i="10"/>
  <c r="M35" i="10"/>
  <c r="AO35" i="10"/>
  <c r="U35" i="10"/>
  <c r="AS35" i="10"/>
  <c r="AK35" i="10"/>
  <c r="AQ35" i="10"/>
  <c r="AA35" i="10"/>
  <c r="AG35" i="10"/>
  <c r="AM35" i="10"/>
  <c r="Y35" i="10"/>
  <c r="AI35" i="10"/>
  <c r="F36" i="14"/>
  <c r="I36" i="14"/>
  <c r="Q36" i="14"/>
  <c r="H36" i="14"/>
  <c r="T36" i="14"/>
  <c r="G36" i="14"/>
  <c r="K36" i="14"/>
  <c r="O36" i="14"/>
  <c r="S36" i="14"/>
  <c r="AL36" i="10"/>
  <c r="P37" i="14"/>
  <c r="W48" i="4"/>
  <c r="E98" i="26" s="1"/>
  <c r="M43" i="10"/>
  <c r="P42" i="14"/>
  <c r="Q31" i="14"/>
  <c r="AF44" i="10"/>
  <c r="R25" i="10"/>
  <c r="R25" i="14"/>
  <c r="N27" i="10"/>
  <c r="N27" i="14"/>
  <c r="CE132" i="1"/>
  <c r="BI296" i="1"/>
  <c r="BJ255" i="1"/>
  <c r="BJ214" i="1"/>
  <c r="BJ340" i="1" s="1"/>
  <c r="BJ173" i="1"/>
  <c r="CW134" i="1"/>
  <c r="AQ134" i="1" s="1"/>
  <c r="CA298" i="1"/>
  <c r="CB216" i="1"/>
  <c r="CB342" i="1" s="1"/>
  <c r="CB257" i="1"/>
  <c r="BB134" i="1"/>
  <c r="BH216" i="1"/>
  <c r="BH342" i="1" s="1"/>
  <c r="CC134" i="1"/>
  <c r="BD134" i="1" s="1"/>
  <c r="BG298" i="1"/>
  <c r="BH257" i="1"/>
  <c r="BH175" i="1"/>
  <c r="BG257" i="1"/>
  <c r="BM300" i="1"/>
  <c r="CI136" i="1"/>
  <c r="BN259" i="1"/>
  <c r="BN177" i="1"/>
  <c r="BN218" i="1"/>
  <c r="BN344" i="1" s="1"/>
  <c r="CO136" i="1"/>
  <c r="BT177" i="1"/>
  <c r="CA302" i="1"/>
  <c r="CB261" i="1"/>
  <c r="CW138" i="1"/>
  <c r="AQ138" i="1" s="1"/>
  <c r="CB220" i="1"/>
  <c r="CB346" i="1" s="1"/>
  <c r="BM220" i="1"/>
  <c r="BM346" i="1" s="1"/>
  <c r="BM179" i="1"/>
  <c r="BL302" i="1"/>
  <c r="BM261" i="1"/>
  <c r="CH138" i="1"/>
  <c r="BP304" i="1"/>
  <c r="BQ222" i="1"/>
  <c r="BQ348" i="1" s="1"/>
  <c r="BQ181" i="1"/>
  <c r="CL140" i="1"/>
  <c r="BT263" i="1"/>
  <c r="BT181" i="1"/>
  <c r="CO140" i="1"/>
  <c r="BT222" i="1"/>
  <c r="BT348" i="1" s="1"/>
  <c r="BS304" i="1"/>
  <c r="BI265" i="1"/>
  <c r="BH306" i="1"/>
  <c r="BI183" i="1"/>
  <c r="CD142" i="1"/>
  <c r="BI224" i="1"/>
  <c r="BI350" i="1" s="1"/>
  <c r="CJ142" i="1"/>
  <c r="BO265" i="1"/>
  <c r="BO224" i="1"/>
  <c r="BO350" i="1" s="1"/>
  <c r="BO183" i="1"/>
  <c r="BN306" i="1"/>
  <c r="CB224" i="1"/>
  <c r="CB350" i="1" s="1"/>
  <c r="CW142" i="1"/>
  <c r="AQ142" i="1" s="1"/>
  <c r="CA306" i="1"/>
  <c r="CB265" i="1"/>
  <c r="BQ224" i="1"/>
  <c r="BQ350" i="1" s="1"/>
  <c r="BQ265" i="1"/>
  <c r="BQ183" i="1"/>
  <c r="BP306" i="1"/>
  <c r="CL142" i="1"/>
  <c r="CR144" i="1"/>
  <c r="BW185" i="1"/>
  <c r="BW226" i="1"/>
  <c r="BW352" i="1" s="1"/>
  <c r="BW267" i="1"/>
  <c r="BV308" i="1"/>
  <c r="BX310" i="1"/>
  <c r="BY187" i="1"/>
  <c r="BY228" i="1"/>
  <c r="BY354" i="1" s="1"/>
  <c r="CT146" i="1"/>
  <c r="BY269" i="1"/>
  <c r="BN269" i="1"/>
  <c r="BM310" i="1"/>
  <c r="CI146" i="1"/>
  <c r="BN187" i="1"/>
  <c r="BN228" i="1"/>
  <c r="BN354" i="1" s="1"/>
  <c r="BX187" i="1"/>
  <c r="BW310" i="1"/>
  <c r="BX269" i="1"/>
  <c r="CS146" i="1"/>
  <c r="BX228" i="1"/>
  <c r="BX354" i="1" s="1"/>
  <c r="BJ273" i="1"/>
  <c r="BJ232" i="1"/>
  <c r="BJ358" i="1" s="1"/>
  <c r="CE150" i="1"/>
  <c r="BJ191" i="1"/>
  <c r="BS232" i="1"/>
  <c r="BS358" i="1" s="1"/>
  <c r="BS191" i="1"/>
  <c r="BS273" i="1"/>
  <c r="CN150" i="1"/>
  <c r="BR314" i="1"/>
  <c r="BP232" i="1"/>
  <c r="BP358" i="1" s="1"/>
  <c r="CK150" i="1"/>
  <c r="BP191" i="1"/>
  <c r="BP273" i="1"/>
  <c r="BO314" i="1"/>
  <c r="BX197" i="1"/>
  <c r="BX279" i="1"/>
  <c r="CS156" i="1"/>
  <c r="BS320" i="1"/>
  <c r="BT279" i="1"/>
  <c r="BT238" i="1"/>
  <c r="BT364" i="1" s="1"/>
  <c r="BT197" i="1"/>
  <c r="CO156" i="1"/>
  <c r="BI279" i="1"/>
  <c r="BI197" i="1"/>
  <c r="CD156" i="1"/>
  <c r="BH320" i="1"/>
  <c r="BI238" i="1"/>
  <c r="BI364" i="1" s="1"/>
  <c r="BO281" i="1"/>
  <c r="BN322" i="1"/>
  <c r="BO199" i="1"/>
  <c r="CJ158" i="1"/>
  <c r="BO240" i="1"/>
  <c r="BO366" i="1" s="1"/>
  <c r="CT158" i="1"/>
  <c r="BX322" i="1"/>
  <c r="BY240" i="1"/>
  <c r="BY366" i="1" s="1"/>
  <c r="BY281" i="1"/>
  <c r="BY199" i="1"/>
  <c r="BP283" i="1"/>
  <c r="BO324" i="1"/>
  <c r="CK160" i="1"/>
  <c r="BP201" i="1"/>
  <c r="BP242" i="1"/>
  <c r="BP368" i="1" s="1"/>
  <c r="CE160" i="1"/>
  <c r="BJ201" i="1"/>
  <c r="K35" i="10"/>
  <c r="F37" i="14"/>
  <c r="AV36" i="10"/>
  <c r="K8" i="10"/>
  <c r="J38" i="14"/>
  <c r="J38" i="10"/>
  <c r="BZ295" i="1"/>
  <c r="CA254" i="1"/>
  <c r="CV131" i="1"/>
  <c r="AP131" i="1" s="1"/>
  <c r="CA213" i="1"/>
  <c r="CA339" i="1" s="1"/>
  <c r="CA172" i="1"/>
  <c r="BY295" i="1"/>
  <c r="CU131" i="1"/>
  <c r="BZ213" i="1"/>
  <c r="BZ339" i="1" s="1"/>
  <c r="BZ172" i="1"/>
  <c r="BZ254" i="1"/>
  <c r="BS295" i="1"/>
  <c r="BT172" i="1"/>
  <c r="CO131" i="1"/>
  <c r="BT254" i="1"/>
  <c r="BT213" i="1"/>
  <c r="BT339" i="1" s="1"/>
  <c r="CJ131" i="1"/>
  <c r="BO172" i="1"/>
  <c r="BO254" i="1"/>
  <c r="BO213" i="1"/>
  <c r="BO339" i="1" s="1"/>
  <c r="BN295" i="1"/>
  <c r="CP133" i="1"/>
  <c r="BU174" i="1"/>
  <c r="BT297" i="1"/>
  <c r="BU307" i="1"/>
  <c r="BV225" i="1"/>
  <c r="BV351" i="1" s="1"/>
  <c r="BV184" i="1"/>
  <c r="BV266" i="1"/>
  <c r="CQ143" i="1"/>
  <c r="BK266" i="1"/>
  <c r="BK225" i="1"/>
  <c r="BK351" i="1" s="1"/>
  <c r="BK184" i="1"/>
  <c r="BJ307" i="1"/>
  <c r="CF143" i="1"/>
  <c r="CA184" i="1"/>
  <c r="BZ307" i="1"/>
  <c r="CA225" i="1"/>
  <c r="CA351" i="1" s="1"/>
  <c r="CA266" i="1"/>
  <c r="CV143" i="1"/>
  <c r="AP143" i="1" s="1"/>
  <c r="CA309" i="1"/>
  <c r="CB268" i="1"/>
  <c r="CW145" i="1"/>
  <c r="AQ145" i="1" s="1"/>
  <c r="CB227" i="1"/>
  <c r="CB353" i="1" s="1"/>
  <c r="BC145" i="1"/>
  <c r="BE145" i="1"/>
  <c r="BY229" i="1"/>
  <c r="BY355" i="1" s="1"/>
  <c r="BY270" i="1"/>
  <c r="BX311" i="1"/>
  <c r="CT147" i="1"/>
  <c r="BY188" i="1"/>
  <c r="BS270" i="1"/>
  <c r="BR311" i="1"/>
  <c r="BS188" i="1"/>
  <c r="CN147" i="1"/>
  <c r="BS229" i="1"/>
  <c r="BS355" i="1" s="1"/>
  <c r="BQ229" i="1"/>
  <c r="BQ355" i="1" s="1"/>
  <c r="BQ188" i="1"/>
  <c r="CL147" i="1"/>
  <c r="BP311" i="1"/>
  <c r="BQ270" i="1"/>
  <c r="CM147" i="1"/>
  <c r="BQ311" i="1"/>
  <c r="BR188" i="1"/>
  <c r="BR229" i="1"/>
  <c r="BR355" i="1" s="1"/>
  <c r="BR270" i="1"/>
  <c r="BI274" i="1"/>
  <c r="CD151" i="1"/>
  <c r="BH315" i="1"/>
  <c r="BI233" i="1"/>
  <c r="BI359" i="1" s="1"/>
  <c r="BI192" i="1"/>
  <c r="BX194" i="1"/>
  <c r="BX235" i="1"/>
  <c r="BX361" i="1" s="1"/>
  <c r="BW317" i="1"/>
  <c r="CS153" i="1"/>
  <c r="BC153" i="1"/>
  <c r="BX276" i="1"/>
  <c r="BY319" i="1"/>
  <c r="BZ237" i="1"/>
  <c r="BZ363" i="1" s="1"/>
  <c r="BZ278" i="1"/>
  <c r="CU155" i="1"/>
  <c r="BZ196" i="1"/>
  <c r="BV237" i="1"/>
  <c r="BV363" i="1" s="1"/>
  <c r="CQ155" i="1"/>
  <c r="BV196" i="1"/>
  <c r="BV278" i="1"/>
  <c r="BU319" i="1"/>
  <c r="BL278" i="1"/>
  <c r="BK319" i="1"/>
  <c r="BL196" i="1"/>
  <c r="BL237" i="1"/>
  <c r="BL363" i="1" s="1"/>
  <c r="CG155" i="1"/>
  <c r="BW196" i="1"/>
  <c r="BW278" i="1"/>
  <c r="BW237" i="1"/>
  <c r="BW363" i="1" s="1"/>
  <c r="CR155" i="1"/>
  <c r="BV319" i="1"/>
  <c r="BI366" i="1"/>
  <c r="BY198" i="1"/>
  <c r="BY280" i="1"/>
  <c r="BY239" i="1"/>
  <c r="BY365" i="1" s="1"/>
  <c r="CT157" i="1"/>
  <c r="BX321" i="1"/>
  <c r="BZ321" i="1"/>
  <c r="CA280" i="1"/>
  <c r="CV157" i="1"/>
  <c r="AP157" i="1" s="1"/>
  <c r="BC157" i="1"/>
  <c r="CA239" i="1"/>
  <c r="CA365" i="1" s="1"/>
  <c r="CA198" i="1"/>
  <c r="BX198" i="1"/>
  <c r="BX239" i="1"/>
  <c r="BX365" i="1" s="1"/>
  <c r="BX280" i="1"/>
  <c r="BW321" i="1"/>
  <c r="CS157" i="1"/>
  <c r="BV321" i="1"/>
  <c r="BW239" i="1"/>
  <c r="BW365" i="1" s="1"/>
  <c r="CR157" i="1"/>
  <c r="BW198" i="1"/>
  <c r="BW280" i="1"/>
  <c r="AA6" i="7"/>
  <c r="BJ335" i="1"/>
  <c r="R8" i="10"/>
  <c r="G35" i="10"/>
  <c r="G35" i="14"/>
  <c r="M38" i="10"/>
  <c r="M38" i="14"/>
  <c r="R38" i="10"/>
  <c r="R38" i="14"/>
  <c r="BV213" i="1"/>
  <c r="BV339" i="1" s="1"/>
  <c r="BV172" i="1"/>
  <c r="CQ131" i="1"/>
  <c r="BV254" i="1"/>
  <c r="BU295" i="1"/>
  <c r="CE131" i="1"/>
  <c r="BJ213" i="1"/>
  <c r="BJ339" i="1" s="1"/>
  <c r="BI295" i="1"/>
  <c r="BJ254" i="1"/>
  <c r="BJ172" i="1"/>
  <c r="CW131" i="1"/>
  <c r="AQ131" i="1" s="1"/>
  <c r="CB213" i="1"/>
  <c r="CB339" i="1" s="1"/>
  <c r="CA295" i="1"/>
  <c r="CB254" i="1"/>
  <c r="BK295" i="1"/>
  <c r="BL254" i="1"/>
  <c r="CH133" i="1"/>
  <c r="BM215" i="1"/>
  <c r="BM341" i="1" s="1"/>
  <c r="BM256" i="1"/>
  <c r="BL297" i="1"/>
  <c r="BM174" i="1"/>
  <c r="BH266" i="1"/>
  <c r="BH184" i="1"/>
  <c r="BG266" i="1"/>
  <c r="BB143" i="1"/>
  <c r="BH225" i="1"/>
  <c r="BH351" i="1" s="1"/>
  <c r="BG307" i="1"/>
  <c r="CC143" i="1"/>
  <c r="BD143" i="1" s="1"/>
  <c r="CB225" i="1"/>
  <c r="CB351" i="1" s="1"/>
  <c r="CB266" i="1"/>
  <c r="BC143" i="1"/>
  <c r="CW143" i="1"/>
  <c r="AQ143" i="1" s="1"/>
  <c r="BE143" i="1"/>
  <c r="CZ143" i="1" s="1"/>
  <c r="CA307" i="1"/>
  <c r="BO307" i="1"/>
  <c r="BP266" i="1"/>
  <c r="BP225" i="1"/>
  <c r="BP351" i="1" s="1"/>
  <c r="CK143" i="1"/>
  <c r="BP184" i="1"/>
  <c r="BL307" i="1"/>
  <c r="BM225" i="1"/>
  <c r="BM351" i="1" s="1"/>
  <c r="BM184" i="1"/>
  <c r="CH143" i="1"/>
  <c r="BW227" i="1"/>
  <c r="BW353" i="1" s="1"/>
  <c r="CR145" i="1"/>
  <c r="BW186" i="1"/>
  <c r="BV309" i="1"/>
  <c r="BW268" i="1"/>
  <c r="BX188" i="1"/>
  <c r="BX229" i="1"/>
  <c r="BX355" i="1" s="1"/>
  <c r="CS147" i="1"/>
  <c r="BX270" i="1"/>
  <c r="BW311" i="1"/>
  <c r="BN188" i="1"/>
  <c r="BM311" i="1"/>
  <c r="BN311" i="1"/>
  <c r="BO229" i="1"/>
  <c r="BO355" i="1" s="1"/>
  <c r="BO270" i="1"/>
  <c r="BO188" i="1"/>
  <c r="CJ147" i="1"/>
  <c r="BX315" i="1"/>
  <c r="CT151" i="1"/>
  <c r="BY274" i="1"/>
  <c r="BY192" i="1"/>
  <c r="BY233" i="1"/>
  <c r="BY359" i="1" s="1"/>
  <c r="BE151" i="1"/>
  <c r="BR192" i="1"/>
  <c r="BR233" i="1"/>
  <c r="BR359" i="1" s="1"/>
  <c r="BQ315" i="1"/>
  <c r="BR274" i="1"/>
  <c r="CM151" i="1"/>
  <c r="BV276" i="1"/>
  <c r="BU317" i="1"/>
  <c r="BV194" i="1"/>
  <c r="BV235" i="1"/>
  <c r="BV361" i="1" s="1"/>
  <c r="CQ153" i="1"/>
  <c r="BM278" i="1"/>
  <c r="BM237" i="1"/>
  <c r="BM363" i="1" s="1"/>
  <c r="CH155" i="1"/>
  <c r="BM196" i="1"/>
  <c r="BL319" i="1"/>
  <c r="BY278" i="1"/>
  <c r="BX319" i="1"/>
  <c r="CT155" i="1"/>
  <c r="BY196" i="1"/>
  <c r="BY237" i="1"/>
  <c r="BY363" i="1" s="1"/>
  <c r="BR278" i="1"/>
  <c r="BQ319" i="1"/>
  <c r="BR237" i="1"/>
  <c r="BR363" i="1" s="1"/>
  <c r="CM155" i="1"/>
  <c r="BR196" i="1"/>
  <c r="BN319" i="1"/>
  <c r="BO237" i="1"/>
  <c r="BO363" i="1" s="1"/>
  <c r="BO196" i="1"/>
  <c r="CJ155" i="1"/>
  <c r="BO278" i="1"/>
  <c r="BK321" i="1"/>
  <c r="BL280" i="1"/>
  <c r="BL239" i="1"/>
  <c r="BL365" i="1" s="1"/>
  <c r="CG157" i="1"/>
  <c r="BL198" i="1"/>
  <c r="BR321" i="1"/>
  <c r="BS280" i="1"/>
  <c r="BS239" i="1"/>
  <c r="BS365" i="1" s="1"/>
  <c r="CN157" i="1"/>
  <c r="BS198" i="1"/>
  <c r="BP321" i="1"/>
  <c r="BQ198" i="1"/>
  <c r="BQ280" i="1"/>
  <c r="BQ239" i="1"/>
  <c r="BQ365" i="1" s="1"/>
  <c r="CL157" i="1"/>
  <c r="BM321" i="1"/>
  <c r="BN239" i="1"/>
  <c r="BN365" i="1" s="1"/>
  <c r="BN280" i="1"/>
  <c r="CI157" i="1"/>
  <c r="BN198" i="1"/>
  <c r="I29" i="14"/>
  <c r="BE157" i="1"/>
  <c r="D20" i="20"/>
  <c r="DR20" i="20"/>
  <c r="AW20" i="20" s="1"/>
  <c r="S9" i="14"/>
  <c r="CB142" i="1"/>
  <c r="CB306" i="1" s="1"/>
  <c r="BD183" i="1"/>
  <c r="S16" i="14"/>
  <c r="K16" i="14"/>
  <c r="N15" i="10"/>
  <c r="BD185" i="1"/>
  <c r="CB144" i="1"/>
  <c r="CB308" i="1" s="1"/>
  <c r="M28" i="10"/>
  <c r="M28" i="14"/>
  <c r="F29" i="14"/>
  <c r="F29" i="10"/>
  <c r="BQ213" i="1"/>
  <c r="BQ339" i="1" s="1"/>
  <c r="BQ172" i="1"/>
  <c r="CL131" i="1"/>
  <c r="BP295" i="1"/>
  <c r="BQ254" i="1"/>
  <c r="BR295" i="1"/>
  <c r="BS254" i="1"/>
  <c r="BS213" i="1"/>
  <c r="BS339" i="1" s="1"/>
  <c r="CN131" i="1"/>
  <c r="BS172" i="1"/>
  <c r="BL295" i="1"/>
  <c r="CH131" i="1"/>
  <c r="BM213" i="1"/>
  <c r="BM339" i="1" s="1"/>
  <c r="BM254" i="1"/>
  <c r="BM172" i="1"/>
  <c r="BW297" i="1"/>
  <c r="BX256" i="1"/>
  <c r="BX174" i="1"/>
  <c r="BC133" i="1"/>
  <c r="BX215" i="1"/>
  <c r="BX341" i="1" s="1"/>
  <c r="CS133" i="1"/>
  <c r="BY307" i="1"/>
  <c r="BZ225" i="1"/>
  <c r="BZ351" i="1" s="1"/>
  <c r="BZ184" i="1"/>
  <c r="BZ266" i="1"/>
  <c r="CU143" i="1"/>
  <c r="BN266" i="1"/>
  <c r="BN184" i="1"/>
  <c r="CI143" i="1"/>
  <c r="BM307" i="1"/>
  <c r="BN225" i="1"/>
  <c r="BN351" i="1" s="1"/>
  <c r="BQ307" i="1"/>
  <c r="BR266" i="1"/>
  <c r="CM143" i="1"/>
  <c r="BR225" i="1"/>
  <c r="BR351" i="1" s="1"/>
  <c r="BR184" i="1"/>
  <c r="BO309" i="1"/>
  <c r="BP268" i="1"/>
  <c r="BP227" i="1"/>
  <c r="CK145" i="1"/>
  <c r="BP186" i="1"/>
  <c r="CA229" i="1"/>
  <c r="CA355" i="1" s="1"/>
  <c r="CV147" i="1"/>
  <c r="AP147" i="1" s="1"/>
  <c r="BZ311" i="1"/>
  <c r="CA270" i="1"/>
  <c r="CA188" i="1"/>
  <c r="BC147" i="1"/>
  <c r="BE147" i="1"/>
  <c r="BP188" i="1"/>
  <c r="BP229" i="1"/>
  <c r="BP355" i="1" s="1"/>
  <c r="BO311" i="1"/>
  <c r="CK147" i="1"/>
  <c r="BP270" i="1"/>
  <c r="BT188" i="1"/>
  <c r="CO147" i="1"/>
  <c r="BT270" i="1"/>
  <c r="BT229" i="1"/>
  <c r="BT355" i="1" s="1"/>
  <c r="BS311" i="1"/>
  <c r="BI188" i="1"/>
  <c r="BH311" i="1"/>
  <c r="CD147" i="1"/>
  <c r="BI270" i="1"/>
  <c r="BI229" i="1"/>
  <c r="BI355" i="1" s="1"/>
  <c r="BU233" i="1"/>
  <c r="BU359" i="1" s="1"/>
  <c r="BT315" i="1"/>
  <c r="CP151" i="1"/>
  <c r="BU274" i="1"/>
  <c r="BU192" i="1"/>
  <c r="BO317" i="1"/>
  <c r="BP276" i="1"/>
  <c r="BP235" i="1"/>
  <c r="BP361" i="1" s="1"/>
  <c r="BP194" i="1"/>
  <c r="CK153" i="1"/>
  <c r="BI237" i="1"/>
  <c r="BI363" i="1" s="1"/>
  <c r="BI278" i="1"/>
  <c r="BH319" i="1"/>
  <c r="CD155" i="1"/>
  <c r="BI196" i="1"/>
  <c r="BT319" i="1"/>
  <c r="BU278" i="1"/>
  <c r="CP155" i="1"/>
  <c r="BU196" i="1"/>
  <c r="BU237" i="1"/>
  <c r="BU363" i="1" s="1"/>
  <c r="CK157" i="1"/>
  <c r="BP280" i="1"/>
  <c r="BP198" i="1"/>
  <c r="BO321" i="1"/>
  <c r="BP239" i="1"/>
  <c r="BP365" i="1" s="1"/>
  <c r="BS321" i="1"/>
  <c r="BT198" i="1"/>
  <c r="BT239" i="1"/>
  <c r="BT365" i="1" s="1"/>
  <c r="BT280" i="1"/>
  <c r="CO157" i="1"/>
  <c r="BU280" i="1"/>
  <c r="BT321" i="1"/>
  <c r="BU198" i="1"/>
  <c r="BU239" i="1"/>
  <c r="BU365" i="1" s="1"/>
  <c r="CP157" i="1"/>
  <c r="BZ198" i="1"/>
  <c r="BZ280" i="1"/>
  <c r="BY321" i="1"/>
  <c r="CU157" i="1"/>
  <c r="BZ239" i="1"/>
  <c r="BZ365" i="1" s="1"/>
  <c r="BD158" i="1"/>
  <c r="CB133" i="1"/>
  <c r="CB297" i="1" s="1"/>
  <c r="BD174" i="1"/>
  <c r="S15" i="14"/>
  <c r="E8" i="14"/>
  <c r="E8" i="10"/>
  <c r="H17" i="14"/>
  <c r="L17" i="14"/>
  <c r="Q33" i="14"/>
  <c r="G8" i="10"/>
  <c r="T11" i="14"/>
  <c r="T11" i="10"/>
  <c r="BU254" i="1"/>
  <c r="CP131" i="1"/>
  <c r="BU213" i="1"/>
  <c r="BU339" i="1" s="1"/>
  <c r="BU172" i="1"/>
  <c r="BT295" i="1"/>
  <c r="BP254" i="1"/>
  <c r="BP172" i="1"/>
  <c r="BO295" i="1"/>
  <c r="CK131" i="1"/>
  <c r="BP213" i="1"/>
  <c r="BP339" i="1" s="1"/>
  <c r="BJ174" i="1"/>
  <c r="CE133" i="1"/>
  <c r="BW307" i="1"/>
  <c r="BX184" i="1"/>
  <c r="BX225" i="1"/>
  <c r="BX351" i="1" s="1"/>
  <c r="CS143" i="1"/>
  <c r="BX266" i="1"/>
  <c r="BV307" i="1"/>
  <c r="BW266" i="1"/>
  <c r="BW184" i="1"/>
  <c r="CR143" i="1"/>
  <c r="BW225" i="1"/>
  <c r="BW351" i="1" s="1"/>
  <c r="CT143" i="1"/>
  <c r="BY266" i="1"/>
  <c r="BX307" i="1"/>
  <c r="BY225" i="1"/>
  <c r="BY351" i="1" s="1"/>
  <c r="BY184" i="1"/>
  <c r="BP307" i="1"/>
  <c r="BQ225" i="1"/>
  <c r="BQ351" i="1" s="1"/>
  <c r="BQ266" i="1"/>
  <c r="BQ184" i="1"/>
  <c r="CL143" i="1"/>
  <c r="CU145" i="1"/>
  <c r="BZ227" i="1"/>
  <c r="BZ353" i="1" s="1"/>
  <c r="BZ186" i="1"/>
  <c r="BY309" i="1"/>
  <c r="BZ268" i="1"/>
  <c r="CU147" i="1"/>
  <c r="BY311" i="1"/>
  <c r="BZ270" i="1"/>
  <c r="BZ229" i="1"/>
  <c r="BZ355" i="1" s="1"/>
  <c r="BZ188" i="1"/>
  <c r="BL229" i="1"/>
  <c r="BL355" i="1" s="1"/>
  <c r="CG147" i="1"/>
  <c r="BL188" i="1"/>
  <c r="BL270" i="1"/>
  <c r="BK311" i="1"/>
  <c r="CR147" i="1"/>
  <c r="BV311" i="1"/>
  <c r="BW188" i="1"/>
  <c r="BW270" i="1"/>
  <c r="BW229" i="1"/>
  <c r="BW355" i="1" s="1"/>
  <c r="BV233" i="1"/>
  <c r="BV359" i="1" s="1"/>
  <c r="BV192" i="1"/>
  <c r="BV274" i="1"/>
  <c r="BU315" i="1"/>
  <c r="CQ151" i="1"/>
  <c r="BR276" i="1"/>
  <c r="BR194" i="1"/>
  <c r="BR235" i="1"/>
  <c r="BR361" i="1" s="1"/>
  <c r="CM153" i="1"/>
  <c r="BP319" i="1"/>
  <c r="BQ196" i="1"/>
  <c r="BQ237" i="1"/>
  <c r="BQ363" i="1" s="1"/>
  <c r="BQ278" i="1"/>
  <c r="CL155" i="1"/>
  <c r="BO319" i="1"/>
  <c r="BP278" i="1"/>
  <c r="CK155" i="1"/>
  <c r="BP196" i="1"/>
  <c r="BP237" i="1"/>
  <c r="BP363" i="1" s="1"/>
  <c r="CW155" i="1"/>
  <c r="AQ155" i="1" s="1"/>
  <c r="CB278" i="1"/>
  <c r="CB237" i="1"/>
  <c r="CB363" i="1" s="1"/>
  <c r="CA319" i="1"/>
  <c r="BC155" i="1"/>
  <c r="CA237" i="1"/>
  <c r="CA363" i="1" s="1"/>
  <c r="CA278" i="1"/>
  <c r="BZ319" i="1"/>
  <c r="CV155" i="1"/>
  <c r="AP155" i="1" s="1"/>
  <c r="CA196" i="1"/>
  <c r="BR280" i="1"/>
  <c r="BQ321" i="1"/>
  <c r="BR239" i="1"/>
  <c r="BR365" i="1" s="1"/>
  <c r="CM157" i="1"/>
  <c r="BR198" i="1"/>
  <c r="BV280" i="1"/>
  <c r="BV239" i="1"/>
  <c r="BV365" i="1" s="1"/>
  <c r="CQ157" i="1"/>
  <c r="BV198" i="1"/>
  <c r="BK239" i="1"/>
  <c r="BK365" i="1" s="1"/>
  <c r="BJ321" i="1"/>
  <c r="CF157" i="1"/>
  <c r="BK198" i="1"/>
  <c r="BK280" i="1"/>
  <c r="BH321" i="1"/>
  <c r="BI239" i="1"/>
  <c r="BI280" i="1"/>
  <c r="BI198" i="1"/>
  <c r="CD157" i="1"/>
  <c r="BE153" i="1"/>
  <c r="D18" i="20"/>
  <c r="D40" i="20"/>
  <c r="DR40" i="20"/>
  <c r="AW40" i="20" s="1"/>
  <c r="BD164" i="1"/>
  <c r="CB123" i="1"/>
  <c r="CB287" i="1" s="1"/>
  <c r="Q25" i="14"/>
  <c r="Q25" i="10"/>
  <c r="F31" i="10"/>
  <c r="F31" i="14"/>
  <c r="H16" i="14"/>
  <c r="H16" i="10"/>
  <c r="S25" i="10"/>
  <c r="S25" i="14"/>
  <c r="R17" i="10"/>
  <c r="R17" i="14"/>
  <c r="BG20" i="17"/>
  <c r="AO21" i="17"/>
  <c r="DB65" i="1" s="1"/>
  <c r="BL337" i="1"/>
  <c r="DZ167" i="1"/>
  <c r="BK340" i="1"/>
  <c r="AI44" i="10"/>
  <c r="AM44" i="10"/>
  <c r="U44" i="10"/>
  <c r="AS44" i="10"/>
  <c r="AE44" i="10"/>
  <c r="S44" i="10"/>
  <c r="K44" i="10"/>
  <c r="AQ44" i="10"/>
  <c r="Y44" i="10"/>
  <c r="AW44" i="10"/>
  <c r="AU44" i="10"/>
  <c r="AC44" i="10"/>
  <c r="W44" i="10"/>
  <c r="AP44" i="10"/>
  <c r="AL44" i="10"/>
  <c r="AD44" i="10"/>
  <c r="L44" i="10"/>
  <c r="AO44" i="10"/>
  <c r="V44" i="10"/>
  <c r="N44" i="10"/>
  <c r="AG44" i="10"/>
  <c r="I44" i="10"/>
  <c r="AK44" i="10"/>
  <c r="AA44" i="10"/>
  <c r="F44" i="10"/>
  <c r="O44" i="10"/>
  <c r="P44" i="10"/>
  <c r="BU165" i="1"/>
  <c r="CP124" i="1"/>
  <c r="BU247" i="1"/>
  <c r="BT288" i="1"/>
  <c r="BU206" i="1"/>
  <c r="BU332" i="1" s="1"/>
  <c r="BQ288" i="1"/>
  <c r="CM124" i="1"/>
  <c r="BR165" i="1"/>
  <c r="BR206" i="1"/>
  <c r="BR332" i="1" s="1"/>
  <c r="BR247" i="1"/>
  <c r="BV288" i="1"/>
  <c r="BW247" i="1"/>
  <c r="BW206" i="1"/>
  <c r="BW332" i="1" s="1"/>
  <c r="CR124" i="1"/>
  <c r="BW165" i="1"/>
  <c r="BS165" i="1"/>
  <c r="BS247" i="1"/>
  <c r="BS206" i="1"/>
  <c r="BS332" i="1" s="1"/>
  <c r="CN124" i="1"/>
  <c r="BR288" i="1"/>
  <c r="BT206" i="1"/>
  <c r="BT332" i="1" s="1"/>
  <c r="BT247" i="1"/>
  <c r="CO124" i="1"/>
  <c r="BS288" i="1"/>
  <c r="BT165" i="1"/>
  <c r="BM288" i="1"/>
  <c r="BN206" i="1"/>
  <c r="BN332" i="1" s="1"/>
  <c r="BN247" i="1"/>
  <c r="CI124" i="1"/>
  <c r="BN165" i="1"/>
  <c r="CH126" i="1"/>
  <c r="BM167" i="1"/>
  <c r="BM208" i="1"/>
  <c r="BM334" i="1" s="1"/>
  <c r="BL290" i="1"/>
  <c r="BM249" i="1"/>
  <c r="BY208" i="1"/>
  <c r="BY334" i="1" s="1"/>
  <c r="CT126" i="1"/>
  <c r="BY249" i="1"/>
  <c r="BY167" i="1"/>
  <c r="BX290" i="1"/>
  <c r="CQ126" i="1"/>
  <c r="BV167" i="1"/>
  <c r="BV249" i="1"/>
  <c r="BV208" i="1"/>
  <c r="BV334" i="1" s="1"/>
  <c r="BU290" i="1"/>
  <c r="BN249" i="1"/>
  <c r="CI126" i="1"/>
  <c r="BN167" i="1"/>
  <c r="BN208" i="1"/>
  <c r="BN334" i="1" s="1"/>
  <c r="BM290" i="1"/>
  <c r="BZ167" i="1"/>
  <c r="CU126" i="1"/>
  <c r="BY290" i="1"/>
  <c r="BZ249" i="1"/>
  <c r="BZ208" i="1"/>
  <c r="BZ334" i="1" s="1"/>
  <c r="BW169" i="1"/>
  <c r="BV292" i="1"/>
  <c r="CR128" i="1"/>
  <c r="BW251" i="1"/>
  <c r="BW210" i="1"/>
  <c r="BW336" i="1" s="1"/>
  <c r="BH292" i="1"/>
  <c r="CD128" i="1"/>
  <c r="BI210" i="1"/>
  <c r="BI336" i="1" s="1"/>
  <c r="BI169" i="1"/>
  <c r="CJ128" i="1"/>
  <c r="BO251" i="1"/>
  <c r="BO169" i="1"/>
  <c r="BO210" i="1"/>
  <c r="BO336" i="1" s="1"/>
  <c r="BN292" i="1"/>
  <c r="BQ292" i="1"/>
  <c r="CM128" i="1"/>
  <c r="BR169" i="1"/>
  <c r="BR210" i="1"/>
  <c r="BR336" i="1" s="1"/>
  <c r="BR251" i="1"/>
  <c r="CB251" i="1"/>
  <c r="CB210" i="1"/>
  <c r="CB336" i="1" s="1"/>
  <c r="CA292" i="1"/>
  <c r="CW128" i="1"/>
  <c r="AQ128" i="1" s="1"/>
  <c r="BC128" i="1"/>
  <c r="BE128" i="1"/>
  <c r="CZ128" i="1" s="1"/>
  <c r="AT44" i="10"/>
  <c r="EC38" i="20"/>
  <c r="BI38" i="20" s="1"/>
  <c r="O17" i="14"/>
  <c r="O17" i="10"/>
  <c r="R19" i="14"/>
  <c r="J15" i="14"/>
  <c r="J15" i="10"/>
  <c r="T17" i="14"/>
  <c r="T17" i="10"/>
  <c r="S10" i="10"/>
  <c r="S10" i="14"/>
  <c r="Q43" i="14"/>
  <c r="Q43" i="10"/>
  <c r="I10" i="10"/>
  <c r="I10" i="14"/>
  <c r="T8" i="14"/>
  <c r="T8" i="10"/>
  <c r="BH341" i="1"/>
  <c r="D39" i="20"/>
  <c r="DR39" i="20"/>
  <c r="AW39" i="20" s="1"/>
  <c r="R20" i="10"/>
  <c r="DR16" i="20"/>
  <c r="AW16" i="20" s="1"/>
  <c r="CH43" i="20"/>
  <c r="BQ36" i="1"/>
  <c r="AZ36" i="1"/>
  <c r="GS38" i="4"/>
  <c r="BX36" i="1"/>
  <c r="CG38" i="20"/>
  <c r="D38" i="20" s="1"/>
  <c r="AU36" i="1"/>
  <c r="GP38" i="4" s="1"/>
  <c r="R40" i="7"/>
  <c r="FD36" i="1"/>
  <c r="FT41" i="1"/>
  <c r="EK41" i="1"/>
  <c r="BJ288" i="1"/>
  <c r="CF124" i="1"/>
  <c r="BK165" i="1"/>
  <c r="BK247" i="1"/>
  <c r="BK206" i="1"/>
  <c r="BK332" i="1" s="1"/>
  <c r="BN288" i="1"/>
  <c r="BO247" i="1"/>
  <c r="BO206" i="1"/>
  <c r="BO332" i="1" s="1"/>
  <c r="CJ124" i="1"/>
  <c r="BO165" i="1"/>
  <c r="CA165" i="1"/>
  <c r="CA247" i="1"/>
  <c r="CV124" i="1"/>
  <c r="AP124" i="1" s="1"/>
  <c r="BZ288" i="1"/>
  <c r="CA206" i="1"/>
  <c r="CA332" i="1" s="1"/>
  <c r="BI206" i="1"/>
  <c r="BI332" i="1" s="1"/>
  <c r="CD124" i="1"/>
  <c r="BI165" i="1"/>
  <c r="BH288" i="1"/>
  <c r="BI247" i="1"/>
  <c r="BL206" i="1"/>
  <c r="BL332" i="1" s="1"/>
  <c r="CG124" i="1"/>
  <c r="BL165" i="1"/>
  <c r="BL247" i="1"/>
  <c r="BK288" i="1"/>
  <c r="BV290" i="1"/>
  <c r="BW167" i="1"/>
  <c r="CR126" i="1"/>
  <c r="BW208" i="1"/>
  <c r="BW334" i="1" s="1"/>
  <c r="BW249" i="1"/>
  <c r="BT167" i="1"/>
  <c r="BS290" i="1"/>
  <c r="BT249" i="1"/>
  <c r="CO126" i="1"/>
  <c r="BT208" i="1"/>
  <c r="BT334" i="1" s="1"/>
  <c r="CJ126" i="1"/>
  <c r="BO249" i="1"/>
  <c r="BO208" i="1"/>
  <c r="BO334" i="1" s="1"/>
  <c r="BN290" i="1"/>
  <c r="BO167" i="1"/>
  <c r="BP208" i="1"/>
  <c r="BP334" i="1" s="1"/>
  <c r="BO290" i="1"/>
  <c r="BP249" i="1"/>
  <c r="CK126" i="1"/>
  <c r="BP167" i="1"/>
  <c r="CM126" i="1"/>
  <c r="BR249" i="1"/>
  <c r="BR208" i="1"/>
  <c r="BR334" i="1" s="1"/>
  <c r="BR167" i="1"/>
  <c r="BQ290" i="1"/>
  <c r="BJ208" i="1"/>
  <c r="BJ334" i="1" s="1"/>
  <c r="BJ249" i="1"/>
  <c r="CE126" i="1"/>
  <c r="BI290" i="1"/>
  <c r="BJ167" i="1"/>
  <c r="BY169" i="1"/>
  <c r="BY210" i="1"/>
  <c r="BY336" i="1" s="1"/>
  <c r="CT128" i="1"/>
  <c r="BX292" i="1"/>
  <c r="BY251" i="1"/>
  <c r="BH210" i="1"/>
  <c r="BG292" i="1"/>
  <c r="BG251" i="1"/>
  <c r="BH251" i="1"/>
  <c r="BH169" i="1"/>
  <c r="CC128" i="1"/>
  <c r="BB128" i="1"/>
  <c r="CA251" i="1"/>
  <c r="CV128" i="1"/>
  <c r="AP128" i="1" s="1"/>
  <c r="CA169" i="1"/>
  <c r="CA210" i="1"/>
  <c r="CA336" i="1" s="1"/>
  <c r="BZ292" i="1"/>
  <c r="CU128" i="1"/>
  <c r="BZ169" i="1"/>
  <c r="BZ210" i="1"/>
  <c r="BZ336" i="1" s="1"/>
  <c r="BY292" i="1"/>
  <c r="BZ251" i="1"/>
  <c r="BO292" i="1"/>
  <c r="BP169" i="1"/>
  <c r="BP251" i="1"/>
  <c r="BP210" i="1"/>
  <c r="BP336" i="1" s="1"/>
  <c r="CK128" i="1"/>
  <c r="D28" i="20"/>
  <c r="DR28" i="20"/>
  <c r="AW28" i="20" s="1"/>
  <c r="I27" i="14"/>
  <c r="I27" i="10"/>
  <c r="M37" i="14"/>
  <c r="Q15" i="10"/>
  <c r="Q15" i="14"/>
  <c r="R45" i="14"/>
  <c r="R45" i="10"/>
  <c r="M48" i="14"/>
  <c r="M48" i="10"/>
  <c r="I8" i="10"/>
  <c r="N10" i="10"/>
  <c r="N10" i="14"/>
  <c r="E2" i="19"/>
  <c r="DM193" i="1"/>
  <c r="S17" i="14"/>
  <c r="BD130" i="1"/>
  <c r="U66" i="17"/>
  <c r="U31" i="17"/>
  <c r="CH38" i="20"/>
  <c r="E48" i="10"/>
  <c r="E48" i="14"/>
  <c r="E12" i="20"/>
  <c r="AU41" i="1"/>
  <c r="GP43" i="4" s="1"/>
  <c r="R45" i="7"/>
  <c r="FD41" i="1"/>
  <c r="CG43" i="20"/>
  <c r="D43" i="20" s="1"/>
  <c r="BY247" i="1"/>
  <c r="BY165" i="1"/>
  <c r="CT124" i="1"/>
  <c r="BX288" i="1"/>
  <c r="BY206" i="1"/>
  <c r="BY332" i="1" s="1"/>
  <c r="CU124" i="1"/>
  <c r="BZ165" i="1"/>
  <c r="BZ247" i="1"/>
  <c r="BY288" i="1"/>
  <c r="BZ206" i="1"/>
  <c r="BZ332" i="1" s="1"/>
  <c r="BM206" i="1"/>
  <c r="BM332" i="1" s="1"/>
  <c r="BM165" i="1"/>
  <c r="BL288" i="1"/>
  <c r="BM247" i="1"/>
  <c r="CH124" i="1"/>
  <c r="BV206" i="1"/>
  <c r="BV332" i="1" s="1"/>
  <c r="BU288" i="1"/>
  <c r="BV165" i="1"/>
  <c r="BV247" i="1"/>
  <c r="CQ124" i="1"/>
  <c r="CB247" i="1"/>
  <c r="CB206" i="1"/>
  <c r="CB332" i="1" s="1"/>
  <c r="CA288" i="1"/>
  <c r="CW124" i="1"/>
  <c r="AQ124" i="1" s="1"/>
  <c r="BE124" i="1"/>
  <c r="CZ124" i="1" s="1"/>
  <c r="BC124" i="1"/>
  <c r="BJ290" i="1"/>
  <c r="BK167" i="1"/>
  <c r="BK208" i="1"/>
  <c r="BK334" i="1" s="1"/>
  <c r="BK249" i="1"/>
  <c r="CF126" i="1"/>
  <c r="BP290" i="1"/>
  <c r="BQ208" i="1"/>
  <c r="BQ334" i="1" s="1"/>
  <c r="CL126" i="1"/>
  <c r="BQ249" i="1"/>
  <c r="BQ167" i="1"/>
  <c r="CA249" i="1"/>
  <c r="CA208" i="1"/>
  <c r="CA334" i="1" s="1"/>
  <c r="BZ290" i="1"/>
  <c r="CA167" i="1"/>
  <c r="CV126" i="1"/>
  <c r="AP126" i="1" s="1"/>
  <c r="CB249" i="1"/>
  <c r="CW126" i="1"/>
  <c r="AQ126" i="1" s="1"/>
  <c r="CA290" i="1"/>
  <c r="CB208" i="1"/>
  <c r="CB334" i="1" s="1"/>
  <c r="BE126" i="1"/>
  <c r="CZ126" i="1" s="1"/>
  <c r="BC126" i="1"/>
  <c r="BT290" i="1"/>
  <c r="BU208" i="1"/>
  <c r="BU334" i="1" s="1"/>
  <c r="BU249" i="1"/>
  <c r="CP126" i="1"/>
  <c r="BU167" i="1"/>
  <c r="BM292" i="1"/>
  <c r="BN210" i="1"/>
  <c r="BN336" i="1" s="1"/>
  <c r="BN169" i="1"/>
  <c r="BN251" i="1"/>
  <c r="CI128" i="1"/>
  <c r="BX210" i="1"/>
  <c r="BX336" i="1" s="1"/>
  <c r="BX169" i="1"/>
  <c r="BX251" i="1"/>
  <c r="CS128" i="1"/>
  <c r="BW292" i="1"/>
  <c r="BT292" i="1"/>
  <c r="CP128" i="1"/>
  <c r="BU169" i="1"/>
  <c r="BU210" i="1"/>
  <c r="BU336" i="1" s="1"/>
  <c r="BU251" i="1"/>
  <c r="BP292" i="1"/>
  <c r="CL128" i="1"/>
  <c r="BQ251" i="1"/>
  <c r="BQ169" i="1"/>
  <c r="BQ210" i="1"/>
  <c r="BQ336" i="1" s="1"/>
  <c r="BJ251" i="1"/>
  <c r="BJ210" i="1"/>
  <c r="BJ336" i="1" s="1"/>
  <c r="BI292" i="1"/>
  <c r="BJ169" i="1"/>
  <c r="CE128" i="1"/>
  <c r="CO128" i="1"/>
  <c r="BT169" i="1"/>
  <c r="BS292" i="1"/>
  <c r="BT210" i="1"/>
  <c r="BT336" i="1" s="1"/>
  <c r="BT251" i="1"/>
  <c r="FV10" i="4"/>
  <c r="FX10" i="4"/>
  <c r="FW10" i="4"/>
  <c r="BJ331" i="1"/>
  <c r="R16" i="10"/>
  <c r="R16" i="14"/>
  <c r="M27" i="14"/>
  <c r="M27" i="10"/>
  <c r="R15" i="14"/>
  <c r="R15" i="10"/>
  <c r="E46" i="14"/>
  <c r="E46" i="10"/>
  <c r="K10" i="14"/>
  <c r="K10" i="10"/>
  <c r="Q47" i="14"/>
  <c r="Q10" i="10"/>
  <c r="Q10" i="14"/>
  <c r="M8" i="10"/>
  <c r="M8" i="14"/>
  <c r="BO351" i="1"/>
  <c r="BJ364" i="1"/>
  <c r="CA362" i="1"/>
  <c r="BH363" i="1"/>
  <c r="CM71" i="1"/>
  <c r="BH338" i="1"/>
  <c r="T12" i="14"/>
  <c r="EK36" i="1"/>
  <c r="FT36" i="1"/>
  <c r="FW14" i="4"/>
  <c r="FV14" i="4"/>
  <c r="DI151" i="1"/>
  <c r="FE36" i="1"/>
  <c r="AM39" i="10"/>
  <c r="W39" i="10"/>
  <c r="AC39" i="10"/>
  <c r="AU39" i="10"/>
  <c r="O39" i="10"/>
  <c r="P39" i="10"/>
  <c r="U39" i="10"/>
  <c r="AI39" i="10"/>
  <c r="AS39" i="10"/>
  <c r="Y39" i="10"/>
  <c r="AK39" i="10"/>
  <c r="H39" i="10"/>
  <c r="AN39" i="10"/>
  <c r="T39" i="10"/>
  <c r="J39" i="10"/>
  <c r="AG39" i="10"/>
  <c r="AQ39" i="10"/>
  <c r="AW39" i="10"/>
  <c r="AA39" i="10"/>
  <c r="AE39" i="10"/>
  <c r="S39" i="10"/>
  <c r="N39" i="10"/>
  <c r="I39" i="10"/>
  <c r="AO39" i="10"/>
  <c r="R39" i="10"/>
  <c r="I39" i="14"/>
  <c r="J39" i="14"/>
  <c r="N39" i="14"/>
  <c r="S39" i="14"/>
  <c r="H39" i="14"/>
  <c r="O39" i="14"/>
  <c r="T39" i="14"/>
  <c r="G39" i="14"/>
  <c r="R39" i="14"/>
  <c r="P39" i="14"/>
  <c r="F39" i="14"/>
  <c r="CG41" i="1"/>
  <c r="GS43" i="4"/>
  <c r="BQ41" i="1"/>
  <c r="AZ41" i="1"/>
  <c r="DI156" i="1"/>
  <c r="FE41" i="1"/>
  <c r="I44" i="14"/>
  <c r="O44" i="14"/>
  <c r="N44" i="14"/>
  <c r="P44" i="14"/>
  <c r="L44" i="14"/>
  <c r="K44" i="14"/>
  <c r="S44" i="14"/>
  <c r="F44" i="14"/>
  <c r="BH165" i="1"/>
  <c r="BH247" i="1"/>
  <c r="BB124" i="1"/>
  <c r="BG288" i="1"/>
  <c r="CC124" i="1"/>
  <c r="BH206" i="1"/>
  <c r="BG247" i="1"/>
  <c r="BI288" i="1"/>
  <c r="BJ165" i="1"/>
  <c r="BJ206" i="1"/>
  <c r="BJ332" i="1" s="1"/>
  <c r="CE124" i="1"/>
  <c r="BJ247" i="1"/>
  <c r="BP247" i="1"/>
  <c r="BP165" i="1"/>
  <c r="CK124" i="1"/>
  <c r="BO288" i="1"/>
  <c r="BP206" i="1"/>
  <c r="BP332" i="1" s="1"/>
  <c r="BX247" i="1"/>
  <c r="BW288" i="1"/>
  <c r="BX206" i="1"/>
  <c r="BX332" i="1" s="1"/>
  <c r="BX165" i="1"/>
  <c r="CS124" i="1"/>
  <c r="BQ165" i="1"/>
  <c r="BQ206" i="1"/>
  <c r="BQ332" i="1" s="1"/>
  <c r="BQ247" i="1"/>
  <c r="CL124" i="1"/>
  <c r="BP288" i="1"/>
  <c r="BL167" i="1"/>
  <c r="BK290" i="1"/>
  <c r="CG126" i="1"/>
  <c r="BL249" i="1"/>
  <c r="BL208" i="1"/>
  <c r="BL334" i="1" s="1"/>
  <c r="CD126" i="1"/>
  <c r="BI167" i="1"/>
  <c r="BI249" i="1"/>
  <c r="BH290" i="1"/>
  <c r="BI208" i="1"/>
  <c r="BI334" i="1" s="1"/>
  <c r="BS167" i="1"/>
  <c r="CN126" i="1"/>
  <c r="BR290" i="1"/>
  <c r="BS249" i="1"/>
  <c r="BS208" i="1"/>
  <c r="BS334" i="1" s="1"/>
  <c r="BX208" i="1"/>
  <c r="BX334" i="1" s="1"/>
  <c r="BX167" i="1"/>
  <c r="BW290" i="1"/>
  <c r="BX249" i="1"/>
  <c r="CS126" i="1"/>
  <c r="BB126" i="1"/>
  <c r="BG290" i="1"/>
  <c r="CC126" i="1"/>
  <c r="BG249" i="1"/>
  <c r="BH167" i="1"/>
  <c r="BH208" i="1"/>
  <c r="BH249" i="1"/>
  <c r="BL169" i="1"/>
  <c r="BK292" i="1"/>
  <c r="BL210" i="1"/>
  <c r="BL336" i="1" s="1"/>
  <c r="CG128" i="1"/>
  <c r="BL251" i="1"/>
  <c r="BV210" i="1"/>
  <c r="BV336" i="1" s="1"/>
  <c r="CQ128" i="1"/>
  <c r="BV251" i="1"/>
  <c r="BV169" i="1"/>
  <c r="BU292" i="1"/>
  <c r="BL292" i="1"/>
  <c r="CH128" i="1"/>
  <c r="BM210" i="1"/>
  <c r="BM336" i="1" s="1"/>
  <c r="BM251" i="1"/>
  <c r="BM169" i="1"/>
  <c r="CF128" i="1"/>
  <c r="BK251" i="1"/>
  <c r="BK210" i="1"/>
  <c r="BK336" i="1" s="1"/>
  <c r="BJ292" i="1"/>
  <c r="BK169" i="1"/>
  <c r="BS210" i="1"/>
  <c r="BS336" i="1" s="1"/>
  <c r="CN128" i="1"/>
  <c r="BR292" i="1"/>
  <c r="BS251" i="1"/>
  <c r="BS169" i="1"/>
  <c r="CP17" i="4"/>
  <c r="CU17" i="4"/>
  <c r="CO17" i="4"/>
  <c r="CS17" i="4"/>
  <c r="CR17" i="4"/>
  <c r="G46" i="14"/>
  <c r="G46" i="10"/>
  <c r="F43" i="14"/>
  <c r="F43" i="10"/>
  <c r="DC3" i="4"/>
  <c r="J3" i="8" s="1"/>
  <c r="CA330" i="1"/>
  <c r="BM48" i="4"/>
  <c r="ES3" i="4"/>
  <c r="J24" i="8" s="1"/>
  <c r="T15" i="14"/>
  <c r="T15" i="10"/>
  <c r="AY48" i="4"/>
  <c r="EE3" i="4"/>
  <c r="J17" i="8" s="1"/>
  <c r="R18" i="14"/>
  <c r="R18" i="10"/>
  <c r="AU48" i="4"/>
  <c r="EA3" i="4"/>
  <c r="J15" i="8" s="1"/>
  <c r="AL16" i="10"/>
  <c r="BQ48" i="4"/>
  <c r="EW3" i="4"/>
  <c r="J26" i="8" s="1"/>
  <c r="EQ3" i="4"/>
  <c r="J23" i="8" s="1"/>
  <c r="BK48" i="4"/>
  <c r="I37" i="10"/>
  <c r="AC48" i="4"/>
  <c r="DI3" i="4"/>
  <c r="J6" i="8" s="1"/>
  <c r="I37" i="14"/>
  <c r="Q44" i="14"/>
  <c r="Q44" i="10"/>
  <c r="EI3" i="4"/>
  <c r="J19" i="8" s="1"/>
  <c r="BC48" i="4"/>
  <c r="X10" i="10"/>
  <c r="M41" i="10"/>
  <c r="I46" i="10"/>
  <c r="I46" i="14"/>
  <c r="EK3" i="4"/>
  <c r="J20" i="8" s="1"/>
  <c r="BE48" i="4"/>
  <c r="K46" i="14"/>
  <c r="K46" i="10"/>
  <c r="Q39" i="10"/>
  <c r="Q39" i="14"/>
  <c r="S46" i="10"/>
  <c r="S46" i="14"/>
  <c r="DY3" i="4"/>
  <c r="J14" i="8" s="1"/>
  <c r="Q16" i="10"/>
  <c r="Q16" i="14"/>
  <c r="AS48" i="4"/>
  <c r="Q21" i="10"/>
  <c r="Q21" i="14"/>
  <c r="S37" i="14"/>
  <c r="AW48" i="4"/>
  <c r="EC3" i="4"/>
  <c r="J16" i="8" s="1"/>
  <c r="K41" i="10"/>
  <c r="AG48" i="4"/>
  <c r="K41" i="14"/>
  <c r="DM3" i="4"/>
  <c r="J8" i="8" s="1"/>
  <c r="BG48" i="4"/>
  <c r="EM3" i="4"/>
  <c r="J21" i="8" s="1"/>
  <c r="I43" i="14"/>
  <c r="G41" i="10"/>
  <c r="Y48" i="4"/>
  <c r="DE3" i="4"/>
  <c r="J4" i="8" s="1"/>
  <c r="BI48" i="4"/>
  <c r="EO3" i="4"/>
  <c r="J22" i="8" s="1"/>
  <c r="AD8" i="10"/>
  <c r="FL40" i="4"/>
  <c r="L41" i="10"/>
  <c r="DO3" i="4"/>
  <c r="J9" i="8" s="1"/>
  <c r="AI48" i="4"/>
  <c r="EU3" i="4"/>
  <c r="J25" i="8" s="1"/>
  <c r="BO48" i="4"/>
  <c r="AJ12" i="10"/>
  <c r="J18" i="14"/>
  <c r="J18" i="10"/>
  <c r="AE48" i="4"/>
  <c r="DK3" i="4"/>
  <c r="J7" i="8" s="1"/>
  <c r="BU48" i="4"/>
  <c r="FA3" i="4"/>
  <c r="J28" i="8" s="1"/>
  <c r="E32" i="14"/>
  <c r="M42" i="10"/>
  <c r="M42" i="14"/>
  <c r="BY48" i="4"/>
  <c r="FE3" i="4"/>
  <c r="J30" i="8" s="1"/>
  <c r="CC48" i="4"/>
  <c r="AX9" i="10"/>
  <c r="FI3" i="4"/>
  <c r="J32" i="8" s="1"/>
  <c r="I45" i="10"/>
  <c r="I45" i="14"/>
  <c r="BA48" i="4"/>
  <c r="EG3" i="4"/>
  <c r="J18" i="8" s="1"/>
  <c r="V8" i="10"/>
  <c r="P41" i="10"/>
  <c r="P41" i="14"/>
  <c r="AV11" i="10"/>
  <c r="CA48" i="4"/>
  <c r="FG3" i="4"/>
  <c r="J31" i="8" s="1"/>
  <c r="BS48" i="4"/>
  <c r="EY3" i="4"/>
  <c r="J27" i="8" s="1"/>
  <c r="AN10" i="10"/>
  <c r="DW3" i="4"/>
  <c r="J13" i="8" s="1"/>
  <c r="P15" i="14"/>
  <c r="AQ48" i="4"/>
  <c r="N18" i="14"/>
  <c r="N18" i="10"/>
  <c r="AM48" i="4"/>
  <c r="DS3" i="4"/>
  <c r="J11" i="8" s="1"/>
  <c r="J33" i="14"/>
  <c r="BW48" i="4"/>
  <c r="FC3" i="4"/>
  <c r="J29" i="8" s="1"/>
  <c r="O41" i="10"/>
  <c r="DU3" i="4"/>
  <c r="J12" i="8" s="1"/>
  <c r="AO48" i="4"/>
  <c r="O46" i="10"/>
  <c r="O46" i="14"/>
  <c r="M39" i="14"/>
  <c r="M39" i="10"/>
  <c r="AK48" i="4"/>
  <c r="DQ3" i="4"/>
  <c r="J10" i="8" s="1"/>
  <c r="S41" i="10"/>
  <c r="E25" i="20"/>
  <c r="D13" i="20"/>
  <c r="DR13" i="20"/>
  <c r="AW13" i="20" s="1"/>
  <c r="DN13" i="20"/>
  <c r="AS13" i="20" s="1"/>
  <c r="E45" i="20"/>
  <c r="CV8" i="20"/>
  <c r="P8" i="20"/>
  <c r="P11" i="20"/>
  <c r="CW11" i="20"/>
  <c r="CU10" i="20"/>
  <c r="DL10" i="20"/>
  <c r="W10" i="20"/>
  <c r="CX10" i="20"/>
  <c r="CV10" i="20"/>
  <c r="AL11" i="20"/>
  <c r="AL8" i="20"/>
  <c r="DL8" i="20"/>
  <c r="CV11" i="20"/>
  <c r="CX11" i="20"/>
  <c r="CW10" i="20"/>
  <c r="E56" i="5"/>
  <c r="D56" i="5" s="1"/>
  <c r="F44" i="7"/>
  <c r="CS29" i="4"/>
  <c r="CO29" i="4"/>
  <c r="CU29" i="4"/>
  <c r="CQ29" i="4"/>
  <c r="CR29" i="4"/>
  <c r="CP29" i="4"/>
  <c r="F33" i="7"/>
  <c r="FM31" i="4"/>
  <c r="FY11" i="1"/>
  <c r="E62" i="5"/>
  <c r="D62" i="5" s="1"/>
  <c r="CO38" i="4"/>
  <c r="CU38" i="4"/>
  <c r="CP38" i="4"/>
  <c r="CR38" i="4"/>
  <c r="CQ38" i="4"/>
  <c r="CS38" i="4"/>
  <c r="FM28" i="4"/>
  <c r="F30" i="7"/>
  <c r="E42" i="5"/>
  <c r="D42" i="5" s="1"/>
  <c r="F42" i="26"/>
  <c r="E42" i="26" s="1"/>
  <c r="V10" i="10" l="1"/>
  <c r="FD44" i="1"/>
  <c r="EK12" i="1"/>
  <c r="O10" i="10"/>
  <c r="AM10" i="10"/>
  <c r="J25" i="14"/>
  <c r="T47" i="14"/>
  <c r="FD38" i="1"/>
  <c r="S47" i="14"/>
  <c r="DY16" i="1"/>
  <c r="DZ16" i="1" s="1"/>
  <c r="EA16" i="1" s="1"/>
  <c r="EB16" i="1" s="1"/>
  <c r="EC16" i="1" s="1"/>
  <c r="ED16" i="1" s="1"/>
  <c r="EE16" i="1" s="1"/>
  <c r="AD23" i="10"/>
  <c r="AI23" i="10"/>
  <c r="AC23" i="10"/>
  <c r="J23" i="10"/>
  <c r="U23" i="10"/>
  <c r="H37" i="14"/>
  <c r="J37" i="14"/>
  <c r="Q23" i="10"/>
  <c r="AX23" i="10"/>
  <c r="S40" i="14"/>
  <c r="AW23" i="10"/>
  <c r="T37" i="14"/>
  <c r="AX10" i="10"/>
  <c r="AV10" i="10"/>
  <c r="H41" i="10"/>
  <c r="AF10" i="10"/>
  <c r="R10" i="10"/>
  <c r="AS10" i="10"/>
  <c r="AC10" i="10"/>
  <c r="E26" i="10"/>
  <c r="G47" i="14"/>
  <c r="R41" i="10"/>
  <c r="AO23" i="10"/>
  <c r="O23" i="10"/>
  <c r="R23" i="10"/>
  <c r="AM23" i="10"/>
  <c r="AK23" i="10"/>
  <c r="T23" i="10"/>
  <c r="AS23" i="10"/>
  <c r="AX19" i="10"/>
  <c r="H23" i="10"/>
  <c r="L23" i="10"/>
  <c r="AT23" i="10"/>
  <c r="AH23" i="10"/>
  <c r="O25" i="14"/>
  <c r="AW10" i="10"/>
  <c r="AG10" i="10"/>
  <c r="F47" i="14"/>
  <c r="M47" i="14"/>
  <c r="O47" i="14"/>
  <c r="BX20" i="1"/>
  <c r="GS22" i="4"/>
  <c r="DY44" i="1"/>
  <c r="DZ44" i="1" s="1"/>
  <c r="EA44" i="1" s="1"/>
  <c r="EB44" i="1" s="1"/>
  <c r="EC44" i="1" s="1"/>
  <c r="ED44" i="1" s="1"/>
  <c r="EE44" i="1" s="1"/>
  <c r="Z41" i="10"/>
  <c r="FP48" i="4"/>
  <c r="AI6" i="17"/>
  <c r="CV50" i="1" s="1"/>
  <c r="D3" i="19" s="1"/>
  <c r="I8" i="14"/>
  <c r="N8" i="14"/>
  <c r="O8" i="14"/>
  <c r="G8" i="14"/>
  <c r="R8" i="14"/>
  <c r="K8" i="14"/>
  <c r="F8" i="14"/>
  <c r="Q8" i="14"/>
  <c r="BK369" i="1"/>
  <c r="DN5" i="1"/>
  <c r="DM5" i="1" s="1"/>
  <c r="AL6" i="18"/>
  <c r="AH8" i="18"/>
  <c r="AL6" i="17"/>
  <c r="CY50" i="1" s="1"/>
  <c r="G3" i="19" s="1"/>
  <c r="AK6" i="17"/>
  <c r="CX50" i="1" s="1"/>
  <c r="F3" i="19" s="1"/>
  <c r="DY38" i="1"/>
  <c r="DZ38" i="1" s="1"/>
  <c r="EA38" i="1" s="1"/>
  <c r="EB38" i="1" s="1"/>
  <c r="EC38" i="1" s="1"/>
  <c r="ED38" i="1" s="1"/>
  <c r="EE38" i="1" s="1"/>
  <c r="DX19" i="1"/>
  <c r="AJ6" i="17"/>
  <c r="CW50" i="1" s="1"/>
  <c r="E3" i="19" s="1"/>
  <c r="DY37" i="1"/>
  <c r="DZ37" i="1" s="1"/>
  <c r="EA37" i="1" s="1"/>
  <c r="EB37" i="1" s="1"/>
  <c r="EC37" i="1" s="1"/>
  <c r="ED37" i="1" s="1"/>
  <c r="EE37" i="1" s="1"/>
  <c r="DX12" i="1"/>
  <c r="AI6" i="18"/>
  <c r="CU7" i="20"/>
  <c r="AA5" i="1"/>
  <c r="DL7" i="20"/>
  <c r="CW7" i="20"/>
  <c r="AA7" i="20" s="1"/>
  <c r="DY19" i="1"/>
  <c r="DZ19" i="1" s="1"/>
  <c r="EA19" i="1" s="1"/>
  <c r="EB19" i="1" s="1"/>
  <c r="EC19" i="1" s="1"/>
  <c r="ED19" i="1" s="1"/>
  <c r="EE19" i="1" s="1"/>
  <c r="EC43" i="20"/>
  <c r="BI43" i="20" s="1"/>
  <c r="CG7" i="20"/>
  <c r="AU5" i="1"/>
  <c r="GP7" i="4" s="1"/>
  <c r="R9" i="7"/>
  <c r="EC20" i="20"/>
  <c r="BI20" i="20" s="1"/>
  <c r="W2" i="4"/>
  <c r="DU5" i="1"/>
  <c r="BI369" i="1"/>
  <c r="H8" i="14"/>
  <c r="CH7" i="20"/>
  <c r="E7" i="20" s="1"/>
  <c r="AB5" i="1"/>
  <c r="FM23" i="4"/>
  <c r="DY34" i="1"/>
  <c r="DZ34" i="1" s="1"/>
  <c r="EA34" i="1" s="1"/>
  <c r="EB34" i="1" s="1"/>
  <c r="EC34" i="1" s="1"/>
  <c r="ED34" i="1" s="1"/>
  <c r="EE34" i="1" s="1"/>
  <c r="D31" i="16"/>
  <c r="D32" i="16" s="1"/>
  <c r="EC40" i="20"/>
  <c r="BI40" i="20" s="1"/>
  <c r="DX34" i="1"/>
  <c r="AS21" i="10"/>
  <c r="AX21" i="10"/>
  <c r="K21" i="10"/>
  <c r="F27" i="7"/>
  <c r="G46" i="26" s="1"/>
  <c r="Q13" i="14"/>
  <c r="P13" i="14"/>
  <c r="S13" i="14"/>
  <c r="H13" i="14"/>
  <c r="M13" i="14"/>
  <c r="F13" i="14"/>
  <c r="D49" i="14"/>
  <c r="T13" i="14"/>
  <c r="L13" i="14"/>
  <c r="O13" i="14"/>
  <c r="F46" i="26"/>
  <c r="E46" i="26" s="1"/>
  <c r="EC35" i="20"/>
  <c r="BI35" i="20" s="1"/>
  <c r="E13" i="14"/>
  <c r="AT13" i="10"/>
  <c r="N13" i="10"/>
  <c r="AA10" i="1"/>
  <c r="CU12" i="20"/>
  <c r="Y12" i="20" s="1"/>
  <c r="CW12" i="20"/>
  <c r="AA12" i="20" s="1"/>
  <c r="DN10" i="1"/>
  <c r="DL12" i="20"/>
  <c r="AB10" i="1"/>
  <c r="DV5" i="1"/>
  <c r="EC39" i="20"/>
  <c r="BI39" i="20" s="1"/>
  <c r="F19" i="7"/>
  <c r="O19" i="7" s="1"/>
  <c r="CQ42" i="4"/>
  <c r="CP42" i="4"/>
  <c r="CS42" i="4"/>
  <c r="CO42" i="4"/>
  <c r="CR42" i="4"/>
  <c r="F80" i="26"/>
  <c r="E80" i="26" s="1"/>
  <c r="CN43" i="4"/>
  <c r="CS43" i="4" s="1"/>
  <c r="EC14" i="20"/>
  <c r="BI14" i="20" s="1"/>
  <c r="S41" i="14"/>
  <c r="H22" i="10"/>
  <c r="N47" i="10"/>
  <c r="F22" i="10"/>
  <c r="Q22" i="10"/>
  <c r="M47" i="10"/>
  <c r="I40" i="14"/>
  <c r="J47" i="10"/>
  <c r="AI22" i="10"/>
  <c r="G40" i="14"/>
  <c r="O40" i="14"/>
  <c r="J41" i="14"/>
  <c r="J22" i="10"/>
  <c r="AT22" i="10"/>
  <c r="AJ22" i="10"/>
  <c r="AL22" i="10"/>
  <c r="V22" i="10"/>
  <c r="X22" i="10"/>
  <c r="U22" i="10"/>
  <c r="M22" i="10"/>
  <c r="AC22" i="10"/>
  <c r="S22" i="10"/>
  <c r="AO22" i="10"/>
  <c r="AN47" i="10"/>
  <c r="AX47" i="10"/>
  <c r="AC47" i="10"/>
  <c r="AE47" i="10"/>
  <c r="AS47" i="10"/>
  <c r="X47" i="10"/>
  <c r="K47" i="10"/>
  <c r="S47" i="10"/>
  <c r="Y47" i="10"/>
  <c r="I47" i="10"/>
  <c r="L22" i="10"/>
  <c r="G41" i="14"/>
  <c r="M41" i="14"/>
  <c r="Q47" i="10"/>
  <c r="H47" i="10"/>
  <c r="H41" i="14"/>
  <c r="T22" i="10"/>
  <c r="DX30" i="1"/>
  <c r="Q41" i="14"/>
  <c r="AU41" i="10"/>
  <c r="X41" i="10"/>
  <c r="AR41" i="10"/>
  <c r="AX41" i="10"/>
  <c r="AC41" i="10"/>
  <c r="U41" i="10"/>
  <c r="AF41" i="10"/>
  <c r="N41" i="10"/>
  <c r="AO41" i="10"/>
  <c r="R40" i="14"/>
  <c r="X9" i="10"/>
  <c r="AH37" i="10"/>
  <c r="AU9" i="10"/>
  <c r="AH9" i="10"/>
  <c r="N22" i="10"/>
  <c r="AW22" i="10"/>
  <c r="AK9" i="10"/>
  <c r="Q40" i="14"/>
  <c r="T40" i="14"/>
  <c r="T25" i="14"/>
  <c r="AR10" i="10"/>
  <c r="AJ10" i="10"/>
  <c r="AP10" i="10"/>
  <c r="R22" i="10"/>
  <c r="H10" i="10"/>
  <c r="J41" i="10"/>
  <c r="Z22" i="10"/>
  <c r="AI10" i="10"/>
  <c r="AL10" i="10"/>
  <c r="K22" i="10"/>
  <c r="AD10" i="10"/>
  <c r="AN22" i="10"/>
  <c r="I25" i="14"/>
  <c r="O22" i="10"/>
  <c r="AA22" i="10"/>
  <c r="AK10" i="10"/>
  <c r="W10" i="10"/>
  <c r="Y10" i="10"/>
  <c r="K25" i="14"/>
  <c r="F9" i="10"/>
  <c r="AD9" i="10"/>
  <c r="AS9" i="10"/>
  <c r="M9" i="10"/>
  <c r="V47" i="10"/>
  <c r="N41" i="14"/>
  <c r="AR47" i="10"/>
  <c r="AJ47" i="10"/>
  <c r="AI47" i="10"/>
  <c r="Z47" i="10"/>
  <c r="AV47" i="10"/>
  <c r="AK47" i="10"/>
  <c r="AP47" i="10"/>
  <c r="U47" i="10"/>
  <c r="AO47" i="10"/>
  <c r="AH41" i="10"/>
  <c r="AT47" i="10"/>
  <c r="F15" i="14"/>
  <c r="N15" i="14"/>
  <c r="K15" i="14"/>
  <c r="O41" i="14"/>
  <c r="L41" i="14"/>
  <c r="T47" i="10"/>
  <c r="M40" i="14"/>
  <c r="F41" i="14"/>
  <c r="AW41" i="10"/>
  <c r="P22" i="10"/>
  <c r="AD41" i="10"/>
  <c r="AN41" i="10"/>
  <c r="V41" i="10"/>
  <c r="Y41" i="10"/>
  <c r="AM41" i="10"/>
  <c r="AK41" i="10"/>
  <c r="O9" i="10"/>
  <c r="AB41" i="10"/>
  <c r="L40" i="14"/>
  <c r="AV37" i="10"/>
  <c r="AP9" i="10"/>
  <c r="K37" i="10"/>
  <c r="N9" i="10"/>
  <c r="N40" i="14"/>
  <c r="F47" i="10"/>
  <c r="AT9" i="10"/>
  <c r="AA9" i="10"/>
  <c r="P25" i="14"/>
  <c r="P49" i="14" s="1"/>
  <c r="AQ41" i="10"/>
  <c r="AM22" i="10"/>
  <c r="AS22" i="10"/>
  <c r="AN9" i="10"/>
  <c r="S9" i="10"/>
  <c r="J9" i="10"/>
  <c r="J40" i="14"/>
  <c r="AV9" i="10"/>
  <c r="K40" i="14"/>
  <c r="AT41" i="10"/>
  <c r="G10" i="10"/>
  <c r="AF22" i="10"/>
  <c r="T10" i="10"/>
  <c r="AT10" i="10"/>
  <c r="AH22" i="10"/>
  <c r="I41" i="10"/>
  <c r="AH10" i="10"/>
  <c r="AB10" i="10"/>
  <c r="Y22" i="10"/>
  <c r="AQ22" i="10"/>
  <c r="U10" i="10"/>
  <c r="AV22" i="10"/>
  <c r="AQ10" i="10"/>
  <c r="AA10" i="10"/>
  <c r="AE10" i="10"/>
  <c r="AJ9" i="10"/>
  <c r="AD47" i="10"/>
  <c r="AF47" i="10"/>
  <c r="W47" i="10"/>
  <c r="AL47" i="10"/>
  <c r="AA47" i="10"/>
  <c r="AM47" i="10"/>
  <c r="AG47" i="10"/>
  <c r="H15" i="14"/>
  <c r="M10" i="10"/>
  <c r="EC21" i="20"/>
  <c r="BI21" i="20" s="1"/>
  <c r="F84" i="26"/>
  <c r="E84" i="26" s="1"/>
  <c r="FM33" i="4"/>
  <c r="U40" i="4"/>
  <c r="F42" i="7" s="1"/>
  <c r="O42" i="7" s="1"/>
  <c r="CN40" i="4"/>
  <c r="CO40" i="4" s="1"/>
  <c r="AD38" i="1"/>
  <c r="CP44" i="4"/>
  <c r="E72" i="5"/>
  <c r="D72" i="5" s="1"/>
  <c r="CO37" i="4"/>
  <c r="CR15" i="4"/>
  <c r="CQ37" i="4"/>
  <c r="CR37" i="4"/>
  <c r="CO30" i="4"/>
  <c r="CS37" i="4"/>
  <c r="CP37" i="4"/>
  <c r="F86" i="26"/>
  <c r="E86" i="26" s="1"/>
  <c r="CR30" i="4"/>
  <c r="Y45" i="7"/>
  <c r="T32" i="4"/>
  <c r="E34" i="7" s="1"/>
  <c r="E60" i="5" s="1"/>
  <c r="D60" i="5" s="1"/>
  <c r="E82" i="5"/>
  <c r="D82" i="5" s="1"/>
  <c r="AD41" i="1"/>
  <c r="U43" i="4"/>
  <c r="F45" i="7" s="1"/>
  <c r="F82" i="5" s="1"/>
  <c r="F30" i="26"/>
  <c r="E30" i="26" s="1"/>
  <c r="T40" i="4"/>
  <c r="E42" i="7" s="1"/>
  <c r="E76" i="5" s="1"/>
  <c r="D76" i="5" s="1"/>
  <c r="AD16" i="1"/>
  <c r="Y20" i="7"/>
  <c r="CN18" i="4"/>
  <c r="CQ18" i="4" s="1"/>
  <c r="CN24" i="4"/>
  <c r="CQ24" i="4" s="1"/>
  <c r="U18" i="4"/>
  <c r="F20" i="7" s="1"/>
  <c r="G32" i="26" s="1"/>
  <c r="F39" i="7"/>
  <c r="G70" i="26" s="1"/>
  <c r="Y34" i="7"/>
  <c r="G84" i="26"/>
  <c r="CU30" i="4"/>
  <c r="CQ30" i="4"/>
  <c r="CP30" i="4"/>
  <c r="AD22" i="1"/>
  <c r="T24" i="4"/>
  <c r="E26" i="7" s="1"/>
  <c r="F44" i="26" s="1"/>
  <c r="E44" i="26" s="1"/>
  <c r="U24" i="4"/>
  <c r="FM24" i="4" s="1"/>
  <c r="U14" i="4"/>
  <c r="F16" i="7" s="1"/>
  <c r="O16" i="7" s="1"/>
  <c r="T14" i="4"/>
  <c r="E16" i="7" s="1"/>
  <c r="AD12" i="1"/>
  <c r="CP33" i="4"/>
  <c r="CQ33" i="4"/>
  <c r="CR33" i="4"/>
  <c r="E32" i="5"/>
  <c r="D32" i="5" s="1"/>
  <c r="Y24" i="7"/>
  <c r="CQ20" i="4"/>
  <c r="CN14" i="4"/>
  <c r="U22" i="4"/>
  <c r="FM22" i="4" s="1"/>
  <c r="Y38" i="7"/>
  <c r="U39" i="4"/>
  <c r="FM39" i="4" s="1"/>
  <c r="CN39" i="4"/>
  <c r="CO39" i="4" s="1"/>
  <c r="F90" i="26"/>
  <c r="E90" i="26" s="1"/>
  <c r="Y22" i="7"/>
  <c r="AD37" i="1"/>
  <c r="CN36" i="4"/>
  <c r="AD34" i="1"/>
  <c r="U36" i="4"/>
  <c r="F38" i="7" s="1"/>
  <c r="G68" i="26" s="1"/>
  <c r="CS20" i="4"/>
  <c r="CU20" i="4"/>
  <c r="CP20" i="4"/>
  <c r="CO20" i="4"/>
  <c r="U20" i="4"/>
  <c r="FM20" i="4" s="1"/>
  <c r="F26" i="26"/>
  <c r="E26" i="26" s="1"/>
  <c r="F74" i="26"/>
  <c r="E74" i="26" s="1"/>
  <c r="AD18" i="1"/>
  <c r="F28" i="26"/>
  <c r="E28" i="26" s="1"/>
  <c r="FM45" i="4"/>
  <c r="F49" i="7"/>
  <c r="G90" i="26" s="1"/>
  <c r="Y41" i="7"/>
  <c r="DX44" i="1"/>
  <c r="AK22" i="10"/>
  <c r="G22" i="10"/>
  <c r="AR22" i="10"/>
  <c r="AC9" i="10"/>
  <c r="W9" i="10"/>
  <c r="AQ9" i="10"/>
  <c r="U9" i="10"/>
  <c r="K9" i="10"/>
  <c r="AR9" i="10"/>
  <c r="U21" i="4"/>
  <c r="CN21" i="4"/>
  <c r="Y23" i="7"/>
  <c r="AD19" i="1"/>
  <c r="AB9" i="10"/>
  <c r="T20" i="4"/>
  <c r="E22" i="7" s="1"/>
  <c r="DX22" i="1"/>
  <c r="AB7" i="1"/>
  <c r="AU7" i="1"/>
  <c r="GP9" i="4" s="1"/>
  <c r="CG9" i="20"/>
  <c r="Z10" i="10"/>
  <c r="EF39" i="20"/>
  <c r="BL39" i="20" s="1"/>
  <c r="BK39" i="20"/>
  <c r="AC21" i="10"/>
  <c r="AE21" i="10"/>
  <c r="AT21" i="10"/>
  <c r="AG21" i="10"/>
  <c r="AK21" i="10"/>
  <c r="Y21" i="10"/>
  <c r="AF21" i="10"/>
  <c r="AO21" i="10"/>
  <c r="AQ21" i="10"/>
  <c r="N21" i="10"/>
  <c r="E16" i="14"/>
  <c r="E16" i="10"/>
  <c r="EF14" i="20"/>
  <c r="BL14" i="20" s="1"/>
  <c r="BK14" i="20"/>
  <c r="DY30" i="1"/>
  <c r="DZ30" i="1" s="1"/>
  <c r="EA30" i="1" s="1"/>
  <c r="EB30" i="1" s="1"/>
  <c r="EC30" i="1" s="1"/>
  <c r="ED30" i="1" s="1"/>
  <c r="EE30" i="1" s="1"/>
  <c r="F88" i="26"/>
  <c r="E88" i="26" s="1"/>
  <c r="E88" i="5"/>
  <c r="D88" i="5" s="1"/>
  <c r="CU45" i="4"/>
  <c r="CP45" i="4"/>
  <c r="S37" i="10"/>
  <c r="D8" i="15"/>
  <c r="T33" i="10"/>
  <c r="Z33" i="10"/>
  <c r="H33" i="10"/>
  <c r="AQ33" i="10"/>
  <c r="W33" i="10"/>
  <c r="AW33" i="10"/>
  <c r="AK37" i="10"/>
  <c r="W37" i="10"/>
  <c r="Y37" i="10"/>
  <c r="AA37" i="10"/>
  <c r="CG30" i="1"/>
  <c r="X33" i="10"/>
  <c r="P33" i="10"/>
  <c r="AP33" i="10"/>
  <c r="FT34" i="1"/>
  <c r="G23" i="14"/>
  <c r="AX33" i="10"/>
  <c r="AD37" i="10"/>
  <c r="BX30" i="1"/>
  <c r="Q37" i="10"/>
  <c r="E31" i="14"/>
  <c r="AD30" i="1"/>
  <c r="AR37" i="10"/>
  <c r="E18" i="14"/>
  <c r="F37" i="10"/>
  <c r="R37" i="10"/>
  <c r="AJ37" i="10"/>
  <c r="O23" i="14"/>
  <c r="Y48" i="7"/>
  <c r="AD44" i="1"/>
  <c r="U46" i="4"/>
  <c r="F48" i="7" s="1"/>
  <c r="G88" i="26" s="1"/>
  <c r="BK46" i="20"/>
  <c r="G37" i="10"/>
  <c r="CN46" i="4"/>
  <c r="CR46" i="4" s="1"/>
  <c r="CP16" i="4"/>
  <c r="CS45" i="4"/>
  <c r="CR45" i="4"/>
  <c r="M37" i="10"/>
  <c r="DR37" i="20"/>
  <c r="AW37" i="20" s="1"/>
  <c r="FT30" i="1"/>
  <c r="E35" i="14"/>
  <c r="AB33" i="10"/>
  <c r="G33" i="10"/>
  <c r="Y33" i="10"/>
  <c r="AA33" i="10"/>
  <c r="AK33" i="10"/>
  <c r="AU33" i="10"/>
  <c r="U37" i="10"/>
  <c r="AI37" i="10"/>
  <c r="AE37" i="10"/>
  <c r="AO37" i="10"/>
  <c r="AZ30" i="1"/>
  <c r="O33" i="10"/>
  <c r="AV33" i="10"/>
  <c r="BK32" i="20"/>
  <c r="FE10" i="1"/>
  <c r="V37" i="10"/>
  <c r="AN33" i="10"/>
  <c r="S33" i="10"/>
  <c r="EC24" i="20"/>
  <c r="BI24" i="20" s="1"/>
  <c r="CN32" i="4"/>
  <c r="CU32" i="4" s="1"/>
  <c r="AR33" i="10"/>
  <c r="N37" i="10"/>
  <c r="AN37" i="10"/>
  <c r="GS36" i="4"/>
  <c r="N33" i="10"/>
  <c r="AB37" i="10"/>
  <c r="DY20" i="1"/>
  <c r="DZ20" i="1" s="1"/>
  <c r="EA20" i="1" s="1"/>
  <c r="EB20" i="1" s="1"/>
  <c r="EC20" i="1" s="1"/>
  <c r="ED20" i="1" s="1"/>
  <c r="EE20" i="1" s="1"/>
  <c r="DX16" i="1"/>
  <c r="EC18" i="20"/>
  <c r="BI18" i="20" s="1"/>
  <c r="DY22" i="1"/>
  <c r="DZ22" i="1" s="1"/>
  <c r="EA22" i="1" s="1"/>
  <c r="EB22" i="1" s="1"/>
  <c r="EC22" i="1" s="1"/>
  <c r="ED22" i="1" s="1"/>
  <c r="EE22" i="1" s="1"/>
  <c r="E58" i="5"/>
  <c r="D58" i="5" s="1"/>
  <c r="CO45" i="4"/>
  <c r="J33" i="10"/>
  <c r="D7" i="20"/>
  <c r="J37" i="10"/>
  <c r="AL37" i="10"/>
  <c r="AG33" i="10"/>
  <c r="AE33" i="10"/>
  <c r="AO33" i="10"/>
  <c r="AC33" i="10"/>
  <c r="AG37" i="10"/>
  <c r="AW37" i="10"/>
  <c r="AS37" i="10"/>
  <c r="AM37" i="10"/>
  <c r="GS32" i="4"/>
  <c r="AF33" i="10"/>
  <c r="AL33" i="10"/>
  <c r="I33" i="10"/>
  <c r="T37" i="10"/>
  <c r="L33" i="10"/>
  <c r="AH33" i="10"/>
  <c r="H37" i="10"/>
  <c r="CW34" i="1"/>
  <c r="H23" i="14"/>
  <c r="R33" i="10"/>
  <c r="AD33" i="10"/>
  <c r="AX37" i="10"/>
  <c r="AF37" i="10"/>
  <c r="AP37" i="10"/>
  <c r="Z37" i="10"/>
  <c r="O37" i="10"/>
  <c r="J23" i="14"/>
  <c r="T23" i="14"/>
  <c r="I23" i="14"/>
  <c r="E9" i="10"/>
  <c r="M23" i="14"/>
  <c r="K19" i="10"/>
  <c r="AT19" i="10"/>
  <c r="AB19" i="10"/>
  <c r="F28" i="7"/>
  <c r="H13" i="10"/>
  <c r="O13" i="10"/>
  <c r="AC13" i="10"/>
  <c r="F23" i="14"/>
  <c r="AB13" i="10"/>
  <c r="CV48" i="4"/>
  <c r="R23" i="14"/>
  <c r="L19" i="10"/>
  <c r="AD19" i="10"/>
  <c r="P19" i="10"/>
  <c r="AD13" i="10"/>
  <c r="G13" i="10"/>
  <c r="AU20" i="1"/>
  <c r="GP22" i="4" s="1"/>
  <c r="Q23" i="14"/>
  <c r="K23" i="14"/>
  <c r="AH19" i="10"/>
  <c r="N19" i="10"/>
  <c r="S23" i="14"/>
  <c r="AF13" i="10"/>
  <c r="AP13" i="10"/>
  <c r="K13" i="10"/>
  <c r="FT20" i="1"/>
  <c r="CQ28" i="4"/>
  <c r="D49" i="10"/>
  <c r="DR18" i="20"/>
  <c r="AW18" i="20" s="1"/>
  <c r="E27" i="10"/>
  <c r="AO19" i="10"/>
  <c r="AK19" i="10"/>
  <c r="AA19" i="10"/>
  <c r="AI19" i="10"/>
  <c r="I19" i="10"/>
  <c r="X19" i="10"/>
  <c r="AP19" i="10"/>
  <c r="E38" i="14"/>
  <c r="V19" i="10"/>
  <c r="AL19" i="10"/>
  <c r="M19" i="10"/>
  <c r="P13" i="10"/>
  <c r="G19" i="10"/>
  <c r="AM13" i="10"/>
  <c r="AJ13" i="10"/>
  <c r="AL13" i="10"/>
  <c r="T13" i="10"/>
  <c r="X13" i="10"/>
  <c r="Z13" i="10"/>
  <c r="AX13" i="10"/>
  <c r="Y13" i="10"/>
  <c r="AS13" i="10"/>
  <c r="AQ13" i="10"/>
  <c r="AK13" i="10"/>
  <c r="R19" i="10"/>
  <c r="O19" i="10"/>
  <c r="AE19" i="10"/>
  <c r="Y19" i="10"/>
  <c r="AU19" i="10"/>
  <c r="EC32" i="20"/>
  <c r="BI32" i="20" s="1"/>
  <c r="FE44" i="1"/>
  <c r="R13" i="10"/>
  <c r="S19" i="10"/>
  <c r="AN19" i="10"/>
  <c r="F19" i="10"/>
  <c r="AR19" i="10"/>
  <c r="AV13" i="10"/>
  <c r="E10" i="10"/>
  <c r="AU10" i="1"/>
  <c r="GP12" i="4" s="1"/>
  <c r="F13" i="10"/>
  <c r="AN13" i="10"/>
  <c r="Q13" i="10"/>
  <c r="M13" i="10"/>
  <c r="AI13" i="10"/>
  <c r="AU13" i="10"/>
  <c r="AW13" i="10"/>
  <c r="AE13" i="10"/>
  <c r="AG13" i="10"/>
  <c r="BK22" i="20"/>
  <c r="V13" i="10"/>
  <c r="O46" i="7"/>
  <c r="FM44" i="4"/>
  <c r="AH13" i="10"/>
  <c r="BD190" i="1"/>
  <c r="S13" i="10"/>
  <c r="AG19" i="10"/>
  <c r="AC19" i="10"/>
  <c r="AW19" i="10"/>
  <c r="U19" i="10"/>
  <c r="EC36" i="20"/>
  <c r="BI36" i="20" s="1"/>
  <c r="J13" i="10"/>
  <c r="J19" i="10"/>
  <c r="R14" i="7"/>
  <c r="H19" i="10"/>
  <c r="Z19" i="10"/>
  <c r="L13" i="10"/>
  <c r="L49" i="10" s="1"/>
  <c r="AJ19" i="10"/>
  <c r="AV19" i="10"/>
  <c r="CG12" i="20"/>
  <c r="D12" i="20" s="1"/>
  <c r="I13" i="10"/>
  <c r="AA13" i="10"/>
  <c r="AR13" i="10"/>
  <c r="AO13" i="10"/>
  <c r="U13" i="10"/>
  <c r="T19" i="10"/>
  <c r="DX20" i="1"/>
  <c r="CZ133" i="1"/>
  <c r="BD180" i="1"/>
  <c r="GS46" i="4"/>
  <c r="AZ44" i="1"/>
  <c r="AF22" i="7"/>
  <c r="E15" i="14"/>
  <c r="EC46" i="20"/>
  <c r="BI46" i="20" s="1"/>
  <c r="E68" i="5"/>
  <c r="D68" i="5" s="1"/>
  <c r="AY138" i="1"/>
  <c r="I13" i="14"/>
  <c r="G13" i="14"/>
  <c r="K13" i="14"/>
  <c r="K49" i="14" s="1"/>
  <c r="R13" i="14"/>
  <c r="N13" i="14"/>
  <c r="E30" i="14"/>
  <c r="AF39" i="7"/>
  <c r="R24" i="7"/>
  <c r="E78" i="5"/>
  <c r="D78" i="5" s="1"/>
  <c r="E52" i="5"/>
  <c r="D52" i="5" s="1"/>
  <c r="E28" i="10"/>
  <c r="E28" i="14"/>
  <c r="FM38" i="4"/>
  <c r="F40" i="7"/>
  <c r="F38" i="26"/>
  <c r="E38" i="26" s="1"/>
  <c r="E38" i="5"/>
  <c r="D38" i="5" s="1"/>
  <c r="CQ41" i="4"/>
  <c r="CQ16" i="4"/>
  <c r="CO16" i="4"/>
  <c r="CS41" i="4"/>
  <c r="F21" i="7"/>
  <c r="F34" i="5" s="1"/>
  <c r="DR41" i="20"/>
  <c r="AW41" i="20" s="1"/>
  <c r="CQ27" i="4"/>
  <c r="FD20" i="1"/>
  <c r="EC22" i="20"/>
  <c r="BI22" i="20" s="1"/>
  <c r="T22" i="4"/>
  <c r="E24" i="7" s="1"/>
  <c r="CN22" i="4"/>
  <c r="CU33" i="4"/>
  <c r="CS33" i="4"/>
  <c r="CU25" i="4"/>
  <c r="CP25" i="4"/>
  <c r="CO25" i="4"/>
  <c r="CS25" i="4"/>
  <c r="CQ25" i="4"/>
  <c r="CR25" i="4"/>
  <c r="CU16" i="4"/>
  <c r="CS16" i="4"/>
  <c r="E48" i="5"/>
  <c r="D48" i="5" s="1"/>
  <c r="E64" i="5"/>
  <c r="D64" i="5" s="1"/>
  <c r="CP28" i="4"/>
  <c r="CO15" i="4"/>
  <c r="D96" i="26"/>
  <c r="S2" i="8"/>
  <c r="E70" i="5"/>
  <c r="D70" i="5" s="1"/>
  <c r="F70" i="26"/>
  <c r="E70" i="26" s="1"/>
  <c r="EV10" i="1"/>
  <c r="EW37" i="1"/>
  <c r="CZ150" i="1"/>
  <c r="CS26" i="4"/>
  <c r="F54" i="26"/>
  <c r="E54" i="26" s="1"/>
  <c r="EW36" i="1"/>
  <c r="EX27" i="1"/>
  <c r="ER11" i="1"/>
  <c r="EX37" i="1"/>
  <c r="D93" i="5"/>
  <c r="EW27" i="1"/>
  <c r="BC35" i="1"/>
  <c r="N35" i="1" s="1"/>
  <c r="EV37" i="1"/>
  <c r="DP186" i="1"/>
  <c r="ET32" i="1"/>
  <c r="D36" i="20"/>
  <c r="R2" i="8"/>
  <c r="AY152" i="1"/>
  <c r="CP23" i="4"/>
  <c r="DP182" i="1"/>
  <c r="DP30" i="1"/>
  <c r="Z34" i="7" s="1"/>
  <c r="DP203" i="1"/>
  <c r="DK184" i="1"/>
  <c r="DO24" i="1" s="1"/>
  <c r="AB28" i="7" s="1"/>
  <c r="BD26" i="20" s="1"/>
  <c r="DJ188" i="1"/>
  <c r="DQ28" i="1" s="1"/>
  <c r="DY192" i="1"/>
  <c r="ET26" i="1"/>
  <c r="DY186" i="1"/>
  <c r="EA186" i="1" s="1"/>
  <c r="DY168" i="1"/>
  <c r="EA168" i="1" s="1"/>
  <c r="DP20" i="1"/>
  <c r="Z24" i="7" s="1"/>
  <c r="EU13" i="1"/>
  <c r="EV28" i="1"/>
  <c r="ES5" i="1"/>
  <c r="F31" i="7"/>
  <c r="F54" i="5" s="1"/>
  <c r="DR45" i="20"/>
  <c r="AW45" i="20" s="1"/>
  <c r="DP27" i="1"/>
  <c r="Z31" i="7" s="1"/>
  <c r="EX10" i="1"/>
  <c r="EV40" i="1"/>
  <c r="EX16" i="1"/>
  <c r="DP32" i="1"/>
  <c r="Z36" i="7" s="1"/>
  <c r="DP26" i="1"/>
  <c r="Z30" i="7" s="1"/>
  <c r="DL177" i="1"/>
  <c r="BC8" i="1"/>
  <c r="BE8" i="1" s="1"/>
  <c r="AZ8" i="1" s="1"/>
  <c r="D8" i="5"/>
  <c r="CB136" i="1"/>
  <c r="CB300" i="1" s="1"/>
  <c r="CC300" i="1" s="1"/>
  <c r="X21" i="1" s="1"/>
  <c r="DR46" i="20"/>
  <c r="AW46" i="20" s="1"/>
  <c r="AY123" i="1"/>
  <c r="BD162" i="1"/>
  <c r="CC162" i="1" s="1"/>
  <c r="T6" i="1" s="1"/>
  <c r="CR28" i="4"/>
  <c r="F34" i="7"/>
  <c r="O34" i="7" s="1"/>
  <c r="CU41" i="4"/>
  <c r="BC44" i="1"/>
  <c r="N44" i="1" s="1"/>
  <c r="E10" i="15"/>
  <c r="AZ122" i="1"/>
  <c r="AF10" i="7"/>
  <c r="CO41" i="4"/>
  <c r="CS28" i="4"/>
  <c r="CO28" i="4"/>
  <c r="CP41" i="4"/>
  <c r="DR12" i="20"/>
  <c r="AW12" i="20" s="1"/>
  <c r="CR23" i="4"/>
  <c r="CU23" i="4"/>
  <c r="CQ15" i="4"/>
  <c r="CS15" i="4"/>
  <c r="CO26" i="4"/>
  <c r="CR26" i="4"/>
  <c r="FM41" i="4"/>
  <c r="CU35" i="4"/>
  <c r="E34" i="5"/>
  <c r="D34" i="5" s="1"/>
  <c r="E16" i="15"/>
  <c r="CZ144" i="1"/>
  <c r="CZ121" i="1"/>
  <c r="CB6" i="20"/>
  <c r="H6" i="20" s="1"/>
  <c r="AY160" i="1"/>
  <c r="CY123" i="1"/>
  <c r="Q8" i="20"/>
  <c r="DR25" i="20"/>
  <c r="AW25" i="20" s="1"/>
  <c r="DR33" i="20"/>
  <c r="AW33" i="20" s="1"/>
  <c r="CS23" i="4"/>
  <c r="CQ23" i="4"/>
  <c r="CP15" i="4"/>
  <c r="CU26" i="4"/>
  <c r="CP26" i="4"/>
  <c r="CO35" i="4"/>
  <c r="CQ35" i="4"/>
  <c r="AZ152" i="1"/>
  <c r="O29" i="7"/>
  <c r="CQ47" i="4"/>
  <c r="CU27" i="4"/>
  <c r="EB196" i="1"/>
  <c r="EW10" i="1"/>
  <c r="DM165" i="1"/>
  <c r="ER8" i="1"/>
  <c r="DI183" i="1"/>
  <c r="DR23" i="1" s="1"/>
  <c r="AA27" i="7" s="1"/>
  <c r="DP172" i="1"/>
  <c r="ES30" i="1"/>
  <c r="ER21" i="1"/>
  <c r="DP25" i="1"/>
  <c r="Z29" i="7" s="1"/>
  <c r="DK200" i="1"/>
  <c r="DO40" i="1" s="1"/>
  <c r="AB44" i="7" s="1"/>
  <c r="BD42" i="20" s="1"/>
  <c r="EB177" i="1"/>
  <c r="DL189" i="1"/>
  <c r="DO197" i="1"/>
  <c r="EX21" i="1"/>
  <c r="DO199" i="1"/>
  <c r="EP27" i="1"/>
  <c r="DJ183" i="1"/>
  <c r="DQ23" i="1" s="1"/>
  <c r="ER29" i="1"/>
  <c r="ER42" i="1"/>
  <c r="EB181" i="1"/>
  <c r="DL174" i="1"/>
  <c r="ET12" i="1"/>
  <c r="ES40" i="1"/>
  <c r="EU14" i="1"/>
  <c r="EU41" i="1"/>
  <c r="CQ44" i="4"/>
  <c r="CS44" i="4"/>
  <c r="CR34" i="4"/>
  <c r="CU44" i="4"/>
  <c r="CR44" i="4"/>
  <c r="CC203" i="1"/>
  <c r="S6" i="1" s="1"/>
  <c r="CD8" i="20" s="1"/>
  <c r="J8" i="20" s="1"/>
  <c r="EP36" i="1"/>
  <c r="ES10" i="1"/>
  <c r="DO198" i="1"/>
  <c r="DL199" i="1"/>
  <c r="DO191" i="1"/>
  <c r="ER15" i="1"/>
  <c r="ES16" i="1"/>
  <c r="EU34" i="1"/>
  <c r="ER24" i="1"/>
  <c r="EP34" i="1"/>
  <c r="EV23" i="1"/>
  <c r="DI184" i="1"/>
  <c r="DR24" i="1" s="1"/>
  <c r="AA28" i="7" s="1"/>
  <c r="EX42" i="1"/>
  <c r="DK198" i="1"/>
  <c r="DO38" i="1" s="1"/>
  <c r="AB42" i="7" s="1"/>
  <c r="BD40" i="20" s="1"/>
  <c r="EU15" i="1"/>
  <c r="EU22" i="1"/>
  <c r="EW12" i="1"/>
  <c r="DI176" i="1"/>
  <c r="DR16" i="1" s="1"/>
  <c r="AA20" i="7" s="1"/>
  <c r="DJ200" i="1"/>
  <c r="DQ40" i="1" s="1"/>
  <c r="DL198" i="1"/>
  <c r="DP29" i="1"/>
  <c r="Z33" i="7" s="1"/>
  <c r="ES26" i="1"/>
  <c r="EW21" i="1"/>
  <c r="ET17" i="1"/>
  <c r="AF31" i="7"/>
  <c r="FM16" i="4"/>
  <c r="FM27" i="4"/>
  <c r="DO187" i="1"/>
  <c r="DJ196" i="1"/>
  <c r="DQ36" i="1" s="1"/>
  <c r="ET10" i="1"/>
  <c r="DP24" i="1"/>
  <c r="Z28" i="7" s="1"/>
  <c r="DP35" i="1"/>
  <c r="Z39" i="7" s="1"/>
  <c r="DL179" i="1"/>
  <c r="DL191" i="1"/>
  <c r="DM197" i="1"/>
  <c r="ES15" i="1"/>
  <c r="DL172" i="1"/>
  <c r="EQ14" i="1"/>
  <c r="EP38" i="1"/>
  <c r="EB179" i="1"/>
  <c r="ET20" i="1"/>
  <c r="DP34" i="1"/>
  <c r="Z38" i="7" s="1"/>
  <c r="DM174" i="1"/>
  <c r="ET18" i="1"/>
  <c r="ER30" i="1"/>
  <c r="EQ19" i="1"/>
  <c r="EW20" i="1"/>
  <c r="EX33" i="1"/>
  <c r="DM187" i="1"/>
  <c r="EQ16" i="1"/>
  <c r="DL194" i="1"/>
  <c r="ET22" i="1"/>
  <c r="AY156" i="1"/>
  <c r="BD172" i="1"/>
  <c r="CC172" i="1" s="1"/>
  <c r="T16" i="1" s="1"/>
  <c r="GN18" i="4" s="1"/>
  <c r="CB131" i="1"/>
  <c r="CB295" i="1" s="1"/>
  <c r="CC295" i="1" s="1"/>
  <c r="X16" i="1" s="1"/>
  <c r="EJ16" i="1" s="1"/>
  <c r="CR31" i="4"/>
  <c r="CP47" i="4"/>
  <c r="CS27" i="4"/>
  <c r="CR27" i="4"/>
  <c r="DJ187" i="1"/>
  <c r="DQ27" i="1" s="1"/>
  <c r="DI195" i="1"/>
  <c r="DR35" i="1" s="1"/>
  <c r="AA39" i="7" s="1"/>
  <c r="EQ35" i="1"/>
  <c r="DY184" i="1"/>
  <c r="DO189" i="1"/>
  <c r="DL203" i="1"/>
  <c r="EX36" i="1"/>
  <c r="ET36" i="1"/>
  <c r="DL196" i="1"/>
  <c r="DM196" i="1"/>
  <c r="DJ195" i="1"/>
  <c r="DQ35" i="1" s="1"/>
  <c r="EU44" i="1"/>
  <c r="DO170" i="1"/>
  <c r="DI170" i="1"/>
  <c r="DR10" i="1" s="1"/>
  <c r="AA14" i="7" s="1"/>
  <c r="DO165" i="1"/>
  <c r="EP10" i="1"/>
  <c r="DP170" i="1"/>
  <c r="DJ165" i="1"/>
  <c r="DQ5" i="1" s="1"/>
  <c r="H7" i="4" s="1"/>
  <c r="FS7" i="4" s="1"/>
  <c r="DO190" i="1"/>
  <c r="ET16" i="1"/>
  <c r="DM202" i="1"/>
  <c r="EU12" i="1"/>
  <c r="ER39" i="1"/>
  <c r="DP13" i="1"/>
  <c r="Z17" i="7" s="1"/>
  <c r="DK176" i="1"/>
  <c r="DO16" i="1" s="1"/>
  <c r="AB20" i="7" s="1"/>
  <c r="BD18" i="20" s="1"/>
  <c r="DP38" i="1"/>
  <c r="Z42" i="7" s="1"/>
  <c r="EQ29" i="1"/>
  <c r="DJ203" i="1"/>
  <c r="DQ43" i="1" s="1"/>
  <c r="DL192" i="1"/>
  <c r="DM194" i="1"/>
  <c r="DJ175" i="1"/>
  <c r="DQ15" i="1" s="1"/>
  <c r="DM182" i="1"/>
  <c r="DI171" i="1"/>
  <c r="DR11" i="1" s="1"/>
  <c r="AA15" i="7" s="1"/>
  <c r="EP26" i="1"/>
  <c r="DP19" i="1"/>
  <c r="Z23" i="7" s="1"/>
  <c r="EW42" i="1"/>
  <c r="DK180" i="1"/>
  <c r="DO20" i="1" s="1"/>
  <c r="AB24" i="7" s="1"/>
  <c r="BD22" i="20" s="1"/>
  <c r="DL168" i="1"/>
  <c r="EV33" i="1"/>
  <c r="DP15" i="1"/>
  <c r="Z19" i="7" s="1"/>
  <c r="DL173" i="1"/>
  <c r="EQ18" i="1"/>
  <c r="DP11" i="1"/>
  <c r="Z15" i="7" s="1"/>
  <c r="DK190" i="1"/>
  <c r="DO30" i="1" s="1"/>
  <c r="AB34" i="7" s="1"/>
  <c r="BD32" i="20" s="1"/>
  <c r="DM179" i="1"/>
  <c r="EU20" i="1"/>
  <c r="EQ33" i="1"/>
  <c r="EU35" i="1"/>
  <c r="EQ27" i="1"/>
  <c r="DJ176" i="1"/>
  <c r="DQ16" i="1" s="1"/>
  <c r="EX12" i="1"/>
  <c r="DI190" i="1"/>
  <c r="DR30" i="1" s="1"/>
  <c r="AA34" i="7" s="1"/>
  <c r="EW26" i="1"/>
  <c r="EU29" i="1"/>
  <c r="EV24" i="1"/>
  <c r="DP179" i="1"/>
  <c r="EX43" i="1"/>
  <c r="DP37" i="1"/>
  <c r="Z41" i="7" s="1"/>
  <c r="EW40" i="1"/>
  <c r="DO180" i="1"/>
  <c r="ES32" i="1"/>
  <c r="DM181" i="1"/>
  <c r="EB198" i="1"/>
  <c r="DK193" i="1"/>
  <c r="DO33" i="1" s="1"/>
  <c r="AB37" i="7" s="1"/>
  <c r="BD35" i="20" s="1"/>
  <c r="EB188" i="1"/>
  <c r="EU39" i="1"/>
  <c r="DJ174" i="1"/>
  <c r="DQ14" i="1" s="1"/>
  <c r="EW35" i="1"/>
  <c r="DJ173" i="1"/>
  <c r="DQ13" i="1" s="1"/>
  <c r="EV27" i="1"/>
  <c r="EP25" i="1"/>
  <c r="DK178" i="1"/>
  <c r="DO18" i="1" s="1"/>
  <c r="AB22" i="7" s="1"/>
  <c r="BD20" i="20" s="1"/>
  <c r="DP184" i="1"/>
  <c r="DO183" i="1"/>
  <c r="DO172" i="1"/>
  <c r="EU30" i="1"/>
  <c r="DI191" i="1"/>
  <c r="DR31" i="1" s="1"/>
  <c r="AA35" i="7" s="1"/>
  <c r="DI189" i="1"/>
  <c r="DR29" i="1" s="1"/>
  <c r="AA33" i="7" s="1"/>
  <c r="DO176" i="1"/>
  <c r="EQ43" i="1"/>
  <c r="EB197" i="1"/>
  <c r="ES42" i="1"/>
  <c r="EQ40" i="1"/>
  <c r="ES20" i="1"/>
  <c r="DJ192" i="1"/>
  <c r="DQ32" i="1" s="1"/>
  <c r="DJ181" i="1"/>
  <c r="DQ21" i="1" s="1"/>
  <c r="DJ194" i="1"/>
  <c r="DQ34" i="1" s="1"/>
  <c r="ET33" i="1"/>
  <c r="EQ39" i="1"/>
  <c r="DP14" i="1"/>
  <c r="Z18" i="7" s="1"/>
  <c r="DI173" i="1"/>
  <c r="DR13" i="1" s="1"/>
  <c r="AA17" i="7" s="1"/>
  <c r="EW25" i="1"/>
  <c r="EV44" i="1"/>
  <c r="EV12" i="1"/>
  <c r="EW29" i="1"/>
  <c r="EV19" i="1"/>
  <c r="ES37" i="1"/>
  <c r="ER20" i="1"/>
  <c r="DJ168" i="1"/>
  <c r="DQ8" i="1" s="1"/>
  <c r="EV34" i="1"/>
  <c r="DL188" i="1"/>
  <c r="ER35" i="1"/>
  <c r="EQ26" i="1"/>
  <c r="DP18" i="1"/>
  <c r="Z22" i="7" s="1"/>
  <c r="DK199" i="1"/>
  <c r="DO39" i="1" s="1"/>
  <c r="AB43" i="7" s="1"/>
  <c r="BD41" i="20" s="1"/>
  <c r="DK195" i="1"/>
  <c r="DO35" i="1" s="1"/>
  <c r="AB39" i="7" s="1"/>
  <c r="BD37" i="20" s="1"/>
  <c r="DK175" i="1"/>
  <c r="DO15" i="1" s="1"/>
  <c r="AB19" i="7" s="1"/>
  <c r="BD17" i="20" s="1"/>
  <c r="FM15" i="4"/>
  <c r="DI179" i="1"/>
  <c r="DR19" i="1" s="1"/>
  <c r="AA23" i="7" s="1"/>
  <c r="EQ44" i="1"/>
  <c r="DK179" i="1"/>
  <c r="DO19" i="1" s="1"/>
  <c r="AB23" i="7" s="1"/>
  <c r="BD21" i="20" s="1"/>
  <c r="EU36" i="1"/>
  <c r="ES36" i="1"/>
  <c r="DI196" i="1"/>
  <c r="DR36" i="1" s="1"/>
  <c r="AA40" i="7" s="1"/>
  <c r="ER36" i="1"/>
  <c r="DI203" i="1"/>
  <c r="DR43" i="1" s="1"/>
  <c r="AA47" i="7" s="1"/>
  <c r="DJ170" i="1"/>
  <c r="DQ10" i="1" s="1"/>
  <c r="H12" i="4" s="1"/>
  <c r="FS12" i="4" s="1"/>
  <c r="ET5" i="1"/>
  <c r="DL170" i="1"/>
  <c r="DS10" i="1" s="1"/>
  <c r="EQ10" i="1"/>
  <c r="DK170" i="1"/>
  <c r="EU10" i="1"/>
  <c r="DL171" i="1"/>
  <c r="DK191" i="1"/>
  <c r="DO31" i="1" s="1"/>
  <c r="AB35" i="7" s="1"/>
  <c r="BD33" i="20" s="1"/>
  <c r="DJ179" i="1"/>
  <c r="DQ19" i="1" s="1"/>
  <c r="DI180" i="1"/>
  <c r="DR20" i="1" s="1"/>
  <c r="AA24" i="7" s="1"/>
  <c r="ER34" i="1"/>
  <c r="EV15" i="1"/>
  <c r="ER45" i="1"/>
  <c r="EX11" i="1"/>
  <c r="EQ30" i="1"/>
  <c r="DJ184" i="1"/>
  <c r="DQ24" i="1" s="1"/>
  <c r="ES43" i="1"/>
  <c r="DP192" i="1"/>
  <c r="EU28" i="1"/>
  <c r="EV14" i="1"/>
  <c r="DP178" i="1"/>
  <c r="EP23" i="1"/>
  <c r="ER31" i="1"/>
  <c r="DK203" i="1"/>
  <c r="DO43" i="1" s="1"/>
  <c r="AB47" i="7" s="1"/>
  <c r="BD45" i="20" s="1"/>
  <c r="DL200" i="1"/>
  <c r="DM192" i="1"/>
  <c r="EB172" i="1"/>
  <c r="EB193" i="1"/>
  <c r="DP174" i="1"/>
  <c r="DP205" i="1"/>
  <c r="DI178" i="1"/>
  <c r="DR18" i="1" s="1"/>
  <c r="AA22" i="7" s="1"/>
  <c r="EP11" i="1"/>
  <c r="ER26" i="1"/>
  <c r="ET37" i="1"/>
  <c r="EV21" i="1"/>
  <c r="ER33" i="1"/>
  <c r="ER13" i="1"/>
  <c r="ET25" i="1"/>
  <c r="EU23" i="1"/>
  <c r="DM172" i="1"/>
  <c r="DP190" i="1"/>
  <c r="DP191" i="1"/>
  <c r="ET29" i="1"/>
  <c r="DL176" i="1"/>
  <c r="DO179" i="1"/>
  <c r="DL197" i="1"/>
  <c r="DJ202" i="1"/>
  <c r="DQ42" i="1" s="1"/>
  <c r="EB200" i="1"/>
  <c r="DJ180" i="1"/>
  <c r="DQ20" i="1" s="1"/>
  <c r="DK192" i="1"/>
  <c r="DO32" i="1" s="1"/>
  <c r="AB36" i="7" s="1"/>
  <c r="BD34" i="20" s="1"/>
  <c r="EV8" i="1"/>
  <c r="DP194" i="1"/>
  <c r="DO193" i="1"/>
  <c r="DM188" i="1"/>
  <c r="EB199" i="1"/>
  <c r="EB174" i="1"/>
  <c r="EW31" i="1"/>
  <c r="DM205" i="1"/>
  <c r="DL182" i="1"/>
  <c r="DM185" i="1"/>
  <c r="DI177" i="1"/>
  <c r="DR17" i="1" s="1"/>
  <c r="AA21" i="7" s="1"/>
  <c r="DP176" i="1"/>
  <c r="ES23" i="1"/>
  <c r="EX38" i="1"/>
  <c r="DI186" i="1"/>
  <c r="DR26" i="1" s="1"/>
  <c r="AA30" i="7" s="1"/>
  <c r="EU31" i="1"/>
  <c r="EX24" i="1"/>
  <c r="ES19" i="1"/>
  <c r="EB203" i="1"/>
  <c r="EU37" i="1"/>
  <c r="EP42" i="1"/>
  <c r="EX40" i="1"/>
  <c r="EP20" i="1"/>
  <c r="DP181" i="1"/>
  <c r="EP8" i="1"/>
  <c r="DO194" i="1"/>
  <c r="EX28" i="1"/>
  <c r="ES39" i="1"/>
  <c r="DI174" i="1"/>
  <c r="DR14" i="1" s="1"/>
  <c r="AA18" i="7" s="1"/>
  <c r="DO205" i="1"/>
  <c r="EU25" i="1"/>
  <c r="EQ11" i="1"/>
  <c r="DM190" i="1"/>
  <c r="EQ24" i="1"/>
  <c r="ET19" i="1"/>
  <c r="ET42" i="1"/>
  <c r="EW32" i="1"/>
  <c r="DM168" i="1"/>
  <c r="DP33" i="1"/>
  <c r="Z37" i="7" s="1"/>
  <c r="ET39" i="1"/>
  <c r="DP45" i="1"/>
  <c r="Z49" i="7" s="1"/>
  <c r="EW45" i="1"/>
  <c r="DM177" i="1"/>
  <c r="EB201" i="1"/>
  <c r="DJ191" i="1"/>
  <c r="DQ31" i="1" s="1"/>
  <c r="BD179" i="1"/>
  <c r="CB138" i="1"/>
  <c r="CB302" i="1" s="1"/>
  <c r="CC302" i="1" s="1"/>
  <c r="X23" i="1" s="1"/>
  <c r="BT23" i="1" s="1"/>
  <c r="DG167" i="1"/>
  <c r="DP167" i="1" s="1"/>
  <c r="ET31" i="1"/>
  <c r="DY199" i="1"/>
  <c r="EA199" i="1" s="1"/>
  <c r="DY187" i="1"/>
  <c r="EA187" i="1" s="1"/>
  <c r="ET11" i="1"/>
  <c r="DY189" i="1"/>
  <c r="EA189" i="1" s="1"/>
  <c r="DY175" i="1"/>
  <c r="EA175" i="1" s="1"/>
  <c r="DJ204" i="1"/>
  <c r="DQ44" i="1" s="1"/>
  <c r="ES11" i="1"/>
  <c r="DY203" i="1"/>
  <c r="EA203" i="1" s="1"/>
  <c r="DY201" i="1"/>
  <c r="DO206" i="1"/>
  <c r="EB171" i="1"/>
  <c r="EP31" i="1"/>
  <c r="DY180" i="1"/>
  <c r="EA180" i="1" s="1"/>
  <c r="DY205" i="1"/>
  <c r="DY182" i="1"/>
  <c r="EA182" i="1" s="1"/>
  <c r="DI204" i="1"/>
  <c r="DR44" i="1" s="1"/>
  <c r="AA48" i="7" s="1"/>
  <c r="DY171" i="1"/>
  <c r="EA171" i="1" s="1"/>
  <c r="EB204" i="1"/>
  <c r="DJ199" i="1"/>
  <c r="DQ39" i="1" s="1"/>
  <c r="DI166" i="1"/>
  <c r="DR6" i="1" s="1"/>
  <c r="AA10" i="7" s="1"/>
  <c r="DO201" i="1"/>
  <c r="EW41" i="1"/>
  <c r="EP41" i="1"/>
  <c r="ET41" i="1"/>
  <c r="EV41" i="1"/>
  <c r="DJ177" i="1"/>
  <c r="DQ17" i="1" s="1"/>
  <c r="ES18" i="1"/>
  <c r="EU18" i="1"/>
  <c r="EV25" i="1"/>
  <c r="DO182" i="1"/>
  <c r="DI205" i="1"/>
  <c r="DR45" i="1" s="1"/>
  <c r="AA49" i="7" s="1"/>
  <c r="EV45" i="1"/>
  <c r="DM173" i="1"/>
  <c r="EW30" i="1"/>
  <c r="DL178" i="1"/>
  <c r="DO185" i="1"/>
  <c r="DK182" i="1"/>
  <c r="DO22" i="1" s="1"/>
  <c r="AB26" i="7" s="1"/>
  <c r="BD24" i="20" s="1"/>
  <c r="EQ45" i="1"/>
  <c r="ES35" i="1"/>
  <c r="DO174" i="1"/>
  <c r="EP15" i="1"/>
  <c r="DM199" i="1"/>
  <c r="EQ28" i="1"/>
  <c r="DP193" i="1"/>
  <c r="ES34" i="1"/>
  <c r="DK194" i="1"/>
  <c r="DO34" i="1" s="1"/>
  <c r="AB38" i="7" s="1"/>
  <c r="BD36" i="20" s="1"/>
  <c r="EQ12" i="1"/>
  <c r="ET21" i="1"/>
  <c r="DL181" i="1"/>
  <c r="ER32" i="1"/>
  <c r="EB180" i="1"/>
  <c r="DP200" i="1"/>
  <c r="DP202" i="1"/>
  <c r="DI197" i="1"/>
  <c r="DR37" i="1" s="1"/>
  <c r="AA41" i="7" s="1"/>
  <c r="ER43" i="1"/>
  <c r="EU19" i="1"/>
  <c r="EB184" i="1"/>
  <c r="DM189" i="1"/>
  <c r="EV31" i="1"/>
  <c r="EU26" i="1"/>
  <c r="DI198" i="1"/>
  <c r="DR38" i="1" s="1"/>
  <c r="AA42" i="7" s="1"/>
  <c r="EW23" i="1"/>
  <c r="DM183" i="1"/>
  <c r="EW24" i="1"/>
  <c r="DP17" i="1"/>
  <c r="Z21" i="7" s="1"/>
  <c r="ER25" i="1"/>
  <c r="EX22" i="1"/>
  <c r="ET45" i="1"/>
  <c r="DO173" i="1"/>
  <c r="EQ31" i="1"/>
  <c r="EV35" i="1"/>
  <c r="ET14" i="1"/>
  <c r="EW15" i="1"/>
  <c r="EV39" i="1"/>
  <c r="ER28" i="1"/>
  <c r="DJ193" i="1"/>
  <c r="DQ33" i="1" s="1"/>
  <c r="EW34" i="1"/>
  <c r="DM198" i="1"/>
  <c r="DY202" i="1"/>
  <c r="EA202" i="1" s="1"/>
  <c r="DY166" i="1"/>
  <c r="EA166" i="1" s="1"/>
  <c r="DY185" i="1"/>
  <c r="EA185" i="1" s="1"/>
  <c r="ET44" i="1"/>
  <c r="DY181" i="1"/>
  <c r="EA181" i="1" s="1"/>
  <c r="DP44" i="1"/>
  <c r="Z48" i="7" s="1"/>
  <c r="DY200" i="1"/>
  <c r="DY190" i="1"/>
  <c r="EA190" i="1" s="1"/>
  <c r="DY165" i="1"/>
  <c r="EA165" i="1" s="1"/>
  <c r="DY194" i="1"/>
  <c r="EA194" i="1" s="1"/>
  <c r="DJ171" i="1"/>
  <c r="DQ11" i="1" s="1"/>
  <c r="H13" i="4" s="1"/>
  <c r="FS13" i="4" s="1"/>
  <c r="DY174" i="1"/>
  <c r="EA174" i="1" s="1"/>
  <c r="DY193" i="1"/>
  <c r="EQ36" i="1"/>
  <c r="DY169" i="1"/>
  <c r="EA169" i="1" s="1"/>
  <c r="EX44" i="1"/>
  <c r="DP206" i="1"/>
  <c r="DY198" i="1"/>
  <c r="EA198" i="1" s="1"/>
  <c r="DL204" i="1"/>
  <c r="DY170" i="1"/>
  <c r="EA170" i="1" s="1"/>
  <c r="ET27" i="1"/>
  <c r="DP204" i="1"/>
  <c r="DI187" i="1"/>
  <c r="DR27" i="1" s="1"/>
  <c r="AA31" i="7" s="1"/>
  <c r="ER27" i="1"/>
  <c r="DM201" i="1"/>
  <c r="DI201" i="1"/>
  <c r="DR41" i="1" s="1"/>
  <c r="AA45" i="7" s="1"/>
  <c r="EQ41" i="1"/>
  <c r="DJ201" i="1"/>
  <c r="DQ41" i="1" s="1"/>
  <c r="ES41" i="1"/>
  <c r="EW44" i="1"/>
  <c r="EP17" i="1"/>
  <c r="EP18" i="1"/>
  <c r="EB185" i="1"/>
  <c r="DI185" i="1"/>
  <c r="DR25" i="1" s="1"/>
  <c r="AA29" i="7" s="1"/>
  <c r="EV22" i="1"/>
  <c r="EP45" i="1"/>
  <c r="EQ13" i="1"/>
  <c r="EP13" i="1"/>
  <c r="EQ17" i="1"/>
  <c r="EB178" i="1"/>
  <c r="EQ25" i="1"/>
  <c r="EQ22" i="1"/>
  <c r="EX13" i="1"/>
  <c r="EP35" i="1"/>
  <c r="EP14" i="1"/>
  <c r="EX15" i="1"/>
  <c r="EP39" i="1"/>
  <c r="DP188" i="1"/>
  <c r="EP33" i="1"/>
  <c r="EB194" i="1"/>
  <c r="ES38" i="1"/>
  <c r="DI172" i="1"/>
  <c r="DR12" i="1" s="1"/>
  <c r="AA16" i="7" s="1"/>
  <c r="EQ21" i="1"/>
  <c r="EP32" i="1"/>
  <c r="DP180" i="1"/>
  <c r="DI200" i="1"/>
  <c r="DR40" i="1" s="1"/>
  <c r="AA44" i="7" s="1"/>
  <c r="ET40" i="1"/>
  <c r="EP37" i="1"/>
  <c r="DJ197" i="1"/>
  <c r="DQ37" i="1" s="1"/>
  <c r="EW43" i="1"/>
  <c r="EW16" i="1"/>
  <c r="DM184" i="1"/>
  <c r="EX29" i="1"/>
  <c r="EX31" i="1"/>
  <c r="EP30" i="1"/>
  <c r="DJ198" i="1"/>
  <c r="DQ38" i="1" s="1"/>
  <c r="DK183" i="1"/>
  <c r="DO23" i="1" s="1"/>
  <c r="AB27" i="7" s="1"/>
  <c r="BD25" i="20" s="1"/>
  <c r="EW11" i="1"/>
  <c r="EW17" i="1"/>
  <c r="ER18" i="1"/>
  <c r="DL185" i="1"/>
  <c r="EP22" i="1"/>
  <c r="EB205" i="1"/>
  <c r="ES13" i="1"/>
  <c r="DL190" i="1"/>
  <c r="ET35" i="1"/>
  <c r="EX14" i="1"/>
  <c r="DY167" i="1"/>
  <c r="EA167" i="1" s="1"/>
  <c r="DY195" i="1"/>
  <c r="EA195" i="1" s="1"/>
  <c r="DY183" i="1"/>
  <c r="EA183" i="1" s="1"/>
  <c r="DY197" i="1"/>
  <c r="EA197" i="1" s="1"/>
  <c r="DO204" i="1"/>
  <c r="DY172" i="1"/>
  <c r="EA172" i="1" s="1"/>
  <c r="DY177" i="1"/>
  <c r="EA177" i="1" s="1"/>
  <c r="DM204" i="1"/>
  <c r="DK196" i="1"/>
  <c r="DO36" i="1" s="1"/>
  <c r="AB40" i="7" s="1"/>
  <c r="BD38" i="20" s="1"/>
  <c r="DY196" i="1"/>
  <c r="EA196" i="1" s="1"/>
  <c r="DY188" i="1"/>
  <c r="EA188" i="1" s="1"/>
  <c r="DY178" i="1"/>
  <c r="EA178" i="1" s="1"/>
  <c r="DY179" i="1"/>
  <c r="EA179" i="1" s="1"/>
  <c r="EV11" i="1"/>
  <c r="EX30" i="1"/>
  <c r="DP187" i="1"/>
  <c r="DM176" i="1"/>
  <c r="DO186" i="1"/>
  <c r="DI199" i="1"/>
  <c r="DR39" i="1" s="1"/>
  <c r="AA43" i="7" s="1"/>
  <c r="EB176" i="1"/>
  <c r="ER41" i="1"/>
  <c r="DP41" i="1"/>
  <c r="Z45" i="7" s="1"/>
  <c r="EX41" i="1"/>
  <c r="DP201" i="1"/>
  <c r="DI175" i="1"/>
  <c r="DR15" i="1" s="1"/>
  <c r="AA19" i="7" s="1"/>
  <c r="ES44" i="1"/>
  <c r="EX17" i="1"/>
  <c r="DM178" i="1"/>
  <c r="DP185" i="1"/>
  <c r="ES22" i="1"/>
  <c r="DJ182" i="1"/>
  <c r="DQ22" i="1" s="1"/>
  <c r="DJ205" i="1"/>
  <c r="DQ45" i="1" s="1"/>
  <c r="EB173" i="1"/>
  <c r="DP189" i="1"/>
  <c r="ER17" i="1"/>
  <c r="EX18" i="1"/>
  <c r="ES25" i="1"/>
  <c r="DP22" i="1"/>
  <c r="Z26" i="7" s="1"/>
  <c r="EW13" i="1"/>
  <c r="DP195" i="1"/>
  <c r="DK174" i="1"/>
  <c r="DO14" i="1" s="1"/>
  <c r="AB18" i="7" s="1"/>
  <c r="BD16" i="20" s="1"/>
  <c r="DY176" i="1"/>
  <c r="EA176" i="1" s="1"/>
  <c r="EU11" i="1"/>
  <c r="DY204" i="1"/>
  <c r="EA204" i="1" s="1"/>
  <c r="DO171" i="1"/>
  <c r="FI11" i="1" s="1"/>
  <c r="DP46" i="1"/>
  <c r="DK204" i="1"/>
  <c r="DO44" i="1" s="1"/>
  <c r="AB48" i="7" s="1"/>
  <c r="BD46" i="20" s="1"/>
  <c r="DP171" i="1"/>
  <c r="DY191" i="1"/>
  <c r="EA191" i="1" s="1"/>
  <c r="EV30" i="1"/>
  <c r="DY173" i="1"/>
  <c r="EA173" i="1" s="1"/>
  <c r="DL201" i="1"/>
  <c r="EX25" i="1"/>
  <c r="ET13" i="1"/>
  <c r="EB182" i="1"/>
  <c r="DO175" i="1"/>
  <c r="EW28" i="1"/>
  <c r="DL193" i="1"/>
  <c r="ET38" i="1"/>
  <c r="DK181" i="1"/>
  <c r="DO21" i="1" s="1"/>
  <c r="AB25" i="7" s="1"/>
  <c r="BD23" i="20" s="1"/>
  <c r="EQ20" i="1"/>
  <c r="DI202" i="1"/>
  <c r="DR42" i="1" s="1"/>
  <c r="AA46" i="7" s="1"/>
  <c r="ET43" i="1"/>
  <c r="ER16" i="1"/>
  <c r="DM191" i="1"/>
  <c r="ET30" i="1"/>
  <c r="DL183" i="1"/>
  <c r="EU17" i="1"/>
  <c r="EW22" i="1"/>
  <c r="DP173" i="1"/>
  <c r="DO195" i="1"/>
  <c r="EQ15" i="1"/>
  <c r="EW39" i="1"/>
  <c r="DK188" i="1"/>
  <c r="DO28" i="1" s="1"/>
  <c r="AB32" i="7" s="1"/>
  <c r="BD30" i="20" s="1"/>
  <c r="EX34" i="1"/>
  <c r="EQ38" i="1"/>
  <c r="DP21" i="1"/>
  <c r="Z25" i="7" s="1"/>
  <c r="EV32" i="1"/>
  <c r="EQ32" i="1"/>
  <c r="EV20" i="1"/>
  <c r="ER40" i="1"/>
  <c r="EQ42" i="1"/>
  <c r="DK202" i="1"/>
  <c r="DO42" i="1" s="1"/>
  <c r="AB46" i="7" s="1"/>
  <c r="BD44" i="20" s="1"/>
  <c r="DK197" i="1"/>
  <c r="DO37" i="1" s="1"/>
  <c r="AB41" i="7" s="1"/>
  <c r="BD39" i="20" s="1"/>
  <c r="ER19" i="1"/>
  <c r="EV16" i="1"/>
  <c r="EU24" i="1"/>
  <c r="DJ189" i="1"/>
  <c r="DQ29" i="1" s="1"/>
  <c r="DP31" i="1"/>
  <c r="Z35" i="7" s="1"/>
  <c r="DM186" i="1"/>
  <c r="EW38" i="1"/>
  <c r="EO38" i="1" s="1"/>
  <c r="DJ172" i="1"/>
  <c r="DQ12" i="1" s="1"/>
  <c r="DP23" i="1"/>
  <c r="Z27" i="7" s="1"/>
  <c r="DP16" i="1"/>
  <c r="Z20" i="7" s="1"/>
  <c r="DK177" i="1"/>
  <c r="DO17" i="1" s="1"/>
  <c r="AB21" i="7" s="1"/>
  <c r="BD19" i="20" s="1"/>
  <c r="EV18" i="1"/>
  <c r="DK185" i="1"/>
  <c r="DO25" i="1" s="1"/>
  <c r="AB29" i="7" s="1"/>
  <c r="BD27" i="20" s="1"/>
  <c r="EU27" i="1"/>
  <c r="ES45" i="1"/>
  <c r="EV13" i="1"/>
  <c r="DM195" i="1"/>
  <c r="ER14" i="1"/>
  <c r="EB175" i="1"/>
  <c r="DP199" i="1"/>
  <c r="DI188" i="1"/>
  <c r="DR28" i="1" s="1"/>
  <c r="AA32" i="7" s="1"/>
  <c r="EU33" i="1"/>
  <c r="ET34" i="1"/>
  <c r="DK172" i="1"/>
  <c r="DO12" i="1" s="1"/>
  <c r="AB16" i="7" s="1"/>
  <c r="BD14" i="20" s="1"/>
  <c r="ES21" i="1"/>
  <c r="DO192" i="1"/>
  <c r="DM180" i="1"/>
  <c r="DP40" i="1"/>
  <c r="Z44" i="7" s="1"/>
  <c r="DO202" i="1"/>
  <c r="EU42" i="1"/>
  <c r="DP197" i="1"/>
  <c r="DP43" i="1"/>
  <c r="Z47" i="7" s="1"/>
  <c r="EP19" i="1"/>
  <c r="EU16" i="1"/>
  <c r="EV29" i="1"/>
  <c r="ES31" i="1"/>
  <c r="DK186" i="1"/>
  <c r="DO26" i="1" s="1"/>
  <c r="AB30" i="7" s="1"/>
  <c r="BD28" i="20" s="1"/>
  <c r="DJ190" i="1"/>
  <c r="DQ30" i="1" s="1"/>
  <c r="ES12" i="1"/>
  <c r="EX23" i="1"/>
  <c r="DL184" i="1"/>
  <c r="DI182" i="1"/>
  <c r="DR22" i="1" s="1"/>
  <c r="AA26" i="7" s="1"/>
  <c r="DL205" i="1"/>
  <c r="EX39" i="1"/>
  <c r="EQ34" i="1"/>
  <c r="EX20" i="1"/>
  <c r="DL202" i="1"/>
  <c r="ET24" i="1"/>
  <c r="CO47" i="4"/>
  <c r="CU47" i="4"/>
  <c r="CS47" i="4"/>
  <c r="F50" i="5"/>
  <c r="CO27" i="4"/>
  <c r="DL175" i="1"/>
  <c r="EV36" i="1"/>
  <c r="DP36" i="1"/>
  <c r="Z40" i="7" s="1"/>
  <c r="DO196" i="1"/>
  <c r="DP196" i="1"/>
  <c r="DL195" i="1"/>
  <c r="DP10" i="1"/>
  <c r="Z14" i="7" s="1"/>
  <c r="DM171" i="1"/>
  <c r="DM170" i="1"/>
  <c r="ER10" i="1"/>
  <c r="DL165" i="1"/>
  <c r="DS5" i="1" s="1"/>
  <c r="EB170" i="1"/>
  <c r="EQ23" i="1"/>
  <c r="EB189" i="1"/>
  <c r="EU43" i="1"/>
  <c r="DI181" i="1"/>
  <c r="DR21" i="1" s="1"/>
  <c r="AA25" i="7" s="1"/>
  <c r="DO188" i="1"/>
  <c r="ES14" i="1"/>
  <c r="ES27" i="1"/>
  <c r="DK171" i="1"/>
  <c r="DO11" i="1" s="1"/>
  <c r="AB15" i="7" s="1"/>
  <c r="BD13" i="20" s="1"/>
  <c r="DJ186" i="1"/>
  <c r="DQ26" i="1" s="1"/>
  <c r="EX19" i="1"/>
  <c r="ER37" i="1"/>
  <c r="EP21" i="1"/>
  <c r="DP39" i="1"/>
  <c r="Z43" i="7" s="1"/>
  <c r="EV26" i="1"/>
  <c r="ES17" i="1"/>
  <c r="EP12" i="1"/>
  <c r="ES29" i="1"/>
  <c r="EP43" i="1"/>
  <c r="DM200" i="1"/>
  <c r="EB192" i="1"/>
  <c r="ER38" i="1"/>
  <c r="ET28" i="1"/>
  <c r="EB195" i="1"/>
  <c r="DK187" i="1"/>
  <c r="DO27" i="1" s="1"/>
  <c r="AB31" i="7" s="1"/>
  <c r="BD29" i="20" s="1"/>
  <c r="EV17" i="1"/>
  <c r="EB183" i="1"/>
  <c r="DK189" i="1"/>
  <c r="DO29" i="1" s="1"/>
  <c r="AB33" i="7" s="1"/>
  <c r="BD31" i="20" s="1"/>
  <c r="EV42" i="1"/>
  <c r="EV38" i="1"/>
  <c r="DP28" i="1"/>
  <c r="Z32" i="7" s="1"/>
  <c r="EX45" i="1"/>
  <c r="EW18" i="1"/>
  <c r="ET23" i="1"/>
  <c r="EU38" i="1"/>
  <c r="EB186" i="1"/>
  <c r="EB191" i="1"/>
  <c r="DO184" i="1"/>
  <c r="EP16" i="1"/>
  <c r="EV43" i="1"/>
  <c r="EQ37" i="1"/>
  <c r="DP42" i="1"/>
  <c r="Z46" i="7" s="1"/>
  <c r="EP40" i="1"/>
  <c r="EX32" i="1"/>
  <c r="EU21" i="1"/>
  <c r="DP12" i="1"/>
  <c r="Z16" i="7" s="1"/>
  <c r="DI194" i="1"/>
  <c r="DR34" i="1" s="1"/>
  <c r="AA38" i="7" s="1"/>
  <c r="EW33" i="1"/>
  <c r="ES28" i="1"/>
  <c r="DP175" i="1"/>
  <c r="EW14" i="1"/>
  <c r="DK173" i="1"/>
  <c r="DO13" i="1" s="1"/>
  <c r="DK205" i="1"/>
  <c r="DO45" i="1" s="1"/>
  <c r="AB49" i="7" s="1"/>
  <c r="BD47" i="20" s="1"/>
  <c r="ER22" i="1"/>
  <c r="DJ185" i="1"/>
  <c r="DQ25" i="1" s="1"/>
  <c r="DO177" i="1"/>
  <c r="ER44" i="1"/>
  <c r="ER23" i="1"/>
  <c r="EB190" i="1"/>
  <c r="DL186" i="1"/>
  <c r="EP29" i="1"/>
  <c r="EP24" i="1"/>
  <c r="EW19" i="1"/>
  <c r="DM203" i="1"/>
  <c r="EB202" i="1"/>
  <c r="EU40" i="1"/>
  <c r="DL180" i="1"/>
  <c r="DI192" i="1"/>
  <c r="DR32" i="1" s="1"/>
  <c r="AA36" i="7" s="1"/>
  <c r="DO181" i="1"/>
  <c r="ER12" i="1"/>
  <c r="ES33" i="1"/>
  <c r="EP28" i="1"/>
  <c r="DM175" i="1"/>
  <c r="EX35" i="1"/>
  <c r="EB187" i="1"/>
  <c r="DO178" i="1"/>
  <c r="DP183" i="1"/>
  <c r="EX26" i="1"/>
  <c r="ES24" i="1"/>
  <c r="DO203" i="1"/>
  <c r="DO200" i="1"/>
  <c r="EU32" i="1"/>
  <c r="DP198" i="1"/>
  <c r="DI193" i="1"/>
  <c r="DR33" i="1" s="1"/>
  <c r="AA37" i="7" s="1"/>
  <c r="ET15" i="1"/>
  <c r="DJ178" i="1"/>
  <c r="DQ18" i="1" s="1"/>
  <c r="EU45" i="1"/>
  <c r="DP177" i="1"/>
  <c r="DK201" i="1"/>
  <c r="DO41" i="1" s="1"/>
  <c r="AB45" i="7" s="1"/>
  <c r="BD43" i="20" s="1"/>
  <c r="EP44" i="1"/>
  <c r="CC287" i="1"/>
  <c r="X8" i="1" s="1"/>
  <c r="BT8" i="1" s="1"/>
  <c r="DM166" i="1"/>
  <c r="AY131" i="1"/>
  <c r="CC329" i="1"/>
  <c r="AF40" i="7"/>
  <c r="AY159" i="1"/>
  <c r="AY148" i="1"/>
  <c r="DP168" i="1"/>
  <c r="CZ159" i="1"/>
  <c r="BC27" i="1"/>
  <c r="CM27" i="1" s="1"/>
  <c r="BD194" i="1"/>
  <c r="CC194" i="1" s="1"/>
  <c r="T38" i="1" s="1"/>
  <c r="BC20" i="1"/>
  <c r="BV20" i="1" s="1"/>
  <c r="F37" i="7"/>
  <c r="G66" i="26" s="1"/>
  <c r="A3" i="20"/>
  <c r="AF12" i="7"/>
  <c r="AY122" i="1"/>
  <c r="B8" i="5"/>
  <c r="B4" i="19"/>
  <c r="AY141" i="1"/>
  <c r="B9" i="19"/>
  <c r="B18" i="19"/>
  <c r="AF41" i="7"/>
  <c r="DR32" i="20"/>
  <c r="AW32" i="20" s="1"/>
  <c r="CC245" i="1"/>
  <c r="R7" i="1" s="1"/>
  <c r="FK7" i="1" s="1"/>
  <c r="BA120" i="1"/>
  <c r="AK9" i="7" s="1"/>
  <c r="CC285" i="1"/>
  <c r="X6" i="1" s="1"/>
  <c r="BT6" i="1" s="1"/>
  <c r="CR35" i="4"/>
  <c r="CP35" i="4"/>
  <c r="E50" i="5"/>
  <c r="D50" i="5" s="1"/>
  <c r="DP166" i="1"/>
  <c r="DP6" i="1"/>
  <c r="Z10" i="7" s="1"/>
  <c r="CC205" i="1"/>
  <c r="S8" i="1" s="1"/>
  <c r="CD10" i="20" s="1"/>
  <c r="J10" i="20" s="1"/>
  <c r="DP8" i="1"/>
  <c r="Z12" i="7" s="1"/>
  <c r="AY147" i="1"/>
  <c r="AY135" i="1"/>
  <c r="AY120" i="1"/>
  <c r="CY121" i="1"/>
  <c r="CC202" i="1"/>
  <c r="S5" i="1" s="1"/>
  <c r="GM7" i="4" s="1"/>
  <c r="AY142" i="1"/>
  <c r="EU6" i="1"/>
  <c r="FE7" i="1"/>
  <c r="CC253" i="1"/>
  <c r="R15" i="1" s="1"/>
  <c r="FK15" i="1" s="1"/>
  <c r="DR47" i="20"/>
  <c r="AW47" i="20" s="1"/>
  <c r="E12" i="15"/>
  <c r="X5" i="8"/>
  <c r="DK166" i="1"/>
  <c r="DO6" i="1" s="1"/>
  <c r="AB10" i="7" s="1"/>
  <c r="BD8" i="20" s="1"/>
  <c r="BD182" i="1"/>
  <c r="AY145" i="1"/>
  <c r="CW8" i="20"/>
  <c r="AA8" i="20" s="1"/>
  <c r="CC246" i="1"/>
  <c r="R8" i="1" s="1"/>
  <c r="GL10" i="4" s="1"/>
  <c r="AY121" i="1"/>
  <c r="DR21" i="20"/>
  <c r="AW21" i="20" s="1"/>
  <c r="D21" i="20"/>
  <c r="F32" i="7"/>
  <c r="G56" i="26" s="1"/>
  <c r="CV7" i="20"/>
  <c r="Z7" i="20" s="1"/>
  <c r="CK69" i="20"/>
  <c r="CX7" i="20"/>
  <c r="AB7" i="20" s="1"/>
  <c r="CC331" i="1"/>
  <c r="EX5" i="1"/>
  <c r="EQ5" i="1"/>
  <c r="EW5" i="1"/>
  <c r="EP5" i="1"/>
  <c r="CC234" i="1"/>
  <c r="S37" i="1" s="1"/>
  <c r="CD39" i="20" s="1"/>
  <c r="J39" i="20" s="1"/>
  <c r="CX121" i="1"/>
  <c r="AZ121" i="1"/>
  <c r="BC6" i="1"/>
  <c r="N6" i="1" s="1"/>
  <c r="BA122" i="1"/>
  <c r="AK11" i="7" s="1"/>
  <c r="B96" i="26"/>
  <c r="CB137" i="1"/>
  <c r="CB301" i="1" s="1"/>
  <c r="CC301" i="1" s="1"/>
  <c r="X22" i="1" s="1"/>
  <c r="EA192" i="1"/>
  <c r="FE6" i="1"/>
  <c r="CC326" i="1"/>
  <c r="CO31" i="4"/>
  <c r="CP31" i="4"/>
  <c r="CU31" i="4"/>
  <c r="CU11" i="20"/>
  <c r="Y11" i="20" s="1"/>
  <c r="DP5" i="1"/>
  <c r="Z9" i="7" s="1"/>
  <c r="ER5" i="1"/>
  <c r="EU5" i="1"/>
  <c r="DK165" i="1"/>
  <c r="DO5" i="1" s="1"/>
  <c r="AB9" i="7" s="1"/>
  <c r="BD7" i="20" s="1"/>
  <c r="EB165" i="1"/>
  <c r="CC164" i="1"/>
  <c r="T8" i="1" s="1"/>
  <c r="Z8" i="1" s="1"/>
  <c r="BA121" i="1"/>
  <c r="FH6" i="1" s="1"/>
  <c r="BA154" i="1"/>
  <c r="AK43" i="7" s="1"/>
  <c r="B8" i="26"/>
  <c r="AZ120" i="1"/>
  <c r="DG169" i="1"/>
  <c r="D2" i="19"/>
  <c r="E11" i="20"/>
  <c r="DR11" i="20"/>
  <c r="AW11" i="20" s="1"/>
  <c r="DL11" i="20"/>
  <c r="AR11" i="20" s="1"/>
  <c r="CQ31" i="4"/>
  <c r="DP165" i="1"/>
  <c r="DI165" i="1"/>
  <c r="DR5" i="1" s="1"/>
  <c r="AA9" i="7" s="1"/>
  <c r="EV5" i="1"/>
  <c r="AF11" i="7"/>
  <c r="CC272" i="1"/>
  <c r="R34" i="1" s="1"/>
  <c r="FK34" i="1" s="1"/>
  <c r="CC325" i="1"/>
  <c r="BA130" i="1"/>
  <c r="AK19" i="7" s="1"/>
  <c r="CC299" i="1"/>
  <c r="X20" i="1" s="1"/>
  <c r="V24" i="7" s="1"/>
  <c r="CC275" i="1"/>
  <c r="R37" i="1" s="1"/>
  <c r="FK37" i="1" s="1"/>
  <c r="CY154" i="1"/>
  <c r="AY137" i="1"/>
  <c r="GS10" i="4"/>
  <c r="FQ6" i="1"/>
  <c r="AL9" i="20"/>
  <c r="DL9" i="20"/>
  <c r="P9" i="20"/>
  <c r="CW9" i="20"/>
  <c r="AA9" i="20" s="1"/>
  <c r="CQ34" i="4"/>
  <c r="DR30" i="20"/>
  <c r="AW30" i="20" s="1"/>
  <c r="DJ166" i="1"/>
  <c r="DQ6" i="1" s="1"/>
  <c r="H8" i="4" s="1"/>
  <c r="FS8" i="4" s="1"/>
  <c r="ET8" i="1"/>
  <c r="DI168" i="1"/>
  <c r="EQ8" i="1"/>
  <c r="EW8" i="1"/>
  <c r="EB168" i="1"/>
  <c r="CC360" i="1"/>
  <c r="EQ6" i="1"/>
  <c r="AZ144" i="1"/>
  <c r="CC230" i="1"/>
  <c r="S33" i="1" s="1"/>
  <c r="CD35" i="20" s="1"/>
  <c r="J35" i="20" s="1"/>
  <c r="BA135" i="1"/>
  <c r="AK24" i="7" s="1"/>
  <c r="CC277" i="1"/>
  <c r="R39" i="1" s="1"/>
  <c r="FK39" i="1" s="1"/>
  <c r="DI123" i="1"/>
  <c r="N9" i="20"/>
  <c r="CU9" i="20"/>
  <c r="Y9" i="20" s="1"/>
  <c r="N8" i="20"/>
  <c r="CU8" i="20"/>
  <c r="Y8" i="20" s="1"/>
  <c r="CO34" i="4"/>
  <c r="CP34" i="4"/>
  <c r="EB166" i="1"/>
  <c r="EW6" i="1"/>
  <c r="EU8" i="1"/>
  <c r="EX8" i="1"/>
  <c r="DO168" i="1"/>
  <c r="ET6" i="1"/>
  <c r="ES6" i="1"/>
  <c r="DL166" i="1"/>
  <c r="DS6" i="1" s="1"/>
  <c r="DO166" i="1"/>
  <c r="CC356" i="1"/>
  <c r="BA137" i="1"/>
  <c r="AK26" i="7" s="1"/>
  <c r="BE6" i="1"/>
  <c r="CC244" i="1"/>
  <c r="R6" i="1" s="1"/>
  <c r="FK6" i="1" s="1"/>
  <c r="BC7" i="1"/>
  <c r="Q11" i="7" s="1"/>
  <c r="C11" i="19"/>
  <c r="AY125" i="1"/>
  <c r="AZ148" i="1"/>
  <c r="DI120" i="1"/>
  <c r="FE5" i="1"/>
  <c r="AU3" i="20"/>
  <c r="EA3" i="20"/>
  <c r="DX8" i="20"/>
  <c r="BC8" i="20" s="1"/>
  <c r="DM8" i="1"/>
  <c r="DS8" i="1"/>
  <c r="DV8" i="1"/>
  <c r="DU8" i="1"/>
  <c r="CU34" i="4"/>
  <c r="CC330" i="1"/>
  <c r="EX6" i="1"/>
  <c r="EV6" i="1"/>
  <c r="ER6" i="1"/>
  <c r="DK168" i="1"/>
  <c r="ES8" i="1"/>
  <c r="EP6" i="1"/>
  <c r="CC370" i="1"/>
  <c r="AY129" i="1"/>
  <c r="DI124" i="1"/>
  <c r="FE9" i="1"/>
  <c r="E10" i="20"/>
  <c r="DR10" i="20"/>
  <c r="AW10" i="20" s="1"/>
  <c r="CV9" i="20"/>
  <c r="Z9" i="20" s="1"/>
  <c r="U9" i="20"/>
  <c r="CX9" i="20"/>
  <c r="AB9" i="20" s="1"/>
  <c r="Q9" i="20"/>
  <c r="H10" i="4"/>
  <c r="FS10" i="4" s="1"/>
  <c r="C10" i="15"/>
  <c r="C8" i="26"/>
  <c r="C96" i="26"/>
  <c r="C8" i="5"/>
  <c r="CC369" i="1"/>
  <c r="CY148" i="1"/>
  <c r="CC271" i="1"/>
  <c r="R33" i="1" s="1"/>
  <c r="BC5" i="1"/>
  <c r="Q9" i="7" s="1"/>
  <c r="CY120" i="1"/>
  <c r="CY130" i="1"/>
  <c r="BA129" i="1"/>
  <c r="AK18" i="7" s="1"/>
  <c r="CB122" i="1"/>
  <c r="CB286" i="1" s="1"/>
  <c r="CC286" i="1" s="1"/>
  <c r="X7" i="1" s="1"/>
  <c r="BD163" i="1"/>
  <c r="CC163" i="1" s="1"/>
  <c r="T7" i="1" s="1"/>
  <c r="GN9" i="4" s="1"/>
  <c r="BC21" i="1"/>
  <c r="CM21" i="1" s="1"/>
  <c r="CC180" i="1"/>
  <c r="T24" i="1" s="1"/>
  <c r="GN26" i="4" s="1"/>
  <c r="CC333" i="1"/>
  <c r="CX135" i="1"/>
  <c r="AF18" i="7"/>
  <c r="CY141" i="1"/>
  <c r="D22" i="20"/>
  <c r="DR22" i="20"/>
  <c r="AW22" i="20" s="1"/>
  <c r="AY158" i="1"/>
  <c r="AB6" i="7"/>
  <c r="AZ139" i="1"/>
  <c r="CB152" i="1"/>
  <c r="BD193" i="1"/>
  <c r="CC193" i="1" s="1"/>
  <c r="T37" i="1" s="1"/>
  <c r="CK37" i="1" s="1"/>
  <c r="CS37" i="1" s="1"/>
  <c r="DR34" i="20"/>
  <c r="AW34" i="20" s="1"/>
  <c r="AY130" i="1"/>
  <c r="CY122" i="1"/>
  <c r="F66" i="26"/>
  <c r="E66" i="26" s="1"/>
  <c r="BA158" i="1"/>
  <c r="AK47" i="7" s="1"/>
  <c r="CC338" i="1"/>
  <c r="AZ130" i="1"/>
  <c r="CC348" i="1"/>
  <c r="AB17" i="7"/>
  <c r="BD15" i="20" s="1"/>
  <c r="BC12" i="1"/>
  <c r="Q16" i="7" s="1"/>
  <c r="AY155" i="1"/>
  <c r="CX137" i="1"/>
  <c r="AR137" i="1" s="1"/>
  <c r="BC39" i="1"/>
  <c r="N39" i="1" s="1"/>
  <c r="AF43" i="7"/>
  <c r="AF29" i="7"/>
  <c r="BA150" i="1"/>
  <c r="AK39" i="7" s="1"/>
  <c r="CY146" i="1"/>
  <c r="CY152" i="1"/>
  <c r="D19" i="20"/>
  <c r="DR19" i="20"/>
  <c r="AW19" i="20" s="1"/>
  <c r="D14" i="20"/>
  <c r="DR14" i="20"/>
  <c r="AW14" i="20" s="1"/>
  <c r="A28" i="16"/>
  <c r="T2" i="8"/>
  <c r="CB120" i="1"/>
  <c r="AF9" i="7"/>
  <c r="BD161" i="1"/>
  <c r="CC161" i="1" s="1"/>
  <c r="T5" i="1" s="1"/>
  <c r="D17" i="20"/>
  <c r="DR17" i="20"/>
  <c r="AW17" i="20" s="1"/>
  <c r="DR26" i="20"/>
  <c r="AW26" i="20" s="1"/>
  <c r="D26" i="20"/>
  <c r="CY149" i="1"/>
  <c r="CC282" i="1"/>
  <c r="R44" i="1" s="1"/>
  <c r="FS44" i="1" s="1"/>
  <c r="D24" i="20"/>
  <c r="DR24" i="20"/>
  <c r="AW24" i="20" s="1"/>
  <c r="CB132" i="1"/>
  <c r="CB296" i="1" s="1"/>
  <c r="CC296" i="1" s="1"/>
  <c r="X17" i="1" s="1"/>
  <c r="EJ17" i="1" s="1"/>
  <c r="BD173" i="1"/>
  <c r="CC173" i="1" s="1"/>
  <c r="T17" i="1" s="1"/>
  <c r="AZ159" i="1"/>
  <c r="CC212" i="1"/>
  <c r="S15" i="1" s="1"/>
  <c r="GM17" i="4" s="1"/>
  <c r="CC328" i="1"/>
  <c r="CC204" i="1"/>
  <c r="S7" i="1" s="1"/>
  <c r="GM9" i="4" s="1"/>
  <c r="AZ129" i="1"/>
  <c r="CC236" i="1"/>
  <c r="S39" i="1" s="1"/>
  <c r="CC243" i="1"/>
  <c r="R5" i="1" s="1"/>
  <c r="CY137" i="1"/>
  <c r="CZ129" i="1"/>
  <c r="CX154" i="1"/>
  <c r="AR154" i="1" s="1"/>
  <c r="CC219" i="1"/>
  <c r="S22" i="1" s="1"/>
  <c r="CD24" i="20" s="1"/>
  <c r="J24" i="20" s="1"/>
  <c r="CC345" i="1"/>
  <c r="BC37" i="1"/>
  <c r="BV37" i="1" s="1"/>
  <c r="AY151" i="1"/>
  <c r="C93" i="5"/>
  <c r="C91" i="26"/>
  <c r="CX139" i="1"/>
  <c r="AF16" i="7"/>
  <c r="AZ131" i="1"/>
  <c r="BA144" i="1"/>
  <c r="AK33" i="7" s="1"/>
  <c r="CC337" i="1"/>
  <c r="BC14" i="1"/>
  <c r="N14" i="1" s="1"/>
  <c r="AF24" i="7"/>
  <c r="BC26" i="1"/>
  <c r="N26" i="1" s="1"/>
  <c r="CC335" i="1"/>
  <c r="AZ137" i="1"/>
  <c r="CC195" i="1"/>
  <c r="T39" i="1" s="1"/>
  <c r="CK39" i="1" s="1"/>
  <c r="CS39" i="1" s="1"/>
  <c r="CY159" i="1"/>
  <c r="CC262" i="1"/>
  <c r="R24" i="1" s="1"/>
  <c r="GL26" i="4" s="1"/>
  <c r="CC248" i="1"/>
  <c r="R10" i="1" s="1"/>
  <c r="FS10" i="1" s="1"/>
  <c r="CC258" i="1"/>
  <c r="R20" i="1" s="1"/>
  <c r="CB22" i="20" s="1"/>
  <c r="H22" i="20" s="1"/>
  <c r="AY127" i="1"/>
  <c r="CC260" i="1"/>
  <c r="R22" i="1" s="1"/>
  <c r="CB24" i="20" s="1"/>
  <c r="H24" i="20" s="1"/>
  <c r="AF33" i="7"/>
  <c r="CC190" i="1"/>
  <c r="T34" i="1" s="1"/>
  <c r="CE36" i="20" s="1"/>
  <c r="K36" i="20" s="1"/>
  <c r="AZ154" i="1"/>
  <c r="CC223" i="1"/>
  <c r="S26" i="1" s="1"/>
  <c r="CZ135" i="1"/>
  <c r="AR135" i="1" s="1"/>
  <c r="AF30" i="7"/>
  <c r="AZ134" i="1"/>
  <c r="AZ140" i="1"/>
  <c r="AF35" i="7"/>
  <c r="CY127" i="1"/>
  <c r="CC250" i="1"/>
  <c r="R12" i="1" s="1"/>
  <c r="CB14" i="20" s="1"/>
  <c r="H14" i="20" s="1"/>
  <c r="CC200" i="1"/>
  <c r="T44" i="1" s="1"/>
  <c r="CE46" i="20" s="1"/>
  <c r="K46" i="20" s="1"/>
  <c r="CY129" i="1"/>
  <c r="CC357" i="1"/>
  <c r="CY125" i="1"/>
  <c r="CC252" i="1"/>
  <c r="R14" i="1" s="1"/>
  <c r="FK14" i="1" s="1"/>
  <c r="CB157" i="1"/>
  <c r="CB321" i="1" s="1"/>
  <c r="CC321" i="1" s="1"/>
  <c r="X42" i="1" s="1"/>
  <c r="BD198" i="1"/>
  <c r="CC198" i="1" s="1"/>
  <c r="T42" i="1" s="1"/>
  <c r="CK42" i="1" s="1"/>
  <c r="CS42" i="1" s="1"/>
  <c r="F36" i="7"/>
  <c r="F64" i="5" s="1"/>
  <c r="CC218" i="1"/>
  <c r="S21" i="1" s="1"/>
  <c r="GM23" i="4" s="1"/>
  <c r="CC182" i="1"/>
  <c r="T26" i="1" s="1"/>
  <c r="CE28" i="20" s="1"/>
  <c r="K28" i="20" s="1"/>
  <c r="BC25" i="1"/>
  <c r="N25" i="1" s="1"/>
  <c r="AZ145" i="1"/>
  <c r="CC264" i="1"/>
  <c r="R26" i="1" s="1"/>
  <c r="FK26" i="1" s="1"/>
  <c r="BD192" i="1"/>
  <c r="CC192" i="1" s="1"/>
  <c r="T36" i="1" s="1"/>
  <c r="CK36" i="1" s="1"/>
  <c r="CS36" i="1" s="1"/>
  <c r="CB151" i="1"/>
  <c r="CB315" i="1" s="1"/>
  <c r="CC315" i="1" s="1"/>
  <c r="X36" i="1" s="1"/>
  <c r="CC176" i="1"/>
  <c r="T20" i="1" s="1"/>
  <c r="N49" i="14"/>
  <c r="BC16" i="1"/>
  <c r="CM16" i="1" s="1"/>
  <c r="BA152" i="1"/>
  <c r="AK41" i="7" s="1"/>
  <c r="CB146" i="1"/>
  <c r="CB310" i="1" s="1"/>
  <c r="CC310" i="1" s="1"/>
  <c r="X31" i="1" s="1"/>
  <c r="AF38" i="7"/>
  <c r="CC349" i="1"/>
  <c r="CC215" i="1"/>
  <c r="S18" i="1" s="1"/>
  <c r="GM20" i="4" s="1"/>
  <c r="CX159" i="1"/>
  <c r="AR159" i="1" s="1"/>
  <c r="AZ141" i="1"/>
  <c r="CY139" i="1"/>
  <c r="BC23" i="1"/>
  <c r="N23" i="1" s="1"/>
  <c r="AY140" i="1"/>
  <c r="BA140" i="1"/>
  <c r="AK29" i="7" s="1"/>
  <c r="CC308" i="1"/>
  <c r="X29" i="1" s="1"/>
  <c r="V33" i="7" s="1"/>
  <c r="CC183" i="1"/>
  <c r="T27" i="1" s="1"/>
  <c r="CK27" i="1" s="1"/>
  <c r="CS27" i="1" s="1"/>
  <c r="EA193" i="1"/>
  <c r="AF26" i="7"/>
  <c r="C20" i="19"/>
  <c r="AF14" i="7"/>
  <c r="BD166" i="1"/>
  <c r="CC166" i="1" s="1"/>
  <c r="T10" i="1" s="1"/>
  <c r="BC10" i="1"/>
  <c r="BE10" i="1" s="1"/>
  <c r="CB125" i="1"/>
  <c r="AY149" i="1"/>
  <c r="BA148" i="1"/>
  <c r="BC45" i="1"/>
  <c r="BV45" i="1" s="1"/>
  <c r="AF20" i="7"/>
  <c r="CC217" i="1"/>
  <c r="S20" i="1" s="1"/>
  <c r="CD22" i="20" s="1"/>
  <c r="J22" i="20" s="1"/>
  <c r="BC31" i="1"/>
  <c r="CM31" i="1" s="1"/>
  <c r="BC34" i="1"/>
  <c r="Q38" i="7" s="1"/>
  <c r="CC367" i="1"/>
  <c r="CY135" i="1"/>
  <c r="CC221" i="1"/>
  <c r="S24" i="1" s="1"/>
  <c r="GM26" i="4" s="1"/>
  <c r="CC323" i="1"/>
  <c r="X44" i="1" s="1"/>
  <c r="EJ44" i="1" s="1"/>
  <c r="AF49" i="7"/>
  <c r="BA141" i="1"/>
  <c r="FH26" i="1" s="1"/>
  <c r="AZ138" i="1"/>
  <c r="BA139" i="1"/>
  <c r="AK28" i="7" s="1"/>
  <c r="CY131" i="1"/>
  <c r="CC281" i="1"/>
  <c r="R43" i="1" s="1"/>
  <c r="GL45" i="4" s="1"/>
  <c r="CC231" i="1"/>
  <c r="S34" i="1" s="1"/>
  <c r="CI34" i="1" s="1"/>
  <c r="BD186" i="1"/>
  <c r="CC186" i="1" s="1"/>
  <c r="T30" i="1" s="1"/>
  <c r="AZ150" i="1"/>
  <c r="AY146" i="1"/>
  <c r="CZ139" i="1"/>
  <c r="BC24" i="1"/>
  <c r="AF28" i="7"/>
  <c r="CC207" i="1"/>
  <c r="S10" i="1" s="1"/>
  <c r="EA184" i="1"/>
  <c r="CC343" i="1"/>
  <c r="CC241" i="1"/>
  <c r="S44" i="1" s="1"/>
  <c r="GM46" i="4" s="1"/>
  <c r="CC303" i="1"/>
  <c r="X24" i="1" s="1"/>
  <c r="EJ24" i="1" s="1"/>
  <c r="CC347" i="1"/>
  <c r="CC211" i="1"/>
  <c r="S14" i="1" s="1"/>
  <c r="CD16" i="20" s="1"/>
  <c r="J16" i="20" s="1"/>
  <c r="CY155" i="1"/>
  <c r="CC270" i="1"/>
  <c r="R32" i="1" s="1"/>
  <c r="CB34" i="20" s="1"/>
  <c r="H34" i="20" s="1"/>
  <c r="BA138" i="1"/>
  <c r="FH23" i="1" s="1"/>
  <c r="CC297" i="1"/>
  <c r="X18" i="1" s="1"/>
  <c r="V22" i="7" s="1"/>
  <c r="CC209" i="1"/>
  <c r="S12" i="1" s="1"/>
  <c r="CD14" i="20" s="1"/>
  <c r="J14" i="20" s="1"/>
  <c r="CC178" i="1"/>
  <c r="T22" i="1" s="1"/>
  <c r="EA201" i="1"/>
  <c r="CC318" i="1"/>
  <c r="X39" i="1" s="1"/>
  <c r="EJ39" i="1" s="1"/>
  <c r="BD188" i="1"/>
  <c r="CC188" i="1" s="1"/>
  <c r="T32" i="1" s="1"/>
  <c r="CB147" i="1"/>
  <c r="CB311" i="1" s="1"/>
  <c r="CC311" i="1" s="1"/>
  <c r="X32" i="1" s="1"/>
  <c r="V36" i="7" s="1"/>
  <c r="BC22" i="1"/>
  <c r="CB129" i="1"/>
  <c r="BD170" i="1"/>
  <c r="CC170" i="1" s="1"/>
  <c r="T14" i="1" s="1"/>
  <c r="BD168" i="1"/>
  <c r="CC168" i="1" s="1"/>
  <c r="T12" i="1" s="1"/>
  <c r="CB127" i="1"/>
  <c r="BT39" i="1"/>
  <c r="BA160" i="1"/>
  <c r="AK49" i="7" s="1"/>
  <c r="R5" i="8"/>
  <c r="T5" i="8"/>
  <c r="CC362" i="1"/>
  <c r="CC355" i="1"/>
  <c r="R49" i="14"/>
  <c r="AZ135" i="1"/>
  <c r="CC341" i="1"/>
  <c r="CX133" i="1"/>
  <c r="AR133" i="1" s="1"/>
  <c r="CY140" i="1"/>
  <c r="AF27" i="7"/>
  <c r="AZ160" i="1"/>
  <c r="Q5" i="8"/>
  <c r="AY136" i="1"/>
  <c r="AZ136" i="1"/>
  <c r="BA136" i="1"/>
  <c r="AK25" i="7" s="1"/>
  <c r="BA151" i="1"/>
  <c r="AK40" i="7" s="1"/>
  <c r="CC187" i="1"/>
  <c r="T31" i="1" s="1"/>
  <c r="GN33" i="4" s="1"/>
  <c r="BA145" i="1"/>
  <c r="FH30" i="1" s="1"/>
  <c r="CC228" i="1"/>
  <c r="S31" i="1" s="1"/>
  <c r="GM33" i="4" s="1"/>
  <c r="CY160" i="1"/>
  <c r="CC269" i="1"/>
  <c r="R31" i="1" s="1"/>
  <c r="CB33" i="20" s="1"/>
  <c r="H33" i="20" s="1"/>
  <c r="CY142" i="1"/>
  <c r="CC306" i="1"/>
  <c r="X27" i="1" s="1"/>
  <c r="BT27" i="1" s="1"/>
  <c r="CC255" i="1"/>
  <c r="R17" i="1" s="1"/>
  <c r="GL19" i="4" s="1"/>
  <c r="AF25" i="7"/>
  <c r="EA200" i="1"/>
  <c r="D27" i="20"/>
  <c r="DR27" i="20"/>
  <c r="AW27" i="20" s="1"/>
  <c r="BA159" i="1"/>
  <c r="AK48" i="7" s="1"/>
  <c r="CC242" i="1"/>
  <c r="S45" i="1" s="1"/>
  <c r="GM47" i="4" s="1"/>
  <c r="AZ151" i="1"/>
  <c r="BA131" i="1"/>
  <c r="AK20" i="7" s="1"/>
  <c r="CC342" i="1"/>
  <c r="BA143" i="1"/>
  <c r="AK32" i="7" s="1"/>
  <c r="CY133" i="1"/>
  <c r="CC254" i="1"/>
  <c r="R16" i="1" s="1"/>
  <c r="GL18" i="4" s="1"/>
  <c r="CC240" i="1"/>
  <c r="S43" i="1" s="1"/>
  <c r="CY147" i="1"/>
  <c r="CC346" i="1"/>
  <c r="CC259" i="1"/>
  <c r="R21" i="1" s="1"/>
  <c r="CB23" i="20" s="1"/>
  <c r="H23" i="20" s="1"/>
  <c r="CY144" i="1"/>
  <c r="CC263" i="1"/>
  <c r="R25" i="1" s="1"/>
  <c r="FS25" i="1" s="1"/>
  <c r="CC283" i="1"/>
  <c r="R45" i="1" s="1"/>
  <c r="CB47" i="20" s="1"/>
  <c r="H47" i="20" s="1"/>
  <c r="CY158" i="1"/>
  <c r="CY132" i="1"/>
  <c r="D15" i="20"/>
  <c r="DR15" i="20"/>
  <c r="AW15" i="20" s="1"/>
  <c r="CC368" i="1"/>
  <c r="CC238" i="1"/>
  <c r="S41" i="1" s="1"/>
  <c r="CD43" i="20" s="1"/>
  <c r="J43" i="20" s="1"/>
  <c r="CC225" i="1"/>
  <c r="S28" i="1" s="1"/>
  <c r="CC344" i="1"/>
  <c r="BA155" i="1"/>
  <c r="AK44" i="7" s="1"/>
  <c r="BA146" i="1"/>
  <c r="AK35" i="7" s="1"/>
  <c r="CC354" i="1"/>
  <c r="CC226" i="1"/>
  <c r="S29" i="1" s="1"/>
  <c r="GM31" i="4" s="1"/>
  <c r="CC214" i="1"/>
  <c r="S17" i="1" s="1"/>
  <c r="CX142" i="1"/>
  <c r="AR142" i="1" s="1"/>
  <c r="CC232" i="1"/>
  <c r="S35" i="1" s="1"/>
  <c r="CD37" i="20" s="1"/>
  <c r="J37" i="20" s="1"/>
  <c r="AZ157" i="1"/>
  <c r="CC366" i="1"/>
  <c r="CC350" i="1"/>
  <c r="CC265" i="1"/>
  <c r="R27" i="1" s="1"/>
  <c r="GL29" i="4" s="1"/>
  <c r="CC179" i="1"/>
  <c r="T23" i="1" s="1"/>
  <c r="GN25" i="4" s="1"/>
  <c r="CY136" i="1"/>
  <c r="CC213" i="1"/>
  <c r="S16" i="1" s="1"/>
  <c r="CD18" i="20" s="1"/>
  <c r="J18" i="20" s="1"/>
  <c r="CC339" i="1"/>
  <c r="CC224" i="1"/>
  <c r="S27" i="1" s="1"/>
  <c r="CD29" i="20" s="1"/>
  <c r="J29" i="20" s="1"/>
  <c r="CC237" i="1"/>
  <c r="S40" i="1" s="1"/>
  <c r="CC364" i="1"/>
  <c r="CC351" i="1"/>
  <c r="CX144" i="1"/>
  <c r="CC233" i="1"/>
  <c r="S36" i="1" s="1"/>
  <c r="CC220" i="1"/>
  <c r="S23" i="1" s="1"/>
  <c r="CD25" i="20" s="1"/>
  <c r="J25" i="20" s="1"/>
  <c r="AZ155" i="1"/>
  <c r="AZ146" i="1"/>
  <c r="CC352" i="1"/>
  <c r="AZ143" i="1"/>
  <c r="CC340" i="1"/>
  <c r="CC358" i="1"/>
  <c r="CY157" i="1"/>
  <c r="CX153" i="1"/>
  <c r="AZ147" i="1"/>
  <c r="CC317" i="1"/>
  <c r="X38" i="1" s="1"/>
  <c r="V42" i="7" s="1"/>
  <c r="AZ142" i="1"/>
  <c r="CC261" i="1"/>
  <c r="R23" i="1" s="1"/>
  <c r="FS23" i="1" s="1"/>
  <c r="BT20" i="1"/>
  <c r="EA205" i="1"/>
  <c r="AZ158" i="1"/>
  <c r="CC363" i="1"/>
  <c r="CC229" i="1"/>
  <c r="S32" i="1" s="1"/>
  <c r="CD34" i="20" s="1"/>
  <c r="J34" i="20" s="1"/>
  <c r="CC359" i="1"/>
  <c r="CC222" i="1"/>
  <c r="S25" i="1" s="1"/>
  <c r="GM27" i="4" s="1"/>
  <c r="CC174" i="1"/>
  <c r="T18" i="1" s="1"/>
  <c r="CE20" i="20" s="1"/>
  <c r="K20" i="20" s="1"/>
  <c r="BA147" i="1"/>
  <c r="FH32" i="1" s="1"/>
  <c r="CC185" i="1"/>
  <c r="T29" i="1" s="1"/>
  <c r="GN31" i="4" s="1"/>
  <c r="CC216" i="1"/>
  <c r="S19" i="1" s="1"/>
  <c r="GM21" i="4" s="1"/>
  <c r="CC267" i="1"/>
  <c r="R29" i="1" s="1"/>
  <c r="GL31" i="4" s="1"/>
  <c r="AY134" i="1"/>
  <c r="CY138" i="1"/>
  <c r="Q49" i="10"/>
  <c r="CC274" i="1"/>
  <c r="R36" i="1" s="1"/>
  <c r="BD156" i="1"/>
  <c r="CY156" i="1"/>
  <c r="CC279" i="1"/>
  <c r="R41" i="1" s="1"/>
  <c r="CC276" i="1"/>
  <c r="R38" i="1" s="1"/>
  <c r="CB40" i="20" s="1"/>
  <c r="H40" i="20" s="1"/>
  <c r="CC177" i="1"/>
  <c r="T21" i="1" s="1"/>
  <c r="BD201" i="1"/>
  <c r="CC201" i="1" s="1"/>
  <c r="T45" i="1" s="1"/>
  <c r="CB160" i="1"/>
  <c r="CY150" i="1"/>
  <c r="CC309" i="1"/>
  <c r="X30" i="1" s="1"/>
  <c r="BT30" i="1" s="1"/>
  <c r="CY143" i="1"/>
  <c r="CC266" i="1"/>
  <c r="R28" i="1" s="1"/>
  <c r="CB30" i="20" s="1"/>
  <c r="H30" i="20" s="1"/>
  <c r="CC257" i="1"/>
  <c r="R19" i="1" s="1"/>
  <c r="CB134" i="1"/>
  <c r="BD175" i="1"/>
  <c r="CC175" i="1" s="1"/>
  <c r="T19" i="1" s="1"/>
  <c r="AF23" i="7"/>
  <c r="BC19" i="1"/>
  <c r="BC17" i="1"/>
  <c r="AF21" i="7"/>
  <c r="CZ132" i="1"/>
  <c r="BD191" i="1"/>
  <c r="CC191" i="1" s="1"/>
  <c r="T35" i="1" s="1"/>
  <c r="CB150" i="1"/>
  <c r="CC280" i="1"/>
  <c r="R42" i="1" s="1"/>
  <c r="CY145" i="1"/>
  <c r="CC256" i="1"/>
  <c r="R18" i="1" s="1"/>
  <c r="CY151" i="1"/>
  <c r="CB140" i="1"/>
  <c r="BD181" i="1"/>
  <c r="CC181" i="1" s="1"/>
  <c r="T25" i="1" s="1"/>
  <c r="BA134" i="1"/>
  <c r="BA149" i="1"/>
  <c r="AZ149" i="1"/>
  <c r="CY134" i="1"/>
  <c r="CC273" i="1"/>
  <c r="R35" i="1" s="1"/>
  <c r="AY150" i="1"/>
  <c r="CX123" i="1"/>
  <c r="AR123" i="1" s="1"/>
  <c r="CC278" i="1"/>
  <c r="R40" i="1" s="1"/>
  <c r="BP353" i="1"/>
  <c r="CC353" i="1" s="1"/>
  <c r="CC227" i="1"/>
  <c r="S30" i="1" s="1"/>
  <c r="BA132" i="1"/>
  <c r="BA133" i="1"/>
  <c r="AZ133" i="1"/>
  <c r="AY133" i="1"/>
  <c r="AZ132" i="1"/>
  <c r="CX141" i="1"/>
  <c r="AR141" i="1" s="1"/>
  <c r="CB305" i="1"/>
  <c r="CC305" i="1" s="1"/>
  <c r="X26" i="1" s="1"/>
  <c r="BC28" i="1"/>
  <c r="CB143" i="1"/>
  <c r="AF32" i="7"/>
  <c r="BD184" i="1"/>
  <c r="CC184" i="1" s="1"/>
  <c r="T28" i="1" s="1"/>
  <c r="BA142" i="1"/>
  <c r="C14" i="19"/>
  <c r="C18" i="19"/>
  <c r="C9" i="19"/>
  <c r="CC235" i="1"/>
  <c r="S38" i="1" s="1"/>
  <c r="CC268" i="1"/>
  <c r="R30" i="1" s="1"/>
  <c r="CC361" i="1"/>
  <c r="AY153" i="1"/>
  <c r="BA153" i="1"/>
  <c r="AZ153" i="1"/>
  <c r="CC251" i="1"/>
  <c r="R13" i="1" s="1"/>
  <c r="FS13" i="1" s="1"/>
  <c r="CZ153" i="1"/>
  <c r="AF42" i="7"/>
  <c r="BC38" i="1"/>
  <c r="BI365" i="1"/>
  <c r="CC365" i="1" s="1"/>
  <c r="CC239" i="1"/>
  <c r="S42" i="1" s="1"/>
  <c r="CY153" i="1"/>
  <c r="CZ151" i="1"/>
  <c r="BC36" i="1"/>
  <c r="BD199" i="1"/>
  <c r="CC199" i="1" s="1"/>
  <c r="T43" i="1" s="1"/>
  <c r="CB158" i="1"/>
  <c r="BC43" i="1"/>
  <c r="AF47" i="7"/>
  <c r="AF36" i="7"/>
  <c r="CZ147" i="1"/>
  <c r="BC32" i="1"/>
  <c r="CX145" i="1"/>
  <c r="GL8" i="4"/>
  <c r="CZ157" i="1"/>
  <c r="AF46" i="7"/>
  <c r="BC42" i="1"/>
  <c r="AY143" i="1"/>
  <c r="GM14" i="4"/>
  <c r="BC33" i="1"/>
  <c r="AF37" i="7"/>
  <c r="BD189" i="1"/>
  <c r="CC189" i="1" s="1"/>
  <c r="T33" i="1" s="1"/>
  <c r="CB148" i="1"/>
  <c r="AZ156" i="1"/>
  <c r="BA157" i="1"/>
  <c r="BA156" i="1"/>
  <c r="AY157" i="1"/>
  <c r="CZ145" i="1"/>
  <c r="BC30" i="1"/>
  <c r="AF34" i="7"/>
  <c r="BD126" i="1"/>
  <c r="CY126" i="1"/>
  <c r="BH332" i="1"/>
  <c r="CC332" i="1" s="1"/>
  <c r="CC206" i="1"/>
  <c r="S9" i="1" s="1"/>
  <c r="BD128" i="1"/>
  <c r="CY128" i="1"/>
  <c r="GM28" i="4"/>
  <c r="BH334" i="1"/>
  <c r="CC334" i="1" s="1"/>
  <c r="CC208" i="1"/>
  <c r="S11" i="1" s="1"/>
  <c r="BD124" i="1"/>
  <c r="CY124" i="1"/>
  <c r="AZ125" i="1"/>
  <c r="BA125" i="1"/>
  <c r="AF44" i="7"/>
  <c r="BC40" i="1"/>
  <c r="BD196" i="1"/>
  <c r="CC196" i="1" s="1"/>
  <c r="T40" i="1" s="1"/>
  <c r="CB155" i="1"/>
  <c r="CZ35" i="1"/>
  <c r="CM35" i="1"/>
  <c r="BV35" i="1"/>
  <c r="CB313" i="1"/>
  <c r="CC313" i="1" s="1"/>
  <c r="X34" i="1" s="1"/>
  <c r="CX149" i="1"/>
  <c r="AR149" i="1" s="1"/>
  <c r="BH336" i="1"/>
  <c r="CC336" i="1" s="1"/>
  <c r="CC210" i="1"/>
  <c r="S13" i="1" s="1"/>
  <c r="GX22" i="4"/>
  <c r="AZ127" i="1"/>
  <c r="BA127" i="1"/>
  <c r="GM29" i="4"/>
  <c r="AZ126" i="1"/>
  <c r="AY126" i="1"/>
  <c r="BA126" i="1"/>
  <c r="GX27" i="4"/>
  <c r="N29" i="1"/>
  <c r="CM29" i="1"/>
  <c r="CZ29" i="1"/>
  <c r="BV29" i="1"/>
  <c r="Q33" i="7"/>
  <c r="AZ123" i="1"/>
  <c r="BA123" i="1"/>
  <c r="DX12" i="20"/>
  <c r="BC12" i="20" s="1"/>
  <c r="N12" i="1"/>
  <c r="CZ12" i="1"/>
  <c r="N18" i="1"/>
  <c r="CM18" i="1"/>
  <c r="Q22" i="7"/>
  <c r="BV18" i="1"/>
  <c r="CZ18" i="1"/>
  <c r="Q48" i="7"/>
  <c r="CC249" i="1"/>
  <c r="R11" i="1" s="1"/>
  <c r="CC247" i="1"/>
  <c r="R9" i="1" s="1"/>
  <c r="AY124" i="1"/>
  <c r="BA124" i="1"/>
  <c r="AZ124" i="1"/>
  <c r="DR38" i="20"/>
  <c r="AW38" i="20" s="1"/>
  <c r="E38" i="20"/>
  <c r="CB130" i="1"/>
  <c r="BD171" i="1"/>
  <c r="CC171" i="1" s="1"/>
  <c r="T15" i="1" s="1"/>
  <c r="AF19" i="7"/>
  <c r="BC15" i="1"/>
  <c r="AY128" i="1"/>
  <c r="AZ128" i="1"/>
  <c r="BA128" i="1"/>
  <c r="E43" i="20"/>
  <c r="DR43" i="20"/>
  <c r="AW43" i="20" s="1"/>
  <c r="BY20" i="17"/>
  <c r="AO20" i="17"/>
  <c r="DB64" i="1" s="1"/>
  <c r="M49" i="14"/>
  <c r="S49" i="14"/>
  <c r="S3" i="8"/>
  <c r="T3" i="8"/>
  <c r="Q3" i="8"/>
  <c r="X3" i="8"/>
  <c r="R3" i="8"/>
  <c r="E26" i="15"/>
  <c r="E112" i="26"/>
  <c r="E68" i="15"/>
  <c r="S30" i="8"/>
  <c r="X30" i="8"/>
  <c r="Q30" i="8"/>
  <c r="R30" i="8"/>
  <c r="T30" i="8"/>
  <c r="X7" i="8"/>
  <c r="Q7" i="8"/>
  <c r="S7" i="8"/>
  <c r="T7" i="8"/>
  <c r="R7" i="8"/>
  <c r="S25" i="8"/>
  <c r="T25" i="8"/>
  <c r="X25" i="8"/>
  <c r="R25" i="8"/>
  <c r="Q25" i="8"/>
  <c r="E50" i="15"/>
  <c r="Q8" i="8"/>
  <c r="X8" i="8"/>
  <c r="S8" i="8"/>
  <c r="R8" i="8"/>
  <c r="T8" i="8"/>
  <c r="Q16" i="8"/>
  <c r="T16" i="8"/>
  <c r="X16" i="8"/>
  <c r="S16" i="8"/>
  <c r="R16" i="8"/>
  <c r="S20" i="8"/>
  <c r="T20" i="8"/>
  <c r="Q20" i="8"/>
  <c r="R20" i="8"/>
  <c r="X20" i="8"/>
  <c r="E104" i="26"/>
  <c r="E18" i="15"/>
  <c r="S26" i="8"/>
  <c r="X26" i="8"/>
  <c r="Q26" i="8"/>
  <c r="T26" i="8"/>
  <c r="R26" i="8"/>
  <c r="E122" i="26"/>
  <c r="E36" i="15"/>
  <c r="E40" i="15"/>
  <c r="E116" i="26"/>
  <c r="E30" i="15"/>
  <c r="Q29" i="8"/>
  <c r="T29" i="8"/>
  <c r="R29" i="8"/>
  <c r="S29" i="8"/>
  <c r="X29" i="8"/>
  <c r="X11" i="8"/>
  <c r="Q11" i="8"/>
  <c r="T11" i="8"/>
  <c r="R11" i="8"/>
  <c r="S11" i="8"/>
  <c r="E32" i="15"/>
  <c r="E118" i="26"/>
  <c r="Q27" i="8"/>
  <c r="T27" i="8"/>
  <c r="R27" i="8"/>
  <c r="X27" i="8"/>
  <c r="S27" i="8"/>
  <c r="R18" i="8"/>
  <c r="Q18" i="8"/>
  <c r="S18" i="8"/>
  <c r="T18" i="8"/>
  <c r="X18" i="8"/>
  <c r="R32" i="8"/>
  <c r="S32" i="8"/>
  <c r="T32" i="8"/>
  <c r="Q32" i="8"/>
  <c r="X32" i="8"/>
  <c r="E66" i="15"/>
  <c r="E20" i="15"/>
  <c r="E106" i="26"/>
  <c r="E110" i="26"/>
  <c r="E24" i="15"/>
  <c r="T4" i="8"/>
  <c r="Q4" i="8"/>
  <c r="R4" i="8"/>
  <c r="S4" i="8"/>
  <c r="X4" i="8"/>
  <c r="E124" i="26"/>
  <c r="E38" i="15"/>
  <c r="X14" i="8"/>
  <c r="R14" i="8"/>
  <c r="Q14" i="8"/>
  <c r="S14" i="8"/>
  <c r="T14" i="8"/>
  <c r="E58" i="15"/>
  <c r="E54" i="15"/>
  <c r="Q12" i="8"/>
  <c r="R12" i="8"/>
  <c r="X12" i="8"/>
  <c r="T12" i="8"/>
  <c r="S12" i="8"/>
  <c r="E64" i="15"/>
  <c r="E28" i="15"/>
  <c r="E114" i="26"/>
  <c r="E60" i="15"/>
  <c r="E42" i="15"/>
  <c r="S28" i="8"/>
  <c r="X28" i="8"/>
  <c r="T28" i="8"/>
  <c r="Q28" i="8"/>
  <c r="R28" i="8"/>
  <c r="Q9" i="8"/>
  <c r="T9" i="8"/>
  <c r="S9" i="8"/>
  <c r="X9" i="8"/>
  <c r="R9" i="8"/>
  <c r="E100" i="26"/>
  <c r="E14" i="15"/>
  <c r="S21" i="8"/>
  <c r="T21" i="8"/>
  <c r="R21" i="8"/>
  <c r="Q21" i="8"/>
  <c r="X21" i="8"/>
  <c r="E108" i="26"/>
  <c r="E22" i="15"/>
  <c r="E34" i="15"/>
  <c r="E120" i="26"/>
  <c r="E44" i="15"/>
  <c r="E52" i="15"/>
  <c r="T10" i="8"/>
  <c r="S10" i="8"/>
  <c r="X10" i="8"/>
  <c r="Q10" i="8"/>
  <c r="R10" i="8"/>
  <c r="S13" i="8"/>
  <c r="R13" i="8"/>
  <c r="Q13" i="8"/>
  <c r="X13" i="8"/>
  <c r="T13" i="8"/>
  <c r="S31" i="8"/>
  <c r="T31" i="8"/>
  <c r="R31" i="8"/>
  <c r="Q31" i="8"/>
  <c r="X31" i="8"/>
  <c r="E70" i="15"/>
  <c r="E62" i="15"/>
  <c r="E56" i="15"/>
  <c r="T22" i="8"/>
  <c r="R22" i="8"/>
  <c r="X22" i="8"/>
  <c r="Q22" i="8"/>
  <c r="S22" i="8"/>
  <c r="E48" i="15"/>
  <c r="E46" i="15"/>
  <c r="Q19" i="8"/>
  <c r="X19" i="8"/>
  <c r="T19" i="8"/>
  <c r="R19" i="8"/>
  <c r="S19" i="8"/>
  <c r="T6" i="8"/>
  <c r="X6" i="8"/>
  <c r="R6" i="8"/>
  <c r="Q6" i="8"/>
  <c r="S6" i="8"/>
  <c r="X23" i="8"/>
  <c r="Q23" i="8"/>
  <c r="T23" i="8"/>
  <c r="R23" i="8"/>
  <c r="S23" i="8"/>
  <c r="S15" i="8"/>
  <c r="T15" i="8"/>
  <c r="R15" i="8"/>
  <c r="X15" i="8"/>
  <c r="Q15" i="8"/>
  <c r="X17" i="8"/>
  <c r="S17" i="8"/>
  <c r="Q17" i="8"/>
  <c r="T17" i="8"/>
  <c r="R17" i="8"/>
  <c r="S24" i="8"/>
  <c r="Q24" i="8"/>
  <c r="R24" i="8"/>
  <c r="X24" i="8"/>
  <c r="T24" i="8"/>
  <c r="DW11" i="1"/>
  <c r="FB11" i="1"/>
  <c r="AB11" i="20"/>
  <c r="Y7" i="20"/>
  <c r="CI11" i="20"/>
  <c r="CI7" i="20"/>
  <c r="CI10" i="20"/>
  <c r="DB10" i="20" s="1"/>
  <c r="AF10" i="20" s="1"/>
  <c r="CI8" i="20"/>
  <c r="DB8" i="20" s="1"/>
  <c r="AF8" i="20" s="1"/>
  <c r="CI9" i="20"/>
  <c r="CI12" i="20"/>
  <c r="CI13" i="20"/>
  <c r="AA11" i="20"/>
  <c r="Z8" i="20"/>
  <c r="DN11" i="20"/>
  <c r="AS11" i="20" s="1"/>
  <c r="Z10" i="20"/>
  <c r="AB8" i="20"/>
  <c r="AR10" i="20"/>
  <c r="DN10" i="20"/>
  <c r="AS10" i="20" s="1"/>
  <c r="Z11" i="20"/>
  <c r="DN8" i="20"/>
  <c r="AS8" i="20" s="1"/>
  <c r="AR8" i="20"/>
  <c r="AA10" i="20"/>
  <c r="AR7" i="20"/>
  <c r="DN7" i="20"/>
  <c r="AS7" i="20" s="1"/>
  <c r="AB10" i="20"/>
  <c r="Y10" i="20"/>
  <c r="O44" i="7"/>
  <c r="G80" i="26"/>
  <c r="F80" i="5"/>
  <c r="F86" i="5"/>
  <c r="O47" i="7"/>
  <c r="G86" i="26"/>
  <c r="AE11" i="1"/>
  <c r="O33" i="7"/>
  <c r="G58" i="26"/>
  <c r="F58" i="5"/>
  <c r="F78" i="5"/>
  <c r="G78" i="26"/>
  <c r="O43" i="7"/>
  <c r="G62" i="26"/>
  <c r="F62" i="5"/>
  <c r="O35" i="7"/>
  <c r="G28" i="26"/>
  <c r="O18" i="7"/>
  <c r="F28" i="5"/>
  <c r="G42" i="26"/>
  <c r="F42" i="5"/>
  <c r="O25" i="7"/>
  <c r="O17" i="7"/>
  <c r="G26" i="26"/>
  <c r="F26" i="5"/>
  <c r="G52" i="26"/>
  <c r="F52" i="5"/>
  <c r="O30" i="7"/>
  <c r="Q49" i="14" l="1"/>
  <c r="AF49" i="10"/>
  <c r="AF6" i="17"/>
  <c r="O49" i="14"/>
  <c r="DX7" i="20"/>
  <c r="BC7" i="20" s="1"/>
  <c r="Z5" i="1"/>
  <c r="CP5" i="1" s="1"/>
  <c r="CR5" i="1" s="1"/>
  <c r="FQ5" i="1"/>
  <c r="DR7" i="20"/>
  <c r="AW7" i="20" s="1"/>
  <c r="AC49" i="10"/>
  <c r="AB46" i="1"/>
  <c r="Z2" i="4" s="1"/>
  <c r="CS24" i="4"/>
  <c r="F46" i="5"/>
  <c r="O27" i="7"/>
  <c r="AX49" i="10"/>
  <c r="O49" i="10"/>
  <c r="V49" i="10"/>
  <c r="K49" i="10"/>
  <c r="L49" i="14"/>
  <c r="W49" i="10"/>
  <c r="EO26" i="1"/>
  <c r="EN26" i="1" s="1"/>
  <c r="I49" i="14"/>
  <c r="AQ49" i="10"/>
  <c r="N49" i="10"/>
  <c r="J49" i="10"/>
  <c r="J49" i="14"/>
  <c r="H49" i="14"/>
  <c r="T49" i="14"/>
  <c r="F30" i="5"/>
  <c r="R49" i="10"/>
  <c r="AZ10" i="1"/>
  <c r="CZ10" i="1" s="1"/>
  <c r="GS12" i="4"/>
  <c r="CG10" i="1"/>
  <c r="BQ10" i="1"/>
  <c r="BX10" i="1"/>
  <c r="CW10" i="1"/>
  <c r="G30" i="26"/>
  <c r="DM10" i="1"/>
  <c r="DM46" i="1" s="1"/>
  <c r="CD65" i="1" s="1"/>
  <c r="DV10" i="1"/>
  <c r="DT2" i="1" s="1"/>
  <c r="DU10" i="1"/>
  <c r="DO10" i="1"/>
  <c r="AB14" i="7" s="1"/>
  <c r="BD12" i="20" s="1"/>
  <c r="FQ10" i="1"/>
  <c r="AR12" i="20"/>
  <c r="DN12" i="20"/>
  <c r="AS12" i="20" s="1"/>
  <c r="GM12" i="4"/>
  <c r="Z10" i="1"/>
  <c r="AP49" i="10"/>
  <c r="U49" i="10"/>
  <c r="AH49" i="10"/>
  <c r="T49" i="10"/>
  <c r="AU49" i="10"/>
  <c r="AO49" i="10"/>
  <c r="AB49" i="10"/>
  <c r="AV49" i="10"/>
  <c r="CU43" i="4"/>
  <c r="CQ43" i="4"/>
  <c r="CP43" i="4"/>
  <c r="CR43" i="4"/>
  <c r="CO43" i="4"/>
  <c r="G49" i="10"/>
  <c r="F49" i="14"/>
  <c r="CR40" i="4"/>
  <c r="CU40" i="4"/>
  <c r="X49" i="10"/>
  <c r="EO22" i="1"/>
  <c r="EZ22" i="1" s="1"/>
  <c r="EO32" i="1"/>
  <c r="EY32" i="1" s="1"/>
  <c r="AS49" i="10"/>
  <c r="EO33" i="1"/>
  <c r="EY33" i="1" s="1"/>
  <c r="EM33" i="1" s="1"/>
  <c r="AA49" i="10"/>
  <c r="S49" i="10"/>
  <c r="AE49" i="10"/>
  <c r="AT49" i="10"/>
  <c r="O48" i="7"/>
  <c r="O49" i="7"/>
  <c r="CP40" i="4"/>
  <c r="G49" i="14"/>
  <c r="G76" i="26"/>
  <c r="F76" i="5"/>
  <c r="FM40" i="4"/>
  <c r="F90" i="5"/>
  <c r="CQ40" i="4"/>
  <c r="CS40" i="4"/>
  <c r="F22" i="7"/>
  <c r="F36" i="5" s="1"/>
  <c r="CO32" i="4"/>
  <c r="F88" i="5"/>
  <c r="F32" i="5"/>
  <c r="CR18" i="4"/>
  <c r="CP18" i="4"/>
  <c r="FM36" i="4"/>
  <c r="F76" i="26"/>
  <c r="E76" i="26" s="1"/>
  <c r="CR24" i="4"/>
  <c r="O31" i="7"/>
  <c r="CO24" i="4"/>
  <c r="CR39" i="4"/>
  <c r="CP24" i="4"/>
  <c r="CU24" i="4"/>
  <c r="G82" i="26"/>
  <c r="FM18" i="4"/>
  <c r="O20" i="7"/>
  <c r="E44" i="5"/>
  <c r="D44" i="5" s="1"/>
  <c r="CU18" i="4"/>
  <c r="F60" i="26"/>
  <c r="E60" i="26" s="1"/>
  <c r="F24" i="5"/>
  <c r="F41" i="7"/>
  <c r="F74" i="5" s="1"/>
  <c r="CS18" i="4"/>
  <c r="CO18" i="4"/>
  <c r="O45" i="7"/>
  <c r="O39" i="7"/>
  <c r="F24" i="7"/>
  <c r="G40" i="26" s="1"/>
  <c r="F70" i="5"/>
  <c r="F26" i="7"/>
  <c r="G44" i="26" s="1"/>
  <c r="FM43" i="4"/>
  <c r="FM14" i="4"/>
  <c r="G24" i="26"/>
  <c r="E24" i="5"/>
  <c r="D24" i="5" s="1"/>
  <c r="F24" i="26"/>
  <c r="E24" i="26" s="1"/>
  <c r="FM46" i="4"/>
  <c r="CU14" i="4"/>
  <c r="CO14" i="4"/>
  <c r="CQ14" i="4"/>
  <c r="CR14" i="4"/>
  <c r="CS14" i="4"/>
  <c r="CP14" i="4"/>
  <c r="CR32" i="4"/>
  <c r="CP32" i="4"/>
  <c r="CS39" i="4"/>
  <c r="CS32" i="4"/>
  <c r="CU39" i="4"/>
  <c r="CQ32" i="4"/>
  <c r="CP39" i="4"/>
  <c r="CQ39" i="4"/>
  <c r="O21" i="7"/>
  <c r="CQ46" i="4"/>
  <c r="CO36" i="4"/>
  <c r="CS36" i="4"/>
  <c r="CU36" i="4"/>
  <c r="CR36" i="4"/>
  <c r="CP36" i="4"/>
  <c r="CQ36" i="4"/>
  <c r="O38" i="7"/>
  <c r="F68" i="5"/>
  <c r="CP21" i="4"/>
  <c r="CR21" i="4"/>
  <c r="CU21" i="4"/>
  <c r="CO21" i="4"/>
  <c r="CS21" i="4"/>
  <c r="CQ21" i="4"/>
  <c r="F23" i="7"/>
  <c r="FM21" i="4"/>
  <c r="AI49" i="10"/>
  <c r="AD49" i="10"/>
  <c r="F36" i="26"/>
  <c r="E36" i="26" s="1"/>
  <c r="E36" i="5"/>
  <c r="D36" i="5" s="1"/>
  <c r="D9" i="20"/>
  <c r="DR9" i="20"/>
  <c r="AW9" i="20" s="1"/>
  <c r="M49" i="10"/>
  <c r="F49" i="10"/>
  <c r="AJ49" i="10"/>
  <c r="I49" i="10"/>
  <c r="AM49" i="10"/>
  <c r="AL49" i="10"/>
  <c r="AR49" i="10"/>
  <c r="AN49" i="10"/>
  <c r="AK49" i="10"/>
  <c r="AW49" i="10"/>
  <c r="Z49" i="10"/>
  <c r="ES7" i="1"/>
  <c r="G34" i="26"/>
  <c r="AH8" i="1"/>
  <c r="G10" i="4" s="1"/>
  <c r="EW7" i="1"/>
  <c r="CU46" i="4"/>
  <c r="Q10" i="7"/>
  <c r="EO36" i="1"/>
  <c r="EY36" i="1" s="1"/>
  <c r="EM36" i="1" s="1"/>
  <c r="CS46" i="4"/>
  <c r="CO46" i="4"/>
  <c r="H49" i="10"/>
  <c r="CP46" i="4"/>
  <c r="F48" i="5"/>
  <c r="O28" i="7"/>
  <c r="G48" i="26"/>
  <c r="BV44" i="1"/>
  <c r="AG49" i="10"/>
  <c r="Y49" i="10"/>
  <c r="P49" i="10"/>
  <c r="E49" i="10"/>
  <c r="CZ44" i="1"/>
  <c r="EO27" i="1"/>
  <c r="EZ27" i="1" s="1"/>
  <c r="F56" i="5"/>
  <c r="CM44" i="1"/>
  <c r="GM43" i="4"/>
  <c r="AR121" i="1"/>
  <c r="AH6" i="1" s="1"/>
  <c r="O32" i="7"/>
  <c r="GM8" i="4"/>
  <c r="FH16" i="1"/>
  <c r="FK43" i="1"/>
  <c r="FH37" i="1"/>
  <c r="CD20" i="20"/>
  <c r="J20" i="20" s="1"/>
  <c r="Q27" i="7"/>
  <c r="E49" i="14"/>
  <c r="F60" i="5"/>
  <c r="CD23" i="20"/>
  <c r="J23" i="20" s="1"/>
  <c r="Q39" i="7"/>
  <c r="EJ20" i="1"/>
  <c r="DJ135" i="1" s="1"/>
  <c r="CW8" i="1"/>
  <c r="E40" i="5"/>
  <c r="D40" i="5" s="1"/>
  <c r="F40" i="26"/>
  <c r="E40" i="26" s="1"/>
  <c r="CM39" i="1"/>
  <c r="G60" i="26"/>
  <c r="FH39" i="1"/>
  <c r="N8" i="1"/>
  <c r="CD8" i="1" s="1"/>
  <c r="CQ8" i="1" s="1"/>
  <c r="FK22" i="1"/>
  <c r="FS31" i="1"/>
  <c r="GL41" i="4"/>
  <c r="FK8" i="1"/>
  <c r="BX8" i="1"/>
  <c r="EO37" i="1"/>
  <c r="FA37" i="1" s="1"/>
  <c r="G72" i="26"/>
  <c r="O40" i="7"/>
  <c r="F72" i="5"/>
  <c r="CR22" i="4"/>
  <c r="CU22" i="4"/>
  <c r="CO22" i="4"/>
  <c r="CP22" i="4"/>
  <c r="CS22" i="4"/>
  <c r="CQ22" i="4"/>
  <c r="CD46" i="20"/>
  <c r="J46" i="20" s="1"/>
  <c r="CD17" i="20"/>
  <c r="J17" i="20" s="1"/>
  <c r="N20" i="1"/>
  <c r="CH20" i="1" s="1"/>
  <c r="N7" i="1"/>
  <c r="BY7" i="1" s="1"/>
  <c r="EO15" i="1"/>
  <c r="EN15" i="1" s="1"/>
  <c r="BV14" i="1"/>
  <c r="CX138" i="1"/>
  <c r="AR138" i="1" s="1"/>
  <c r="AH23" i="1" s="1"/>
  <c r="G54" i="26"/>
  <c r="AK34" i="7"/>
  <c r="CI27" i="1"/>
  <c r="AK30" i="7"/>
  <c r="Q18" i="7"/>
  <c r="EO39" i="1"/>
  <c r="EN39" i="1" s="1"/>
  <c r="EO29" i="1"/>
  <c r="EY29" i="1" s="1"/>
  <c r="EM29" i="1" s="1"/>
  <c r="CM8" i="1"/>
  <c r="CZ8" i="1"/>
  <c r="BV8" i="1"/>
  <c r="FS8" i="1"/>
  <c r="CG8" i="1"/>
  <c r="EB167" i="1"/>
  <c r="EO40" i="1"/>
  <c r="EZ40" i="1" s="1"/>
  <c r="EO20" i="1"/>
  <c r="EN20" i="1" s="1"/>
  <c r="EO12" i="1"/>
  <c r="FA12" i="1" s="1"/>
  <c r="AR144" i="1"/>
  <c r="O37" i="7"/>
  <c r="GM37" i="4"/>
  <c r="BT18" i="1"/>
  <c r="Q35" i="7"/>
  <c r="Q12" i="7"/>
  <c r="CB10" i="20"/>
  <c r="H10" i="20" s="1"/>
  <c r="BQ8" i="1"/>
  <c r="EU7" i="1"/>
  <c r="F66" i="5"/>
  <c r="BZ7" i="1"/>
  <c r="CZ39" i="1"/>
  <c r="AK10" i="7"/>
  <c r="CX136" i="1"/>
  <c r="AR136" i="1" s="1"/>
  <c r="CB39" i="20"/>
  <c r="H39" i="20" s="1"/>
  <c r="GL36" i="4"/>
  <c r="CX131" i="1"/>
  <c r="AR131" i="1" s="1"/>
  <c r="AH16" i="1" s="1"/>
  <c r="G18" i="4" s="1"/>
  <c r="GL39" i="4"/>
  <c r="AH20" i="1"/>
  <c r="G22" i="4" s="1"/>
  <c r="EP7" i="1"/>
  <c r="DM167" i="1"/>
  <c r="DP7" i="1"/>
  <c r="Z11" i="7" s="1"/>
  <c r="DJ167" i="1"/>
  <c r="DQ7" i="1" s="1"/>
  <c r="H9" i="4" s="1"/>
  <c r="FS9" i="4" s="1"/>
  <c r="EO11" i="1"/>
  <c r="CD9" i="20"/>
  <c r="J9" i="20" s="1"/>
  <c r="Q43" i="7"/>
  <c r="CB36" i="20"/>
  <c r="H36" i="20" s="1"/>
  <c r="FS37" i="1"/>
  <c r="FS34" i="1"/>
  <c r="FS15" i="1"/>
  <c r="EO5" i="1"/>
  <c r="EY5" i="1" s="1"/>
  <c r="EM5" i="1" s="1"/>
  <c r="DL167" i="1"/>
  <c r="DS7" i="1" s="1"/>
  <c r="ER7" i="1"/>
  <c r="DK167" i="1"/>
  <c r="DO7" i="1" s="1"/>
  <c r="AB11" i="7" s="1"/>
  <c r="BD9" i="20" s="1"/>
  <c r="DO167" i="1"/>
  <c r="EQ7" i="1"/>
  <c r="FH20" i="1"/>
  <c r="BV39" i="1"/>
  <c r="EJ30" i="1"/>
  <c r="DJ145" i="1" s="1"/>
  <c r="ET7" i="1"/>
  <c r="EX7" i="1"/>
  <c r="EV7" i="1"/>
  <c r="DI167" i="1"/>
  <c r="DR7" i="1" s="1"/>
  <c r="AA11" i="7" s="1"/>
  <c r="EO28" i="1"/>
  <c r="EZ28" i="1" s="1"/>
  <c r="EO14" i="1"/>
  <c r="FA14" i="1" s="1"/>
  <c r="EO21" i="1"/>
  <c r="FA21" i="1" s="1"/>
  <c r="EO25" i="1"/>
  <c r="EZ25" i="1" s="1"/>
  <c r="EO42" i="1"/>
  <c r="EY42" i="1" s="1"/>
  <c r="EM42" i="1" s="1"/>
  <c r="EO16" i="1"/>
  <c r="EZ16" i="1" s="1"/>
  <c r="EO17" i="1"/>
  <c r="EY17" i="1" s="1"/>
  <c r="CD7" i="20"/>
  <c r="J7" i="20" s="1"/>
  <c r="CY15" i="1"/>
  <c r="U10" i="7"/>
  <c r="CM12" i="1"/>
  <c r="CL26" i="1"/>
  <c r="CZ25" i="1"/>
  <c r="CZ27" i="1"/>
  <c r="CI41" i="1"/>
  <c r="GL17" i="4"/>
  <c r="FK20" i="1"/>
  <c r="CB17" i="20"/>
  <c r="H17" i="20" s="1"/>
  <c r="EO24" i="1"/>
  <c r="FA24" i="1" s="1"/>
  <c r="T10" i="7"/>
  <c r="BV12" i="1"/>
  <c r="U12" i="7"/>
  <c r="CI26" i="1"/>
  <c r="CL15" i="1"/>
  <c r="EO35" i="1"/>
  <c r="EZ35" i="1" s="1"/>
  <c r="EO43" i="1"/>
  <c r="FA43" i="1" s="1"/>
  <c r="EO44" i="1"/>
  <c r="EZ44" i="1" s="1"/>
  <c r="EO23" i="1"/>
  <c r="EN23" i="1" s="1"/>
  <c r="EO41" i="1"/>
  <c r="EY41" i="1" s="1"/>
  <c r="EO19" i="1"/>
  <c r="FA19" i="1" s="1"/>
  <c r="O36" i="7"/>
  <c r="CK34" i="1"/>
  <c r="CS34" i="1" s="1"/>
  <c r="CI15" i="1"/>
  <c r="GL9" i="4"/>
  <c r="GD9" i="4" s="1"/>
  <c r="CK8" i="1"/>
  <c r="CS8" i="1" s="1"/>
  <c r="N5" i="1"/>
  <c r="BR5" i="1" s="1"/>
  <c r="AH22" i="1"/>
  <c r="C43" i="26" s="1"/>
  <c r="EO18" i="1"/>
  <c r="EN18" i="1" s="1"/>
  <c r="EO45" i="1"/>
  <c r="EY45" i="1" s="1"/>
  <c r="EN38" i="1"/>
  <c r="EY38" i="1"/>
  <c r="EM38" i="1" s="1"/>
  <c r="CY7" i="1"/>
  <c r="GL47" i="4"/>
  <c r="FH43" i="1"/>
  <c r="CD12" i="20"/>
  <c r="J12" i="20" s="1"/>
  <c r="FS7" i="1"/>
  <c r="FH22" i="1"/>
  <c r="GL24" i="4"/>
  <c r="FS39" i="1"/>
  <c r="EO30" i="1"/>
  <c r="EZ30" i="1" s="1"/>
  <c r="EO13" i="1"/>
  <c r="FA13" i="1" s="1"/>
  <c r="EO34" i="1"/>
  <c r="EZ34" i="1" s="1"/>
  <c r="CI7" i="1"/>
  <c r="FH29" i="1"/>
  <c r="BD243" i="1"/>
  <c r="CB9" i="20"/>
  <c r="H9" i="20" s="1"/>
  <c r="BV26" i="1"/>
  <c r="AH26" i="1"/>
  <c r="G28" i="4" s="1"/>
  <c r="FS22" i="1"/>
  <c r="CB41" i="20"/>
  <c r="H41" i="20" s="1"/>
  <c r="CL7" i="1"/>
  <c r="FK32" i="1"/>
  <c r="CB15" i="20"/>
  <c r="H15" i="20" s="1"/>
  <c r="AK36" i="7"/>
  <c r="Q30" i="7"/>
  <c r="CI22" i="1"/>
  <c r="EN22" i="1"/>
  <c r="CI8" i="1"/>
  <c r="EO10" i="1"/>
  <c r="V26" i="7"/>
  <c r="EJ22" i="1"/>
  <c r="DJ137" i="1" s="1"/>
  <c r="DQ182" i="1" s="1"/>
  <c r="FH35" i="1"/>
  <c r="AH34" i="1"/>
  <c r="C67" i="26" s="1"/>
  <c r="V21" i="7"/>
  <c r="CD28" i="20"/>
  <c r="J28" i="20" s="1"/>
  <c r="CY8" i="1"/>
  <c r="T12" i="7"/>
  <c r="GM10" i="4"/>
  <c r="CM45" i="1"/>
  <c r="CB8" i="20"/>
  <c r="H8" i="20" s="1"/>
  <c r="Q31" i="7"/>
  <c r="GN10" i="4"/>
  <c r="CX132" i="1"/>
  <c r="AR132" i="1" s="1"/>
  <c r="AH17" i="1" s="1"/>
  <c r="GL16" i="4"/>
  <c r="T26" i="7"/>
  <c r="CE26" i="20"/>
  <c r="K26" i="20" s="1"/>
  <c r="FA22" i="1"/>
  <c r="FS45" i="1"/>
  <c r="CL6" i="1"/>
  <c r="CI45" i="1"/>
  <c r="CY6" i="1"/>
  <c r="BZ6" i="1"/>
  <c r="FA38" i="1"/>
  <c r="CL21" i="1"/>
  <c r="CT21" i="1" s="1"/>
  <c r="FH28" i="1"/>
  <c r="FH40" i="1"/>
  <c r="CM34" i="1"/>
  <c r="BZ8" i="1"/>
  <c r="CL8" i="1"/>
  <c r="CT8" i="1" s="1"/>
  <c r="FS6" i="1"/>
  <c r="BV27" i="1"/>
  <c r="N27" i="1"/>
  <c r="FG27" i="1" s="1"/>
  <c r="BT38" i="1"/>
  <c r="CE10" i="20"/>
  <c r="K10" i="20" s="1"/>
  <c r="BS21" i="1"/>
  <c r="CK24" i="1"/>
  <c r="CS24" i="1" s="1"/>
  <c r="CL20" i="1"/>
  <c r="CB26" i="20"/>
  <c r="H26" i="20" s="1"/>
  <c r="AH39" i="1"/>
  <c r="G41" i="4" s="1"/>
  <c r="CI37" i="1"/>
  <c r="EZ38" i="1"/>
  <c r="FK45" i="1"/>
  <c r="BS6" i="1"/>
  <c r="CI6" i="1"/>
  <c r="CI21" i="1"/>
  <c r="BS8" i="1"/>
  <c r="CL41" i="1"/>
  <c r="U28" i="7"/>
  <c r="EJ38" i="1"/>
  <c r="DJ153" i="1" s="1"/>
  <c r="DM153" i="1" s="1"/>
  <c r="DQ153" i="1" s="1"/>
  <c r="BZ24" i="1"/>
  <c r="BZ20" i="1"/>
  <c r="CL22" i="1"/>
  <c r="EO31" i="1"/>
  <c r="GM39" i="4"/>
  <c r="FH15" i="1"/>
  <c r="CZ20" i="1"/>
  <c r="CE41" i="20"/>
  <c r="K41" i="20" s="1"/>
  <c r="CY14" i="1"/>
  <c r="CM20" i="1"/>
  <c r="CL37" i="1"/>
  <c r="CY39" i="1"/>
  <c r="GN36" i="4"/>
  <c r="CB18" i="20"/>
  <c r="H18" i="20" s="1"/>
  <c r="Q20" i="7"/>
  <c r="FH7" i="1"/>
  <c r="N21" i="1"/>
  <c r="FG21" i="1" s="1"/>
  <c r="BT29" i="1"/>
  <c r="Q24" i="7"/>
  <c r="AH27" i="1"/>
  <c r="G29" i="4" s="1"/>
  <c r="FK24" i="1"/>
  <c r="FH5" i="1"/>
  <c r="FS21" i="1"/>
  <c r="GN46" i="4"/>
  <c r="DB7" i="20"/>
  <c r="AF7" i="20" s="1"/>
  <c r="FK27" i="1"/>
  <c r="CZ37" i="1"/>
  <c r="BZ14" i="1"/>
  <c r="Q41" i="7"/>
  <c r="Y8" i="1"/>
  <c r="FT8" i="1" s="1"/>
  <c r="CP8" i="1"/>
  <c r="CR8" i="1" s="1"/>
  <c r="S12" i="7"/>
  <c r="DC8" i="1"/>
  <c r="EO8" i="1"/>
  <c r="EY8" i="1" s="1"/>
  <c r="BT22" i="1"/>
  <c r="ER9" i="1"/>
  <c r="DO169" i="1"/>
  <c r="EQ9" i="1"/>
  <c r="ES9" i="1"/>
  <c r="EX9" i="1"/>
  <c r="DM169" i="1"/>
  <c r="EB169" i="1"/>
  <c r="DP169" i="1"/>
  <c r="DP9" i="1"/>
  <c r="Z13" i="7" s="1"/>
  <c r="EV9" i="1"/>
  <c r="EP9" i="1"/>
  <c r="EW9" i="1"/>
  <c r="ET9" i="1"/>
  <c r="DI169" i="1"/>
  <c r="EU9" i="1"/>
  <c r="DK169" i="1"/>
  <c r="DL169" i="1"/>
  <c r="DS9" i="1" s="1"/>
  <c r="DJ169" i="1"/>
  <c r="DQ9" i="1" s="1"/>
  <c r="H11" i="4" s="1"/>
  <c r="FS11" i="4" s="1"/>
  <c r="FQ7" i="1"/>
  <c r="FK21" i="1"/>
  <c r="EO6" i="1"/>
  <c r="EY6" i="1" s="1"/>
  <c r="EM6" i="1" s="1"/>
  <c r="DX9" i="20"/>
  <c r="BC9" i="20" s="1"/>
  <c r="GM24" i="4"/>
  <c r="CL19" i="1"/>
  <c r="BS7" i="1"/>
  <c r="DC5" i="1"/>
  <c r="S9" i="7"/>
  <c r="T43" i="7"/>
  <c r="FH21" i="1"/>
  <c r="CL27" i="1"/>
  <c r="CT27" i="1" s="1"/>
  <c r="CC9" i="20"/>
  <c r="I9" i="20" s="1"/>
  <c r="V27" i="7"/>
  <c r="BS44" i="1"/>
  <c r="N34" i="1"/>
  <c r="CD34" i="1" s="1"/>
  <c r="CD27" i="20"/>
  <c r="J27" i="20" s="1"/>
  <c r="Q49" i="7"/>
  <c r="CK22" i="1"/>
  <c r="CS22" i="1" s="1"/>
  <c r="CL14" i="1"/>
  <c r="CB16" i="20"/>
  <c r="H16" i="20" s="1"/>
  <c r="CI10" i="1"/>
  <c r="BE5" i="1"/>
  <c r="CX122" i="1"/>
  <c r="AR122" i="1" s="1"/>
  <c r="AH7" i="1" s="1"/>
  <c r="C13" i="5" s="1"/>
  <c r="CK6" i="1"/>
  <c r="CS6" i="1" s="1"/>
  <c r="CE8" i="20"/>
  <c r="GN8" i="4"/>
  <c r="AR9" i="20"/>
  <c r="DN9" i="20"/>
  <c r="AS9" i="20" s="1"/>
  <c r="GS8" i="4"/>
  <c r="AZ6" i="1"/>
  <c r="CD6" i="1" s="1"/>
  <c r="CQ6" i="1" s="1"/>
  <c r="BQ6" i="1"/>
  <c r="BX6" i="1"/>
  <c r="CW6" i="1"/>
  <c r="CG6" i="1"/>
  <c r="G64" i="26"/>
  <c r="DC10" i="20"/>
  <c r="AG10" i="20" s="1"/>
  <c r="BZ44" i="1"/>
  <c r="CD31" i="20"/>
  <c r="J31" i="20" s="1"/>
  <c r="BT17" i="1"/>
  <c r="BV34" i="1"/>
  <c r="CZ45" i="1"/>
  <c r="N45" i="1"/>
  <c r="FG45" i="1" s="1"/>
  <c r="GM35" i="4"/>
  <c r="GN41" i="4"/>
  <c r="FS14" i="1"/>
  <c r="FS20" i="1"/>
  <c r="Z7" i="1"/>
  <c r="CI33" i="1"/>
  <c r="DO8" i="1"/>
  <c r="AB12" i="7" s="1"/>
  <c r="BD10" i="20" s="1"/>
  <c r="FQ8" i="1"/>
  <c r="BE7" i="1"/>
  <c r="Z6" i="1"/>
  <c r="CZ34" i="1"/>
  <c r="CC8" i="20"/>
  <c r="AK27" i="7"/>
  <c r="BS22" i="1"/>
  <c r="CB29" i="20"/>
  <c r="H29" i="20" s="1"/>
  <c r="CC10" i="20"/>
  <c r="CK44" i="1"/>
  <c r="CS44" i="1" s="1"/>
  <c r="DR8" i="1"/>
  <c r="AA12" i="7" s="1"/>
  <c r="DX10" i="20"/>
  <c r="BC10" i="20" s="1"/>
  <c r="DK131" i="1"/>
  <c r="DO131" i="1" s="1"/>
  <c r="DS131" i="1" s="1"/>
  <c r="DJ131" i="1"/>
  <c r="DM131" i="1" s="1"/>
  <c r="DQ131" i="1" s="1"/>
  <c r="BT7" i="1"/>
  <c r="T11" i="7"/>
  <c r="U11" i="7"/>
  <c r="FD8" i="1"/>
  <c r="BS37" i="1"/>
  <c r="CL45" i="1"/>
  <c r="CI39" i="1"/>
  <c r="BS27" i="1"/>
  <c r="CI44" i="1"/>
  <c r="CD39" i="1"/>
  <c r="CQ39" i="1" s="1"/>
  <c r="U38" i="7"/>
  <c r="FH14" i="1"/>
  <c r="BS34" i="1"/>
  <c r="CY26" i="1"/>
  <c r="GM22" i="4"/>
  <c r="FD6" i="1"/>
  <c r="FD7" i="1"/>
  <c r="CM23" i="1"/>
  <c r="BT16" i="1"/>
  <c r="Q25" i="7"/>
  <c r="BZ34" i="1"/>
  <c r="CE29" i="20"/>
  <c r="K29" i="20" s="1"/>
  <c r="CB12" i="20"/>
  <c r="CB35" i="20"/>
  <c r="H35" i="20" s="1"/>
  <c r="CX146" i="1"/>
  <c r="AR146" i="1" s="1"/>
  <c r="AH31" i="1" s="1"/>
  <c r="G33" i="4" s="1"/>
  <c r="CL10" i="1"/>
  <c r="GM41" i="4"/>
  <c r="CY27" i="1"/>
  <c r="BZ39" i="1"/>
  <c r="CI20" i="1"/>
  <c r="CY34" i="1"/>
  <c r="CL33" i="1"/>
  <c r="CD27" i="1"/>
  <c r="CQ27" i="1" s="1"/>
  <c r="CZ23" i="1"/>
  <c r="V20" i="7"/>
  <c r="CZ21" i="1"/>
  <c r="BV21" i="1"/>
  <c r="FK10" i="1"/>
  <c r="GL12" i="4"/>
  <c r="GL23" i="4"/>
  <c r="GL46" i="4"/>
  <c r="GN29" i="4"/>
  <c r="GD29" i="4" s="1"/>
  <c r="CY32" i="1"/>
  <c r="FS33" i="1"/>
  <c r="FK33" i="1"/>
  <c r="GL35" i="4"/>
  <c r="CK7" i="1"/>
  <c r="CS7" i="1" s="1"/>
  <c r="CE9" i="20"/>
  <c r="K9" i="20" s="1"/>
  <c r="FD5" i="1"/>
  <c r="BZ27" i="1"/>
  <c r="CD47" i="20"/>
  <c r="J47" i="20" s="1"/>
  <c r="BS39" i="1"/>
  <c r="BV23" i="1"/>
  <c r="FS28" i="1"/>
  <c r="CL36" i="1"/>
  <c r="CK29" i="1"/>
  <c r="CS29" i="1" s="1"/>
  <c r="FK44" i="1"/>
  <c r="U24" i="7"/>
  <c r="GN19" i="4"/>
  <c r="CK17" i="1"/>
  <c r="CS17" i="1" s="1"/>
  <c r="BT42" i="1"/>
  <c r="EJ42" i="1"/>
  <c r="DJ157" i="1" s="1"/>
  <c r="CB284" i="1"/>
  <c r="CC284" i="1" s="1"/>
  <c r="X5" i="1" s="1"/>
  <c r="Y5" i="1" s="1"/>
  <c r="CX120" i="1"/>
  <c r="AR120" i="1" s="1"/>
  <c r="AH5" i="1" s="1"/>
  <c r="T48" i="7"/>
  <c r="CL39" i="1"/>
  <c r="T31" i="7"/>
  <c r="FK16" i="1"/>
  <c r="CD21" i="20"/>
  <c r="J21" i="20" s="1"/>
  <c r="BV25" i="1"/>
  <c r="CY22" i="1"/>
  <c r="U26" i="7"/>
  <c r="GN24" i="4"/>
  <c r="CB19" i="20"/>
  <c r="H19" i="20" s="1"/>
  <c r="CB46" i="20"/>
  <c r="H46" i="20" s="1"/>
  <c r="CY20" i="1"/>
  <c r="GL28" i="4"/>
  <c r="GL22" i="4"/>
  <c r="FS24" i="1"/>
  <c r="CB316" i="1"/>
  <c r="CC316" i="1" s="1"/>
  <c r="X37" i="1" s="1"/>
  <c r="U41" i="7" s="1"/>
  <c r="CX152" i="1"/>
  <c r="AR152" i="1" s="1"/>
  <c r="AH37" i="1" s="1"/>
  <c r="GN7" i="4"/>
  <c r="CE7" i="20"/>
  <c r="CL44" i="1"/>
  <c r="CT44" i="1" s="1"/>
  <c r="BZ37" i="1"/>
  <c r="CY37" i="1"/>
  <c r="CD44" i="1"/>
  <c r="CQ44" i="1" s="1"/>
  <c r="U43" i="7"/>
  <c r="CK31" i="1"/>
  <c r="CS31" i="1" s="1"/>
  <c r="CD41" i="20"/>
  <c r="J41" i="20" s="1"/>
  <c r="CM25" i="1"/>
  <c r="Q29" i="7"/>
  <c r="BZ22" i="1"/>
  <c r="CE18" i="20"/>
  <c r="K18" i="20" s="1"/>
  <c r="CE24" i="20"/>
  <c r="K24" i="20" s="1"/>
  <c r="CK23" i="1"/>
  <c r="CS23" i="1" s="1"/>
  <c r="CX157" i="1"/>
  <c r="AR157" i="1" s="1"/>
  <c r="AH42" i="1" s="1"/>
  <c r="CY24" i="1"/>
  <c r="CK5" i="1"/>
  <c r="CS5" i="1" s="1"/>
  <c r="CB28" i="20"/>
  <c r="H28" i="20" s="1"/>
  <c r="GL14" i="4"/>
  <c r="CM37" i="1"/>
  <c r="N37" i="1"/>
  <c r="EZ33" i="1"/>
  <c r="GN39" i="4"/>
  <c r="CY44" i="1"/>
  <c r="BS14" i="1"/>
  <c r="AR139" i="1"/>
  <c r="AH24" i="1" s="1"/>
  <c r="C47" i="26" s="1"/>
  <c r="CD26" i="1"/>
  <c r="CQ26" i="1" s="1"/>
  <c r="CE39" i="20"/>
  <c r="K39" i="20" s="1"/>
  <c r="BT36" i="1"/>
  <c r="EJ36" i="1"/>
  <c r="DJ151" i="1" s="1"/>
  <c r="DQ196" i="1" s="1"/>
  <c r="DR196" i="1" s="1"/>
  <c r="V40" i="7"/>
  <c r="CL16" i="1"/>
  <c r="CT16" i="1" s="1"/>
  <c r="CL24" i="1"/>
  <c r="CI24" i="1"/>
  <c r="T38" i="7"/>
  <c r="CI32" i="1"/>
  <c r="CE33" i="20"/>
  <c r="K33" i="20" s="1"/>
  <c r="GN38" i="4"/>
  <c r="GM34" i="4"/>
  <c r="EJ29" i="1"/>
  <c r="DK144" i="1" s="1"/>
  <c r="GM16" i="4"/>
  <c r="CL13" i="1"/>
  <c r="BS31" i="1"/>
  <c r="BV31" i="1"/>
  <c r="EN14" i="1"/>
  <c r="FK13" i="1"/>
  <c r="GN28" i="4"/>
  <c r="FS43" i="1"/>
  <c r="CM26" i="1"/>
  <c r="EJ32" i="1"/>
  <c r="DJ147" i="1" s="1"/>
  <c r="DQ192" i="1" s="1"/>
  <c r="DR192" i="1" s="1"/>
  <c r="FS29" i="1"/>
  <c r="V31" i="7"/>
  <c r="AH18" i="1"/>
  <c r="G20" i="4" s="1"/>
  <c r="CI14" i="1"/>
  <c r="T24" i="7"/>
  <c r="FS26" i="1"/>
  <c r="FS12" i="1"/>
  <c r="CE38" i="20"/>
  <c r="K38" i="20" s="1"/>
  <c r="U31" i="7"/>
  <c r="AH44" i="1"/>
  <c r="C87" i="26" s="1"/>
  <c r="EJ18" i="1"/>
  <c r="DK133" i="1" s="1"/>
  <c r="BS26" i="1"/>
  <c r="N31" i="1"/>
  <c r="GB33" i="4" s="1"/>
  <c r="FU33" i="4" s="1"/>
  <c r="GL15" i="4"/>
  <c r="CK26" i="1"/>
  <c r="CS26" i="1" s="1"/>
  <c r="CI19" i="1"/>
  <c r="CB45" i="20"/>
  <c r="H45" i="20" s="1"/>
  <c r="CZ26" i="1"/>
  <c r="FS36" i="1"/>
  <c r="CK16" i="1"/>
  <c r="CS16" i="1" s="1"/>
  <c r="BT32" i="1"/>
  <c r="EJ27" i="1"/>
  <c r="CI43" i="1"/>
  <c r="CX147" i="1"/>
  <c r="AR147" i="1" s="1"/>
  <c r="AH32" i="1" s="1"/>
  <c r="G34" i="4" s="1"/>
  <c r="FK12" i="1"/>
  <c r="CX151" i="1"/>
  <c r="AR151" i="1" s="1"/>
  <c r="AH36" i="1" s="1"/>
  <c r="CZ14" i="1"/>
  <c r="CM14" i="1"/>
  <c r="BZ16" i="1"/>
  <c r="T28" i="7"/>
  <c r="GM18" i="4"/>
  <c r="GD18" i="4" s="1"/>
  <c r="CD26" i="20"/>
  <c r="J26" i="20" s="1"/>
  <c r="BZ26" i="1"/>
  <c r="CZ31" i="1"/>
  <c r="T30" i="7"/>
  <c r="FK25" i="1"/>
  <c r="CI12" i="1"/>
  <c r="CK12" i="1"/>
  <c r="CS12" i="1" s="1"/>
  <c r="CE14" i="20"/>
  <c r="K14" i="20" s="1"/>
  <c r="GN14" i="4"/>
  <c r="BZ12" i="1"/>
  <c r="CY12" i="1"/>
  <c r="BS12" i="1"/>
  <c r="DK154" i="1"/>
  <c r="DN154" i="1" s="1"/>
  <c r="DR154" i="1" s="1"/>
  <c r="DJ154" i="1"/>
  <c r="DL154" i="1" s="1"/>
  <c r="DP154" i="1" s="1"/>
  <c r="CE12" i="20"/>
  <c r="K12" i="20" s="1"/>
  <c r="GN12" i="4"/>
  <c r="CK10" i="1"/>
  <c r="CS10" i="1" s="1"/>
  <c r="BS10" i="1"/>
  <c r="BZ10" i="1"/>
  <c r="CY10" i="1"/>
  <c r="T46" i="7"/>
  <c r="FH44" i="1"/>
  <c r="FS32" i="1"/>
  <c r="CD12" i="1"/>
  <c r="CQ12" i="1" s="1"/>
  <c r="FH36" i="1"/>
  <c r="CZ16" i="1"/>
  <c r="N16" i="1"/>
  <c r="GB18" i="4" s="1"/>
  <c r="FU18" i="4" s="1"/>
  <c r="V48" i="7"/>
  <c r="V28" i="7"/>
  <c r="FH25" i="1"/>
  <c r="CI38" i="1"/>
  <c r="CK18" i="1"/>
  <c r="CS18" i="1" s="1"/>
  <c r="GL38" i="4"/>
  <c r="V34" i="7"/>
  <c r="BS18" i="1"/>
  <c r="FK17" i="1"/>
  <c r="CY17" i="1"/>
  <c r="CB291" i="1"/>
  <c r="CC291" i="1" s="1"/>
  <c r="X12" i="1" s="1"/>
  <c r="CX127" i="1"/>
  <c r="AR127" i="1" s="1"/>
  <c r="AH12" i="1" s="1"/>
  <c r="C23" i="26" s="1"/>
  <c r="N22" i="1"/>
  <c r="CZ22" i="1"/>
  <c r="Q26" i="7"/>
  <c r="CM22" i="1"/>
  <c r="BV22" i="1"/>
  <c r="FH33" i="1"/>
  <c r="AK37" i="7"/>
  <c r="GN22" i="4"/>
  <c r="CK20" i="1"/>
  <c r="CS20" i="1" s="1"/>
  <c r="CE22" i="20"/>
  <c r="K22" i="20" s="1"/>
  <c r="BS17" i="1"/>
  <c r="U48" i="7"/>
  <c r="GD26" i="4"/>
  <c r="GL34" i="4"/>
  <c r="CL17" i="1"/>
  <c r="BV16" i="1"/>
  <c r="BT44" i="1"/>
  <c r="BT24" i="1"/>
  <c r="FH24" i="1"/>
  <c r="GN20" i="4"/>
  <c r="CB38" i="20"/>
  <c r="H38" i="20" s="1"/>
  <c r="FS17" i="1"/>
  <c r="CI36" i="1"/>
  <c r="V43" i="7"/>
  <c r="N24" i="1"/>
  <c r="Q28" i="7"/>
  <c r="BV24" i="1"/>
  <c r="CZ24" i="1"/>
  <c r="CM24" i="1"/>
  <c r="CL12" i="1"/>
  <c r="CT12" i="1" s="1"/>
  <c r="BS20" i="1"/>
  <c r="BS24" i="1"/>
  <c r="CB293" i="1"/>
  <c r="CC293" i="1" s="1"/>
  <c r="X14" i="1" s="1"/>
  <c r="CX129" i="1"/>
  <c r="AR129" i="1" s="1"/>
  <c r="AH14" i="1" s="1"/>
  <c r="N10" i="1"/>
  <c r="FD10" i="1" s="1"/>
  <c r="Q14" i="7"/>
  <c r="BV10" i="1"/>
  <c r="CL32" i="1"/>
  <c r="FK36" i="1"/>
  <c r="CL31" i="1"/>
  <c r="CT31" i="1" s="1"/>
  <c r="CE16" i="20"/>
  <c r="K16" i="20" s="1"/>
  <c r="CK14" i="1"/>
  <c r="CS14" i="1" s="1"/>
  <c r="GN16" i="4"/>
  <c r="CL34" i="1"/>
  <c r="GM36" i="4"/>
  <c r="CD36" i="20"/>
  <c r="J36" i="20" s="1"/>
  <c r="CB289" i="1"/>
  <c r="CC289" i="1" s="1"/>
  <c r="X10" i="1" s="1"/>
  <c r="CX125" i="1"/>
  <c r="AR125" i="1" s="1"/>
  <c r="AH10" i="1" s="1"/>
  <c r="CY21" i="1"/>
  <c r="EJ23" i="1"/>
  <c r="DK138" i="1" s="1"/>
  <c r="CY31" i="1"/>
  <c r="AR153" i="1"/>
  <c r="AH38" i="1" s="1"/>
  <c r="CE44" i="20"/>
  <c r="K44" i="20" s="1"/>
  <c r="FK28" i="1"/>
  <c r="AH21" i="1"/>
  <c r="C41" i="5" s="1"/>
  <c r="CI31" i="1"/>
  <c r="CL40" i="1"/>
  <c r="CL28" i="1"/>
  <c r="GL27" i="4"/>
  <c r="CY16" i="1"/>
  <c r="U46" i="7"/>
  <c r="FH45" i="1"/>
  <c r="BS16" i="1"/>
  <c r="U20" i="7"/>
  <c r="U33" i="7"/>
  <c r="CI25" i="1"/>
  <c r="CI17" i="1"/>
  <c r="CD19" i="20"/>
  <c r="J19" i="20" s="1"/>
  <c r="CL25" i="1"/>
  <c r="CD33" i="20"/>
  <c r="J33" i="20" s="1"/>
  <c r="FS16" i="1"/>
  <c r="T40" i="7"/>
  <c r="GM45" i="4"/>
  <c r="CL43" i="1"/>
  <c r="GN44" i="4"/>
  <c r="GL30" i="4"/>
  <c r="T21" i="7"/>
  <c r="FK23" i="1"/>
  <c r="CE31" i="20"/>
  <c r="K31" i="20" s="1"/>
  <c r="FK31" i="1"/>
  <c r="GL33" i="4"/>
  <c r="GD33" i="4" s="1"/>
  <c r="CB27" i="20"/>
  <c r="H27" i="20" s="1"/>
  <c r="CI16" i="1"/>
  <c r="U21" i="7"/>
  <c r="CD45" i="20"/>
  <c r="J45" i="20" s="1"/>
  <c r="T20" i="7"/>
  <c r="BZ17" i="1"/>
  <c r="GM19" i="4"/>
  <c r="BZ23" i="1"/>
  <c r="U35" i="7"/>
  <c r="BZ28" i="1"/>
  <c r="U27" i="7"/>
  <c r="CY28" i="1"/>
  <c r="FH31" i="1"/>
  <c r="BZ31" i="1"/>
  <c r="BS38" i="1"/>
  <c r="BZ43" i="1"/>
  <c r="AH29" i="1"/>
  <c r="G31" i="4" s="1"/>
  <c r="FK18" i="1"/>
  <c r="CE19" i="20"/>
  <c r="K19" i="20" s="1"/>
  <c r="FS27" i="1"/>
  <c r="BZ19" i="1"/>
  <c r="BS19" i="1"/>
  <c r="CY19" i="1"/>
  <c r="GM25" i="4"/>
  <c r="CY40" i="1"/>
  <c r="GM38" i="4"/>
  <c r="BS40" i="1"/>
  <c r="BS36" i="1"/>
  <c r="T27" i="7"/>
  <c r="CD30" i="20"/>
  <c r="J30" i="20" s="1"/>
  <c r="BS29" i="1"/>
  <c r="U30" i="7"/>
  <c r="CI18" i="1"/>
  <c r="FS18" i="1"/>
  <c r="GL25" i="4"/>
  <c r="FK29" i="1"/>
  <c r="CE25" i="20"/>
  <c r="K25" i="20" s="1"/>
  <c r="DK135" i="1"/>
  <c r="V46" i="7"/>
  <c r="BZ21" i="1"/>
  <c r="CL23" i="1"/>
  <c r="BZ36" i="1"/>
  <c r="CL18" i="1"/>
  <c r="CT18" i="1" s="1"/>
  <c r="CY23" i="1"/>
  <c r="CD38" i="20"/>
  <c r="J38" i="20" s="1"/>
  <c r="GM42" i="4"/>
  <c r="CY29" i="1"/>
  <c r="T22" i="7"/>
  <c r="GD31" i="4"/>
  <c r="T33" i="7"/>
  <c r="BS23" i="1"/>
  <c r="BZ40" i="1"/>
  <c r="GM30" i="4"/>
  <c r="BZ29" i="1"/>
  <c r="CY36" i="1"/>
  <c r="CB25" i="20"/>
  <c r="H25" i="20" s="1"/>
  <c r="CB31" i="20"/>
  <c r="H31" i="20" s="1"/>
  <c r="CI29" i="1"/>
  <c r="CD42" i="20"/>
  <c r="J42" i="20" s="1"/>
  <c r="CD29" i="1"/>
  <c r="CQ29" i="1" s="1"/>
  <c r="CI28" i="1"/>
  <c r="CI23" i="1"/>
  <c r="U40" i="7"/>
  <c r="CD23" i="1"/>
  <c r="CQ23" i="1" s="1"/>
  <c r="CL29" i="1"/>
  <c r="CT29" i="1" s="1"/>
  <c r="CE47" i="20"/>
  <c r="K47" i="20" s="1"/>
  <c r="CK45" i="1"/>
  <c r="CS45" i="1" s="1"/>
  <c r="GN47" i="4"/>
  <c r="CY45" i="1"/>
  <c r="BZ45" i="1"/>
  <c r="BS45" i="1"/>
  <c r="U25" i="7"/>
  <c r="CE27" i="20"/>
  <c r="K27" i="20" s="1"/>
  <c r="GN27" i="4"/>
  <c r="CK25" i="1"/>
  <c r="CS25" i="1" s="1"/>
  <c r="BZ25" i="1"/>
  <c r="BS25" i="1"/>
  <c r="CY25" i="1"/>
  <c r="BT21" i="1"/>
  <c r="EJ21" i="1"/>
  <c r="V25" i="7"/>
  <c r="T25" i="7"/>
  <c r="AK23" i="7"/>
  <c r="FH19" i="1"/>
  <c r="Q23" i="7"/>
  <c r="BV19" i="1"/>
  <c r="CM19" i="1"/>
  <c r="N19" i="1"/>
  <c r="CZ19" i="1"/>
  <c r="FK19" i="1"/>
  <c r="CB21" i="20"/>
  <c r="H21" i="20" s="1"/>
  <c r="GL21" i="4"/>
  <c r="FS19" i="1"/>
  <c r="BC41" i="1"/>
  <c r="CB156" i="1"/>
  <c r="AF45" i="7"/>
  <c r="BD197" i="1"/>
  <c r="CC197" i="1" s="1"/>
  <c r="T41" i="1" s="1"/>
  <c r="CK19" i="1"/>
  <c r="CS19" i="1" s="1"/>
  <c r="CE21" i="20"/>
  <c r="K21" i="20" s="1"/>
  <c r="GN21" i="4"/>
  <c r="GD21" i="4" s="1"/>
  <c r="FK38" i="1"/>
  <c r="BZ18" i="1"/>
  <c r="CY18" i="1"/>
  <c r="CB314" i="1"/>
  <c r="CC314" i="1" s="1"/>
  <c r="X35" i="1" s="1"/>
  <c r="CX150" i="1"/>
  <c r="AR150" i="1" s="1"/>
  <c r="AH35" i="1" s="1"/>
  <c r="C69" i="5" s="1"/>
  <c r="CM17" i="1"/>
  <c r="CZ17" i="1"/>
  <c r="BV17" i="1"/>
  <c r="N17" i="1"/>
  <c r="Q21" i="7"/>
  <c r="CB324" i="1"/>
  <c r="CC324" i="1" s="1"/>
  <c r="X45" i="1" s="1"/>
  <c r="U49" i="7" s="1"/>
  <c r="CX160" i="1"/>
  <c r="AR160" i="1" s="1"/>
  <c r="AH45" i="1" s="1"/>
  <c r="C89" i="26" s="1"/>
  <c r="FS38" i="1"/>
  <c r="CB20" i="20"/>
  <c r="H20" i="20" s="1"/>
  <c r="GL20" i="4"/>
  <c r="AK38" i="7"/>
  <c r="FH34" i="1"/>
  <c r="CB304" i="1"/>
  <c r="CC304" i="1" s="1"/>
  <c r="X25" i="1" s="1"/>
  <c r="CX140" i="1"/>
  <c r="AR140" i="1" s="1"/>
  <c r="AH25" i="1" s="1"/>
  <c r="C49" i="5" s="1"/>
  <c r="CE37" i="20"/>
  <c r="K37" i="20" s="1"/>
  <c r="GN37" i="4"/>
  <c r="CK35" i="1"/>
  <c r="CS35" i="1" s="1"/>
  <c r="CB43" i="20"/>
  <c r="H43" i="20" s="1"/>
  <c r="FK41" i="1"/>
  <c r="GL43" i="4"/>
  <c r="FS41" i="1"/>
  <c r="GL40" i="4"/>
  <c r="U22" i="7"/>
  <c r="GL37" i="4"/>
  <c r="CY35" i="1"/>
  <c r="FS35" i="1"/>
  <c r="CL35" i="1"/>
  <c r="CT35" i="1" s="1"/>
  <c r="BS35" i="1"/>
  <c r="BZ35" i="1"/>
  <c r="CB37" i="20"/>
  <c r="H37" i="20" s="1"/>
  <c r="CI35" i="1"/>
  <c r="FK35" i="1"/>
  <c r="CB44" i="20"/>
  <c r="H44" i="20" s="1"/>
  <c r="GL44" i="4"/>
  <c r="FK42" i="1"/>
  <c r="FS42" i="1"/>
  <c r="CB298" i="1"/>
  <c r="CC298" i="1" s="1"/>
  <c r="X19" i="1" s="1"/>
  <c r="CX134" i="1"/>
  <c r="AR134" i="1" s="1"/>
  <c r="AH19" i="1" s="1"/>
  <c r="CE23" i="20"/>
  <c r="K23" i="20" s="1"/>
  <c r="CK21" i="1"/>
  <c r="CS21" i="1" s="1"/>
  <c r="GN23" i="4"/>
  <c r="N43" i="1"/>
  <c r="CZ43" i="1"/>
  <c r="CM43" i="1"/>
  <c r="BV43" i="1"/>
  <c r="Q47" i="7"/>
  <c r="AK42" i="7"/>
  <c r="FH38" i="1"/>
  <c r="GB27" i="4"/>
  <c r="FU27" i="4" s="1"/>
  <c r="CX25" i="1"/>
  <c r="FG25" i="1"/>
  <c r="CH25" i="1"/>
  <c r="BR25" i="1"/>
  <c r="EI25" i="1"/>
  <c r="BY25" i="1"/>
  <c r="AK22" i="7"/>
  <c r="FH18" i="1"/>
  <c r="CM30" i="1"/>
  <c r="Q34" i="7"/>
  <c r="N30" i="1"/>
  <c r="CD30" i="1" s="1"/>
  <c r="CZ30" i="1"/>
  <c r="BV30" i="1"/>
  <c r="AK46" i="7"/>
  <c r="FH42" i="1"/>
  <c r="BR20" i="1"/>
  <c r="GB22" i="4"/>
  <c r="FU22" i="4" s="1"/>
  <c r="EI20" i="1"/>
  <c r="BY20" i="1"/>
  <c r="CB322" i="1"/>
  <c r="CC322" i="1" s="1"/>
  <c r="X43" i="1" s="1"/>
  <c r="CX158" i="1"/>
  <c r="AR158" i="1" s="1"/>
  <c r="AH43" i="1" s="1"/>
  <c r="CE32" i="20"/>
  <c r="K32" i="20" s="1"/>
  <c r="CK30" i="1"/>
  <c r="CS30" i="1" s="1"/>
  <c r="GN32" i="4"/>
  <c r="CB32" i="20"/>
  <c r="H32" i="20" s="1"/>
  <c r="GL32" i="4"/>
  <c r="FS30" i="1"/>
  <c r="FK30" i="1"/>
  <c r="CL30" i="1"/>
  <c r="CI30" i="1"/>
  <c r="BZ30" i="1"/>
  <c r="CY30" i="1"/>
  <c r="BS30" i="1"/>
  <c r="U34" i="7"/>
  <c r="T34" i="7"/>
  <c r="CD40" i="20"/>
  <c r="J40" i="20" s="1"/>
  <c r="GM40" i="4"/>
  <c r="AK31" i="7"/>
  <c r="FH27" i="1"/>
  <c r="N28" i="1"/>
  <c r="CM28" i="1"/>
  <c r="Q32" i="7"/>
  <c r="BV28" i="1"/>
  <c r="CZ28" i="1"/>
  <c r="AK21" i="7"/>
  <c r="FH17" i="1"/>
  <c r="FS40" i="1"/>
  <c r="FK40" i="1"/>
  <c r="CB42" i="20"/>
  <c r="H42" i="20" s="1"/>
  <c r="GL42" i="4"/>
  <c r="FG23" i="1"/>
  <c r="CH23" i="1"/>
  <c r="CX23" i="1"/>
  <c r="BR23" i="1"/>
  <c r="EI23" i="1"/>
  <c r="BY23" i="1"/>
  <c r="GB25" i="4"/>
  <c r="FU25" i="4" s="1"/>
  <c r="CI40" i="1"/>
  <c r="CY38" i="1"/>
  <c r="U42" i="7"/>
  <c r="CL38" i="1"/>
  <c r="GN35" i="4"/>
  <c r="CK33" i="1"/>
  <c r="CS33" i="1" s="1"/>
  <c r="BS33" i="1"/>
  <c r="CY33" i="1"/>
  <c r="BZ33" i="1"/>
  <c r="CE35" i="20"/>
  <c r="K35" i="20" s="1"/>
  <c r="CK32" i="1"/>
  <c r="CS32" i="1" s="1"/>
  <c r="CE34" i="20"/>
  <c r="K34" i="20" s="1"/>
  <c r="GN34" i="4"/>
  <c r="T36" i="7"/>
  <c r="U36" i="7"/>
  <c r="CD25" i="1"/>
  <c r="CQ25" i="1" s="1"/>
  <c r="BZ32" i="1"/>
  <c r="Q37" i="7"/>
  <c r="N33" i="1"/>
  <c r="CD33" i="1" s="1"/>
  <c r="CM33" i="1"/>
  <c r="CZ33" i="1"/>
  <c r="BV33" i="1"/>
  <c r="Q46" i="7"/>
  <c r="BV42" i="1"/>
  <c r="CZ42" i="1"/>
  <c r="CM42" i="1"/>
  <c r="N42" i="1"/>
  <c r="CD42" i="1" s="1"/>
  <c r="CQ42" i="1" s="1"/>
  <c r="AR145" i="1"/>
  <c r="AH30" i="1" s="1"/>
  <c r="CK38" i="1"/>
  <c r="CS38" i="1" s="1"/>
  <c r="CE40" i="20"/>
  <c r="K40" i="20" s="1"/>
  <c r="GN40" i="4"/>
  <c r="CE45" i="20"/>
  <c r="K45" i="20" s="1"/>
  <c r="GN45" i="4"/>
  <c r="CK43" i="1"/>
  <c r="CS43" i="1" s="1"/>
  <c r="CM36" i="1"/>
  <c r="BV36" i="1"/>
  <c r="N36" i="1"/>
  <c r="Q40" i="7"/>
  <c r="CZ36" i="1"/>
  <c r="GM44" i="4"/>
  <c r="CY42" i="1"/>
  <c r="CL42" i="1"/>
  <c r="CD44" i="20"/>
  <c r="J44" i="20" s="1"/>
  <c r="BS42" i="1"/>
  <c r="CI42" i="1"/>
  <c r="BZ42" i="1"/>
  <c r="CK28" i="1"/>
  <c r="CS28" i="1" s="1"/>
  <c r="GN30" i="4"/>
  <c r="CE30" i="20"/>
  <c r="K30" i="20" s="1"/>
  <c r="BS43" i="1"/>
  <c r="BR27" i="1"/>
  <c r="GM32" i="4"/>
  <c r="CD32" i="20"/>
  <c r="J32" i="20" s="1"/>
  <c r="BY39" i="1"/>
  <c r="CH39" i="1"/>
  <c r="EI39" i="1"/>
  <c r="BR39" i="1"/>
  <c r="GY25" i="4" s="1"/>
  <c r="FG39" i="1"/>
  <c r="CX39" i="1"/>
  <c r="GB41" i="4"/>
  <c r="FU41" i="4" s="1"/>
  <c r="BS28" i="1"/>
  <c r="AK45" i="7"/>
  <c r="FH41" i="1"/>
  <c r="N38" i="1"/>
  <c r="CZ38" i="1"/>
  <c r="CM38" i="1"/>
  <c r="Q42" i="7"/>
  <c r="BV38" i="1"/>
  <c r="CX26" i="1"/>
  <c r="CH26" i="1"/>
  <c r="BY26" i="1"/>
  <c r="FG26" i="1"/>
  <c r="GB28" i="4"/>
  <c r="FU28" i="4" s="1"/>
  <c r="BR26" i="1"/>
  <c r="EI26" i="1"/>
  <c r="CB307" i="1"/>
  <c r="CC307" i="1" s="1"/>
  <c r="X28" i="1" s="1"/>
  <c r="CX143" i="1"/>
  <c r="AR143" i="1" s="1"/>
  <c r="AH28" i="1" s="1"/>
  <c r="C15" i="26"/>
  <c r="C15" i="5"/>
  <c r="BS32" i="1"/>
  <c r="CX148" i="1"/>
  <c r="AR148" i="1" s="1"/>
  <c r="AH33" i="1" s="1"/>
  <c r="CB312" i="1"/>
  <c r="CC312" i="1" s="1"/>
  <c r="X33" i="1" s="1"/>
  <c r="T37" i="7" s="1"/>
  <c r="BV32" i="1"/>
  <c r="CZ32" i="1"/>
  <c r="Q36" i="7"/>
  <c r="CM32" i="1"/>
  <c r="N32" i="1"/>
  <c r="CX6" i="1"/>
  <c r="BY6" i="1"/>
  <c r="GB8" i="4"/>
  <c r="BR6" i="1"/>
  <c r="FG6" i="1"/>
  <c r="CH6" i="1"/>
  <c r="EI6" i="1"/>
  <c r="CX8" i="1"/>
  <c r="GB10" i="4"/>
  <c r="FU10" i="4" s="1"/>
  <c r="BY14" i="1"/>
  <c r="BR14" i="1"/>
  <c r="EI14" i="1"/>
  <c r="CX14" i="1"/>
  <c r="CD14" i="1"/>
  <c r="FG14" i="1"/>
  <c r="GB16" i="4"/>
  <c r="FU16" i="4" s="1"/>
  <c r="CH14" i="1"/>
  <c r="CY43" i="1"/>
  <c r="BT26" i="1"/>
  <c r="EJ26" i="1"/>
  <c r="V30" i="7"/>
  <c r="BZ38" i="1"/>
  <c r="T42" i="7"/>
  <c r="FS11" i="1"/>
  <c r="CL11" i="1"/>
  <c r="CI11" i="1"/>
  <c r="FK11" i="1"/>
  <c r="CB13" i="20"/>
  <c r="H13" i="20" s="1"/>
  <c r="GL13" i="4"/>
  <c r="FG18" i="1"/>
  <c r="CX18" i="1"/>
  <c r="BY18" i="1"/>
  <c r="CH18" i="1"/>
  <c r="EI18" i="1"/>
  <c r="GB20" i="4"/>
  <c r="FU20" i="4" s="1"/>
  <c r="BR18" i="1"/>
  <c r="CD18" i="1"/>
  <c r="AK15" i="7"/>
  <c r="FH11" i="1"/>
  <c r="AK16" i="7"/>
  <c r="FH12" i="1"/>
  <c r="BY35" i="1"/>
  <c r="CX35" i="1"/>
  <c r="GB37" i="4"/>
  <c r="FU37" i="4" s="1"/>
  <c r="EI35" i="1"/>
  <c r="FG35" i="1"/>
  <c r="CH35" i="1"/>
  <c r="BR35" i="1"/>
  <c r="CD35" i="1"/>
  <c r="CB319" i="1"/>
  <c r="CC319" i="1" s="1"/>
  <c r="X40" i="1" s="1"/>
  <c r="U44" i="7" s="1"/>
  <c r="CX155" i="1"/>
  <c r="AR155" i="1" s="1"/>
  <c r="AH40" i="1" s="1"/>
  <c r="T35" i="7"/>
  <c r="AF17" i="7"/>
  <c r="BC13" i="1"/>
  <c r="BD169" i="1"/>
  <c r="CC169" i="1" s="1"/>
  <c r="T13" i="1" s="1"/>
  <c r="BZ13" i="1" s="1"/>
  <c r="CB128" i="1"/>
  <c r="EY25" i="1"/>
  <c r="FA25" i="1"/>
  <c r="BC11" i="1"/>
  <c r="AF15" i="7"/>
  <c r="CB126" i="1"/>
  <c r="BD167" i="1"/>
  <c r="CC167" i="1" s="1"/>
  <c r="T11" i="1" s="1"/>
  <c r="CY11" i="1" s="1"/>
  <c r="CI13" i="1"/>
  <c r="AK17" i="7"/>
  <c r="FH13" i="1"/>
  <c r="FA32" i="1"/>
  <c r="EN32" i="1"/>
  <c r="EZ32" i="1"/>
  <c r="CK15" i="1"/>
  <c r="CS15" i="1" s="1"/>
  <c r="CE17" i="20"/>
  <c r="K17" i="20" s="1"/>
  <c r="GN17" i="4"/>
  <c r="AK13" i="7"/>
  <c r="FH9" i="1"/>
  <c r="EI44" i="1"/>
  <c r="BY44" i="1"/>
  <c r="GB46" i="4"/>
  <c r="FU46" i="4" s="1"/>
  <c r="CH44" i="1"/>
  <c r="FG44" i="1"/>
  <c r="CX44" i="1"/>
  <c r="BR44" i="1"/>
  <c r="GB14" i="4"/>
  <c r="FU14" i="4" s="1"/>
  <c r="EI12" i="1"/>
  <c r="FG12" i="1"/>
  <c r="CH12" i="1"/>
  <c r="CX12" i="1"/>
  <c r="BY12" i="1"/>
  <c r="BR12" i="1"/>
  <c r="CX29" i="1"/>
  <c r="CH29" i="1"/>
  <c r="BR29" i="1"/>
  <c r="FG29" i="1"/>
  <c r="BY29" i="1"/>
  <c r="GB31" i="4"/>
  <c r="FU31" i="4" s="1"/>
  <c r="EI29" i="1"/>
  <c r="V38" i="7"/>
  <c r="EJ34" i="1"/>
  <c r="BT34" i="1"/>
  <c r="GN42" i="4"/>
  <c r="CE42" i="20"/>
  <c r="K42" i="20" s="1"/>
  <c r="CK40" i="1"/>
  <c r="CS40" i="1" s="1"/>
  <c r="EN16" i="1"/>
  <c r="AK14" i="7"/>
  <c r="FH10" i="1"/>
  <c r="DK132" i="1"/>
  <c r="DJ132" i="1"/>
  <c r="GM13" i="4"/>
  <c r="CD13" i="20"/>
  <c r="J13" i="20" s="1"/>
  <c r="CD11" i="20"/>
  <c r="GM11" i="4"/>
  <c r="CB294" i="1"/>
  <c r="CC294" i="1" s="1"/>
  <c r="X15" i="1" s="1"/>
  <c r="CX130" i="1"/>
  <c r="AR130" i="1" s="1"/>
  <c r="AH15" i="1" s="1"/>
  <c r="AK12" i="7"/>
  <c r="FH8" i="1"/>
  <c r="CD15" i="20"/>
  <c r="J15" i="20" s="1"/>
  <c r="GM15" i="4"/>
  <c r="N40" i="1"/>
  <c r="CM40" i="1"/>
  <c r="CZ40" i="1"/>
  <c r="BV40" i="1"/>
  <c r="CD40" i="1"/>
  <c r="Q44" i="7"/>
  <c r="BS15" i="1"/>
  <c r="DJ139" i="1"/>
  <c r="DK139" i="1"/>
  <c r="BT31" i="1"/>
  <c r="EJ31" i="1"/>
  <c r="V35" i="7"/>
  <c r="EY20" i="1"/>
  <c r="N15" i="1"/>
  <c r="CD15" i="1" s="1"/>
  <c r="CM15" i="1"/>
  <c r="Q19" i="7"/>
  <c r="CZ15" i="1"/>
  <c r="BV15" i="1"/>
  <c r="FK9" i="1"/>
  <c r="CI9" i="1"/>
  <c r="CL9" i="1"/>
  <c r="GL11" i="4"/>
  <c r="CB11" i="20"/>
  <c r="FS9" i="1"/>
  <c r="CB7" i="20"/>
  <c r="CZ7" i="20" s="1"/>
  <c r="GL7" i="4"/>
  <c r="CL5" i="1"/>
  <c r="FS5" i="1"/>
  <c r="FK5" i="1"/>
  <c r="CI5" i="1"/>
  <c r="BZ5" i="1"/>
  <c r="CY5" i="1"/>
  <c r="BS5" i="1"/>
  <c r="CB124" i="1"/>
  <c r="BD165" i="1"/>
  <c r="CC165" i="1" s="1"/>
  <c r="T9" i="1" s="1"/>
  <c r="BS9" i="1" s="1"/>
  <c r="BC9" i="1"/>
  <c r="BE9" i="1" s="1"/>
  <c r="AF13" i="7"/>
  <c r="BZ15" i="1"/>
  <c r="EZ29" i="1"/>
  <c r="DK159" i="1"/>
  <c r="DJ159" i="1"/>
  <c r="Q1" i="8"/>
  <c r="E1" i="8" s="1"/>
  <c r="X1" i="8"/>
  <c r="T1" i="8"/>
  <c r="H1" i="8" s="1"/>
  <c r="AA3" i="4" s="1"/>
  <c r="S1" i="8"/>
  <c r="G1" i="8" s="1"/>
  <c r="Y3" i="4" s="1"/>
  <c r="R1" i="8"/>
  <c r="F1" i="8" s="1"/>
  <c r="CZ10" i="20"/>
  <c r="AD10" i="20" s="1"/>
  <c r="F12" i="20"/>
  <c r="CZ12" i="20"/>
  <c r="DB12" i="20"/>
  <c r="AF12" i="20" s="1"/>
  <c r="DC12" i="20"/>
  <c r="AG12" i="20" s="1"/>
  <c r="DD12" i="20"/>
  <c r="AH12" i="20" s="1"/>
  <c r="EB12" i="20"/>
  <c r="BH12" i="20" s="1"/>
  <c r="F7" i="20"/>
  <c r="DD7" i="20"/>
  <c r="AH7" i="20" s="1"/>
  <c r="EB7" i="20"/>
  <c r="BH7" i="20" s="1"/>
  <c r="DB9" i="20"/>
  <c r="AF9" i="20" s="1"/>
  <c r="DD9" i="20"/>
  <c r="AH9" i="20" s="1"/>
  <c r="CZ9" i="20"/>
  <c r="F9" i="20"/>
  <c r="DC9" i="20"/>
  <c r="AG9" i="20" s="1"/>
  <c r="DA9" i="20"/>
  <c r="AE9" i="20" s="1"/>
  <c r="DS9" i="20"/>
  <c r="EA9" i="20"/>
  <c r="BG9" i="20" s="1"/>
  <c r="EB9" i="20"/>
  <c r="BH9" i="20" s="1"/>
  <c r="F11" i="20"/>
  <c r="DD11" i="20"/>
  <c r="AH11" i="20" s="1"/>
  <c r="CZ8" i="20"/>
  <c r="F8" i="20"/>
  <c r="DS8" i="20"/>
  <c r="DD8" i="20"/>
  <c r="AH8" i="20" s="1"/>
  <c r="EB8" i="20"/>
  <c r="BH8" i="20" s="1"/>
  <c r="EA8" i="20"/>
  <c r="BG8" i="20" s="1"/>
  <c r="F13" i="20"/>
  <c r="DB13" i="20"/>
  <c r="AF13" i="20" s="1"/>
  <c r="DA13" i="20"/>
  <c r="AE13" i="20" s="1"/>
  <c r="CZ13" i="20"/>
  <c r="DD13" i="20"/>
  <c r="AH13" i="20" s="1"/>
  <c r="DC13" i="20"/>
  <c r="AG13" i="20" s="1"/>
  <c r="DS13" i="20"/>
  <c r="EA13" i="20"/>
  <c r="BG13" i="20" s="1"/>
  <c r="EB13" i="20"/>
  <c r="BH13" i="20" s="1"/>
  <c r="F10" i="20"/>
  <c r="DS10" i="20"/>
  <c r="EB10" i="20"/>
  <c r="BH10" i="20" s="1"/>
  <c r="DD10" i="20"/>
  <c r="AH10" i="20" s="1"/>
  <c r="EA10" i="20"/>
  <c r="BG10" i="20" s="1"/>
  <c r="EY27" i="1" l="1"/>
  <c r="EM27" i="1" s="1"/>
  <c r="FA33" i="1"/>
  <c r="FA35" i="1"/>
  <c r="EN33" i="1"/>
  <c r="DU46" i="1"/>
  <c r="AW48" i="20"/>
  <c r="X2" i="4"/>
  <c r="DS46" i="1"/>
  <c r="C45" i="26"/>
  <c r="G25" i="4"/>
  <c r="C45" i="5"/>
  <c r="G24" i="4"/>
  <c r="CD20" i="1"/>
  <c r="FG20" i="1"/>
  <c r="GD8" i="4"/>
  <c r="EY22" i="1"/>
  <c r="EL22" i="1" s="1"/>
  <c r="FA26" i="1"/>
  <c r="EN37" i="1"/>
  <c r="CX20" i="1"/>
  <c r="EZ26" i="1"/>
  <c r="EL26" i="1" s="1"/>
  <c r="EN36" i="1"/>
  <c r="EN27" i="1"/>
  <c r="EY26" i="1"/>
  <c r="EM26" i="1" s="1"/>
  <c r="F44" i="5"/>
  <c r="FA36" i="1"/>
  <c r="EZ36" i="1"/>
  <c r="EL36" i="1" s="1"/>
  <c r="EZ15" i="1"/>
  <c r="DO154" i="1"/>
  <c r="DS154" i="1" s="1"/>
  <c r="DU154" i="1" s="1"/>
  <c r="EN17" i="1"/>
  <c r="EZ13" i="1"/>
  <c r="EZ39" i="1"/>
  <c r="EY39" i="1"/>
  <c r="EM39" i="1" s="1"/>
  <c r="EY15" i="1"/>
  <c r="EM15" i="1" s="1"/>
  <c r="CM10" i="1"/>
  <c r="DV46" i="1"/>
  <c r="CP10" i="1"/>
  <c r="CR10" i="1" s="1"/>
  <c r="Y10" i="1"/>
  <c r="FT10" i="1" s="1"/>
  <c r="S14" i="7"/>
  <c r="DC10" i="1"/>
  <c r="H12" i="20"/>
  <c r="CC12" i="20"/>
  <c r="EZ20" i="1"/>
  <c r="FA20" i="1"/>
  <c r="EZ41" i="1"/>
  <c r="EN25" i="1"/>
  <c r="DK145" i="1"/>
  <c r="DN145" i="1" s="1"/>
  <c r="DR145" i="1" s="1"/>
  <c r="EZ5" i="1"/>
  <c r="EL5" i="1" s="1"/>
  <c r="FA5" i="1"/>
  <c r="FC5" i="1" s="1"/>
  <c r="FA27" i="1"/>
  <c r="FA15" i="1"/>
  <c r="O22" i="7"/>
  <c r="G36" i="26"/>
  <c r="O26" i="7"/>
  <c r="O41" i="7"/>
  <c r="G74" i="26"/>
  <c r="O24" i="7"/>
  <c r="F40" i="5"/>
  <c r="F38" i="5"/>
  <c r="O23" i="7"/>
  <c r="G38" i="26"/>
  <c r="C33" i="7"/>
  <c r="C58" i="5" s="1"/>
  <c r="C11" i="26"/>
  <c r="C11" i="5"/>
  <c r="EZ23" i="1"/>
  <c r="BY8" i="1"/>
  <c r="CC8" i="1" s="1"/>
  <c r="C46" i="7"/>
  <c r="C84" i="5" s="1"/>
  <c r="EY21" i="1"/>
  <c r="EM21" i="1" s="1"/>
  <c r="C39" i="26"/>
  <c r="H48" i="4"/>
  <c r="FA29" i="1"/>
  <c r="EN29" i="1"/>
  <c r="C77" i="26"/>
  <c r="EI8" i="1"/>
  <c r="FG8" i="1"/>
  <c r="FX8" i="1" s="1"/>
  <c r="C40" i="7"/>
  <c r="C72" i="26" s="1"/>
  <c r="EO7" i="1"/>
  <c r="EZ7" i="1" s="1"/>
  <c r="EZ8" i="1"/>
  <c r="BR8" i="1"/>
  <c r="CH8" i="1"/>
  <c r="CU8" i="1" s="1"/>
  <c r="CX5" i="1"/>
  <c r="CT39" i="1"/>
  <c r="C21" i="7"/>
  <c r="C34" i="26" s="1"/>
  <c r="EY16" i="1"/>
  <c r="EM16" i="1" s="1"/>
  <c r="CU26" i="1"/>
  <c r="FX39" i="1"/>
  <c r="G8" i="4"/>
  <c r="EZ14" i="1"/>
  <c r="CT37" i="1"/>
  <c r="EY14" i="1"/>
  <c r="EM14" i="1" s="1"/>
  <c r="BR34" i="1"/>
  <c r="FG34" i="1"/>
  <c r="FX34" i="1" s="1"/>
  <c r="FA16" i="1"/>
  <c r="FA39" i="1"/>
  <c r="BY16" i="1"/>
  <c r="CC16" i="1" s="1"/>
  <c r="C27" i="7"/>
  <c r="C46" i="5" s="1"/>
  <c r="C42" i="7"/>
  <c r="C76" i="26" s="1"/>
  <c r="C22" i="7"/>
  <c r="C36" i="5" s="1"/>
  <c r="C48" i="7"/>
  <c r="C88" i="26" s="1"/>
  <c r="C38" i="7"/>
  <c r="C68" i="26" s="1"/>
  <c r="C28" i="7"/>
  <c r="C48" i="26" s="1"/>
  <c r="EY35" i="1"/>
  <c r="EM35" i="1" s="1"/>
  <c r="C26" i="7"/>
  <c r="EI5" i="1"/>
  <c r="EJ5" i="1" s="1"/>
  <c r="EK5" i="1" s="1"/>
  <c r="GB7" i="4"/>
  <c r="CH5" i="1"/>
  <c r="C24" i="7"/>
  <c r="C20" i="7"/>
  <c r="EZ24" i="1"/>
  <c r="FA23" i="1"/>
  <c r="EZ37" i="1"/>
  <c r="C36" i="7"/>
  <c r="GB9" i="4"/>
  <c r="EY23" i="1"/>
  <c r="EY37" i="1"/>
  <c r="EM37" i="1" s="1"/>
  <c r="FG7" i="1"/>
  <c r="C34" i="7"/>
  <c r="EN35" i="1"/>
  <c r="C35" i="7"/>
  <c r="C25" i="7"/>
  <c r="C31" i="7"/>
  <c r="FG5" i="1"/>
  <c r="BY5" i="1"/>
  <c r="C30" i="7"/>
  <c r="C43" i="7"/>
  <c r="EN41" i="1"/>
  <c r="C43" i="5"/>
  <c r="BR7" i="1"/>
  <c r="CX7" i="1"/>
  <c r="C39" i="5"/>
  <c r="EN12" i="1"/>
  <c r="FA34" i="1"/>
  <c r="FA41" i="1"/>
  <c r="EI7" i="1"/>
  <c r="EN21" i="1"/>
  <c r="FA6" i="1"/>
  <c r="FC6" i="1" s="1"/>
  <c r="EY43" i="1"/>
  <c r="EM43" i="1" s="1"/>
  <c r="EZ12" i="1"/>
  <c r="CT15" i="1"/>
  <c r="EN34" i="1"/>
  <c r="FT31" i="4"/>
  <c r="I31" i="4" s="1"/>
  <c r="FR31" i="4" s="1"/>
  <c r="CH7" i="1"/>
  <c r="CT19" i="1"/>
  <c r="EZ21" i="1"/>
  <c r="EN6" i="1"/>
  <c r="EZ6" i="1"/>
  <c r="EL38" i="1"/>
  <c r="EZ43" i="1"/>
  <c r="EY12" i="1"/>
  <c r="EM12" i="1" s="1"/>
  <c r="FA30" i="1"/>
  <c r="EN44" i="1"/>
  <c r="CT26" i="1"/>
  <c r="DM151" i="1"/>
  <c r="DQ151" i="1" s="1"/>
  <c r="EZ45" i="1"/>
  <c r="EL45" i="1" s="1"/>
  <c r="EN40" i="1"/>
  <c r="EN5" i="1"/>
  <c r="EY40" i="1"/>
  <c r="EM40" i="1" s="1"/>
  <c r="EZ42" i="1"/>
  <c r="EL42" i="1" s="1"/>
  <c r="EY44" i="1"/>
  <c r="EM44" i="1" s="1"/>
  <c r="G14" i="4"/>
  <c r="EN28" i="1"/>
  <c r="DL151" i="1"/>
  <c r="DP151" i="1" s="1"/>
  <c r="DK151" i="1"/>
  <c r="DO151" i="1" s="1"/>
  <c r="DS151" i="1" s="1"/>
  <c r="FA40" i="1"/>
  <c r="FA17" i="1"/>
  <c r="GD10" i="4"/>
  <c r="CX34" i="1"/>
  <c r="DD34" i="1" s="1"/>
  <c r="DJ133" i="1"/>
  <c r="DM133" i="1" s="1"/>
  <c r="DQ133" i="1" s="1"/>
  <c r="BW8" i="1"/>
  <c r="C51" i="5"/>
  <c r="FA44" i="1"/>
  <c r="EN11" i="1"/>
  <c r="FA11" i="1"/>
  <c r="FC11" i="1" s="1"/>
  <c r="FA42" i="1"/>
  <c r="EY34" i="1"/>
  <c r="EL34" i="1" s="1"/>
  <c r="C23" i="5"/>
  <c r="FA28" i="1"/>
  <c r="FA45" i="1"/>
  <c r="GD23" i="4"/>
  <c r="C13" i="26"/>
  <c r="GD14" i="4"/>
  <c r="FT14" i="4" s="1"/>
  <c r="I14" i="4" s="1"/>
  <c r="FR14" i="4" s="1"/>
  <c r="EZ11" i="1"/>
  <c r="EY11" i="1"/>
  <c r="EM11" i="1" s="1"/>
  <c r="CH34" i="1"/>
  <c r="CU34" i="1" s="1"/>
  <c r="EN8" i="1"/>
  <c r="GD17" i="4"/>
  <c r="EY28" i="1"/>
  <c r="EL28" i="1" s="1"/>
  <c r="EN45" i="1"/>
  <c r="GB36" i="4"/>
  <c r="FU36" i="4" s="1"/>
  <c r="BY34" i="1"/>
  <c r="CC34" i="1" s="1"/>
  <c r="DL153" i="1"/>
  <c r="DP153" i="1" s="1"/>
  <c r="DT153" i="1" s="1"/>
  <c r="EI34" i="1"/>
  <c r="FX26" i="1"/>
  <c r="EZ17" i="1"/>
  <c r="EL17" i="1" s="1"/>
  <c r="FX45" i="1"/>
  <c r="EN42" i="1"/>
  <c r="EN43" i="1"/>
  <c r="EN19" i="1"/>
  <c r="EI16" i="1"/>
  <c r="DD44" i="1"/>
  <c r="C53" i="26"/>
  <c r="CT25" i="1"/>
  <c r="EZ18" i="1"/>
  <c r="EZ19" i="1"/>
  <c r="EL27" i="1"/>
  <c r="FX44" i="1"/>
  <c r="C53" i="5"/>
  <c r="CU23" i="1"/>
  <c r="FX20" i="1"/>
  <c r="CD16" i="1"/>
  <c r="CQ16" i="1" s="1"/>
  <c r="EY18" i="1"/>
  <c r="EM18" i="1" s="1"/>
  <c r="FA18" i="1"/>
  <c r="EY19" i="1"/>
  <c r="EM19" i="1" s="1"/>
  <c r="C31" i="5"/>
  <c r="DQ198" i="1"/>
  <c r="DR198" i="1" s="1"/>
  <c r="GD27" i="4"/>
  <c r="FT27" i="4" s="1"/>
  <c r="I27" i="4" s="1"/>
  <c r="FR27" i="4" s="1"/>
  <c r="CT20" i="1"/>
  <c r="EN30" i="1"/>
  <c r="EY24" i="1"/>
  <c r="EN24" i="1"/>
  <c r="CD45" i="1"/>
  <c r="CQ45" i="1" s="1"/>
  <c r="CX21" i="1"/>
  <c r="DD21" i="1" s="1"/>
  <c r="T9" i="7"/>
  <c r="CH45" i="1"/>
  <c r="CU45" i="1" s="1"/>
  <c r="BR16" i="1"/>
  <c r="BW16" i="1" s="1"/>
  <c r="CU29" i="1"/>
  <c r="DQ176" i="1"/>
  <c r="DR176" i="1" s="1"/>
  <c r="C67" i="5"/>
  <c r="FU8" i="4"/>
  <c r="FT8" i="4" s="1"/>
  <c r="I8" i="4" s="1"/>
  <c r="FR8" i="4" s="1"/>
  <c r="C51" i="26"/>
  <c r="GD47" i="4"/>
  <c r="CT34" i="1"/>
  <c r="EY30" i="1"/>
  <c r="EM30" i="1" s="1"/>
  <c r="GD12" i="4"/>
  <c r="GD46" i="4"/>
  <c r="FT46" i="4" s="1"/>
  <c r="I46" i="4" s="1"/>
  <c r="FR46" i="4" s="1"/>
  <c r="CT45" i="1"/>
  <c r="EN13" i="1"/>
  <c r="EY10" i="1"/>
  <c r="EM10" i="1" s="1"/>
  <c r="EN10" i="1"/>
  <c r="FA10" i="1"/>
  <c r="FC10" i="1" s="1"/>
  <c r="EZ10" i="1"/>
  <c r="G36" i="4"/>
  <c r="CT40" i="1"/>
  <c r="C63" i="5"/>
  <c r="BW39" i="1"/>
  <c r="DD39" i="1"/>
  <c r="DF27" i="1"/>
  <c r="GD19" i="4"/>
  <c r="DK153" i="1"/>
  <c r="DN153" i="1" s="1"/>
  <c r="DR153" i="1" s="1"/>
  <c r="EY13" i="1"/>
  <c r="EM13" i="1" s="1"/>
  <c r="BR45" i="1"/>
  <c r="GY31" i="4" s="1"/>
  <c r="C77" i="5"/>
  <c r="CB6" i="1"/>
  <c r="CU39" i="1"/>
  <c r="GB29" i="4"/>
  <c r="FU29" i="4" s="1"/>
  <c r="FT29" i="4" s="1"/>
  <c r="I29" i="4" s="1"/>
  <c r="FR29" i="4" s="1"/>
  <c r="DM137" i="1"/>
  <c r="DQ137" i="1" s="1"/>
  <c r="CD21" i="1"/>
  <c r="CQ21" i="1" s="1"/>
  <c r="GD36" i="4"/>
  <c r="C31" i="26"/>
  <c r="EI45" i="1"/>
  <c r="CX45" i="1"/>
  <c r="DD45" i="1" s="1"/>
  <c r="C61" i="5"/>
  <c r="FG16" i="1"/>
  <c r="FW16" i="1" s="1"/>
  <c r="CX16" i="1"/>
  <c r="DD16" i="1" s="1"/>
  <c r="DL131" i="1"/>
  <c r="DP131" i="1" s="1"/>
  <c r="DT131" i="1" s="1"/>
  <c r="FX35" i="1"/>
  <c r="DN131" i="1"/>
  <c r="DR131" i="1" s="1"/>
  <c r="DU131" i="1" s="1"/>
  <c r="CX27" i="1"/>
  <c r="DD27" i="1" s="1"/>
  <c r="CH27" i="1"/>
  <c r="CU27" i="1" s="1"/>
  <c r="DL137" i="1"/>
  <c r="DP137" i="1" s="1"/>
  <c r="CT33" i="1"/>
  <c r="GB23" i="4"/>
  <c r="FU23" i="4" s="1"/>
  <c r="BR21" i="1"/>
  <c r="DF21" i="1" s="1"/>
  <c r="CT23" i="1"/>
  <c r="GD38" i="4"/>
  <c r="CT14" i="1"/>
  <c r="BY45" i="1"/>
  <c r="CC45" i="1" s="1"/>
  <c r="C61" i="26"/>
  <c r="BY27" i="1"/>
  <c r="CB27" i="1" s="1"/>
  <c r="EI21" i="1"/>
  <c r="CH21" i="1"/>
  <c r="CU21" i="1" s="1"/>
  <c r="GB47" i="4"/>
  <c r="FU47" i="4" s="1"/>
  <c r="CH16" i="1"/>
  <c r="EG44" i="1"/>
  <c r="EH44" i="1" s="1"/>
  <c r="FO46" i="4" s="1"/>
  <c r="C35" i="5"/>
  <c r="FX14" i="1"/>
  <c r="DD8" i="1"/>
  <c r="EI27" i="1"/>
  <c r="BY21" i="1"/>
  <c r="CC21" i="1" s="1"/>
  <c r="GD22" i="4"/>
  <c r="FT22" i="4" s="1"/>
  <c r="I22" i="4" s="1"/>
  <c r="FR22" i="4" s="1"/>
  <c r="CT22" i="1"/>
  <c r="DK137" i="1"/>
  <c r="DN137" i="1" s="1"/>
  <c r="DR137" i="1" s="1"/>
  <c r="GD39" i="4"/>
  <c r="EN31" i="1"/>
  <c r="FA31" i="1"/>
  <c r="EY31" i="1"/>
  <c r="EZ31" i="1"/>
  <c r="FA8" i="1"/>
  <c r="FC8" i="1" s="1"/>
  <c r="CU25" i="1"/>
  <c r="GD24" i="4"/>
  <c r="GD28" i="4"/>
  <c r="FT28" i="4" s="1"/>
  <c r="I28" i="4" s="1"/>
  <c r="FR28" i="4" s="1"/>
  <c r="EI31" i="1"/>
  <c r="FX21" i="1"/>
  <c r="GD41" i="4"/>
  <c r="FT41" i="4" s="1"/>
  <c r="I41" i="4" s="1"/>
  <c r="FR41" i="4" s="1"/>
  <c r="DF25" i="1"/>
  <c r="DX11" i="20"/>
  <c r="BC11" i="20" s="1"/>
  <c r="DR9" i="1"/>
  <c r="AA13" i="7" s="1"/>
  <c r="DO9" i="1"/>
  <c r="AB13" i="7" s="1"/>
  <c r="BD11" i="20" s="1"/>
  <c r="FQ9" i="1"/>
  <c r="EO9" i="1"/>
  <c r="U9" i="7"/>
  <c r="FT5" i="1"/>
  <c r="G19" i="4"/>
  <c r="C33" i="5"/>
  <c r="CC26" i="1"/>
  <c r="I10" i="20"/>
  <c r="DA10" i="20"/>
  <c r="AE10" i="20" s="1"/>
  <c r="Y7" i="1"/>
  <c r="DC7" i="1"/>
  <c r="CP7" i="1"/>
  <c r="CR7" i="1" s="1"/>
  <c r="S11" i="7"/>
  <c r="GS11" i="4"/>
  <c r="AZ9" i="1"/>
  <c r="BV9" i="1" s="1"/>
  <c r="CG9" i="1"/>
  <c r="BQ9" i="1"/>
  <c r="BX9" i="1"/>
  <c r="CW9" i="1"/>
  <c r="H7" i="20"/>
  <c r="CC7" i="20"/>
  <c r="H11" i="20"/>
  <c r="CC11" i="20"/>
  <c r="CZ11" i="20"/>
  <c r="AD11" i="20" s="1"/>
  <c r="C63" i="26"/>
  <c r="CC39" i="1"/>
  <c r="K7" i="20"/>
  <c r="DC7" i="20"/>
  <c r="AG7" i="20" s="1"/>
  <c r="I8" i="20"/>
  <c r="DA8" i="20"/>
  <c r="AE8" i="20" s="1"/>
  <c r="DE8" i="1"/>
  <c r="J10" i="4" s="1"/>
  <c r="FQ10" i="4" s="1"/>
  <c r="GS7" i="4"/>
  <c r="BQ5" i="1"/>
  <c r="AZ5" i="1"/>
  <c r="CW5" i="1"/>
  <c r="BX5" i="1"/>
  <c r="CG5" i="1"/>
  <c r="CV39" i="1"/>
  <c r="DF8" i="1"/>
  <c r="Y6" i="1"/>
  <c r="CP6" i="1"/>
  <c r="CR6" i="1" s="1"/>
  <c r="DC6" i="1"/>
  <c r="S10" i="7"/>
  <c r="K8" i="20"/>
  <c r="DC8" i="20"/>
  <c r="AG8" i="20" s="1"/>
  <c r="J11" i="20"/>
  <c r="DB11" i="20"/>
  <c r="AF11" i="20" s="1"/>
  <c r="CU35" i="1"/>
  <c r="EJ8" i="1"/>
  <c r="EK8" i="1" s="1"/>
  <c r="G9" i="4"/>
  <c r="CU20" i="1"/>
  <c r="CT10" i="1"/>
  <c r="Z9" i="1"/>
  <c r="GS9" i="4"/>
  <c r="AZ7" i="1"/>
  <c r="BX7" i="1"/>
  <c r="CC7" i="1" s="1"/>
  <c r="CW7" i="1"/>
  <c r="CG7" i="1"/>
  <c r="CU7" i="1" s="1"/>
  <c r="BQ7" i="1"/>
  <c r="BV6" i="1"/>
  <c r="BW6" i="1" s="1"/>
  <c r="CM6" i="1"/>
  <c r="CT6" i="1" s="1"/>
  <c r="CZ6" i="1"/>
  <c r="DD14" i="1"/>
  <c r="DF23" i="1"/>
  <c r="CU44" i="1"/>
  <c r="CT36" i="1"/>
  <c r="DD23" i="1"/>
  <c r="DD20" i="1"/>
  <c r="G26" i="4"/>
  <c r="CT24" i="1"/>
  <c r="CT17" i="1"/>
  <c r="C47" i="5"/>
  <c r="FW29" i="1"/>
  <c r="CU12" i="1"/>
  <c r="DF14" i="1"/>
  <c r="EG26" i="1"/>
  <c r="EF26" i="1" s="1"/>
  <c r="GD35" i="4"/>
  <c r="CT43" i="1"/>
  <c r="C83" i="26"/>
  <c r="G44" i="4"/>
  <c r="FG37" i="1"/>
  <c r="EI37" i="1"/>
  <c r="GB39" i="4"/>
  <c r="FU39" i="4" s="1"/>
  <c r="CH37" i="1"/>
  <c r="CU37" i="1" s="1"/>
  <c r="BY37" i="1"/>
  <c r="CX37" i="1"/>
  <c r="DD37" i="1" s="1"/>
  <c r="BR37" i="1"/>
  <c r="C57" i="5"/>
  <c r="DF26" i="1"/>
  <c r="DK157" i="1"/>
  <c r="DN157" i="1" s="1"/>
  <c r="DR157" i="1" s="1"/>
  <c r="GD7" i="4"/>
  <c r="BW27" i="1"/>
  <c r="FX12" i="1"/>
  <c r="C49" i="26"/>
  <c r="CD37" i="1"/>
  <c r="C9" i="5"/>
  <c r="G7" i="4"/>
  <c r="C9" i="26"/>
  <c r="EL40" i="1"/>
  <c r="DD26" i="1"/>
  <c r="FX27" i="1"/>
  <c r="GD44" i="4"/>
  <c r="CV25" i="1"/>
  <c r="FX23" i="1"/>
  <c r="C57" i="26"/>
  <c r="C73" i="26"/>
  <c r="G39" i="4"/>
  <c r="C73" i="5"/>
  <c r="EM17" i="1"/>
  <c r="EJ37" i="1"/>
  <c r="V41" i="7"/>
  <c r="BT37" i="1"/>
  <c r="T41" i="7"/>
  <c r="BT5" i="1"/>
  <c r="C71" i="26"/>
  <c r="G38" i="4"/>
  <c r="DK142" i="1"/>
  <c r="DJ142" i="1"/>
  <c r="DM147" i="1"/>
  <c r="DQ147" i="1" s="1"/>
  <c r="CD31" i="1"/>
  <c r="CQ31" i="1" s="1"/>
  <c r="DL147" i="1"/>
  <c r="DP147" i="1" s="1"/>
  <c r="G37" i="4"/>
  <c r="DJ144" i="1"/>
  <c r="DQ189" i="1" s="1"/>
  <c r="DR189" i="1" s="1"/>
  <c r="FG31" i="1"/>
  <c r="FW31" i="1" s="1"/>
  <c r="BR31" i="1"/>
  <c r="DF31" i="1" s="1"/>
  <c r="DJ138" i="1"/>
  <c r="DL138" i="1" s="1"/>
  <c r="DP138" i="1" s="1"/>
  <c r="T44" i="7"/>
  <c r="C87" i="5"/>
  <c r="DD29" i="1"/>
  <c r="DD12" i="1"/>
  <c r="C35" i="26"/>
  <c r="CT32" i="1"/>
  <c r="FX25" i="1"/>
  <c r="C83" i="5"/>
  <c r="EG23" i="1"/>
  <c r="EF23" i="1" s="1"/>
  <c r="DK147" i="1"/>
  <c r="DO147" i="1" s="1"/>
  <c r="DS147" i="1" s="1"/>
  <c r="GD16" i="4"/>
  <c r="FT16" i="4" s="1"/>
  <c r="I16" i="4" s="1"/>
  <c r="FR16" i="4" s="1"/>
  <c r="BY31" i="1"/>
  <c r="CB31" i="1" s="1"/>
  <c r="CH31" i="1"/>
  <c r="CU31" i="1" s="1"/>
  <c r="DF39" i="1"/>
  <c r="G46" i="4"/>
  <c r="C69" i="26"/>
  <c r="DM154" i="1"/>
  <c r="DQ154" i="1" s="1"/>
  <c r="DT154" i="1" s="1"/>
  <c r="CX31" i="1"/>
  <c r="DD31" i="1" s="1"/>
  <c r="BW44" i="1"/>
  <c r="CU14" i="1"/>
  <c r="DD25" i="1"/>
  <c r="GD20" i="4"/>
  <c r="FT20" i="4" s="1"/>
  <c r="I20" i="4" s="1"/>
  <c r="FR20" i="4" s="1"/>
  <c r="EG25" i="1"/>
  <c r="EF25" i="1" s="1"/>
  <c r="FG10" i="1"/>
  <c r="GB12" i="4"/>
  <c r="FU12" i="4" s="1"/>
  <c r="EI10" i="1"/>
  <c r="CH10" i="1"/>
  <c r="CU10" i="1" s="1"/>
  <c r="BY10" i="1"/>
  <c r="CX10" i="1"/>
  <c r="BR10" i="1"/>
  <c r="BT12" i="1"/>
  <c r="BW12" i="1" s="1"/>
  <c r="V16" i="7"/>
  <c r="EJ12" i="1"/>
  <c r="U16" i="7"/>
  <c r="CV12" i="1"/>
  <c r="CV23" i="1"/>
  <c r="GD25" i="4"/>
  <c r="FT25" i="4" s="1"/>
  <c r="I25" i="4" s="1"/>
  <c r="FR25" i="4" s="1"/>
  <c r="BT10" i="1"/>
  <c r="C27" i="26"/>
  <c r="C27" i="5"/>
  <c r="G16" i="4"/>
  <c r="U14" i="7"/>
  <c r="T16" i="7"/>
  <c r="DQ199" i="1"/>
  <c r="DR199" i="1" s="1"/>
  <c r="G27" i="4"/>
  <c r="CU18" i="1"/>
  <c r="GD34" i="4"/>
  <c r="U18" i="7"/>
  <c r="BT14" i="1"/>
  <c r="BW14" i="1" s="1"/>
  <c r="EJ14" i="1"/>
  <c r="V18" i="7"/>
  <c r="T18" i="7"/>
  <c r="CH24" i="1"/>
  <c r="CU24" i="1" s="1"/>
  <c r="CX24" i="1"/>
  <c r="DD24" i="1" s="1"/>
  <c r="BR24" i="1"/>
  <c r="CD24" i="1"/>
  <c r="BY24" i="1"/>
  <c r="GB26" i="4"/>
  <c r="FU26" i="4" s="1"/>
  <c r="FT26" i="4" s="1"/>
  <c r="I26" i="4" s="1"/>
  <c r="FR26" i="4" s="1"/>
  <c r="FG24" i="1"/>
  <c r="FX24" i="1" s="1"/>
  <c r="EI24" i="1"/>
  <c r="FG22" i="1"/>
  <c r="CH22" i="1"/>
  <c r="CU22" i="1" s="1"/>
  <c r="CD22" i="1"/>
  <c r="EI22" i="1"/>
  <c r="BR22" i="1"/>
  <c r="CX22" i="1"/>
  <c r="DD22" i="1" s="1"/>
  <c r="BY22" i="1"/>
  <c r="GB24" i="4"/>
  <c r="FU24" i="4" s="1"/>
  <c r="T14" i="7"/>
  <c r="C19" i="5"/>
  <c r="G12" i="4"/>
  <c r="C19" i="26"/>
  <c r="CY13" i="1"/>
  <c r="FW35" i="1"/>
  <c r="EG6" i="1"/>
  <c r="EH6" i="1" s="1"/>
  <c r="FO8" i="4" s="1"/>
  <c r="DD35" i="1"/>
  <c r="FW25" i="1"/>
  <c r="CD10" i="1"/>
  <c r="CV26" i="1"/>
  <c r="FW23" i="1"/>
  <c r="C33" i="26"/>
  <c r="C41" i="26"/>
  <c r="CC25" i="1"/>
  <c r="CV8" i="1"/>
  <c r="DG8" i="1" s="1"/>
  <c r="CB25" i="1"/>
  <c r="CC6" i="1"/>
  <c r="DD18" i="1"/>
  <c r="BW26" i="1"/>
  <c r="CT28" i="1"/>
  <c r="C71" i="5"/>
  <c r="G23" i="4"/>
  <c r="FW45" i="1"/>
  <c r="FT18" i="4"/>
  <c r="I18" i="4" s="1"/>
  <c r="FR18" i="4" s="1"/>
  <c r="FT33" i="4"/>
  <c r="I33" i="4" s="1"/>
  <c r="FR33" i="4" s="1"/>
  <c r="GD45" i="4"/>
  <c r="CB23" i="1"/>
  <c r="BS13" i="1"/>
  <c r="EG39" i="1"/>
  <c r="P41" i="4" s="1"/>
  <c r="CC23" i="1"/>
  <c r="FT10" i="4"/>
  <c r="I10" i="4" s="1"/>
  <c r="FR10" i="4" s="1"/>
  <c r="GD30" i="4"/>
  <c r="CT30" i="1"/>
  <c r="GD37" i="4"/>
  <c r="FT37" i="4" s="1"/>
  <c r="I37" i="4" s="1"/>
  <c r="FR37" i="4" s="1"/>
  <c r="DN135" i="1"/>
  <c r="DR135" i="1" s="1"/>
  <c r="DO135" i="1"/>
  <c r="DS135" i="1" s="1"/>
  <c r="DQ180" i="1"/>
  <c r="DR180" i="1" s="1"/>
  <c r="DL135" i="1"/>
  <c r="DP135" i="1" s="1"/>
  <c r="DM135" i="1"/>
  <c r="DQ135" i="1" s="1"/>
  <c r="EL29" i="1"/>
  <c r="FX29" i="1"/>
  <c r="FW20" i="1"/>
  <c r="GB19" i="4"/>
  <c r="FU19" i="4" s="1"/>
  <c r="BR17" i="1"/>
  <c r="FG17" i="1"/>
  <c r="FX17" i="1" s="1"/>
  <c r="BY17" i="1"/>
  <c r="CX17" i="1"/>
  <c r="DD17" i="1" s="1"/>
  <c r="EI17" i="1"/>
  <c r="CH17" i="1"/>
  <c r="CU17" i="1" s="1"/>
  <c r="CD17" i="1"/>
  <c r="N41" i="1"/>
  <c r="CD41" i="1" s="1"/>
  <c r="Q45" i="7"/>
  <c r="BV41" i="1"/>
  <c r="CZ41" i="1"/>
  <c r="CM41" i="1"/>
  <c r="CT41" i="1" s="1"/>
  <c r="CU6" i="1"/>
  <c r="C37" i="26"/>
  <c r="G21" i="4"/>
  <c r="C37" i="5"/>
  <c r="V29" i="7"/>
  <c r="EJ25" i="1"/>
  <c r="BT25" i="1"/>
  <c r="BW25" i="1" s="1"/>
  <c r="FW21" i="1"/>
  <c r="G47" i="4"/>
  <c r="C89" i="5"/>
  <c r="V39" i="7"/>
  <c r="EL35" i="1"/>
  <c r="T39" i="7"/>
  <c r="BT35" i="1"/>
  <c r="BW35" i="1" s="1"/>
  <c r="U39" i="7"/>
  <c r="EJ35" i="1"/>
  <c r="CK41" i="1"/>
  <c r="CS41" i="1" s="1"/>
  <c r="CE43" i="20"/>
  <c r="K43" i="20" s="1"/>
  <c r="GN43" i="4"/>
  <c r="GD43" i="4" s="1"/>
  <c r="CY41" i="1"/>
  <c r="BZ41" i="1"/>
  <c r="BS41" i="1"/>
  <c r="GD40" i="4"/>
  <c r="EJ19" i="1"/>
  <c r="V23" i="7"/>
  <c r="BT19" i="1"/>
  <c r="U23" i="7"/>
  <c r="T23" i="7"/>
  <c r="V49" i="7"/>
  <c r="BT45" i="1"/>
  <c r="EJ45" i="1"/>
  <c r="DJ136" i="1"/>
  <c r="DK136" i="1"/>
  <c r="U29" i="7"/>
  <c r="CT42" i="1"/>
  <c r="CB320" i="1"/>
  <c r="CC320" i="1" s="1"/>
  <c r="X41" i="1" s="1"/>
  <c r="T45" i="7" s="1"/>
  <c r="CX156" i="1"/>
  <c r="AR156" i="1" s="1"/>
  <c r="AH41" i="1" s="1"/>
  <c r="EI19" i="1"/>
  <c r="GB21" i="4"/>
  <c r="FU21" i="4" s="1"/>
  <c r="FT21" i="4" s="1"/>
  <c r="I21" i="4" s="1"/>
  <c r="FR21" i="4" s="1"/>
  <c r="CX19" i="1"/>
  <c r="DD19" i="1" s="1"/>
  <c r="CD19" i="1"/>
  <c r="BR19" i="1"/>
  <c r="CH19" i="1"/>
  <c r="CU19" i="1" s="1"/>
  <c r="FG19" i="1"/>
  <c r="BY19" i="1"/>
  <c r="T29" i="7"/>
  <c r="T49" i="7"/>
  <c r="CQ33" i="1"/>
  <c r="C75" i="5"/>
  <c r="C75" i="26"/>
  <c r="G40" i="4"/>
  <c r="EJ43" i="1"/>
  <c r="BT43" i="1"/>
  <c r="V47" i="7"/>
  <c r="DF20" i="1"/>
  <c r="BW20" i="1"/>
  <c r="CX43" i="1"/>
  <c r="DD43" i="1" s="1"/>
  <c r="FG43" i="1"/>
  <c r="EI43" i="1"/>
  <c r="CH43" i="1"/>
  <c r="CU43" i="1" s="1"/>
  <c r="BR43" i="1"/>
  <c r="BY43" i="1"/>
  <c r="GB45" i="4"/>
  <c r="FU45" i="4" s="1"/>
  <c r="CD43" i="1"/>
  <c r="FW14" i="1"/>
  <c r="EI32" i="1"/>
  <c r="GB34" i="4"/>
  <c r="FU34" i="4" s="1"/>
  <c r="BR32" i="1"/>
  <c r="CH32" i="1"/>
  <c r="CU32" i="1" s="1"/>
  <c r="BY32" i="1"/>
  <c r="EG32" i="1" s="1"/>
  <c r="FG32" i="1"/>
  <c r="CX32" i="1"/>
  <c r="DD32" i="1" s="1"/>
  <c r="EI38" i="1"/>
  <c r="CX38" i="1"/>
  <c r="DD38" i="1" s="1"/>
  <c r="GB40" i="4"/>
  <c r="FU40" i="4" s="1"/>
  <c r="FG38" i="1"/>
  <c r="FX38" i="1" s="1"/>
  <c r="CH38" i="1"/>
  <c r="BY38" i="1"/>
  <c r="BR38" i="1"/>
  <c r="DR182" i="1"/>
  <c r="CB26" i="1"/>
  <c r="CD38" i="1"/>
  <c r="CQ38" i="1" s="1"/>
  <c r="CV14" i="1"/>
  <c r="CQ14" i="1"/>
  <c r="EG14" i="1"/>
  <c r="CB14" i="1"/>
  <c r="CC14" i="1"/>
  <c r="EL33" i="1"/>
  <c r="BT33" i="1"/>
  <c r="EJ33" i="1"/>
  <c r="V37" i="7"/>
  <c r="U47" i="7"/>
  <c r="C59" i="26"/>
  <c r="G32" i="4"/>
  <c r="C59" i="5"/>
  <c r="CT38" i="1"/>
  <c r="CV20" i="1"/>
  <c r="CQ20" i="1"/>
  <c r="GB32" i="4"/>
  <c r="FU32" i="4" s="1"/>
  <c r="BR30" i="1"/>
  <c r="CH30" i="1"/>
  <c r="CU30" i="1" s="1"/>
  <c r="BY30" i="1"/>
  <c r="FG30" i="1"/>
  <c r="FX30" i="1" s="1"/>
  <c r="EI30" i="1"/>
  <c r="CX30" i="1"/>
  <c r="DD30" i="1" s="1"/>
  <c r="BW23" i="1"/>
  <c r="CB39" i="1"/>
  <c r="DJ141" i="1"/>
  <c r="DK141" i="1"/>
  <c r="C65" i="5"/>
  <c r="G35" i="4"/>
  <c r="C65" i="26"/>
  <c r="C55" i="26"/>
  <c r="C55" i="5"/>
  <c r="G30" i="4"/>
  <c r="T47" i="7"/>
  <c r="DO145" i="1"/>
  <c r="DS145" i="1" s="1"/>
  <c r="GB30" i="4"/>
  <c r="FU30" i="4" s="1"/>
  <c r="CX28" i="1"/>
  <c r="DD28" i="1" s="1"/>
  <c r="CH28" i="1"/>
  <c r="CU28" i="1" s="1"/>
  <c r="BY28" i="1"/>
  <c r="BR28" i="1"/>
  <c r="FG28" i="1"/>
  <c r="EI28" i="1"/>
  <c r="GD32" i="4"/>
  <c r="FW26" i="1"/>
  <c r="GD42" i="4"/>
  <c r="FW39" i="1"/>
  <c r="BT28" i="1"/>
  <c r="EJ28" i="1"/>
  <c r="V32" i="7"/>
  <c r="U32" i="7"/>
  <c r="BY36" i="1"/>
  <c r="FG36" i="1"/>
  <c r="CX36" i="1"/>
  <c r="DD36" i="1" s="1"/>
  <c r="EI36" i="1"/>
  <c r="BR36" i="1"/>
  <c r="GB38" i="4"/>
  <c r="FU38" i="4" s="1"/>
  <c r="CH36" i="1"/>
  <c r="CU36" i="1" s="1"/>
  <c r="CD36" i="1"/>
  <c r="CX42" i="1"/>
  <c r="DD42" i="1" s="1"/>
  <c r="GB44" i="4"/>
  <c r="FU44" i="4" s="1"/>
  <c r="EI42" i="1"/>
  <c r="FG42" i="1"/>
  <c r="CH42" i="1"/>
  <c r="BY42" i="1"/>
  <c r="BR42" i="1"/>
  <c r="BR33" i="1"/>
  <c r="GB35" i="4"/>
  <c r="FU35" i="4" s="1"/>
  <c r="CH33" i="1"/>
  <c r="CU33" i="1" s="1"/>
  <c r="BY33" i="1"/>
  <c r="CX33" i="1"/>
  <c r="DD33" i="1" s="1"/>
  <c r="FG33" i="1"/>
  <c r="EI33" i="1"/>
  <c r="U37" i="7"/>
  <c r="CD32" i="1"/>
  <c r="DM145" i="1"/>
  <c r="DQ145" i="1" s="1"/>
  <c r="DL145" i="1"/>
  <c r="DP145" i="1" s="1"/>
  <c r="DQ190" i="1"/>
  <c r="FW27" i="1"/>
  <c r="T32" i="7"/>
  <c r="CQ30" i="1"/>
  <c r="G45" i="4"/>
  <c r="C85" i="26"/>
  <c r="C85" i="5"/>
  <c r="CB20" i="1"/>
  <c r="CC20" i="1"/>
  <c r="EG20" i="1"/>
  <c r="CD28" i="1"/>
  <c r="DM159" i="1"/>
  <c r="DQ159" i="1" s="1"/>
  <c r="DQ204" i="1"/>
  <c r="DL159" i="1"/>
  <c r="DP159" i="1" s="1"/>
  <c r="CQ34" i="1"/>
  <c r="GN11" i="4"/>
  <c r="GD11" i="4" s="1"/>
  <c r="CE11" i="20"/>
  <c r="CK9" i="1"/>
  <c r="CS9" i="1" s="1"/>
  <c r="CQ15" i="1"/>
  <c r="BT15" i="1"/>
  <c r="V19" i="7"/>
  <c r="EJ15" i="1"/>
  <c r="U19" i="7"/>
  <c r="EL8" i="1"/>
  <c r="EM8" i="1"/>
  <c r="DK149" i="1"/>
  <c r="DJ149" i="1"/>
  <c r="CC12" i="1"/>
  <c r="EG12" i="1"/>
  <c r="CB12" i="1"/>
  <c r="CB44" i="1"/>
  <c r="CC44" i="1"/>
  <c r="CB292" i="1"/>
  <c r="CC292" i="1" s="1"/>
  <c r="X13" i="1" s="1"/>
  <c r="T17" i="7" s="1"/>
  <c r="CX128" i="1"/>
  <c r="AR128" i="1" s="1"/>
  <c r="AH13" i="1" s="1"/>
  <c r="CQ35" i="1"/>
  <c r="CV35" i="1"/>
  <c r="BW18" i="1"/>
  <c r="DF18" i="1"/>
  <c r="CB18" i="1"/>
  <c r="CC18" i="1"/>
  <c r="EG18" i="1"/>
  <c r="EM45" i="1"/>
  <c r="DO159" i="1"/>
  <c r="DS159" i="1" s="1"/>
  <c r="DN159" i="1"/>
  <c r="DR159" i="1" s="1"/>
  <c r="BW34" i="1"/>
  <c r="DF34" i="1"/>
  <c r="FW34" i="1"/>
  <c r="CB288" i="1"/>
  <c r="CC288" i="1" s="1"/>
  <c r="X9" i="1" s="1"/>
  <c r="U13" i="7" s="1"/>
  <c r="CX124" i="1"/>
  <c r="AR124" i="1" s="1"/>
  <c r="AH9" i="1" s="1"/>
  <c r="BZ9" i="1"/>
  <c r="CY9" i="1"/>
  <c r="DJ146" i="1"/>
  <c r="DK146" i="1"/>
  <c r="DN133" i="1"/>
  <c r="DR133" i="1" s="1"/>
  <c r="DO133" i="1"/>
  <c r="DS133" i="1" s="1"/>
  <c r="DM132" i="1"/>
  <c r="DQ132" i="1" s="1"/>
  <c r="DQ177" i="1"/>
  <c r="DR177" i="1" s="1"/>
  <c r="DL132" i="1"/>
  <c r="DP132" i="1" s="1"/>
  <c r="DF29" i="1"/>
  <c r="BW29" i="1"/>
  <c r="EL15" i="1"/>
  <c r="EL32" i="1"/>
  <c r="EM32" i="1"/>
  <c r="FW44" i="1"/>
  <c r="N11" i="1"/>
  <c r="Q15" i="7"/>
  <c r="CZ11" i="1"/>
  <c r="DE11" i="1" s="1"/>
  <c r="J13" i="4" s="1"/>
  <c r="FQ13" i="4" s="1"/>
  <c r="BV11" i="1"/>
  <c r="CM11" i="1"/>
  <c r="CT11" i="1" s="1"/>
  <c r="CK13" i="1"/>
  <c r="CS13" i="1" s="1"/>
  <c r="GN15" i="4"/>
  <c r="GD15" i="4" s="1"/>
  <c r="CE15" i="20"/>
  <c r="K15" i="20" s="1"/>
  <c r="DF35" i="1"/>
  <c r="CV29" i="1"/>
  <c r="EL20" i="1"/>
  <c r="EM20" i="1"/>
  <c r="DO139" i="1"/>
  <c r="DS139" i="1" s="1"/>
  <c r="DN139" i="1"/>
  <c r="DR139" i="1" s="1"/>
  <c r="DN132" i="1"/>
  <c r="DR132" i="1" s="1"/>
  <c r="DO132" i="1"/>
  <c r="DS132" i="1" s="1"/>
  <c r="CK11" i="1"/>
  <c r="CS11" i="1" s="1"/>
  <c r="GN13" i="4"/>
  <c r="GD13" i="4" s="1"/>
  <c r="CE13" i="20"/>
  <c r="K13" i="20" s="1"/>
  <c r="Q17" i="7"/>
  <c r="CM13" i="1"/>
  <c r="CT13" i="1" s="1"/>
  <c r="N13" i="1"/>
  <c r="CD13" i="1" s="1"/>
  <c r="BV13" i="1"/>
  <c r="CZ13" i="1"/>
  <c r="G42" i="4"/>
  <c r="C79" i="5"/>
  <c r="C79" i="26"/>
  <c r="FW12" i="1"/>
  <c r="FX18" i="1"/>
  <c r="FW18" i="1"/>
  <c r="BS11" i="1"/>
  <c r="CV44" i="1"/>
  <c r="N9" i="1"/>
  <c r="Q13" i="7"/>
  <c r="BY15" i="1"/>
  <c r="FG15" i="1"/>
  <c r="EI15" i="1"/>
  <c r="GB17" i="4"/>
  <c r="FU17" i="4" s="1"/>
  <c r="BR15" i="1"/>
  <c r="DF15" i="1" s="1"/>
  <c r="CH15" i="1"/>
  <c r="CU15" i="1" s="1"/>
  <c r="CX15" i="1"/>
  <c r="DD15" i="1" s="1"/>
  <c r="DM139" i="1"/>
  <c r="DQ139" i="1" s="1"/>
  <c r="DQ184" i="1"/>
  <c r="DL139" i="1"/>
  <c r="DP139" i="1" s="1"/>
  <c r="CQ40" i="1"/>
  <c r="FG40" i="1"/>
  <c r="GB42" i="4"/>
  <c r="FU42" i="4" s="1"/>
  <c r="BR40" i="1"/>
  <c r="EI40" i="1"/>
  <c r="BY40" i="1"/>
  <c r="CH40" i="1"/>
  <c r="CU40" i="1" s="1"/>
  <c r="CX40" i="1"/>
  <c r="DD40" i="1" s="1"/>
  <c r="DN144" i="1"/>
  <c r="DR144" i="1" s="1"/>
  <c r="DO144" i="1"/>
  <c r="DS144" i="1" s="1"/>
  <c r="EF44" i="1"/>
  <c r="C29" i="5"/>
  <c r="C29" i="26"/>
  <c r="G17" i="4"/>
  <c r="DO138" i="1"/>
  <c r="DS138" i="1" s="1"/>
  <c r="DN138" i="1"/>
  <c r="DR138" i="1" s="1"/>
  <c r="EM41" i="1"/>
  <c r="EG29" i="1"/>
  <c r="CB29" i="1"/>
  <c r="CC29" i="1"/>
  <c r="DF12" i="1"/>
  <c r="GY30" i="4"/>
  <c r="DF44" i="1"/>
  <c r="CX126" i="1"/>
  <c r="AR126" i="1" s="1"/>
  <c r="AH11" i="1" s="1"/>
  <c r="CB290" i="1"/>
  <c r="CC290" i="1" s="1"/>
  <c r="X11" i="1" s="1"/>
  <c r="U15" i="7" s="1"/>
  <c r="EM25" i="1"/>
  <c r="EL25" i="1"/>
  <c r="BT40" i="1"/>
  <c r="EJ40" i="1"/>
  <c r="V44" i="7"/>
  <c r="EG35" i="1"/>
  <c r="CC35" i="1"/>
  <c r="CB35" i="1"/>
  <c r="CQ18" i="1"/>
  <c r="CV18" i="1"/>
  <c r="BZ11" i="1"/>
  <c r="T19" i="7"/>
  <c r="DM157" i="1"/>
  <c r="DQ157" i="1" s="1"/>
  <c r="DL157" i="1"/>
  <c r="DP157" i="1" s="1"/>
  <c r="DQ202" i="1"/>
  <c r="I11" i="8"/>
  <c r="I25" i="8"/>
  <c r="I16" i="8"/>
  <c r="I15" i="8"/>
  <c r="I19" i="8"/>
  <c r="I26" i="8"/>
  <c r="I24" i="8"/>
  <c r="I3" i="8"/>
  <c r="I9" i="8"/>
  <c r="I23" i="8"/>
  <c r="I22" i="8"/>
  <c r="I5" i="8"/>
  <c r="I7" i="8"/>
  <c r="I32" i="8"/>
  <c r="I10" i="8"/>
  <c r="I29" i="8"/>
  <c r="I6" i="8"/>
  <c r="CD68" i="1"/>
  <c r="I27" i="8"/>
  <c r="I8" i="8"/>
  <c r="I12" i="8"/>
  <c r="I14" i="8"/>
  <c r="I13" i="8"/>
  <c r="I28" i="8"/>
  <c r="I31" i="8"/>
  <c r="W3" i="4"/>
  <c r="I20" i="8"/>
  <c r="I18" i="8"/>
  <c r="I30" i="8"/>
  <c r="I4" i="8"/>
  <c r="I17" i="8"/>
  <c r="I21" i="8"/>
  <c r="Z3" i="4"/>
  <c r="Y4" i="4"/>
  <c r="Z4" i="4" s="1"/>
  <c r="AB3" i="4"/>
  <c r="AD13" i="20"/>
  <c r="DE13" i="20"/>
  <c r="AD7" i="20"/>
  <c r="AY8" i="20"/>
  <c r="DT8" i="20"/>
  <c r="DT9" i="20"/>
  <c r="AY9" i="20"/>
  <c r="AD9" i="20"/>
  <c r="DE9" i="20"/>
  <c r="AY10" i="20"/>
  <c r="DT10" i="20"/>
  <c r="AY13" i="20"/>
  <c r="DT13" i="20"/>
  <c r="AD12" i="20"/>
  <c r="DE8" i="20"/>
  <c r="AD8" i="20"/>
  <c r="DE10" i="20"/>
  <c r="FX5" i="1" l="1"/>
  <c r="DL133" i="1"/>
  <c r="DP133" i="1" s="1"/>
  <c r="EL39" i="1"/>
  <c r="DW46" i="1"/>
  <c r="FU7" i="4"/>
  <c r="FT7" i="4" s="1"/>
  <c r="I7" i="4" s="1"/>
  <c r="FR7" i="4" s="1"/>
  <c r="EL16" i="1"/>
  <c r="EM22" i="1"/>
  <c r="EM28" i="1"/>
  <c r="DT151" i="1"/>
  <c r="DS196" i="1" s="1"/>
  <c r="EL23" i="1"/>
  <c r="EL14" i="1"/>
  <c r="EL21" i="1"/>
  <c r="EL12" i="1"/>
  <c r="FX10" i="1"/>
  <c r="CB5" i="1"/>
  <c r="DD10" i="1"/>
  <c r="I12" i="20"/>
  <c r="EA12" i="20"/>
  <c r="BG12" i="20" s="1"/>
  <c r="DA12" i="20"/>
  <c r="DS12" i="20"/>
  <c r="EJ10" i="1"/>
  <c r="DE10" i="1"/>
  <c r="J12" i="4" s="1"/>
  <c r="FQ12" i="4" s="1"/>
  <c r="CU5" i="1"/>
  <c r="DQ178" i="1"/>
  <c r="C72" i="5"/>
  <c r="C34" i="5"/>
  <c r="C88" i="5"/>
  <c r="C84" i="26"/>
  <c r="C36" i="26"/>
  <c r="DF16" i="1"/>
  <c r="EY7" i="1"/>
  <c r="EM7" i="1" s="1"/>
  <c r="FA7" i="1"/>
  <c r="FC7" i="1" s="1"/>
  <c r="EN7" i="1"/>
  <c r="C58" i="26"/>
  <c r="EM34" i="1"/>
  <c r="FT23" i="4"/>
  <c r="I23" i="4" s="1"/>
  <c r="FR23" i="4" s="1"/>
  <c r="CV16" i="1"/>
  <c r="EL43" i="1"/>
  <c r="EM23" i="1"/>
  <c r="EG8" i="1"/>
  <c r="EH8" i="1" s="1"/>
  <c r="FO10" i="4" s="1"/>
  <c r="CB8" i="1"/>
  <c r="DH8" i="1"/>
  <c r="C76" i="5"/>
  <c r="EG31" i="1"/>
  <c r="EH31" i="1" s="1"/>
  <c r="FO33" i="4" s="1"/>
  <c r="CV45" i="1"/>
  <c r="EL37" i="1"/>
  <c r="DH16" i="1"/>
  <c r="DF45" i="1"/>
  <c r="C32" i="7"/>
  <c r="C56" i="26" s="1"/>
  <c r="CB16" i="1"/>
  <c r="C39" i="7"/>
  <c r="C70" i="26" s="1"/>
  <c r="EG16" i="1"/>
  <c r="EH16" i="1" s="1"/>
  <c r="FO18" i="4" s="1"/>
  <c r="C68" i="5"/>
  <c r="FU9" i="4"/>
  <c r="FT9" i="4" s="1"/>
  <c r="I9" i="4" s="1"/>
  <c r="FR9" i="4" s="1"/>
  <c r="C48" i="5"/>
  <c r="C46" i="26"/>
  <c r="C19" i="7"/>
  <c r="C30" i="5" s="1"/>
  <c r="C29" i="7"/>
  <c r="C50" i="5" s="1"/>
  <c r="C18" i="7"/>
  <c r="C28" i="26" s="1"/>
  <c r="C44" i="7"/>
  <c r="C80" i="26" s="1"/>
  <c r="C23" i="7"/>
  <c r="C38" i="5" s="1"/>
  <c r="C16" i="7"/>
  <c r="C24" i="5" s="1"/>
  <c r="C41" i="7"/>
  <c r="C74" i="26" s="1"/>
  <c r="C37" i="7"/>
  <c r="C66" i="26" s="1"/>
  <c r="C47" i="7"/>
  <c r="C86" i="26" s="1"/>
  <c r="C49" i="7"/>
  <c r="C90" i="5" s="1"/>
  <c r="C78" i="5"/>
  <c r="C78" i="26"/>
  <c r="C42" i="5"/>
  <c r="C42" i="26"/>
  <c r="C64" i="26"/>
  <c r="C64" i="5"/>
  <c r="C32" i="26"/>
  <c r="C32" i="5"/>
  <c r="BW31" i="1"/>
  <c r="C52" i="5"/>
  <c r="C52" i="26"/>
  <c r="C60" i="5"/>
  <c r="C60" i="26"/>
  <c r="C40" i="26"/>
  <c r="C40" i="5"/>
  <c r="C44" i="26"/>
  <c r="C44" i="5"/>
  <c r="C54" i="5"/>
  <c r="C54" i="26"/>
  <c r="C62" i="5"/>
  <c r="C62" i="26"/>
  <c r="EG5" i="1"/>
  <c r="EH5" i="1" s="1"/>
  <c r="FO7" i="4" s="1"/>
  <c r="EL30" i="1"/>
  <c r="EL18" i="1"/>
  <c r="FT36" i="4"/>
  <c r="I36" i="4" s="1"/>
  <c r="FR36" i="4" s="1"/>
  <c r="CZ9" i="1"/>
  <c r="DN151" i="1"/>
  <c r="DR151" i="1" s="1"/>
  <c r="DU151" i="1" s="1"/>
  <c r="DT196" i="1" s="1"/>
  <c r="DU196" i="1" s="1"/>
  <c r="EL44" i="1"/>
  <c r="FT17" i="4"/>
  <c r="I17" i="4" s="1"/>
  <c r="FR17" i="4" s="1"/>
  <c r="CB34" i="1"/>
  <c r="DM138" i="1"/>
  <c r="DQ138" i="1" s="1"/>
  <c r="DT138" i="1" s="1"/>
  <c r="DS198" i="1"/>
  <c r="EG34" i="1"/>
  <c r="EF34" i="1" s="1"/>
  <c r="DO157" i="1"/>
  <c r="DS157" i="1" s="1"/>
  <c r="DU157" i="1" s="1"/>
  <c r="DQ183" i="1"/>
  <c r="DR183" i="1" s="1"/>
  <c r="CV34" i="1"/>
  <c r="BW45" i="1"/>
  <c r="DH45" i="1" s="1"/>
  <c r="EG21" i="1"/>
  <c r="P23" i="4" s="1"/>
  <c r="R23" i="4" s="1"/>
  <c r="CU16" i="1"/>
  <c r="DO153" i="1"/>
  <c r="DS153" i="1" s="1"/>
  <c r="DU153" i="1" s="1"/>
  <c r="DT198" i="1" s="1"/>
  <c r="DU198" i="1" s="1"/>
  <c r="BW21" i="1"/>
  <c r="DH21" i="1" s="1"/>
  <c r="EL10" i="1"/>
  <c r="DN147" i="1"/>
  <c r="DR147" i="1" s="1"/>
  <c r="DU147" i="1" s="1"/>
  <c r="DT192" i="1" s="1"/>
  <c r="FT39" i="4"/>
  <c r="I39" i="4" s="1"/>
  <c r="FR39" i="4" s="1"/>
  <c r="DH39" i="1"/>
  <c r="FT47" i="4"/>
  <c r="I47" i="4" s="1"/>
  <c r="FR47" i="4" s="1"/>
  <c r="EL24" i="1"/>
  <c r="EM24" i="1"/>
  <c r="EL19" i="1"/>
  <c r="P28" i="4"/>
  <c r="R28" i="4" s="1"/>
  <c r="FX16" i="1"/>
  <c r="FT38" i="4"/>
  <c r="I38" i="4" s="1"/>
  <c r="FR38" i="4" s="1"/>
  <c r="CB21" i="1"/>
  <c r="FT12" i="4"/>
  <c r="I12" i="4" s="1"/>
  <c r="FR12" i="4" s="1"/>
  <c r="CC27" i="1"/>
  <c r="DH27" i="1" s="1"/>
  <c r="DT137" i="1"/>
  <c r="DS182" i="1" s="1"/>
  <c r="DT176" i="1"/>
  <c r="EG27" i="1"/>
  <c r="P29" i="4" s="1"/>
  <c r="Q29" i="4" s="1"/>
  <c r="EH26" i="1"/>
  <c r="FO28" i="4" s="1"/>
  <c r="FT19" i="4"/>
  <c r="I19" i="4" s="1"/>
  <c r="FR19" i="4" s="1"/>
  <c r="FT24" i="4"/>
  <c r="I24" i="4" s="1"/>
  <c r="FR24" i="4" s="1"/>
  <c r="CB7" i="1"/>
  <c r="DS176" i="1"/>
  <c r="EM31" i="1"/>
  <c r="EL31" i="1"/>
  <c r="EG45" i="1"/>
  <c r="EF45" i="1" s="1"/>
  <c r="P46" i="4"/>
  <c r="Q46" i="4" s="1"/>
  <c r="P27" i="4"/>
  <c r="R27" i="4" s="1"/>
  <c r="DL144" i="1"/>
  <c r="DP144" i="1" s="1"/>
  <c r="CB45" i="1"/>
  <c r="EH39" i="1"/>
  <c r="FO41" i="4" s="1"/>
  <c r="CC5" i="1"/>
  <c r="CV21" i="1"/>
  <c r="CV27" i="1"/>
  <c r="EH25" i="1"/>
  <c r="FO27" i="4" s="1"/>
  <c r="DO137" i="1"/>
  <c r="DS137" i="1" s="1"/>
  <c r="DU137" i="1" s="1"/>
  <c r="DT182" i="1" s="1"/>
  <c r="DT147" i="1"/>
  <c r="DS192" i="1" s="1"/>
  <c r="CM9" i="1"/>
  <c r="CT9" i="1" s="1"/>
  <c r="EH23" i="1"/>
  <c r="FO25" i="4" s="1"/>
  <c r="CC31" i="1"/>
  <c r="FT44" i="4"/>
  <c r="I44" i="4" s="1"/>
  <c r="FR44" i="4" s="1"/>
  <c r="P25" i="4"/>
  <c r="R25" i="4" s="1"/>
  <c r="DH26" i="1"/>
  <c r="EG7" i="1"/>
  <c r="EH7" i="1" s="1"/>
  <c r="FO9" i="4" s="1"/>
  <c r="FT35" i="4"/>
  <c r="I35" i="4" s="1"/>
  <c r="FR35" i="4" s="1"/>
  <c r="DF6" i="1"/>
  <c r="DD6" i="1"/>
  <c r="DU144" i="1"/>
  <c r="DT189" i="1" s="1"/>
  <c r="EY9" i="1"/>
  <c r="EM9" i="1" s="1"/>
  <c r="EZ9" i="1"/>
  <c r="FA9" i="1"/>
  <c r="FC9" i="1" s="1"/>
  <c r="EN9" i="1"/>
  <c r="FT40" i="4"/>
  <c r="I40" i="4" s="1"/>
  <c r="FR40" i="4" s="1"/>
  <c r="FB1" i="1"/>
  <c r="AG5" i="1"/>
  <c r="AF5" i="1"/>
  <c r="V9" i="7"/>
  <c r="DG6" i="1"/>
  <c r="DH6" i="1"/>
  <c r="CV6" i="1"/>
  <c r="DJ123" i="1"/>
  <c r="FI8" i="1"/>
  <c r="FT6" i="1"/>
  <c r="EJ6" i="1"/>
  <c r="EK6" i="1" s="1"/>
  <c r="EL6" i="1"/>
  <c r="I11" i="20"/>
  <c r="DA11" i="20"/>
  <c r="DS11" i="20"/>
  <c r="EA11" i="20"/>
  <c r="BG11" i="20" s="1"/>
  <c r="Y9" i="1"/>
  <c r="CP9" i="1"/>
  <c r="CR9" i="1" s="1"/>
  <c r="CR46" i="1" s="1"/>
  <c r="CD54" i="1" s="1"/>
  <c r="DC9" i="1"/>
  <c r="S13" i="7"/>
  <c r="CZ5" i="1"/>
  <c r="DE5" i="1" s="1"/>
  <c r="J7" i="4" s="1"/>
  <c r="FQ7" i="4" s="1"/>
  <c r="CM5" i="1"/>
  <c r="CT5" i="1" s="1"/>
  <c r="BV5" i="1"/>
  <c r="DF5" i="1" s="1"/>
  <c r="CD5" i="1"/>
  <c r="Z46" i="1"/>
  <c r="EJ46" i="1" s="1"/>
  <c r="K11" i="20"/>
  <c r="DC11" i="20"/>
  <c r="AG11" i="20" s="1"/>
  <c r="I7" i="20"/>
  <c r="DA7" i="20"/>
  <c r="DS7" i="20"/>
  <c r="EA7" i="20"/>
  <c r="BG7" i="20" s="1"/>
  <c r="DE6" i="1"/>
  <c r="J8" i="4" s="1"/>
  <c r="FQ8" i="4" s="1"/>
  <c r="FT7" i="1"/>
  <c r="EJ7" i="1"/>
  <c r="EK7" i="1" s="1"/>
  <c r="FB5" i="1"/>
  <c r="FI5" i="1"/>
  <c r="CM7" i="1"/>
  <c r="CT7" i="1" s="1"/>
  <c r="BV7" i="1"/>
  <c r="BW7" i="1" s="1"/>
  <c r="DH7" i="1" s="1"/>
  <c r="CD7" i="1"/>
  <c r="CZ7" i="1"/>
  <c r="DE7" i="1" s="1"/>
  <c r="J9" i="4" s="1"/>
  <c r="FQ9" i="4" s="1"/>
  <c r="FB8" i="1"/>
  <c r="DK123" i="1"/>
  <c r="AG8" i="1"/>
  <c r="V12" i="7"/>
  <c r="AF8" i="1"/>
  <c r="EB11" i="20"/>
  <c r="BH11" i="20" s="1"/>
  <c r="CD9" i="1"/>
  <c r="CQ9" i="1" s="1"/>
  <c r="FD9" i="1"/>
  <c r="DH44" i="1"/>
  <c r="DS199" i="1"/>
  <c r="FX31" i="1"/>
  <c r="CC37" i="1"/>
  <c r="EG37" i="1"/>
  <c r="CB37" i="1"/>
  <c r="FW37" i="1"/>
  <c r="FX37" i="1"/>
  <c r="EF16" i="1"/>
  <c r="DJ120" i="1"/>
  <c r="DK120" i="1"/>
  <c r="DK152" i="1"/>
  <c r="DJ152" i="1"/>
  <c r="CQ37" i="1"/>
  <c r="CV37" i="1"/>
  <c r="GY23" i="4"/>
  <c r="BW37" i="1"/>
  <c r="DF37" i="1"/>
  <c r="DH23" i="1"/>
  <c r="DM144" i="1"/>
  <c r="DQ144" i="1" s="1"/>
  <c r="EF39" i="1"/>
  <c r="FT34" i="4"/>
  <c r="I34" i="4" s="1"/>
  <c r="FR34" i="4" s="1"/>
  <c r="FT45" i="4"/>
  <c r="I45" i="4" s="1"/>
  <c r="FR45" i="4" s="1"/>
  <c r="DH25" i="1"/>
  <c r="DU135" i="1"/>
  <c r="DT180" i="1" s="1"/>
  <c r="DH12" i="1"/>
  <c r="DM142" i="1"/>
  <c r="DQ142" i="1" s="1"/>
  <c r="DQ187" i="1"/>
  <c r="DR187" i="1" s="1"/>
  <c r="DL142" i="1"/>
  <c r="DP142" i="1" s="1"/>
  <c r="DT199" i="1"/>
  <c r="CV31" i="1"/>
  <c r="FT30" i="4"/>
  <c r="I30" i="4" s="1"/>
  <c r="FR30" i="4" s="1"/>
  <c r="DN142" i="1"/>
  <c r="DR142" i="1" s="1"/>
  <c r="DO142" i="1"/>
  <c r="DS142" i="1" s="1"/>
  <c r="CQ10" i="1"/>
  <c r="CV10" i="1"/>
  <c r="CB10" i="1"/>
  <c r="CC10" i="1"/>
  <c r="EG10" i="1"/>
  <c r="EH10" i="1" s="1"/>
  <c r="FO12" i="4" s="1"/>
  <c r="EG22" i="1"/>
  <c r="EH22" i="1" s="1"/>
  <c r="FO24" i="4" s="1"/>
  <c r="CB22" i="1"/>
  <c r="CC22" i="1"/>
  <c r="CQ22" i="1"/>
  <c r="CV22" i="1"/>
  <c r="DF24" i="1"/>
  <c r="BW24" i="1"/>
  <c r="FW24" i="1"/>
  <c r="CQ24" i="1"/>
  <c r="CV24" i="1"/>
  <c r="DJ129" i="1"/>
  <c r="DK129" i="1"/>
  <c r="DJ127" i="1"/>
  <c r="DK127" i="1"/>
  <c r="DF10" i="1"/>
  <c r="BW10" i="1"/>
  <c r="DG10" i="1" s="1"/>
  <c r="DF22" i="1"/>
  <c r="BW22" i="1"/>
  <c r="FW22" i="1"/>
  <c r="FX22" i="1"/>
  <c r="CB24" i="1"/>
  <c r="EG24" i="1"/>
  <c r="EH24" i="1" s="1"/>
  <c r="FO26" i="4" s="1"/>
  <c r="CC24" i="1"/>
  <c r="CV30" i="1"/>
  <c r="U17" i="7"/>
  <c r="DU133" i="1"/>
  <c r="FW30" i="1"/>
  <c r="DT135" i="1"/>
  <c r="DS180" i="1" s="1"/>
  <c r="FT32" i="4"/>
  <c r="I32" i="4" s="1"/>
  <c r="FR32" i="4" s="1"/>
  <c r="DU145" i="1"/>
  <c r="DL136" i="1"/>
  <c r="DP136" i="1" s="1"/>
  <c r="DQ181" i="1"/>
  <c r="DM136" i="1"/>
  <c r="DQ136" i="1" s="1"/>
  <c r="DK140" i="1"/>
  <c r="DJ140" i="1"/>
  <c r="BW17" i="1"/>
  <c r="DF17" i="1"/>
  <c r="FW19" i="1"/>
  <c r="FX19" i="1"/>
  <c r="BT41" i="1"/>
  <c r="EJ41" i="1"/>
  <c r="V45" i="7"/>
  <c r="DN136" i="1"/>
  <c r="DR136" i="1" s="1"/>
  <c r="DO136" i="1"/>
  <c r="DS136" i="1" s="1"/>
  <c r="CQ41" i="1"/>
  <c r="EL41" i="1"/>
  <c r="DF19" i="1"/>
  <c r="BW19" i="1"/>
  <c r="FW17" i="1"/>
  <c r="DJ160" i="1"/>
  <c r="DK160" i="1"/>
  <c r="DK134" i="1"/>
  <c r="DJ134" i="1"/>
  <c r="U45" i="7"/>
  <c r="C45" i="7" s="1"/>
  <c r="GB43" i="4"/>
  <c r="FU43" i="4" s="1"/>
  <c r="FT43" i="4" s="1"/>
  <c r="I43" i="4" s="1"/>
  <c r="FR43" i="4" s="1"/>
  <c r="FG41" i="1"/>
  <c r="BY41" i="1"/>
  <c r="EI41" i="1"/>
  <c r="CH41" i="1"/>
  <c r="CU41" i="1" s="1"/>
  <c r="BR41" i="1"/>
  <c r="CX41" i="1"/>
  <c r="DD41" i="1" s="1"/>
  <c r="FT42" i="4"/>
  <c r="I42" i="4" s="1"/>
  <c r="FR42" i="4" s="1"/>
  <c r="DH14" i="1"/>
  <c r="CC19" i="1"/>
  <c r="CB19" i="1"/>
  <c r="EG19" i="1"/>
  <c r="CQ19" i="1"/>
  <c r="CV19" i="1"/>
  <c r="C81" i="5"/>
  <c r="C81" i="26"/>
  <c r="G43" i="4"/>
  <c r="DJ150" i="1"/>
  <c r="DK150" i="1"/>
  <c r="CQ17" i="1"/>
  <c r="CV17" i="1"/>
  <c r="CB17" i="1"/>
  <c r="CC17" i="1"/>
  <c r="EG17" i="1"/>
  <c r="DT132" i="1"/>
  <c r="DS177" i="1" s="1"/>
  <c r="DH18" i="1"/>
  <c r="P34" i="4"/>
  <c r="EF32" i="1"/>
  <c r="EG33" i="1"/>
  <c r="CC33" i="1"/>
  <c r="CB33" i="1"/>
  <c r="BW42" i="1"/>
  <c r="GY28" i="4"/>
  <c r="DF42" i="1"/>
  <c r="FW28" i="1"/>
  <c r="FX28" i="1"/>
  <c r="DN141" i="1"/>
  <c r="DR141" i="1" s="1"/>
  <c r="DO141" i="1"/>
  <c r="DS141" i="1" s="1"/>
  <c r="BW32" i="1"/>
  <c r="DF32" i="1"/>
  <c r="CQ43" i="1"/>
  <c r="CV43" i="1"/>
  <c r="DH20" i="1"/>
  <c r="DJ158" i="1"/>
  <c r="DK158" i="1"/>
  <c r="DT157" i="1"/>
  <c r="DS202" i="1" s="1"/>
  <c r="CB42" i="1"/>
  <c r="EG42" i="1"/>
  <c r="CC42" i="1"/>
  <c r="FX36" i="1"/>
  <c r="FW36" i="1"/>
  <c r="BW28" i="1"/>
  <c r="DF28" i="1"/>
  <c r="DQ186" i="1"/>
  <c r="DR186" i="1" s="1"/>
  <c r="DM141" i="1"/>
  <c r="DQ141" i="1" s="1"/>
  <c r="DL141" i="1"/>
  <c r="DP141" i="1" s="1"/>
  <c r="DF30" i="1"/>
  <c r="BW30" i="1"/>
  <c r="DJ148" i="1"/>
  <c r="DK148" i="1"/>
  <c r="DF38" i="1"/>
  <c r="GY24" i="4"/>
  <c r="BW38" i="1"/>
  <c r="FW32" i="1"/>
  <c r="FX32" i="1"/>
  <c r="FW38" i="1"/>
  <c r="DR190" i="1"/>
  <c r="CQ32" i="1"/>
  <c r="CV32" i="1"/>
  <c r="FX33" i="1"/>
  <c r="FW33" i="1"/>
  <c r="CU42" i="1"/>
  <c r="CV42" i="1"/>
  <c r="GY22" i="4"/>
  <c r="BW36" i="1"/>
  <c r="DF36" i="1"/>
  <c r="EG36" i="1"/>
  <c r="CB36" i="1"/>
  <c r="CC36" i="1"/>
  <c r="DH36" i="1" s="1"/>
  <c r="DK143" i="1"/>
  <c r="DJ143" i="1"/>
  <c r="CB28" i="1"/>
  <c r="EG28" i="1"/>
  <c r="CC28" i="1"/>
  <c r="EH14" i="1"/>
  <c r="FO16" i="4" s="1"/>
  <c r="P16" i="4"/>
  <c r="EF14" i="1"/>
  <c r="EG38" i="1"/>
  <c r="CC38" i="1"/>
  <c r="CB38" i="1"/>
  <c r="CB32" i="1"/>
  <c r="CC32" i="1"/>
  <c r="EH32" i="1"/>
  <c r="FO34" i="4" s="1"/>
  <c r="CB43" i="1"/>
  <c r="EG43" i="1"/>
  <c r="CC43" i="1"/>
  <c r="FW43" i="1"/>
  <c r="FX43" i="1"/>
  <c r="CV33" i="1"/>
  <c r="CV40" i="1"/>
  <c r="DU159" i="1"/>
  <c r="DT133" i="1"/>
  <c r="DS178" i="1" s="1"/>
  <c r="CV28" i="1"/>
  <c r="CQ28" i="1"/>
  <c r="EF20" i="1"/>
  <c r="EH20" i="1"/>
  <c r="FO22" i="4" s="1"/>
  <c r="P22" i="4"/>
  <c r="DT145" i="1"/>
  <c r="DS190" i="1" s="1"/>
  <c r="DF33" i="1"/>
  <c r="BW33" i="1"/>
  <c r="FX42" i="1"/>
  <c r="FW42" i="1"/>
  <c r="CQ36" i="1"/>
  <c r="CV36" i="1"/>
  <c r="EG30" i="1"/>
  <c r="EH30" i="1" s="1"/>
  <c r="FO32" i="4" s="1"/>
  <c r="CC30" i="1"/>
  <c r="CB30" i="1"/>
  <c r="CV38" i="1"/>
  <c r="CU38" i="1"/>
  <c r="GY29" i="4"/>
  <c r="BW43" i="1"/>
  <c r="DF43" i="1"/>
  <c r="EH35" i="1"/>
  <c r="FO37" i="4" s="1"/>
  <c r="EF35" i="1"/>
  <c r="P37" i="4"/>
  <c r="EG40" i="1"/>
  <c r="CC40" i="1"/>
  <c r="CB40" i="1"/>
  <c r="FX40" i="1"/>
  <c r="FW40" i="1"/>
  <c r="DR184" i="1"/>
  <c r="CB15" i="1"/>
  <c r="CC15" i="1"/>
  <c r="EG15" i="1"/>
  <c r="CQ13" i="1"/>
  <c r="DH35" i="1"/>
  <c r="FG11" i="1"/>
  <c r="BY11" i="1"/>
  <c r="EI11" i="1"/>
  <c r="BR11" i="1"/>
  <c r="DF11" i="1" s="1"/>
  <c r="DG11" i="1" s="1"/>
  <c r="DY11" i="1" s="1"/>
  <c r="DZ11" i="1" s="1"/>
  <c r="EA11" i="1" s="1"/>
  <c r="EB11" i="1" s="1"/>
  <c r="EC11" i="1" s="1"/>
  <c r="ED11" i="1" s="1"/>
  <c r="EE11" i="1" s="1"/>
  <c r="GB13" i="4"/>
  <c r="FU13" i="4" s="1"/>
  <c r="FT13" i="4" s="1"/>
  <c r="I13" i="4" s="1"/>
  <c r="FR13" i="4" s="1"/>
  <c r="CX11" i="1"/>
  <c r="DD11" i="1" s="1"/>
  <c r="CH11" i="1"/>
  <c r="CU11" i="1" s="1"/>
  <c r="DH29" i="1"/>
  <c r="BT9" i="1"/>
  <c r="X46" i="1"/>
  <c r="DH34" i="1"/>
  <c r="DL149" i="1"/>
  <c r="DP149" i="1" s="1"/>
  <c r="DQ194" i="1"/>
  <c r="DR194" i="1" s="1"/>
  <c r="DM149" i="1"/>
  <c r="DQ149" i="1" s="1"/>
  <c r="T13" i="7"/>
  <c r="DR204" i="1"/>
  <c r="DU138" i="1"/>
  <c r="GB11" i="4"/>
  <c r="FU11" i="4" s="1"/>
  <c r="FT11" i="4" s="1"/>
  <c r="I11" i="4" s="1"/>
  <c r="FR11" i="4" s="1"/>
  <c r="CX9" i="1"/>
  <c r="CH9" i="1"/>
  <c r="CU9" i="1" s="1"/>
  <c r="FG9" i="1"/>
  <c r="EI9" i="1"/>
  <c r="EJ9" i="1" s="1"/>
  <c r="BR9" i="1"/>
  <c r="BY9" i="1"/>
  <c r="CB9" i="1" s="1"/>
  <c r="DU139" i="1"/>
  <c r="BW15" i="1"/>
  <c r="DN146" i="1"/>
  <c r="DR146" i="1" s="1"/>
  <c r="DO146" i="1"/>
  <c r="DS146" i="1" s="1"/>
  <c r="DO149" i="1"/>
  <c r="DS149" i="1" s="1"/>
  <c r="DN149" i="1"/>
  <c r="DR149" i="1" s="1"/>
  <c r="EF31" i="1"/>
  <c r="P33" i="4"/>
  <c r="CS46" i="1"/>
  <c r="CD53" i="1" s="1"/>
  <c r="DJ155" i="1"/>
  <c r="DK155" i="1"/>
  <c r="V15" i="7"/>
  <c r="EL11" i="1"/>
  <c r="EJ11" i="1"/>
  <c r="BT11" i="1"/>
  <c r="EH29" i="1"/>
  <c r="FO31" i="4" s="1"/>
  <c r="P31" i="4"/>
  <c r="EF29" i="1"/>
  <c r="GY26" i="4"/>
  <c r="DF40" i="1"/>
  <c r="T15" i="7"/>
  <c r="P47" i="4"/>
  <c r="R41" i="4"/>
  <c r="Q41" i="4"/>
  <c r="DL146" i="1"/>
  <c r="DP146" i="1" s="1"/>
  <c r="DQ191" i="1"/>
  <c r="DR191" i="1" s="1"/>
  <c r="DM146" i="1"/>
  <c r="DQ146" i="1" s="1"/>
  <c r="EH18" i="1"/>
  <c r="FO20" i="4" s="1"/>
  <c r="P20" i="4"/>
  <c r="EF18" i="1"/>
  <c r="G15" i="4"/>
  <c r="C25" i="5"/>
  <c r="C25" i="26"/>
  <c r="P14" i="4"/>
  <c r="EF12" i="1"/>
  <c r="EH12" i="1"/>
  <c r="FO14" i="4" s="1"/>
  <c r="DK130" i="1"/>
  <c r="DJ130" i="1"/>
  <c r="DR178" i="1"/>
  <c r="CV15" i="1"/>
  <c r="BW40" i="1"/>
  <c r="C21" i="26"/>
  <c r="C21" i="5"/>
  <c r="G13" i="4"/>
  <c r="DT139" i="1"/>
  <c r="DS184" i="1" s="1"/>
  <c r="FX15" i="1"/>
  <c r="FW15" i="1"/>
  <c r="BR13" i="1"/>
  <c r="BY13" i="1"/>
  <c r="CX13" i="1"/>
  <c r="DD13" i="1" s="1"/>
  <c r="EI13" i="1"/>
  <c r="FG13" i="1"/>
  <c r="CH13" i="1"/>
  <c r="CU13" i="1" s="1"/>
  <c r="GB15" i="4"/>
  <c r="FU15" i="4" s="1"/>
  <c r="FT15" i="4" s="1"/>
  <c r="I15" i="4" s="1"/>
  <c r="FR15" i="4" s="1"/>
  <c r="DU132" i="1"/>
  <c r="DT177" i="1" s="1"/>
  <c r="CD11" i="1"/>
  <c r="C17" i="26"/>
  <c r="C17" i="5"/>
  <c r="G11" i="4"/>
  <c r="BT13" i="1"/>
  <c r="EJ13" i="1"/>
  <c r="EL13" i="1"/>
  <c r="V17" i="7"/>
  <c r="DT159" i="1"/>
  <c r="DS204" i="1" s="1"/>
  <c r="DR202" i="1"/>
  <c r="U21" i="8"/>
  <c r="F48" i="15"/>
  <c r="G48" i="15" s="1"/>
  <c r="F42" i="15"/>
  <c r="G42" i="15" s="1"/>
  <c r="U18" i="8"/>
  <c r="F62" i="15"/>
  <c r="G62" i="15" s="1"/>
  <c r="U28" i="8"/>
  <c r="F108" i="26"/>
  <c r="G108" i="26" s="1"/>
  <c r="F22" i="15"/>
  <c r="G22" i="15" s="1"/>
  <c r="U8" i="8"/>
  <c r="F64" i="15"/>
  <c r="G64" i="15" s="1"/>
  <c r="U29" i="8"/>
  <c r="F16" i="15"/>
  <c r="G16" i="15" s="1"/>
  <c r="U5" i="8"/>
  <c r="F102" i="26"/>
  <c r="G102" i="26" s="1"/>
  <c r="F98" i="26"/>
  <c r="G98" i="26" s="1"/>
  <c r="F12" i="15"/>
  <c r="G12" i="15" s="1"/>
  <c r="U3" i="8"/>
  <c r="F122" i="26"/>
  <c r="G122" i="26" s="1"/>
  <c r="U15" i="8"/>
  <c r="F36" i="15"/>
  <c r="G36" i="15" s="1"/>
  <c r="U17" i="8"/>
  <c r="F40" i="15"/>
  <c r="G40" i="15" s="1"/>
  <c r="U20" i="8"/>
  <c r="F46" i="15"/>
  <c r="G46" i="15" s="1"/>
  <c r="F118" i="26"/>
  <c r="G118" i="26" s="1"/>
  <c r="U13" i="8"/>
  <c r="F32" i="15"/>
  <c r="G32" i="15" s="1"/>
  <c r="U27" i="8"/>
  <c r="F60" i="15"/>
  <c r="G60" i="15" s="1"/>
  <c r="F26" i="15"/>
  <c r="G26" i="15" s="1"/>
  <c r="U10" i="8"/>
  <c r="F112" i="26"/>
  <c r="G112" i="26" s="1"/>
  <c r="U22" i="8"/>
  <c r="F50" i="15"/>
  <c r="G50" i="15" s="1"/>
  <c r="F54" i="15"/>
  <c r="G54" i="15" s="1"/>
  <c r="U24" i="8"/>
  <c r="U16" i="8"/>
  <c r="F124" i="26"/>
  <c r="G124" i="26" s="1"/>
  <c r="F38" i="15"/>
  <c r="G38" i="15" s="1"/>
  <c r="F14" i="15"/>
  <c r="G14" i="15" s="1"/>
  <c r="U4" i="8"/>
  <c r="F100" i="26"/>
  <c r="G100" i="26" s="1"/>
  <c r="X3" i="4"/>
  <c r="W4" i="4"/>
  <c r="X4" i="4" s="1"/>
  <c r="F34" i="15"/>
  <c r="G34" i="15" s="1"/>
  <c r="F120" i="26"/>
  <c r="G120" i="26" s="1"/>
  <c r="U14" i="8"/>
  <c r="F70" i="15"/>
  <c r="G70" i="15" s="1"/>
  <c r="U32" i="8"/>
  <c r="F52" i="15"/>
  <c r="G52" i="15" s="1"/>
  <c r="U23" i="8"/>
  <c r="U26" i="8"/>
  <c r="F58" i="15"/>
  <c r="G58" i="15" s="1"/>
  <c r="F56" i="15"/>
  <c r="G56" i="15" s="1"/>
  <c r="U25" i="8"/>
  <c r="U30" i="8"/>
  <c r="F66" i="15"/>
  <c r="G66" i="15" s="1"/>
  <c r="U31" i="8"/>
  <c r="F68" i="15"/>
  <c r="G68" i="15" s="1"/>
  <c r="F116" i="26"/>
  <c r="G116" i="26" s="1"/>
  <c r="U12" i="8"/>
  <c r="F30" i="15"/>
  <c r="G30" i="15" s="1"/>
  <c r="F18" i="15"/>
  <c r="G18" i="15" s="1"/>
  <c r="F104" i="26"/>
  <c r="G104" i="26" s="1"/>
  <c r="U6" i="8"/>
  <c r="U7" i="8"/>
  <c r="F106" i="26"/>
  <c r="G106" i="26" s="1"/>
  <c r="F20" i="15"/>
  <c r="G20" i="15" s="1"/>
  <c r="U9" i="8"/>
  <c r="F110" i="26"/>
  <c r="G110" i="26" s="1"/>
  <c r="F24" i="15"/>
  <c r="G24" i="15" s="1"/>
  <c r="U19" i="8"/>
  <c r="F44" i="15"/>
  <c r="G44" i="15" s="1"/>
  <c r="F114" i="26"/>
  <c r="G114" i="26" s="1"/>
  <c r="U11" i="8"/>
  <c r="F28" i="15"/>
  <c r="G28" i="15" s="1"/>
  <c r="DP8" i="20"/>
  <c r="AJ8" i="20"/>
  <c r="AX8" i="20"/>
  <c r="DZ8" i="20"/>
  <c r="BF8" i="20" s="1"/>
  <c r="DP13" i="20"/>
  <c r="AJ13" i="20"/>
  <c r="DZ10" i="20"/>
  <c r="BF10" i="20" s="1"/>
  <c r="AX10" i="20"/>
  <c r="AX9" i="20"/>
  <c r="DZ9" i="20"/>
  <c r="BF9" i="20" s="1"/>
  <c r="DP10" i="20"/>
  <c r="AJ10" i="20"/>
  <c r="DP9" i="20"/>
  <c r="AJ9" i="20"/>
  <c r="DZ13" i="20"/>
  <c r="BF13" i="20" s="1"/>
  <c r="AX13" i="20"/>
  <c r="V13" i="4"/>
  <c r="P18" i="4" l="1"/>
  <c r="R18" i="4" s="1"/>
  <c r="DS183" i="1"/>
  <c r="EF21" i="1"/>
  <c r="DJ125" i="1"/>
  <c r="FI10" i="1"/>
  <c r="DT12" i="20"/>
  <c r="AY12" i="20"/>
  <c r="AE12" i="20"/>
  <c r="DE12" i="20"/>
  <c r="EK10" i="1"/>
  <c r="C30" i="26"/>
  <c r="C38" i="26"/>
  <c r="C56" i="5"/>
  <c r="R46" i="4"/>
  <c r="S46" i="4" s="1"/>
  <c r="EL7" i="1"/>
  <c r="C70" i="5"/>
  <c r="C86" i="5"/>
  <c r="C80" i="5"/>
  <c r="C28" i="5"/>
  <c r="C24" i="26"/>
  <c r="C66" i="5"/>
  <c r="C50" i="26"/>
  <c r="C90" i="26"/>
  <c r="P36" i="4"/>
  <c r="Q36" i="4" s="1"/>
  <c r="C74" i="5"/>
  <c r="C17" i="7"/>
  <c r="C26" i="26" s="1"/>
  <c r="C82" i="5"/>
  <c r="C82" i="26"/>
  <c r="Q23" i="4"/>
  <c r="S23" i="4" s="1"/>
  <c r="Q28" i="4"/>
  <c r="S28" i="4" s="1"/>
  <c r="EH21" i="1"/>
  <c r="FO23" i="4" s="1"/>
  <c r="DH31" i="1"/>
  <c r="EH34" i="1"/>
  <c r="FO36" i="4" s="1"/>
  <c r="EF27" i="1"/>
  <c r="R29" i="4"/>
  <c r="S29" i="4" s="1"/>
  <c r="EH27" i="1"/>
  <c r="FO29" i="4" s="1"/>
  <c r="DU192" i="1"/>
  <c r="DU176" i="1"/>
  <c r="Q27" i="4"/>
  <c r="S27" i="4" s="1"/>
  <c r="DT190" i="1"/>
  <c r="DU190" i="1" s="1"/>
  <c r="CT46" i="1"/>
  <c r="CD52" i="1" s="1"/>
  <c r="DU182" i="1"/>
  <c r="DD9" i="1"/>
  <c r="BW5" i="1"/>
  <c r="DH5" i="1" s="1"/>
  <c r="Q25" i="4"/>
  <c r="S25" i="4" s="1"/>
  <c r="EH45" i="1"/>
  <c r="FO47" i="4" s="1"/>
  <c r="DT144" i="1"/>
  <c r="DS189" i="1" s="1"/>
  <c r="DU189" i="1" s="1"/>
  <c r="EL9" i="1"/>
  <c r="BW11" i="1"/>
  <c r="FW5" i="1"/>
  <c r="FY5" i="1" s="1"/>
  <c r="DT184" i="1"/>
  <c r="DU184" i="1" s="1"/>
  <c r="DU199" i="1"/>
  <c r="AG7" i="1"/>
  <c r="AF7" i="1"/>
  <c r="V11" i="7"/>
  <c r="DK122" i="1"/>
  <c r="V10" i="7"/>
  <c r="DK121" i="1"/>
  <c r="AF6" i="1"/>
  <c r="AG6" i="1"/>
  <c r="AY7" i="20"/>
  <c r="DT7" i="20"/>
  <c r="DT11" i="20"/>
  <c r="AY11" i="20"/>
  <c r="DM123" i="1"/>
  <c r="DQ123" i="1" s="1"/>
  <c r="DL123" i="1"/>
  <c r="DP123" i="1" s="1"/>
  <c r="DQ168" i="1"/>
  <c r="DR168" i="1" s="1"/>
  <c r="DF7" i="1"/>
  <c r="CQ7" i="1"/>
  <c r="CV7" i="1"/>
  <c r="FX7" i="1"/>
  <c r="AE7" i="20"/>
  <c r="DE7" i="20"/>
  <c r="DD7" i="1"/>
  <c r="EK9" i="1"/>
  <c r="FI9" i="1" s="1"/>
  <c r="FT9" i="1"/>
  <c r="FX9" i="1" s="1"/>
  <c r="AE11" i="20"/>
  <c r="DE11" i="20"/>
  <c r="FI6" i="1"/>
  <c r="DJ121" i="1"/>
  <c r="FB6" i="1"/>
  <c r="DO123" i="1"/>
  <c r="DS123" i="1" s="1"/>
  <c r="DN123" i="1"/>
  <c r="DR123" i="1" s="1"/>
  <c r="CQ5" i="1"/>
  <c r="CV5" i="1"/>
  <c r="CV3" i="1"/>
  <c r="FX6" i="1"/>
  <c r="DJ122" i="1"/>
  <c r="FI7" i="1"/>
  <c r="FB7" i="1"/>
  <c r="DE9" i="1"/>
  <c r="J11" i="4" s="1"/>
  <c r="FQ11" i="4" s="1"/>
  <c r="AA2" i="4" s="1"/>
  <c r="FW8" i="1"/>
  <c r="DD5" i="1"/>
  <c r="DH37" i="1"/>
  <c r="DO120" i="1"/>
  <c r="DS120" i="1" s="1"/>
  <c r="DN120" i="1"/>
  <c r="DR120" i="1" s="1"/>
  <c r="P39" i="4"/>
  <c r="EF37" i="1"/>
  <c r="EH37" i="1"/>
  <c r="FO39" i="4" s="1"/>
  <c r="DU136" i="1"/>
  <c r="DU142" i="1"/>
  <c r="DT187" i="1" s="1"/>
  <c r="DL120" i="1"/>
  <c r="DP120" i="1" s="1"/>
  <c r="DM120" i="1"/>
  <c r="DQ120" i="1" s="1"/>
  <c r="DQ165" i="1"/>
  <c r="DR165" i="1" s="1"/>
  <c r="DM152" i="1"/>
  <c r="DQ152" i="1" s="1"/>
  <c r="DL152" i="1"/>
  <c r="DP152" i="1" s="1"/>
  <c r="DQ197" i="1"/>
  <c r="DR197" i="1" s="1"/>
  <c r="DN152" i="1"/>
  <c r="DR152" i="1" s="1"/>
  <c r="DO152" i="1"/>
  <c r="DS152" i="1" s="1"/>
  <c r="DH43" i="1"/>
  <c r="DT142" i="1"/>
  <c r="DS187" i="1" s="1"/>
  <c r="DN127" i="1"/>
  <c r="DR127" i="1" s="1"/>
  <c r="DO127" i="1"/>
  <c r="DS127" i="1" s="1"/>
  <c r="EF22" i="1"/>
  <c r="P24" i="4"/>
  <c r="DL129" i="1"/>
  <c r="DP129" i="1" s="1"/>
  <c r="DQ174" i="1"/>
  <c r="DM129" i="1"/>
  <c r="DQ129" i="1" s="1"/>
  <c r="DH33" i="1"/>
  <c r="DM127" i="1"/>
  <c r="DQ127" i="1" s="1"/>
  <c r="DL127" i="1"/>
  <c r="DP127" i="1" s="1"/>
  <c r="DQ172" i="1"/>
  <c r="DR172" i="1" s="1"/>
  <c r="DH24" i="1"/>
  <c r="DH22" i="1"/>
  <c r="DH28" i="1"/>
  <c r="EF24" i="1"/>
  <c r="P26" i="4"/>
  <c r="DH10" i="1"/>
  <c r="DO129" i="1"/>
  <c r="DS129" i="1" s="1"/>
  <c r="DN129" i="1"/>
  <c r="DR129" i="1" s="1"/>
  <c r="CV41" i="1"/>
  <c r="DU180" i="1"/>
  <c r="DT178" i="1"/>
  <c r="DU178" i="1" s="1"/>
  <c r="S41" i="4"/>
  <c r="DH42" i="1"/>
  <c r="DU177" i="1"/>
  <c r="DT204" i="1"/>
  <c r="DU204" i="1" s="1"/>
  <c r="DQ195" i="1"/>
  <c r="DR195" i="1" s="1"/>
  <c r="DM150" i="1"/>
  <c r="DQ150" i="1" s="1"/>
  <c r="DL150" i="1"/>
  <c r="DP150" i="1" s="1"/>
  <c r="EG41" i="1"/>
  <c r="EH41" i="1" s="1"/>
  <c r="FO43" i="4" s="1"/>
  <c r="CC41" i="1"/>
  <c r="CB41" i="1"/>
  <c r="DM134" i="1"/>
  <c r="DQ134" i="1" s="1"/>
  <c r="DQ179" i="1"/>
  <c r="DL134" i="1"/>
  <c r="DP134" i="1" s="1"/>
  <c r="DL140" i="1"/>
  <c r="DP140" i="1" s="1"/>
  <c r="DQ185" i="1"/>
  <c r="DM140" i="1"/>
  <c r="DQ140" i="1" s="1"/>
  <c r="DT136" i="1"/>
  <c r="DS181" i="1" s="1"/>
  <c r="GY27" i="4"/>
  <c r="DF41" i="1"/>
  <c r="FW41" i="1"/>
  <c r="FX41" i="1"/>
  <c r="DO134" i="1"/>
  <c r="DS134" i="1" s="1"/>
  <c r="DN134" i="1"/>
  <c r="DR134" i="1" s="1"/>
  <c r="DH19" i="1"/>
  <c r="DO140" i="1"/>
  <c r="DS140" i="1" s="1"/>
  <c r="DN140" i="1"/>
  <c r="DR140" i="1" s="1"/>
  <c r="DU141" i="1"/>
  <c r="EF17" i="1"/>
  <c r="EH17" i="1"/>
  <c r="FO19" i="4" s="1"/>
  <c r="P19" i="4"/>
  <c r="EH19" i="1"/>
  <c r="FO21" i="4" s="1"/>
  <c r="EF19" i="1"/>
  <c r="P21" i="4"/>
  <c r="DO160" i="1"/>
  <c r="DS160" i="1" s="1"/>
  <c r="DN160" i="1"/>
  <c r="DR160" i="1" s="1"/>
  <c r="DJ156" i="1"/>
  <c r="DK156" i="1"/>
  <c r="BW41" i="1"/>
  <c r="DT186" i="1"/>
  <c r="DN150" i="1"/>
  <c r="DR150" i="1" s="1"/>
  <c r="DO150" i="1"/>
  <c r="DS150" i="1" s="1"/>
  <c r="DM160" i="1"/>
  <c r="DQ160" i="1" s="1"/>
  <c r="DQ205" i="1"/>
  <c r="DL160" i="1"/>
  <c r="DP160" i="1" s="1"/>
  <c r="DH17" i="1"/>
  <c r="DR181" i="1"/>
  <c r="R22" i="4"/>
  <c r="Q22" i="4"/>
  <c r="EH38" i="1"/>
  <c r="FO40" i="4" s="1"/>
  <c r="EF38" i="1"/>
  <c r="P40" i="4"/>
  <c r="EF28" i="1"/>
  <c r="P30" i="4"/>
  <c r="EH28" i="1"/>
  <c r="FO30" i="4" s="1"/>
  <c r="DN143" i="1"/>
  <c r="DR143" i="1" s="1"/>
  <c r="DO143" i="1"/>
  <c r="DS143" i="1" s="1"/>
  <c r="P38" i="4"/>
  <c r="EF36" i="1"/>
  <c r="DH30" i="1"/>
  <c r="DH32" i="1"/>
  <c r="EH43" i="1"/>
  <c r="FO45" i="4" s="1"/>
  <c r="EF43" i="1"/>
  <c r="P45" i="4"/>
  <c r="EF33" i="1"/>
  <c r="P35" i="4"/>
  <c r="DT202" i="1"/>
  <c r="DU202" i="1" s="1"/>
  <c r="Q16" i="4"/>
  <c r="R16" i="4"/>
  <c r="DN148" i="1"/>
  <c r="DR148" i="1" s="1"/>
  <c r="DO148" i="1"/>
  <c r="DS148" i="1" s="1"/>
  <c r="DT141" i="1"/>
  <c r="DS186" i="1" s="1"/>
  <c r="EH42" i="1"/>
  <c r="FO44" i="4" s="1"/>
  <c r="EF42" i="1"/>
  <c r="P44" i="4"/>
  <c r="DO158" i="1"/>
  <c r="DS158" i="1" s="1"/>
  <c r="DN158" i="1"/>
  <c r="DR158" i="1" s="1"/>
  <c r="EH33" i="1"/>
  <c r="FO35" i="4" s="1"/>
  <c r="EF30" i="1"/>
  <c r="P32" i="4"/>
  <c r="DM143" i="1"/>
  <c r="DQ143" i="1" s="1"/>
  <c r="DL143" i="1"/>
  <c r="DP143" i="1" s="1"/>
  <c r="DQ188" i="1"/>
  <c r="DR188" i="1" s="1"/>
  <c r="EH36" i="1"/>
  <c r="FO38" i="4" s="1"/>
  <c r="DH38" i="1"/>
  <c r="DQ193" i="1"/>
  <c r="DR193" i="1" s="1"/>
  <c r="DM148" i="1"/>
  <c r="DQ148" i="1" s="1"/>
  <c r="DL148" i="1"/>
  <c r="DP148" i="1" s="1"/>
  <c r="DL158" i="1"/>
  <c r="DP158" i="1" s="1"/>
  <c r="DM158" i="1"/>
  <c r="DQ158" i="1" s="1"/>
  <c r="DQ203" i="1"/>
  <c r="R34" i="4"/>
  <c r="Q34" i="4"/>
  <c r="CC13" i="1"/>
  <c r="EG13" i="1"/>
  <c r="CB13" i="1"/>
  <c r="CB11" i="1"/>
  <c r="EG11" i="1"/>
  <c r="EH11" i="1" s="1"/>
  <c r="FO13" i="4" s="1"/>
  <c r="CC11" i="1"/>
  <c r="DH11" i="1" s="1"/>
  <c r="DH15" i="1"/>
  <c r="EF40" i="1"/>
  <c r="P42" i="4"/>
  <c r="EH40" i="1"/>
  <c r="FO42" i="4" s="1"/>
  <c r="R37" i="4"/>
  <c r="Q37" i="4"/>
  <c r="I48" i="4"/>
  <c r="DJ128" i="1"/>
  <c r="DK128" i="1"/>
  <c r="FW13" i="1"/>
  <c r="FX13" i="1"/>
  <c r="BW13" i="1"/>
  <c r="DF13" i="1"/>
  <c r="DQ175" i="1"/>
  <c r="DR175" i="1" s="1"/>
  <c r="DL130" i="1"/>
  <c r="DP130" i="1" s="1"/>
  <c r="DM130" i="1"/>
  <c r="DQ130" i="1" s="1"/>
  <c r="Q47" i="4"/>
  <c r="R47" i="4"/>
  <c r="R31" i="4"/>
  <c r="Q31" i="4"/>
  <c r="DN155" i="1"/>
  <c r="DR155" i="1" s="1"/>
  <c r="DO155" i="1"/>
  <c r="DS155" i="1" s="1"/>
  <c r="R33" i="4"/>
  <c r="Q33" i="4"/>
  <c r="FW11" i="1"/>
  <c r="FX11" i="1"/>
  <c r="CQ11" i="1"/>
  <c r="CV11" i="1"/>
  <c r="DO130" i="1"/>
  <c r="DS130" i="1" s="1"/>
  <c r="DN130" i="1"/>
  <c r="DR130" i="1" s="1"/>
  <c r="Q14" i="4"/>
  <c r="R14" i="4"/>
  <c r="DJ126" i="1"/>
  <c r="DK126" i="1"/>
  <c r="DM155" i="1"/>
  <c r="DQ155" i="1" s="1"/>
  <c r="DL155" i="1"/>
  <c r="DP155" i="1" s="1"/>
  <c r="DQ200" i="1"/>
  <c r="DR200" i="1" s="1"/>
  <c r="EG9" i="1"/>
  <c r="EH9" i="1" s="1"/>
  <c r="FO11" i="4" s="1"/>
  <c r="CC9" i="1"/>
  <c r="CU46" i="1"/>
  <c r="CD51" i="1" s="1"/>
  <c r="CV9" i="1"/>
  <c r="Q20" i="4"/>
  <c r="R20" i="4"/>
  <c r="DT146" i="1"/>
  <c r="DS191" i="1" s="1"/>
  <c r="DU149" i="1"/>
  <c r="DT194" i="1" s="1"/>
  <c r="DU146" i="1"/>
  <c r="DT191" i="1" s="1"/>
  <c r="BW9" i="1"/>
  <c r="DF9" i="1"/>
  <c r="DT183" i="1"/>
  <c r="DU183" i="1" s="1"/>
  <c r="DT149" i="1"/>
  <c r="DS194" i="1" s="1"/>
  <c r="DJ124" i="1"/>
  <c r="CV13" i="1"/>
  <c r="EH15" i="1"/>
  <c r="FO17" i="4" s="1"/>
  <c r="EF15" i="1"/>
  <c r="P17" i="4"/>
  <c r="DH40" i="1"/>
  <c r="U1" i="8"/>
  <c r="I1" i="8" s="1"/>
  <c r="G71" i="15"/>
  <c r="AU10" i="20"/>
  <c r="DV10" i="20"/>
  <c r="DV13" i="20"/>
  <c r="AU13" i="20"/>
  <c r="AU8" i="20"/>
  <c r="DV8" i="20"/>
  <c r="DV9" i="20"/>
  <c r="AU9" i="20"/>
  <c r="DG5" i="1" l="1"/>
  <c r="Q18" i="4"/>
  <c r="S18" i="4" s="1"/>
  <c r="AF10" i="1"/>
  <c r="AG10" i="1"/>
  <c r="V14" i="7"/>
  <c r="FB10" i="1"/>
  <c r="FW10" i="1" s="1"/>
  <c r="FY10" i="1" s="1"/>
  <c r="DK125" i="1"/>
  <c r="DZ12" i="20"/>
  <c r="BF12" i="20" s="1"/>
  <c r="AX12" i="20"/>
  <c r="DP12" i="20"/>
  <c r="AJ12" i="20"/>
  <c r="DL125" i="1"/>
  <c r="DP125" i="1" s="1"/>
  <c r="DQ170" i="1"/>
  <c r="DM125" i="1"/>
  <c r="DQ125" i="1" s="1"/>
  <c r="R36" i="4"/>
  <c r="S36" i="4" s="1"/>
  <c r="C26" i="5"/>
  <c r="CQ46" i="1"/>
  <c r="CU48" i="1" s="1"/>
  <c r="DD46" i="1"/>
  <c r="CD56" i="1" s="1"/>
  <c r="DK124" i="1"/>
  <c r="DO124" i="1" s="1"/>
  <c r="DS124" i="1" s="1"/>
  <c r="DT181" i="1"/>
  <c r="DU181" i="1" s="1"/>
  <c r="FW6" i="1"/>
  <c r="DU123" i="1"/>
  <c r="DT168" i="1" s="1"/>
  <c r="FW7" i="1"/>
  <c r="FY7" i="1" s="1"/>
  <c r="AB2" i="4"/>
  <c r="AA4" i="4"/>
  <c r="AB4" i="4" s="1"/>
  <c r="DG9" i="1"/>
  <c r="AJ7" i="20"/>
  <c r="DP7" i="20"/>
  <c r="DG7" i="1"/>
  <c r="DT123" i="1"/>
  <c r="DS168" i="1" s="1"/>
  <c r="DO122" i="1"/>
  <c r="DS122" i="1" s="1"/>
  <c r="DN122" i="1"/>
  <c r="DR122" i="1" s="1"/>
  <c r="DT127" i="1"/>
  <c r="DS172" i="1" s="1"/>
  <c r="DQ166" i="1"/>
  <c r="DR166" i="1" s="1"/>
  <c r="DM121" i="1"/>
  <c r="DQ121" i="1" s="1"/>
  <c r="DL121" i="1"/>
  <c r="DP121" i="1" s="1"/>
  <c r="AX7" i="20"/>
  <c r="DZ7" i="20"/>
  <c r="BF7" i="20" s="1"/>
  <c r="DO121" i="1"/>
  <c r="DS121" i="1" s="1"/>
  <c r="DN121" i="1"/>
  <c r="DR121" i="1" s="1"/>
  <c r="FY8" i="1"/>
  <c r="DL122" i="1"/>
  <c r="DP122" i="1" s="1"/>
  <c r="DQ167" i="1"/>
  <c r="DR167" i="1" s="1"/>
  <c r="DM122" i="1"/>
  <c r="DQ122" i="1" s="1"/>
  <c r="AG9" i="1"/>
  <c r="AF9" i="1"/>
  <c r="V13" i="7"/>
  <c r="DT120" i="1"/>
  <c r="DS165" i="1" s="1"/>
  <c r="FY6" i="1"/>
  <c r="FB9" i="1"/>
  <c r="FW9" i="1" s="1"/>
  <c r="FY9" i="1" s="1"/>
  <c r="DP11" i="20"/>
  <c r="AJ11" i="20"/>
  <c r="DZ11" i="20"/>
  <c r="BF11" i="20" s="1"/>
  <c r="AX11" i="20"/>
  <c r="DU120" i="1"/>
  <c r="DT165" i="1" s="1"/>
  <c r="DT130" i="1"/>
  <c r="DS175" i="1" s="1"/>
  <c r="DU148" i="1"/>
  <c r="DT193" i="1" s="1"/>
  <c r="DU187" i="1"/>
  <c r="DU152" i="1"/>
  <c r="DT197" i="1" s="1"/>
  <c r="R39" i="4"/>
  <c r="Q39" i="4"/>
  <c r="DT152" i="1"/>
  <c r="DS197" i="1" s="1"/>
  <c r="EF11" i="1"/>
  <c r="AC11" i="1" s="1"/>
  <c r="AD11" i="1" s="1"/>
  <c r="DT129" i="1"/>
  <c r="DS174" i="1" s="1"/>
  <c r="DU129" i="1"/>
  <c r="DR174" i="1"/>
  <c r="Q26" i="4"/>
  <c r="R26" i="4"/>
  <c r="DU127" i="1"/>
  <c r="DT172" i="1" s="1"/>
  <c r="R24" i="4"/>
  <c r="Q24" i="4"/>
  <c r="DU194" i="1"/>
  <c r="DH13" i="1"/>
  <c r="S22" i="4"/>
  <c r="CV46" i="1"/>
  <c r="DU155" i="1"/>
  <c r="DT200" i="1" s="1"/>
  <c r="DU186" i="1"/>
  <c r="S16" i="4"/>
  <c r="DU140" i="1"/>
  <c r="DT140" i="1"/>
  <c r="DS185" i="1" s="1"/>
  <c r="DT150" i="1"/>
  <c r="DS195" i="1" s="1"/>
  <c r="DT143" i="1"/>
  <c r="DS188" i="1" s="1"/>
  <c r="DN156" i="1"/>
  <c r="DR156" i="1" s="1"/>
  <c r="DO156" i="1"/>
  <c r="DS156" i="1" s="1"/>
  <c r="Q21" i="4"/>
  <c r="R21" i="4"/>
  <c r="DU134" i="1"/>
  <c r="DR185" i="1"/>
  <c r="EF41" i="1"/>
  <c r="P43" i="4"/>
  <c r="DT160" i="1"/>
  <c r="DS205" i="1" s="1"/>
  <c r="DU150" i="1"/>
  <c r="DT195" i="1" s="1"/>
  <c r="DM156" i="1"/>
  <c r="DQ156" i="1" s="1"/>
  <c r="DL156" i="1"/>
  <c r="DP156" i="1" s="1"/>
  <c r="DQ201" i="1"/>
  <c r="DR201" i="1" s="1"/>
  <c r="DR205" i="1"/>
  <c r="DU160" i="1"/>
  <c r="DT134" i="1"/>
  <c r="DS179" i="1" s="1"/>
  <c r="Q19" i="4"/>
  <c r="R19" i="4"/>
  <c r="DR179" i="1"/>
  <c r="DH41" i="1"/>
  <c r="DT148" i="1"/>
  <c r="DS193" i="1" s="1"/>
  <c r="R32" i="4"/>
  <c r="Q32" i="4"/>
  <c r="DU158" i="1"/>
  <c r="DT155" i="1"/>
  <c r="DS200" i="1" s="1"/>
  <c r="DR203" i="1"/>
  <c r="Q35" i="4"/>
  <c r="R35" i="4"/>
  <c r="Q38" i="4"/>
  <c r="R38" i="4"/>
  <c r="Q30" i="4"/>
  <c r="R30" i="4"/>
  <c r="R44" i="4"/>
  <c r="Q44" i="4"/>
  <c r="S14" i="4"/>
  <c r="S33" i="4"/>
  <c r="S37" i="4"/>
  <c r="CB46" i="1"/>
  <c r="CD57" i="1" s="1"/>
  <c r="S34" i="4"/>
  <c r="DT158" i="1"/>
  <c r="DS203" i="1" s="1"/>
  <c r="Q45" i="4"/>
  <c r="R45" i="4"/>
  <c r="DU143" i="1"/>
  <c r="DT188" i="1" s="1"/>
  <c r="R40" i="4"/>
  <c r="Q40" i="4"/>
  <c r="Q17" i="4"/>
  <c r="R17" i="4"/>
  <c r="DU191" i="1"/>
  <c r="DO126" i="1"/>
  <c r="DS126" i="1" s="1"/>
  <c r="DN126" i="1"/>
  <c r="DR126" i="1" s="1"/>
  <c r="DL128" i="1"/>
  <c r="DP128" i="1" s="1"/>
  <c r="DM128" i="1"/>
  <c r="DQ128" i="1" s="1"/>
  <c r="DQ173" i="1"/>
  <c r="DR173" i="1" s="1"/>
  <c r="EH13" i="1"/>
  <c r="FO15" i="4" s="1"/>
  <c r="FO48" i="4" s="1"/>
  <c r="T48" i="4" s="1"/>
  <c r="E51" i="7" s="1"/>
  <c r="P15" i="4"/>
  <c r="EF13" i="1"/>
  <c r="DN124" i="1"/>
  <c r="DR124" i="1" s="1"/>
  <c r="DL126" i="1"/>
  <c r="DP126" i="1" s="1"/>
  <c r="DM126" i="1"/>
  <c r="DQ126" i="1" s="1"/>
  <c r="DQ171" i="1"/>
  <c r="R42" i="4"/>
  <c r="Q42" i="4"/>
  <c r="DQ169" i="1"/>
  <c r="DR169" i="1" s="1"/>
  <c r="DL124" i="1"/>
  <c r="DP124" i="1" s="1"/>
  <c r="DM124" i="1"/>
  <c r="DQ124" i="1" s="1"/>
  <c r="S20" i="4"/>
  <c r="CF54" i="1"/>
  <c r="CG54" i="1" s="1"/>
  <c r="CD55" i="1"/>
  <c r="S47" i="4"/>
  <c r="DH9" i="1"/>
  <c r="DU130" i="1"/>
  <c r="DT175" i="1" s="1"/>
  <c r="FX46" i="1"/>
  <c r="S31" i="4"/>
  <c r="DO128" i="1"/>
  <c r="DS128" i="1" s="1"/>
  <c r="DN128" i="1"/>
  <c r="DR128" i="1" s="1"/>
  <c r="U3" i="4"/>
  <c r="V3" i="4" s="1"/>
  <c r="J1" i="8"/>
  <c r="BA13" i="20"/>
  <c r="DY13" i="20"/>
  <c r="BA8" i="20"/>
  <c r="DY8" i="20"/>
  <c r="BA10" i="20"/>
  <c r="DY10" i="20"/>
  <c r="BA9" i="20"/>
  <c r="DY9" i="20"/>
  <c r="CD50" i="1" l="1"/>
  <c r="CE54" i="1" s="1"/>
  <c r="DT125" i="1"/>
  <c r="DS170" i="1" s="1"/>
  <c r="DV12" i="20"/>
  <c r="AU12" i="20"/>
  <c r="DR170" i="1"/>
  <c r="DN125" i="1"/>
  <c r="DR125" i="1" s="1"/>
  <c r="DO125" i="1"/>
  <c r="DS125" i="1" s="1"/>
  <c r="DU168" i="1"/>
  <c r="DT8" i="1" s="1"/>
  <c r="DL8" i="1" s="1"/>
  <c r="Y15" i="7"/>
  <c r="C15" i="7" s="1"/>
  <c r="C22" i="26" s="1"/>
  <c r="CN13" i="4"/>
  <c r="CQ13" i="4" s="1"/>
  <c r="U13" i="4"/>
  <c r="FM13" i="4" s="1"/>
  <c r="S39" i="4"/>
  <c r="DU195" i="1"/>
  <c r="FW46" i="1"/>
  <c r="D46" i="1" s="1"/>
  <c r="S24" i="4"/>
  <c r="P13" i="4"/>
  <c r="Q13" i="4" s="1"/>
  <c r="DU172" i="1"/>
  <c r="DU121" i="1"/>
  <c r="DT166" i="1" s="1"/>
  <c r="DT121" i="1"/>
  <c r="DS166" i="1" s="1"/>
  <c r="DU122" i="1"/>
  <c r="DT167" i="1" s="1"/>
  <c r="DW8" i="1"/>
  <c r="DY8" i="1" s="1"/>
  <c r="DZ8" i="1" s="1"/>
  <c r="EA8" i="1" s="1"/>
  <c r="EB8" i="1" s="1"/>
  <c r="EC8" i="1" s="1"/>
  <c r="ED8" i="1" s="1"/>
  <c r="EE8" i="1" s="1"/>
  <c r="EF8" i="1" s="1"/>
  <c r="AC8" i="1" s="1"/>
  <c r="DV7" i="20"/>
  <c r="AU7" i="20"/>
  <c r="DT122" i="1"/>
  <c r="DS167" i="1" s="1"/>
  <c r="AU11" i="20"/>
  <c r="DV11" i="20"/>
  <c r="DU165" i="1"/>
  <c r="DT5" i="1" s="1"/>
  <c r="DW5" i="1" s="1"/>
  <c r="DY5" i="1" s="1"/>
  <c r="DZ5" i="1" s="1"/>
  <c r="EA5" i="1" s="1"/>
  <c r="EB5" i="1" s="1"/>
  <c r="EC5" i="1" s="1"/>
  <c r="ED5" i="1" s="1"/>
  <c r="EE5" i="1" s="1"/>
  <c r="EF5" i="1" s="1"/>
  <c r="DU197" i="1"/>
  <c r="DU193" i="1"/>
  <c r="DT156" i="1"/>
  <c r="DS201" i="1" s="1"/>
  <c r="S26" i="4"/>
  <c r="DT174" i="1"/>
  <c r="DU174" i="1" s="1"/>
  <c r="DU200" i="1"/>
  <c r="DH46" i="1"/>
  <c r="CD64" i="1" s="1"/>
  <c r="DT185" i="1"/>
  <c r="DU185" i="1" s="1"/>
  <c r="DT124" i="1"/>
  <c r="DS169" i="1" s="1"/>
  <c r="S19" i="4"/>
  <c r="DU126" i="1"/>
  <c r="S32" i="4"/>
  <c r="CD58" i="1"/>
  <c r="DT179" i="1"/>
  <c r="DU179" i="1" s="1"/>
  <c r="DT205" i="1"/>
  <c r="DU205" i="1" s="1"/>
  <c r="S21" i="4"/>
  <c r="S44" i="4"/>
  <c r="S38" i="4"/>
  <c r="Q43" i="4"/>
  <c r="R43" i="4"/>
  <c r="DU156" i="1"/>
  <c r="DT201" i="1" s="1"/>
  <c r="DU188" i="1"/>
  <c r="DT203" i="1"/>
  <c r="DU203" i="1" s="1"/>
  <c r="S30" i="4"/>
  <c r="S35" i="4"/>
  <c r="S40" i="4"/>
  <c r="S45" i="4"/>
  <c r="E93" i="5"/>
  <c r="F91" i="26"/>
  <c r="DU128" i="1"/>
  <c r="DT173" i="1" s="1"/>
  <c r="DU124" i="1"/>
  <c r="DT169" i="1" s="1"/>
  <c r="DU175" i="1"/>
  <c r="DR171" i="1"/>
  <c r="S42" i="4"/>
  <c r="DT126" i="1"/>
  <c r="DS171" i="1" s="1"/>
  <c r="R15" i="4"/>
  <c r="Q15" i="4"/>
  <c r="DT128" i="1"/>
  <c r="DS173" i="1" s="1"/>
  <c r="S17" i="4"/>
  <c r="BE8" i="20"/>
  <c r="EC8" i="20"/>
  <c r="BE13" i="20"/>
  <c r="EC13" i="20"/>
  <c r="BE10" i="20"/>
  <c r="EC10" i="20"/>
  <c r="BE9" i="20"/>
  <c r="EC9" i="20"/>
  <c r="DX8" i="1" l="1"/>
  <c r="CU13" i="4"/>
  <c r="DU125" i="1"/>
  <c r="DT170" i="1" s="1"/>
  <c r="DU170" i="1" s="1"/>
  <c r="DT10" i="1" s="1"/>
  <c r="DY12" i="20"/>
  <c r="BA12" i="20"/>
  <c r="CO13" i="4"/>
  <c r="C22" i="5"/>
  <c r="CP13" i="4"/>
  <c r="CR13" i="4"/>
  <c r="CS13" i="4"/>
  <c r="F15" i="7"/>
  <c r="O15" i="7" s="1"/>
  <c r="DL5" i="1"/>
  <c r="R13" i="4"/>
  <c r="S13" i="4" s="1"/>
  <c r="T13" i="4" s="1"/>
  <c r="E15" i="7" s="1"/>
  <c r="E22" i="5" s="1"/>
  <c r="D22" i="5" s="1"/>
  <c r="DU201" i="1"/>
  <c r="DT171" i="1"/>
  <c r="DU171" i="1" s="1"/>
  <c r="DT11" i="1" s="1"/>
  <c r="DX11" i="1" s="1"/>
  <c r="DU166" i="1"/>
  <c r="DT6" i="1" s="1"/>
  <c r="DU167" i="1"/>
  <c r="DT7" i="1" s="1"/>
  <c r="DX5" i="1"/>
  <c r="EF51" i="1"/>
  <c r="AC5" i="1"/>
  <c r="Y12" i="7"/>
  <c r="C12" i="7" s="1"/>
  <c r="CN10" i="4"/>
  <c r="AE8" i="1"/>
  <c r="AD8" i="1"/>
  <c r="P10" i="4"/>
  <c r="BA11" i="20"/>
  <c r="DY11" i="20"/>
  <c r="BA7" i="20"/>
  <c r="DY7" i="20"/>
  <c r="DU169" i="1"/>
  <c r="DT9" i="1" s="1"/>
  <c r="S43" i="4"/>
  <c r="S15" i="4"/>
  <c r="DU173" i="1"/>
  <c r="EG9" i="20"/>
  <c r="BM9" i="20" s="1"/>
  <c r="EE9" i="20"/>
  <c r="BI9" i="20"/>
  <c r="EE10" i="20"/>
  <c r="EG10" i="20"/>
  <c r="BM10" i="20" s="1"/>
  <c r="BI10" i="20"/>
  <c r="EE13" i="20"/>
  <c r="BI13" i="20"/>
  <c r="EG13" i="20"/>
  <c r="BM13" i="20" s="1"/>
  <c r="EE8" i="20"/>
  <c r="BI8" i="20"/>
  <c r="EG8" i="20"/>
  <c r="BM8" i="20" s="1"/>
  <c r="BE12" i="20" l="1"/>
  <c r="EC12" i="20"/>
  <c r="DW10" i="1"/>
  <c r="DY10" i="1" s="1"/>
  <c r="DZ10" i="1" s="1"/>
  <c r="EA10" i="1" s="1"/>
  <c r="EB10" i="1" s="1"/>
  <c r="EC10" i="1" s="1"/>
  <c r="ED10" i="1" s="1"/>
  <c r="EE10" i="1" s="1"/>
  <c r="EF10" i="1" s="1"/>
  <c r="AC10" i="1" s="1"/>
  <c r="DX10" i="1"/>
  <c r="DL10" i="1"/>
  <c r="G22" i="26"/>
  <c r="F22" i="5"/>
  <c r="DL6" i="1"/>
  <c r="DW6" i="1"/>
  <c r="DY6" i="1" s="1"/>
  <c r="DZ6" i="1" s="1"/>
  <c r="EA6" i="1" s="1"/>
  <c r="EB6" i="1" s="1"/>
  <c r="EC6" i="1" s="1"/>
  <c r="ED6" i="1" s="1"/>
  <c r="EE6" i="1" s="1"/>
  <c r="EF6" i="1" s="1"/>
  <c r="AC6" i="1" s="1"/>
  <c r="P8" i="4" s="1"/>
  <c r="DX6" i="1"/>
  <c r="DL9" i="1"/>
  <c r="DW9" i="1"/>
  <c r="DY9" i="1" s="1"/>
  <c r="DZ9" i="1" s="1"/>
  <c r="EA9" i="1" s="1"/>
  <c r="EB9" i="1" s="1"/>
  <c r="EC9" i="1" s="1"/>
  <c r="ED9" i="1" s="1"/>
  <c r="EE9" i="1" s="1"/>
  <c r="EF9" i="1" s="1"/>
  <c r="AC9" i="1" s="1"/>
  <c r="BE11" i="20"/>
  <c r="EC11" i="20"/>
  <c r="AE5" i="1"/>
  <c r="Y9" i="7"/>
  <c r="C9" i="7" s="1"/>
  <c r="P7" i="4"/>
  <c r="CN7" i="4"/>
  <c r="AD5" i="1"/>
  <c r="BE7" i="20"/>
  <c r="EC7" i="20"/>
  <c r="CP10" i="4"/>
  <c r="CU10" i="4"/>
  <c r="CQ10" i="4"/>
  <c r="CO10" i="4"/>
  <c r="CR10" i="4"/>
  <c r="CS10" i="4"/>
  <c r="Q10" i="4"/>
  <c r="R10" i="4"/>
  <c r="C16" i="5"/>
  <c r="C16" i="26"/>
  <c r="DX7" i="1"/>
  <c r="DL7" i="1"/>
  <c r="DW7" i="1"/>
  <c r="DY7" i="1" s="1"/>
  <c r="DL11" i="1"/>
  <c r="F22" i="26"/>
  <c r="E22" i="26" s="1"/>
  <c r="DX9" i="1"/>
  <c r="AE6" i="1"/>
  <c r="BK13" i="20"/>
  <c r="EF13" i="20"/>
  <c r="BL13" i="20" s="1"/>
  <c r="EF10" i="20"/>
  <c r="BL10" i="20" s="1"/>
  <c r="BK10" i="20"/>
  <c r="BK9" i="20"/>
  <c r="EF9" i="20"/>
  <c r="BL9" i="20" s="1"/>
  <c r="EF8" i="20"/>
  <c r="BL8" i="20" s="1"/>
  <c r="BK8" i="20"/>
  <c r="AE10" i="1" l="1"/>
  <c r="CN12" i="4"/>
  <c r="AD10" i="1"/>
  <c r="P12" i="4"/>
  <c r="Y14" i="7"/>
  <c r="C14" i="7" s="1"/>
  <c r="EE12" i="20"/>
  <c r="EG12" i="20"/>
  <c r="BM12" i="20" s="1"/>
  <c r="BI12" i="20"/>
  <c r="AD6" i="1"/>
  <c r="Y10" i="7"/>
  <c r="C10" i="7" s="1"/>
  <c r="C12" i="26" s="1"/>
  <c r="CN8" i="4"/>
  <c r="CQ8" i="4" s="1"/>
  <c r="DL46" i="1"/>
  <c r="CD66" i="1" s="1"/>
  <c r="DX46" i="1"/>
  <c r="CD62" i="1" s="1"/>
  <c r="CD63" i="1" s="1"/>
  <c r="S10" i="4"/>
  <c r="T10" i="4" s="1"/>
  <c r="E12" i="7" s="1"/>
  <c r="DZ7" i="1"/>
  <c r="DY2" i="1"/>
  <c r="CD59" i="1" s="1"/>
  <c r="CR7" i="4"/>
  <c r="CO7" i="4"/>
  <c r="CS7" i="4"/>
  <c r="CP7" i="4"/>
  <c r="CU7" i="4"/>
  <c r="CQ7" i="4"/>
  <c r="EG11" i="20"/>
  <c r="BM11" i="20" s="1"/>
  <c r="BI11" i="20"/>
  <c r="EE11" i="20"/>
  <c r="EG7" i="20"/>
  <c r="EE7" i="20"/>
  <c r="BI7" i="20"/>
  <c r="R7" i="4"/>
  <c r="Q7" i="4"/>
  <c r="C10" i="26"/>
  <c r="C10" i="5"/>
  <c r="AE9" i="1"/>
  <c r="Y13" i="7"/>
  <c r="C13" i="7" s="1"/>
  <c r="AD9" i="1"/>
  <c r="P11" i="4"/>
  <c r="CN11" i="4"/>
  <c r="V10" i="4"/>
  <c r="U10" i="4"/>
  <c r="R8" i="4"/>
  <c r="Q8" i="4"/>
  <c r="EF12" i="20" l="1"/>
  <c r="BL12" i="20" s="1"/>
  <c r="BK12" i="20"/>
  <c r="CS12" i="4"/>
  <c r="CP12" i="4"/>
  <c r="CR12" i="4"/>
  <c r="CU12" i="4"/>
  <c r="CQ12" i="4"/>
  <c r="CO12" i="4"/>
  <c r="C20" i="26"/>
  <c r="C20" i="5"/>
  <c r="R12" i="4"/>
  <c r="Q12" i="4"/>
  <c r="CP8" i="4"/>
  <c r="CS8" i="4"/>
  <c r="C12" i="5"/>
  <c r="CU8" i="4"/>
  <c r="CR8" i="4"/>
  <c r="CO8" i="4"/>
  <c r="C18" i="26"/>
  <c r="C18" i="5"/>
  <c r="DA10" i="4"/>
  <c r="FM10" i="4"/>
  <c r="F12" i="7"/>
  <c r="Q11" i="4"/>
  <c r="R11" i="4"/>
  <c r="S7" i="4"/>
  <c r="T7" i="4" s="1"/>
  <c r="BM7" i="20"/>
  <c r="EF48" i="20"/>
  <c r="F16" i="26"/>
  <c r="E16" i="26" s="1"/>
  <c r="E16" i="5"/>
  <c r="D16" i="5" s="1"/>
  <c r="EF11" i="20"/>
  <c r="BL11" i="20" s="1"/>
  <c r="BK11" i="20"/>
  <c r="CO11" i="4"/>
  <c r="CP11" i="4"/>
  <c r="CR11" i="4"/>
  <c r="CS11" i="4"/>
  <c r="CU11" i="4"/>
  <c r="CQ11" i="4"/>
  <c r="EF7" i="20"/>
  <c r="BL7" i="20" s="1"/>
  <c r="BK7" i="20"/>
  <c r="DZ2" i="1"/>
  <c r="CD60" i="1" s="1"/>
  <c r="EA7" i="1"/>
  <c r="S8" i="4"/>
  <c r="T8" i="4" s="1"/>
  <c r="U8" i="4" s="1"/>
  <c r="S12" i="4" l="1"/>
  <c r="T12" i="4" s="1"/>
  <c r="E14" i="7" s="1"/>
  <c r="EB7" i="1"/>
  <c r="EA2" i="1"/>
  <c r="CD61" i="1" s="1"/>
  <c r="DA8" i="4"/>
  <c r="FM8" i="4"/>
  <c r="F10" i="7"/>
  <c r="E9" i="7"/>
  <c r="U7" i="4"/>
  <c r="V7" i="4"/>
  <c r="BM48" i="20"/>
  <c r="EF49" i="20"/>
  <c r="S11" i="4"/>
  <c r="T11" i="4" s="1"/>
  <c r="G16" i="26"/>
  <c r="F16" i="5"/>
  <c r="O12" i="7"/>
  <c r="E10" i="7"/>
  <c r="V8" i="4"/>
  <c r="U12" i="4" l="1"/>
  <c r="F14" i="7" s="1"/>
  <c r="V12" i="4"/>
  <c r="F20" i="26"/>
  <c r="E20" i="26" s="1"/>
  <c r="E20" i="5"/>
  <c r="D20" i="5" s="1"/>
  <c r="E13" i="7"/>
  <c r="V11" i="4"/>
  <c r="U11" i="4"/>
  <c r="FM7" i="4"/>
  <c r="F9" i="7"/>
  <c r="DA7" i="4"/>
  <c r="EF50" i="20"/>
  <c r="BL50" i="20" s="1"/>
  <c r="BM49" i="20"/>
  <c r="E10" i="5"/>
  <c r="D10" i="5" s="1"/>
  <c r="F10" i="26"/>
  <c r="E10" i="26" s="1"/>
  <c r="F12" i="5"/>
  <c r="G12" i="26"/>
  <c r="O10" i="7"/>
  <c r="EC7" i="1"/>
  <c r="ED7" i="1" s="1"/>
  <c r="EE7" i="1" s="1"/>
  <c r="EF7" i="1" s="1"/>
  <c r="AC7" i="1" s="1"/>
  <c r="EB2" i="1"/>
  <c r="E12" i="5"/>
  <c r="D12" i="5" s="1"/>
  <c r="F12" i="26"/>
  <c r="E12" i="26" s="1"/>
  <c r="FM12" i="4" l="1"/>
  <c r="G20" i="26"/>
  <c r="O14" i="7"/>
  <c r="F20" i="5"/>
  <c r="F13" i="7"/>
  <c r="FM11" i="4"/>
  <c r="DA11" i="4"/>
  <c r="Y11" i="7"/>
  <c r="C11" i="7" s="1"/>
  <c r="AE7" i="1"/>
  <c r="P9" i="4"/>
  <c r="AD7" i="1"/>
  <c r="AD46" i="1" s="1"/>
  <c r="CN9" i="4"/>
  <c r="G10" i="26"/>
  <c r="F10" i="5"/>
  <c r="O9" i="7"/>
  <c r="F18" i="26"/>
  <c r="E18" i="26" s="1"/>
  <c r="E18" i="5"/>
  <c r="D18" i="5" s="1"/>
  <c r="C14" i="26" l="1"/>
  <c r="C14" i="5"/>
  <c r="AE46" i="1"/>
  <c r="BF32" i="1"/>
  <c r="AC46" i="1"/>
  <c r="P48" i="4"/>
  <c r="R9" i="4"/>
  <c r="R48" i="4" s="1"/>
  <c r="Q9" i="4"/>
  <c r="CQ9" i="4"/>
  <c r="CP48" i="4" s="1"/>
  <c r="CO9" i="4"/>
  <c r="CN48" i="4" s="1"/>
  <c r="CP9" i="4"/>
  <c r="CU9" i="4"/>
  <c r="CT48" i="4" s="1"/>
  <c r="CR9" i="4"/>
  <c r="CS9" i="4"/>
  <c r="CR48" i="4" s="1"/>
  <c r="O13" i="7"/>
  <c r="G18" i="26"/>
  <c r="F18" i="5"/>
  <c r="P3" i="4"/>
  <c r="F142" i="26" s="1"/>
  <c r="F127" i="26" s="1"/>
  <c r="Q48" i="4" l="1"/>
  <c r="S9" i="4"/>
  <c r="T9" i="4" s="1"/>
  <c r="S32" i="18"/>
  <c r="S32" i="17"/>
  <c r="GV33" i="4"/>
  <c r="S32" i="21"/>
  <c r="Y50" i="7"/>
  <c r="B3" i="16"/>
  <c r="I2" i="8"/>
  <c r="U2" i="8" s="1"/>
  <c r="E2" i="8"/>
  <c r="N6" i="4"/>
  <c r="B2" i="4"/>
  <c r="A9" i="16" s="1"/>
  <c r="V6" i="4"/>
  <c r="E95" i="5"/>
  <c r="N3" i="4"/>
  <c r="B3" i="4"/>
  <c r="A8" i="16" s="1"/>
  <c r="F8" i="7"/>
  <c r="O6" i="4"/>
  <c r="F92" i="26"/>
  <c r="M6" i="4"/>
  <c r="A10" i="16" s="1"/>
  <c r="T6" i="4"/>
  <c r="E8" i="7"/>
  <c r="F71" i="15"/>
  <c r="U6" i="4"/>
  <c r="D3" i="16" l="1"/>
  <c r="D4" i="16" s="1"/>
  <c r="D5" i="16" s="1"/>
  <c r="D6" i="16" s="1"/>
  <c r="D7" i="16" s="1"/>
  <c r="B11" i="16"/>
  <c r="A1" i="16"/>
  <c r="B8" i="16"/>
  <c r="D8" i="16" s="1"/>
  <c r="C11" i="16"/>
  <c r="B10" i="16"/>
  <c r="C10" i="16"/>
  <c r="B9" i="16"/>
  <c r="D9" i="16" s="1"/>
  <c r="U9" i="4"/>
  <c r="E11" i="7"/>
  <c r="V9" i="4"/>
  <c r="Q2" i="8"/>
  <c r="A25" i="16"/>
  <c r="A12" i="16"/>
  <c r="CX6" i="4"/>
  <c r="U1" i="4"/>
  <c r="B7" i="16"/>
  <c r="F10" i="15"/>
  <c r="F8" i="15"/>
  <c r="F8" i="26"/>
  <c r="E8" i="5"/>
  <c r="F96" i="26"/>
  <c r="A32" i="16"/>
  <c r="A31" i="16"/>
  <c r="A15" i="16"/>
  <c r="A16" i="16"/>
  <c r="G10" i="15"/>
  <c r="G96" i="26"/>
  <c r="G127" i="26" s="1"/>
  <c r="G141" i="26" s="1"/>
  <c r="G8" i="26"/>
  <c r="G8" i="15"/>
  <c r="F8" i="5"/>
  <c r="CV6" i="4"/>
  <c r="A11" i="16"/>
  <c r="D10" i="16" l="1"/>
  <c r="U48" i="4"/>
  <c r="FM9" i="4"/>
  <c r="F11" i="7"/>
  <c r="DA9" i="4"/>
  <c r="F14" i="26"/>
  <c r="E14" i="26" s="1"/>
  <c r="E14" i="5"/>
  <c r="D14" i="5" s="1"/>
  <c r="D11" i="16"/>
  <c r="G14" i="26" l="1"/>
  <c r="G92" i="26" s="1"/>
  <c r="G129" i="26" s="1"/>
  <c r="O11" i="7"/>
  <c r="F14" i="5"/>
  <c r="F95" i="5" s="1"/>
  <c r="V48" i="4"/>
  <c r="U2" i="4"/>
  <c r="U4" i="4" l="1"/>
  <c r="V4" i="4" s="1"/>
  <c r="V2" i="4"/>
  <c r="G131" i="26" l="1"/>
  <c r="G132" i="26" s="1"/>
  <c r="CX7" i="4"/>
  <c r="CX8" i="4"/>
  <c r="CX12" i="4"/>
  <c r="CX16" i="4"/>
  <c r="CX20" i="4"/>
  <c r="CX24" i="4"/>
  <c r="CX28" i="4"/>
  <c r="CX32" i="4"/>
  <c r="CX36" i="4"/>
  <c r="CX40" i="4"/>
  <c r="CX44" i="4"/>
  <c r="CX9" i="4"/>
  <c r="CX13" i="4"/>
  <c r="CX17" i="4"/>
  <c r="CX21" i="4"/>
  <c r="CX25" i="4"/>
  <c r="CX29" i="4"/>
  <c r="CX33" i="4"/>
  <c r="CX37" i="4"/>
  <c r="CX41" i="4"/>
  <c r="CX45" i="4"/>
  <c r="CX10" i="4"/>
  <c r="CX14" i="4"/>
  <c r="CX18" i="4"/>
  <c r="CX22" i="4"/>
  <c r="CX26" i="4"/>
  <c r="CX30" i="4"/>
  <c r="CX34" i="4"/>
  <c r="CX38" i="4"/>
  <c r="CX42" i="4"/>
  <c r="CX46" i="4"/>
  <c r="CX11" i="4"/>
  <c r="CX15" i="4"/>
  <c r="CX19" i="4"/>
  <c r="CX23" i="4"/>
  <c r="CX27" i="4"/>
  <c r="CX31" i="4"/>
  <c r="CX35" i="4"/>
  <c r="CX39" i="4"/>
  <c r="CX43" i="4"/>
  <c r="CX47" i="4"/>
  <c r="G133" i="26" l="1"/>
  <c r="G134" i="26" s="1"/>
  <c r="G135" i="26"/>
  <c r="G137" i="26" s="1"/>
  <c r="O48" i="4"/>
  <c r="C12" i="16" s="1"/>
  <c r="D12" i="16" s="1"/>
  <c r="D13" i="16" s="1"/>
  <c r="D14" i="16" s="1"/>
  <c r="D15" i="16" s="1"/>
  <c r="D16" i="16" s="1"/>
  <c r="E5" i="16" s="1"/>
  <c r="G136" i="26" l="1"/>
  <c r="G138" i="26" s="1"/>
  <c r="G139" i="26" s="1"/>
  <c r="G140" i="26" s="1"/>
  <c r="G142"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Beat Guhl</author>
    <author>Ivo Lauffer</author>
    <author>BGuhl</author>
  </authors>
  <commentList>
    <comment ref="K3" authorId="0" shapeId="0" xr:uid="{00000000-0006-0000-0000-000001000000}">
      <text>
        <r>
          <rPr>
            <b/>
            <sz val="9"/>
            <color indexed="81"/>
            <rFont val="Segoe UI"/>
            <family val="2"/>
          </rPr>
          <t xml:space="preserve">NFRC -&gt; 2
</t>
        </r>
      </text>
    </comment>
    <comment ref="G4" authorId="0" shapeId="0" xr:uid="{00000000-0006-0000-0000-000002000000}">
      <text>
        <r>
          <rPr>
            <sz val="8"/>
            <color indexed="81"/>
            <rFont val="Tahoma"/>
            <family val="2"/>
          </rPr>
          <t>C  -&gt; CFK-armierte Profilvariante
S  -&gt; Stahlarmierte Profilvariante
C -&gt; carbon reinforced profiles
S -&gt; steel reinforced profiles
C -&gt; renfort statique en carbonne
S -&gt; renfort statique en acier</t>
        </r>
      </text>
    </comment>
    <comment ref="H4" authorId="0" shapeId="0" xr:uid="{00000000-0006-0000-0000-000003000000}">
      <text>
        <r>
          <rPr>
            <sz val="8"/>
            <color indexed="81"/>
            <rFont val="Tahoma"/>
            <family val="2"/>
          </rPr>
          <t>P = Positionsüberwachung
R = Riegelüberwachung
G = Glasbruchmelder
RG = Riegelüberwachung und Glasbruchmelder
P = Position monitoring
R = lock monitoring
G = Glass breakage monitor
RG = Lock and glass breakage monitoring
P = Surveillance de position
R = Surveillance du pêne
G = Détecteur de brise de verre
RG = Surveillance du pêne et détecteur de brise de verre</t>
        </r>
      </text>
    </comment>
    <comment ref="I4" authorId="1" shapeId="0" xr:uid="{00000000-0006-0000-0000-000004000000}">
      <text>
        <r>
          <rPr>
            <sz val="9"/>
            <color indexed="81"/>
            <rFont val="Tahoma"/>
            <family val="2"/>
          </rPr>
          <t>I = ausziehbares Insektenschutzgitter (1m / H,max = 2.9m)
II = 2 Stk.
Z = Zylinder (KABA / PZ)
I = extensible insect screen (1m / H,max = 2.9m)
II = 2 pce.
Z = cylinder (KABA / PZ)
I = moustiquaire extensible (1m / H,max = 2.9m)
II = 2 pce.
Z = cylindre (KABA / PZ)</t>
        </r>
      </text>
    </comment>
    <comment ref="J4" authorId="2" shapeId="0" xr:uid="{00000000-0006-0000-0000-000005000000}">
      <text>
        <r>
          <rPr>
            <b/>
            <sz val="9"/>
            <color indexed="81"/>
            <rFont val="Tahoma"/>
            <family val="2"/>
          </rPr>
          <t>Erklärung:</t>
        </r>
        <r>
          <rPr>
            <sz val="9"/>
            <color indexed="81"/>
            <rFont val="Tahoma"/>
            <family val="2"/>
          </rPr>
          <t xml:space="preserve">
6 / 6        -&gt;  SG-x1           -&gt;    6mm ESG mit Heat-Soak-Test
8 / 8        -&gt;  SG-x2           -&gt;    8mm ESG mit Heat-Soak-Test
8 / 6        -&gt;  SG-x3           -&gt;    8+6mm ESG mit Heat-Soak-Test
10 / 6      -&gt;  SG-x4           -&gt;    10+6mm ESG mit Heat-Soak-Test
6 / 8-2     -&gt;  SG-x5           -&gt;    VSG* aus Float 4 / 0.76 PVB / Float4
6 / P4A    -&gt;  SG-x5 +RC2   -&gt;    VSG* mit P4A-Folie (RC2)
8 / 8-2     -&gt;  SG-x6           -&gt;    VSG* aus Float 4 / 0.76 PVB / Float4
8 / P4A    -&gt;  SG-x6 +RC2   -&gt;    VSG* mit P4A-Folie (RC2)
*bei Beschichtung "S+" und bei 3-IV ist das VSG generell aus WG = Weissglas (VSG-WG)
</t>
        </r>
        <r>
          <rPr>
            <b/>
            <sz val="9"/>
            <color indexed="81"/>
            <rFont val="Tahoma"/>
            <family val="2"/>
          </rPr>
          <t>legend:</t>
        </r>
        <r>
          <rPr>
            <sz val="9"/>
            <color indexed="81"/>
            <rFont val="Tahoma"/>
            <family val="2"/>
          </rPr>
          <t xml:space="preserve">
6 / 6        -&gt;  SG-x1           -&gt;    6mm tempered with Heat-Soak-Test
8 / 8        -&gt;  SG-x2           -&gt;    8mm tempered with Heat-Soak-Test
8 / 6        -&gt;  SG-x3           -&gt;    8+6mm tempered with Heat-Soak-Test
10 / 6      -&gt;  SG-x4           -&gt;    10+6mm tempered with Heat-Soak-Test
6 / 8-2     -&gt;  SG-x5           -&gt;    LSG* from Float 4 / 0.76 PVB / Float4
6 / P4A    -&gt;  SG-x5 +RC2   -&gt;    LSG* from P4A-foil (RC2)
8 / 8-2     -&gt;  SG-x6           -&gt;    LSG* from Float 4 / 0.76 PVB / Float4
8 / P4A    -&gt;  SG-x6 +RC2   -&gt;    LSG* from P4A-foil (RC2)
*in coating "S+" and generally for 3-IG the laminated glass is made ​​of WG = white glass (LSG-WG)
</t>
        </r>
        <r>
          <rPr>
            <b/>
            <sz val="9"/>
            <color indexed="81"/>
            <rFont val="Tahoma"/>
            <family val="2"/>
          </rPr>
          <t>légende:</t>
        </r>
        <r>
          <rPr>
            <sz val="9"/>
            <color indexed="81"/>
            <rFont val="Tahoma"/>
            <family val="2"/>
          </rPr>
          <t xml:space="preserve">
6 / 6        -&gt;  SG-x1           -&gt;    6mm verre trempé avec test "Heat-Soak"
8 / 8        -&gt;  SG-x2           -&gt;    8mm verre trempé avec test "Heat-Soak"
8 / 6        -&gt;  SG-x3           -&gt;    8+6mm verre trempé avec test "Heat-Soak"
10 / 6      -&gt;  SG-x4           -&gt;    10+6mm verre trempé avec test "Heat-Soak"
6 / 8-2     -&gt;  SG-x5           -&gt;    VSG* de Float 4 / 0.76 PVB / Float4
6 / SP10  -&gt;  SG-x5 +RC2   -&gt;    VSG* feuilleté SP10** (RC2)
8 / 8-2     -&gt;  SG-x6           -&gt;    VSG* de Float 4 / 0.76 PVB / Float4
8 / SP10  -&gt;  SG-x6 +RC2   -&gt;    VSG* feuilleté SP10** (RC2)
*le revêtement "S+" et généralement pour 3-IV constitué de VSG avec WG = verre blanc (VSG-WG)
**France:    S'il vous plaît edité dans la cellule "K3 = 1" pour activer SP10.</t>
        </r>
      </text>
    </comment>
    <comment ref="K4" authorId="0" shapeId="0" xr:uid="{00000000-0006-0000-0000-000006000000}">
      <text>
        <r>
          <rPr>
            <sz val="8"/>
            <color indexed="81"/>
            <rFont val="Tahoma"/>
            <family val="2"/>
          </rPr>
          <t>Die aus Beschichtung und der Glasaufbau resultierenden
Werte werden im Offerttext ausgewiesen.
Coating and glass composition result in values which
are stated in the description on the sales pages.
Les valeurs résultantes de la configuration et du
revêtement du vitrage sont indiqués dans le texte d’offre.
             2-IV Ug:    2-IV Lt / g:                           3-IV Ug:      3-IV Lt / g:
W   =&gt; 1.1            (ca. 78 / 60)            W   =&gt; 0.5 / 0.6    (ca. 70 / 50)*
S    =&gt; 1.0            (ca. 69 / 50)             S    =&gt; 0.5 / 0.6    (ca. 60 / 40)*
S+ =&gt; 1.1 / 1.0   (ca. 60 / 28)*           S+  =&gt; 0.5 / 0.6    (ca. 50 / 30)*
*bei Beschichtung "S+" und bei 3-IV generell ist das VSG aus Weissglas (VSG-WG)
*in coating "S+" and generally for 3-IG the laminated glass  is made ​​of white glass (LSG-WG)
*le revêtement "S+" et généralement pour 3-IV constitué de VSG avec verre blanc (VSG-WG)</t>
        </r>
      </text>
    </comment>
    <comment ref="P4" authorId="1" shapeId="0" xr:uid="{00000000-0006-0000-0000-000007000000}">
      <text>
        <r>
          <rPr>
            <sz val="9"/>
            <color indexed="81"/>
            <rFont val="Tahoma"/>
            <family val="2"/>
          </rPr>
          <t>Geben Sie Eck-Anlagen immer 
im Gegenuhrzeigersinn ein, 
also zuerst R und dann L.
(2 = Ecke links + rechts)
Enter corner systems always 
counterclockwise, ie first R and then L.
(2 = corner left + right)
Entrez les ouvertures d'angle de plus en plus 
anti-horaire, R donc d'abord, puis L.
(2 = angle à gauche et à droite)</t>
        </r>
      </text>
    </comment>
    <comment ref="Q4" authorId="0" shapeId="0" xr:uid="{00000000-0006-0000-0000-000008000000}">
      <text>
        <r>
          <rPr>
            <sz val="8"/>
            <color indexed="81"/>
            <rFont val="Tahoma"/>
            <family val="2"/>
          </rPr>
          <t>R = Rechts Schieben 
L = Links Schieben
F = Festfeld
Beispiel: RFLRF
R = sliding right 
L =  sliding left
F =  fix
example: RFLRF
R = coulissant à droite
L =  coulissant à gauche
F =  partie fixe
exemple: RFLRF</t>
        </r>
      </text>
    </comment>
    <comment ref="V4" authorId="1" shapeId="0" xr:uid="{00000000-0006-0000-0000-000009000000}">
      <text>
        <r>
          <rPr>
            <sz val="9"/>
            <color indexed="81"/>
            <rFont val="Tahoma"/>
            <family val="2"/>
          </rPr>
          <t>Zeile für eigenen Text
Line for own text
Ligne de texte</t>
        </r>
      </text>
    </comment>
    <comment ref="W4" authorId="1" shapeId="0" xr:uid="{00000000-0006-0000-0000-00000A000000}">
      <text>
        <r>
          <rPr>
            <sz val="9"/>
            <color indexed="81"/>
            <rFont val="Tahoma"/>
            <family val="2"/>
          </rPr>
          <t>Einbruchhemmung 
RC2 (WK2)
RCOG für die Niederlande
RCOG for the Netherlands
RCOG aux Pays-Bas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Beat Guhl</author>
    <author>Windows-Benutzer</author>
  </authors>
  <commentList>
    <comment ref="G2" authorId="0" shapeId="0" xr:uid="{00000000-0006-0000-0100-000001000000}">
      <text>
        <r>
          <rPr>
            <b/>
            <sz val="8"/>
            <color indexed="81"/>
            <rFont val="Tahoma"/>
            <family val="2"/>
          </rPr>
          <t xml:space="preserve">Der Rabatt wird nur auf den 
Einkaufspreis der Sky-Frame 
Elemente berücksichtigt.
The rebate will only be 
calculated on the price for 
the Sky-Frame Elements.
Le rabais se rapport 
seulement au prix d’achat 
des éléments. </t>
        </r>
      </text>
    </comment>
    <comment ref="V2" authorId="0" shapeId="0" xr:uid="{00000000-0006-0000-0100-000002000000}">
      <text>
        <r>
          <rPr>
            <b/>
            <sz val="10"/>
            <color indexed="81"/>
            <rFont val="Tahoma"/>
            <family val="2"/>
          </rPr>
          <t>Total     (/m2)</t>
        </r>
      </text>
    </comment>
    <comment ref="W6" authorId="1" shapeId="0" xr:uid="{00000000-0006-0000-0100-000003000000}">
      <text>
        <r>
          <rPr>
            <b/>
            <sz val="10"/>
            <color indexed="81"/>
            <rFont val="Tahoma"/>
            <family val="2"/>
          </rPr>
          <t>Positionen werden im Registerblatt OPTION definiert
Items have to be defined on page OPTION
Les positions sont à définir aux feuillets OPTION
Eingabe unten / insert below / donnée ci-dessous:
U = Umfang / circumference / pourtour
F = Fläche / area / surface
B = Breite / width / largeur
BB = 2 x Breite / 2 x width / 2 x largeur
BBH = 2 x Breite + Höhe / 2 x width + height / 2 x largeur + hauteur
BBHH = 2 x Breite + 2 x Höhe / 2 x width + 2 x height / 2 x largeur + 2 x hauteur
BHH = Breite + 2 x Höhe / width + 2 x height / largeur + 2 x hauteur
BH = Breite + Höhe / width + height / largeur + hauteur
H = Höhe / height / hauteur
HH = 2 x Höhe / 2 x height / 2 x hauteur
1250 = 1250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Ivo Lauffer</author>
    <author>Beat Guhl</author>
  </authors>
  <commentList>
    <comment ref="D1" authorId="0" shapeId="0" xr:uid="{00000000-0006-0000-0900-000001000000}">
      <text>
        <r>
          <rPr>
            <b/>
            <sz val="12"/>
            <color indexed="81"/>
            <rFont val="Tahoma"/>
            <family val="2"/>
          </rPr>
          <t>Anpassung:</t>
        </r>
        <r>
          <rPr>
            <sz val="12"/>
            <color indexed="81"/>
            <rFont val="Tahoma"/>
            <family val="2"/>
          </rPr>
          <t xml:space="preserve">
Geben Sie hier Ihren Firmennamen ein.
Please insert your company name here.</t>
        </r>
      </text>
    </comment>
    <comment ref="Z1" authorId="1" shapeId="0" xr:uid="{00000000-0006-0000-0900-000002000000}">
      <text>
        <r>
          <rPr>
            <sz val="9"/>
            <color indexed="81"/>
            <rFont val="Segoe UI"/>
            <family val="2"/>
          </rPr>
          <t xml:space="preserve">1= Unterdrückung Glaswerte und Oberfläche
</t>
        </r>
      </text>
    </comment>
    <comment ref="C170" authorId="1" shapeId="0" xr:uid="{00000000-0006-0000-0900-000003000000}">
      <text>
        <r>
          <rPr>
            <b/>
            <sz val="9"/>
            <color indexed="81"/>
            <rFont val="Tahoma"/>
            <family val="2"/>
          </rPr>
          <t xml:space="preserve">U Wert Tabelle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Beat Guhl</author>
  </authors>
  <commentList>
    <comment ref="D3" authorId="0" shapeId="0" xr:uid="{00000000-0006-0000-0E00-000001000000}">
      <text>
        <r>
          <rPr>
            <sz val="8"/>
            <color indexed="81"/>
            <rFont val="Tahoma"/>
            <family val="2"/>
          </rPr>
          <t>ELEMENT AB5</t>
        </r>
      </text>
    </comment>
    <comment ref="C4" authorId="0" shapeId="0" xr:uid="{00000000-0006-0000-0E00-000002000000}">
      <text>
        <r>
          <rPr>
            <sz val="8"/>
            <color indexed="81"/>
            <rFont val="Tahoma"/>
            <family val="2"/>
          </rPr>
          <t>MONTGE H2</t>
        </r>
      </text>
    </comment>
    <comment ref="C7" authorId="0" shapeId="0" xr:uid="{00000000-0006-0000-0E00-000003000000}">
      <text>
        <r>
          <rPr>
            <sz val="8"/>
            <color indexed="81"/>
            <rFont val="Tahoma"/>
            <family val="2"/>
          </rPr>
          <t>MONTAGE N2</t>
        </r>
      </text>
    </comment>
    <comment ref="B8" authorId="0" shapeId="0" xr:uid="{00000000-0006-0000-0E00-000004000000}">
      <text>
        <r>
          <rPr>
            <sz val="8"/>
            <color indexed="81"/>
            <rFont val="Tahoma"/>
            <family val="2"/>
          </rPr>
          <t xml:space="preserve">MONTAGE L
</t>
        </r>
      </text>
    </comment>
    <comment ref="C8" authorId="0" shapeId="0" xr:uid="{00000000-0006-0000-0E00-000005000000}">
      <text>
        <r>
          <rPr>
            <sz val="8"/>
            <color indexed="81"/>
            <rFont val="Tahoma"/>
            <family val="2"/>
          </rPr>
          <t xml:space="preserve">MONTAGE E2
</t>
        </r>
      </text>
    </comment>
    <comment ref="B9" authorId="0" shapeId="0" xr:uid="{00000000-0006-0000-0E00-000006000000}">
      <text>
        <r>
          <rPr>
            <sz val="8"/>
            <color indexed="81"/>
            <rFont val="Tahoma"/>
            <family val="2"/>
          </rPr>
          <t>MONTAGE K7
MONTAGE L7</t>
        </r>
      </text>
    </comment>
    <comment ref="C9" authorId="0" shapeId="0" xr:uid="{00000000-0006-0000-0E00-000007000000}">
      <text>
        <r>
          <rPr>
            <sz val="8"/>
            <color indexed="81"/>
            <rFont val="Tahoma"/>
            <family val="2"/>
          </rPr>
          <t>MONTAGE E2</t>
        </r>
      </text>
    </comment>
    <comment ref="C10" authorId="0" shapeId="0" xr:uid="{00000000-0006-0000-0E00-000008000000}">
      <text>
        <r>
          <rPr>
            <sz val="8"/>
            <color indexed="81"/>
            <rFont val="Tahoma"/>
            <family val="2"/>
          </rPr>
          <t>MONTAGE M7</t>
        </r>
      </text>
    </comment>
    <comment ref="C11" authorId="0" shapeId="0" xr:uid="{00000000-0006-0000-0E00-000009000000}">
      <text>
        <r>
          <rPr>
            <sz val="8"/>
            <color indexed="81"/>
            <rFont val="Tahoma"/>
            <family val="2"/>
          </rPr>
          <t>MONTAGE N7</t>
        </r>
      </text>
    </comment>
    <comment ref="C12" authorId="0" shapeId="0" xr:uid="{00000000-0006-0000-0E00-00000A000000}">
      <text>
        <r>
          <rPr>
            <sz val="8"/>
            <color indexed="81"/>
            <rFont val="Tahoma"/>
            <family val="2"/>
          </rPr>
          <t>MONTAGE O7</t>
        </r>
      </text>
    </comment>
    <comment ref="C14" authorId="0" shapeId="0" xr:uid="{00000000-0006-0000-0E00-00000B000000}">
      <text>
        <r>
          <rPr>
            <sz val="8"/>
            <color indexed="81"/>
            <rFont val="Tahoma"/>
            <family val="2"/>
          </rPr>
          <t>MONTAGE E4</t>
        </r>
      </text>
    </comment>
    <comment ref="D16" authorId="0" shapeId="0" xr:uid="{00000000-0006-0000-0E00-00000C000000}">
      <text>
        <r>
          <rPr>
            <sz val="8"/>
            <color indexed="81"/>
            <rFont val="Tahoma"/>
            <family val="2"/>
          </rPr>
          <t>MONTAGE T7</t>
        </r>
      </text>
    </comment>
    <comment ref="D25" authorId="0" shapeId="0" xr:uid="{00000000-0006-0000-0E00-00000D000000}">
      <text>
        <r>
          <rPr>
            <sz val="8"/>
            <color indexed="81"/>
            <rFont val="Tahoma"/>
            <family val="2"/>
          </rPr>
          <t>OPTION E3</t>
        </r>
      </text>
    </comment>
    <comment ref="B26" authorId="0" shapeId="0" xr:uid="{00000000-0006-0000-0E00-00000E000000}">
      <text>
        <r>
          <rPr>
            <sz val="8"/>
            <color indexed="81"/>
            <rFont val="Tahoma"/>
            <family val="2"/>
          </rPr>
          <t>OPTION F3</t>
        </r>
      </text>
    </comment>
    <comment ref="C26" authorId="0" shapeId="0" xr:uid="{00000000-0006-0000-0E00-00000F000000}">
      <text>
        <r>
          <rPr>
            <sz val="8"/>
            <color indexed="81"/>
            <rFont val="Tahoma"/>
            <family val="2"/>
          </rPr>
          <t>MONTAGE E3</t>
        </r>
      </text>
    </comment>
    <comment ref="B27" authorId="0" shapeId="0" xr:uid="{00000000-0006-0000-0E00-000010000000}">
      <text>
        <r>
          <rPr>
            <sz val="8"/>
            <color indexed="81"/>
            <rFont val="Tahoma"/>
            <family val="2"/>
          </rPr>
          <t>OPTION G3</t>
        </r>
      </text>
    </comment>
    <comment ref="C27" authorId="0" shapeId="0" xr:uid="{00000000-0006-0000-0E00-000011000000}">
      <text>
        <r>
          <rPr>
            <sz val="8"/>
            <color indexed="81"/>
            <rFont val="Tahoma"/>
            <family val="2"/>
          </rPr>
          <t>MONTAGE E2</t>
        </r>
      </text>
    </comment>
    <comment ref="B28" authorId="0" shapeId="0" xr:uid="{00000000-0006-0000-0E00-000012000000}">
      <text>
        <r>
          <rPr>
            <sz val="8"/>
            <color indexed="81"/>
            <rFont val="Tahoma"/>
            <family val="2"/>
          </rPr>
          <t>OPTION H3</t>
        </r>
      </text>
    </comment>
    <comment ref="C30" authorId="0" shapeId="0" xr:uid="{00000000-0006-0000-0E00-000013000000}">
      <text>
        <r>
          <rPr>
            <sz val="8"/>
            <color indexed="81"/>
            <rFont val="Tahoma"/>
            <family val="2"/>
          </rPr>
          <t>MONTAGE E4</t>
        </r>
      </text>
    </comment>
    <comment ref="D32" authorId="0" shapeId="0" xr:uid="{00000000-0006-0000-0E00-000014000000}">
      <text>
        <r>
          <rPr>
            <sz val="8"/>
            <color indexed="81"/>
            <rFont val="Tahoma"/>
            <family val="2"/>
          </rPr>
          <t>OPTION I3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Ivo Lauffer</author>
  </authors>
  <commentList>
    <comment ref="AL3" authorId="0" shapeId="0" xr:uid="{00000000-0006-0000-1000-000001000000}">
      <text>
        <r>
          <rPr>
            <sz val="9"/>
            <color indexed="81"/>
            <rFont val="Tahoma"/>
            <family val="2"/>
          </rPr>
          <t>Bitte den Randverbundtyp auswählen.
Please select the edge seal type.
S'il vous plaît sélectionnez le type de joint de bord.</t>
        </r>
      </text>
    </comment>
  </commentList>
</comments>
</file>

<file path=xl/sharedStrings.xml><?xml version="1.0" encoding="utf-8"?>
<sst xmlns="http://schemas.openxmlformats.org/spreadsheetml/2006/main" count="2692" uniqueCount="1320">
  <si>
    <t>x</t>
  </si>
  <si>
    <t>Vertikalprofile</t>
  </si>
  <si>
    <t>Felder</t>
  </si>
  <si>
    <t>Glas</t>
  </si>
  <si>
    <t>Stk.</t>
  </si>
  <si>
    <t>Breite mm</t>
  </si>
  <si>
    <t>Höhe mm</t>
  </si>
  <si>
    <t>Preis Stk.</t>
  </si>
  <si>
    <t>Preis Total</t>
  </si>
  <si>
    <t>u</t>
  </si>
  <si>
    <t>h</t>
  </si>
  <si>
    <t>H</t>
  </si>
  <si>
    <t>S</t>
  </si>
  <si>
    <t>Randöffnung</t>
  </si>
  <si>
    <t>Beweglich</t>
  </si>
  <si>
    <t>Fest</t>
  </si>
  <si>
    <t>Total</t>
  </si>
  <si>
    <t>Höhe</t>
  </si>
  <si>
    <t>Breite</t>
  </si>
  <si>
    <t>Rahmen</t>
  </si>
  <si>
    <t>Fehler</t>
  </si>
  <si>
    <t>Montagezeit Empfehlung</t>
  </si>
  <si>
    <t>h Montagezeit</t>
  </si>
  <si>
    <t>h Planung</t>
  </si>
  <si>
    <t>Stk. Verschlüsse</t>
  </si>
  <si>
    <t>Planung + Montage</t>
  </si>
  <si>
    <t>Risiko Gewinn</t>
  </si>
  <si>
    <t>Verkaufspreis Stk.</t>
  </si>
  <si>
    <t xml:space="preserve">Montagestunden </t>
  </si>
  <si>
    <t>Planungsstunden</t>
  </si>
  <si>
    <t>UK</t>
  </si>
  <si>
    <t>Einkauf</t>
  </si>
  <si>
    <t>Gleis</t>
  </si>
  <si>
    <t>Veschlüsse</t>
  </si>
  <si>
    <t>Text</t>
  </si>
  <si>
    <t>Sprache</t>
  </si>
  <si>
    <t>Deutsch</t>
  </si>
  <si>
    <t>Glasgrösse</t>
  </si>
  <si>
    <t>Währung</t>
  </si>
  <si>
    <t>Objekt:</t>
  </si>
  <si>
    <t xml:space="preserve"> / h Montage</t>
  </si>
  <si>
    <t xml:space="preserve"> / h Planung</t>
  </si>
  <si>
    <t>Zylinder</t>
  </si>
  <si>
    <t>Z</t>
  </si>
  <si>
    <t>Insektengitter</t>
  </si>
  <si>
    <t>Grösse</t>
  </si>
  <si>
    <t>U-Wert</t>
  </si>
  <si>
    <t>W/m2K</t>
  </si>
  <si>
    <t>Verschlüsse</t>
  </si>
  <si>
    <t>VSG</t>
  </si>
  <si>
    <t>Stk. Felder</t>
  </si>
  <si>
    <t>beweglich</t>
  </si>
  <si>
    <t>per</t>
  </si>
  <si>
    <t xml:space="preserve">Glas   </t>
  </si>
  <si>
    <t xml:space="preserve">Verschluss  </t>
  </si>
  <si>
    <t>I</t>
  </si>
  <si>
    <t>II</t>
  </si>
  <si>
    <t>IZ</t>
  </si>
  <si>
    <t>ZZ</t>
  </si>
  <si>
    <t xml:space="preserve">Pos. </t>
  </si>
  <si>
    <t>Veraltete Version</t>
  </si>
  <si>
    <t>Labyrinth</t>
  </si>
  <si>
    <t xml:space="preserve">adf
</t>
  </si>
  <si>
    <t>UK Pauschal / Kran</t>
  </si>
  <si>
    <t>Oberfläche:</t>
  </si>
  <si>
    <t>Farblos eloxiert</t>
  </si>
  <si>
    <t>Einbrennlackiert in Ral</t>
  </si>
  <si>
    <t>/m2</t>
  </si>
  <si>
    <t>/m  UK Sturz + Seite</t>
  </si>
  <si>
    <t>/m UK Sockel</t>
  </si>
  <si>
    <t>Verk.peis / m2</t>
  </si>
  <si>
    <t>exkl. MwSt</t>
  </si>
  <si>
    <t>Pos.</t>
  </si>
  <si>
    <t>par</t>
  </si>
  <si>
    <t xml:space="preserve">Zylinder    </t>
  </si>
  <si>
    <t>Feldaufteilung</t>
  </si>
  <si>
    <t xml:space="preserve"> --&gt; Festfelder breiter als Schieber</t>
  </si>
  <si>
    <t>Sonderfälle</t>
  </si>
  <si>
    <t>Mehrpreis</t>
  </si>
  <si>
    <t>fixed</t>
  </si>
  <si>
    <t>glass size</t>
  </si>
  <si>
    <t># of locks</t>
  </si>
  <si>
    <t>h installation manhours</t>
  </si>
  <si>
    <t>h planning manhours</t>
  </si>
  <si>
    <t>currency</t>
  </si>
  <si>
    <t>/ h installation</t>
  </si>
  <si>
    <t>/ h planning</t>
  </si>
  <si>
    <t>installation manhours</t>
  </si>
  <si>
    <t>planning manhours</t>
  </si>
  <si>
    <t>tempered safety glass</t>
  </si>
  <si>
    <t>text</t>
  </si>
  <si>
    <t>outdated version</t>
  </si>
  <si>
    <t>cylinder</t>
  </si>
  <si>
    <t>--&gt; fixed sections are wider than slider</t>
  </si>
  <si>
    <t>side opening</t>
  </si>
  <si>
    <t>horizontal profile</t>
  </si>
  <si>
    <t>labyrinth</t>
  </si>
  <si>
    <t>total</t>
  </si>
  <si>
    <t>price per unit</t>
  </si>
  <si>
    <t>total price</t>
  </si>
  <si>
    <t>language</t>
  </si>
  <si>
    <t>proposed installation manhours</t>
  </si>
  <si>
    <t>planning and installation</t>
  </si>
  <si>
    <t>risk/profit</t>
  </si>
  <si>
    <t>sales price per unit</t>
  </si>
  <si>
    <t>lock</t>
  </si>
  <si>
    <t>locks</t>
  </si>
  <si>
    <t>laminated safety glass</t>
  </si>
  <si>
    <t>width mm</t>
  </si>
  <si>
    <t>height mm</t>
  </si>
  <si>
    <t>without glazing</t>
  </si>
  <si>
    <t>Preis ohne Glas</t>
  </si>
  <si>
    <t>substructure flat rate/ crane</t>
  </si>
  <si>
    <t>special cases</t>
  </si>
  <si>
    <t>surcharge</t>
  </si>
  <si>
    <t>Glasgewicht</t>
  </si>
  <si>
    <t>Rahmengewicht</t>
  </si>
  <si>
    <t>zu schmal</t>
  </si>
  <si>
    <t>zu hoch</t>
  </si>
  <si>
    <t>VSG ?</t>
  </si>
  <si>
    <t>Glas über 2m</t>
  </si>
  <si>
    <t xml:space="preserve">Elementdicke </t>
  </si>
  <si>
    <t>Festfeld</t>
  </si>
  <si>
    <t>Zylinder?</t>
  </si>
  <si>
    <t>Insekt.?</t>
  </si>
  <si>
    <t>glass weight</t>
  </si>
  <si>
    <t>frame weight</t>
  </si>
  <si>
    <t>height</t>
  </si>
  <si>
    <t>frame</t>
  </si>
  <si>
    <t>width</t>
  </si>
  <si>
    <t>too small</t>
  </si>
  <si>
    <t>tracks?</t>
  </si>
  <si>
    <t>too high</t>
  </si>
  <si>
    <t>LSG?</t>
  </si>
  <si>
    <t>glass wider than 2m</t>
  </si>
  <si>
    <t>element thickness</t>
  </si>
  <si>
    <t>cylinder?</t>
  </si>
  <si>
    <t>Statik Labyrinth</t>
  </si>
  <si>
    <t>s</t>
  </si>
  <si>
    <t>c</t>
  </si>
  <si>
    <t>CFK-armierte Profilvariante</t>
  </si>
  <si>
    <t>Stahlarmierte Profilvariante</t>
  </si>
  <si>
    <t>Profilvariante</t>
  </si>
  <si>
    <t>Reinforced vertical profiles</t>
  </si>
  <si>
    <t>ESG-H</t>
  </si>
  <si>
    <t>Rahmenprofile ?</t>
  </si>
  <si>
    <t>frame ?</t>
  </si>
  <si>
    <t>Berechnung ohne Garantie</t>
  </si>
  <si>
    <t>/ h montage</t>
  </si>
  <si>
    <t>/ h bureau</t>
  </si>
  <si>
    <t xml:space="preserve"> </t>
  </si>
  <si>
    <t xml:space="preserve">2=2-Gleis  3=3Gleis </t>
  </si>
  <si>
    <t xml:space="preserve">2=2 tracks 3=3 tracks </t>
  </si>
  <si>
    <t>Hor.Prof.</t>
  </si>
  <si>
    <t>Gewicht</t>
  </si>
  <si>
    <t>LT/G-Wert</t>
  </si>
  <si>
    <t>Preisanp.</t>
  </si>
  <si>
    <t>CHF/lm</t>
  </si>
  <si>
    <t>m2</t>
  </si>
  <si>
    <t>ð</t>
  </si>
  <si>
    <t>ï</t>
  </si>
  <si>
    <t>E</t>
  </si>
  <si>
    <t>B</t>
  </si>
  <si>
    <t>Öffnungsart</t>
  </si>
  <si>
    <t>Symbole</t>
  </si>
  <si>
    <t>Verschluss</t>
  </si>
  <si>
    <t>F</t>
  </si>
  <si>
    <t>Bewegliche Felder</t>
  </si>
  <si>
    <t>EUR</t>
  </si>
  <si>
    <t>CHF</t>
  </si>
  <si>
    <t>D</t>
  </si>
  <si>
    <t>Bahnhof</t>
  </si>
  <si>
    <t>Mittelöffnung</t>
  </si>
  <si>
    <t>SB</t>
  </si>
  <si>
    <t>Preisklasse 5</t>
  </si>
  <si>
    <t>Preisklasse 6</t>
  </si>
  <si>
    <t>Glasgewicht x Stk.</t>
  </si>
  <si>
    <t>Rahmengewicht Total</t>
  </si>
  <si>
    <t>UK - kg/m</t>
  </si>
  <si>
    <t>S - Profil kg/m</t>
  </si>
  <si>
    <t>u-profil  kg/m</t>
  </si>
  <si>
    <t>Anzahl Geleise</t>
  </si>
  <si>
    <t>Rahmengewicht x Stk.</t>
  </si>
  <si>
    <t>Eckproifl kg/m</t>
  </si>
  <si>
    <t>Randöffnung kg/m</t>
  </si>
  <si>
    <t>Mittelöffnung kg/m</t>
  </si>
  <si>
    <t>Labyrinth kg/m</t>
  </si>
  <si>
    <t>LABY / Verschl / Eckprof</t>
  </si>
  <si>
    <t>Summe Montagestunden</t>
  </si>
  <si>
    <t>Summe Planungstunden</t>
  </si>
  <si>
    <t xml:space="preserve"> 
</t>
  </si>
  <si>
    <t>Zusammenfassung Glas Oberfläche</t>
  </si>
  <si>
    <t>Oberfläche</t>
  </si>
  <si>
    <t>Eckausbildung</t>
  </si>
  <si>
    <t>Bahnhofausbildung</t>
  </si>
  <si>
    <t>Positionsbez. Kunde</t>
  </si>
  <si>
    <t>Pos. Nr.</t>
  </si>
  <si>
    <t>A</t>
  </si>
  <si>
    <t>L</t>
  </si>
  <si>
    <t>Position</t>
  </si>
  <si>
    <t>Titel</t>
  </si>
  <si>
    <t>Preis</t>
  </si>
  <si>
    <t>h Werkstatt</t>
  </si>
  <si>
    <t>Total Sky-Frame Optionen</t>
  </si>
  <si>
    <t>Unterkonstruktion und Ausrüstung</t>
  </si>
  <si>
    <t>price</t>
  </si>
  <si>
    <t>∑</t>
  </si>
  <si>
    <t>Einheit</t>
  </si>
  <si>
    <t>Elemente</t>
  </si>
  <si>
    <t>Zusatzarbeit.</t>
  </si>
  <si>
    <t>Rahmenlichtmass</t>
  </si>
  <si>
    <t>CH</t>
  </si>
  <si>
    <t>NL</t>
  </si>
  <si>
    <t>Deutsch CH</t>
  </si>
  <si>
    <t>Niederlande</t>
  </si>
  <si>
    <t>Italienisch</t>
  </si>
  <si>
    <t>P</t>
  </si>
  <si>
    <t>Polnisch</t>
  </si>
  <si>
    <t>ZZZ</t>
  </si>
  <si>
    <t>BH R</t>
  </si>
  <si>
    <t>BH L</t>
  </si>
  <si>
    <t>o</t>
  </si>
  <si>
    <t>ù</t>
  </si>
  <si>
    <t>§</t>
  </si>
  <si>
    <t>90° Ecke</t>
  </si>
  <si>
    <t>links</t>
  </si>
  <si>
    <t>rechts</t>
  </si>
  <si>
    <t>Rahmenaussenmass</t>
  </si>
  <si>
    <t>ohne Bahnhof</t>
  </si>
  <si>
    <t>Resultat</t>
  </si>
  <si>
    <t>Französich / français</t>
  </si>
  <si>
    <t>pcs.</t>
  </si>
  <si>
    <t>h atelier</t>
  </si>
  <si>
    <t>/ ml sousconstruction haut+lat</t>
  </si>
  <si>
    <t>/ ml sousconstruction socle</t>
  </si>
  <si>
    <t>fermetures</t>
  </si>
  <si>
    <t>angle de 90°</t>
  </si>
  <si>
    <t>variante d'ouverture</t>
  </si>
  <si>
    <t>classe de prix 5</t>
  </si>
  <si>
    <t>classe de prix 6</t>
  </si>
  <si>
    <t>traveaux supplémentaires</t>
  </si>
  <si>
    <t>R</t>
  </si>
  <si>
    <t>EFR</t>
  </si>
  <si>
    <t>EFL</t>
  </si>
  <si>
    <t>GGEcke</t>
  </si>
  <si>
    <t>Var.</t>
  </si>
  <si>
    <t>Ug-Wert</t>
  </si>
  <si>
    <t>VSG-TVG</t>
  </si>
  <si>
    <t>Glasfläche?</t>
  </si>
  <si>
    <t>Max.m2 / Schieber</t>
  </si>
  <si>
    <t>Max.m2 / Festfeld</t>
  </si>
  <si>
    <t>WK2</t>
  </si>
  <si>
    <t>Glasbeschichtung</t>
  </si>
  <si>
    <t>Festfeldbreite mm</t>
  </si>
  <si>
    <t>width per fixed section mm</t>
  </si>
  <si>
    <t>90° Eckanschluss an angrenzendes Element</t>
  </si>
  <si>
    <t>numéro de Pos.</t>
  </si>
  <si>
    <t>largeur mm</t>
  </si>
  <si>
    <t>hauteur mm</t>
  </si>
  <si>
    <t xml:space="preserve">2=2 rails  3=3 rails  </t>
  </si>
  <si>
    <t>profil horizontal</t>
  </si>
  <si>
    <t>profil vertical</t>
  </si>
  <si>
    <t>labyrinthe</t>
  </si>
  <si>
    <t>ouvrants</t>
  </si>
  <si>
    <t>fixe</t>
  </si>
  <si>
    <t>prix total</t>
  </si>
  <si>
    <t>panneaux</t>
  </si>
  <si>
    <t>prix</t>
  </si>
  <si>
    <t>langue</t>
  </si>
  <si>
    <t>h montage</t>
  </si>
  <si>
    <t>h bureau</t>
  </si>
  <si>
    <t>achat</t>
  </si>
  <si>
    <t>bureau+ montage</t>
  </si>
  <si>
    <t xml:space="preserve">sous-construction </t>
  </si>
  <si>
    <t>risque et benefice</t>
  </si>
  <si>
    <t>devise</t>
  </si>
  <si>
    <t>heures de montage</t>
  </si>
  <si>
    <t>heures de bureau</t>
  </si>
  <si>
    <t>verre</t>
  </si>
  <si>
    <t>fermeture</t>
  </si>
  <si>
    <t>ancienne version</t>
  </si>
  <si>
    <t>var.</t>
  </si>
  <si>
    <t>anodisé naturel</t>
  </si>
  <si>
    <t>thermolaqué RAL</t>
  </si>
  <si>
    <t>cylindre</t>
  </si>
  <si>
    <t xml:space="preserve"> --&gt;panneua fixe plus large que l`ouvrant</t>
  </si>
  <si>
    <t>cas speciaux</t>
  </si>
  <si>
    <t>plus-value</t>
  </si>
  <si>
    <t>prix sans verre</t>
  </si>
  <si>
    <t>poids du verre</t>
  </si>
  <si>
    <t>poids du cadre</t>
  </si>
  <si>
    <t>hauteur</t>
  </si>
  <si>
    <t>cadre</t>
  </si>
  <si>
    <t>largeur</t>
  </si>
  <si>
    <t>trop haut</t>
  </si>
  <si>
    <t>verre feuilleté ?</t>
  </si>
  <si>
    <t>surface du vitrage?</t>
  </si>
  <si>
    <t>verre plus large que 2m</t>
  </si>
  <si>
    <t>épaisseure des élements</t>
  </si>
  <si>
    <t>partie fixe</t>
  </si>
  <si>
    <t>moustiquaire ?</t>
  </si>
  <si>
    <t>statique du labyrinthe</t>
  </si>
  <si>
    <t>calcul sans garantie</t>
  </si>
  <si>
    <t>gauche</t>
  </si>
  <si>
    <t>droite</t>
  </si>
  <si>
    <t>English</t>
  </si>
  <si>
    <t>item no.</t>
  </si>
  <si>
    <t>unit</t>
  </si>
  <si>
    <t>vertical profiles</t>
  </si>
  <si>
    <t>panels</t>
  </si>
  <si>
    <t>centre opening</t>
  </si>
  <si>
    <t>sliding</t>
  </si>
  <si>
    <t>h production</t>
  </si>
  <si>
    <t>substructure top and vertical</t>
  </si>
  <si>
    <t>substructure bottom</t>
  </si>
  <si>
    <t>purchase price</t>
  </si>
  <si>
    <t>substructure</t>
  </si>
  <si>
    <t>Project:</t>
  </si>
  <si>
    <t>glass</t>
  </si>
  <si>
    <t>pcs. profile cylinder</t>
  </si>
  <si>
    <t>clear size of frame</t>
  </si>
  <si>
    <t>o/a frame size</t>
  </si>
  <si>
    <t># of panels</t>
  </si>
  <si>
    <t>alt.</t>
  </si>
  <si>
    <t>standard plain anodized</t>
  </si>
  <si>
    <t>RAL powder coating</t>
  </si>
  <si>
    <t>excluding VAT</t>
  </si>
  <si>
    <t>U-value</t>
  </si>
  <si>
    <t>glass area?</t>
  </si>
  <si>
    <t>fixed panel</t>
  </si>
  <si>
    <t>90° corner</t>
  </si>
  <si>
    <t>opening type</t>
  </si>
  <si>
    <t>price class 5</t>
  </si>
  <si>
    <t>price class 6</t>
  </si>
  <si>
    <t>pocket door</t>
  </si>
  <si>
    <t>90° corner with adjoining element</t>
  </si>
  <si>
    <t>Item no. Client</t>
  </si>
  <si>
    <t>Additional items</t>
  </si>
  <si>
    <t>elements</t>
  </si>
  <si>
    <t>left</t>
  </si>
  <si>
    <t>right</t>
  </si>
  <si>
    <t>w/o pocket</t>
  </si>
  <si>
    <t xml:space="preserve">Stk. Zylindervorbereitung    </t>
  </si>
  <si>
    <t>Alarmkomponenten</t>
  </si>
  <si>
    <t>G</t>
  </si>
  <si>
    <t>RG</t>
  </si>
  <si>
    <t>Gläser mit Glasbruchmelder und Übertragungseinheit</t>
  </si>
  <si>
    <t>Verschlüsse mit Riegelüberwachung und übertragungseinheit</t>
  </si>
  <si>
    <t>Glasüberwachung</t>
  </si>
  <si>
    <t>Total Sky-Frame Elemente</t>
  </si>
  <si>
    <t>Summen Sky-Frame Optionen</t>
  </si>
  <si>
    <t>Verschlüsse mit Riegelüberwachung und Übertragung</t>
  </si>
  <si>
    <t>Rabatt</t>
  </si>
  <si>
    <t>Sliders with position survey</t>
  </si>
  <si>
    <t>Lock survey</t>
  </si>
  <si>
    <t>Glass breakage control</t>
  </si>
  <si>
    <t>Total Sky-Frame elements</t>
  </si>
  <si>
    <t>Total Sky-Frame options</t>
  </si>
  <si>
    <t>Summary Sky-Frame options</t>
  </si>
  <si>
    <t>substructure and equipment</t>
  </si>
  <si>
    <t>alarm components</t>
  </si>
  <si>
    <t>discount</t>
  </si>
  <si>
    <t>rabais</t>
  </si>
  <si>
    <t>Oberflächenvariante</t>
  </si>
  <si>
    <t>Option  11-15 ?</t>
  </si>
  <si>
    <t>?? Option  11-15 ??</t>
  </si>
  <si>
    <t>Alternativwährung Faktor</t>
  </si>
  <si>
    <t>Alternativwährung Bezeichnung</t>
  </si>
  <si>
    <t>£</t>
  </si>
  <si>
    <t>45 mm Rahmen</t>
  </si>
  <si>
    <t>profil du cadre 45mm</t>
  </si>
  <si>
    <t>Colinal E6 20/25my</t>
  </si>
  <si>
    <t>Schwedisch</t>
  </si>
  <si>
    <t>Alarmspinne</t>
  </si>
  <si>
    <t>Alarmglasproblem</t>
  </si>
  <si>
    <t>nein</t>
  </si>
  <si>
    <t>Überwachung von Alarmspinnen und Glastypen eingebaut</t>
  </si>
  <si>
    <t>Datumsüberprüfung kann nun durch Datumseingabe überbrückt werden.</t>
  </si>
  <si>
    <t>Alarmkomponenten eingeschaltet</t>
  </si>
  <si>
    <t xml:space="preserve">Gewichtsberechnung überprüft </t>
  </si>
  <si>
    <t>WK2 Glas</t>
  </si>
  <si>
    <t>WK2 nur noch mit P4A möglich</t>
  </si>
  <si>
    <t>WK2 Geöffnet ist und wieder möglich</t>
  </si>
  <si>
    <t>W2R = WK2 ohne Glasüberwachung</t>
  </si>
  <si>
    <t>profil de cadre 95mm</t>
  </si>
  <si>
    <t>ouverture extrémité</t>
  </si>
  <si>
    <t>ouverture médiane</t>
  </si>
  <si>
    <t>m² total</t>
  </si>
  <si>
    <t>/m²</t>
  </si>
  <si>
    <t>largeur partie fixe mm</t>
  </si>
  <si>
    <t>temps de montage proposé</t>
  </si>
  <si>
    <t>forfait (grue, sous-constr.)</t>
  </si>
  <si>
    <t>prix de vente par élément</t>
  </si>
  <si>
    <t>prix de vente / m²</t>
  </si>
  <si>
    <t>revêtement du verre</t>
  </si>
  <si>
    <t>composants d'alarme</t>
  </si>
  <si>
    <t>W/m²K</t>
  </si>
  <si>
    <t>détecteur de brise de verre</t>
  </si>
  <si>
    <t>cylindre ?</t>
  </si>
  <si>
    <t>profils de cadre ?</t>
  </si>
  <si>
    <t>raccordement en angle de 90° à l'élément voisin</t>
  </si>
  <si>
    <t>éléments</t>
  </si>
  <si>
    <t>devise alternative, facteur</t>
  </si>
  <si>
    <t>devise alternative, appelation</t>
  </si>
  <si>
    <t>45 mm frame profile</t>
  </si>
  <si>
    <t>m²/unit</t>
  </si>
  <si>
    <t>sales price per m²</t>
  </si>
  <si>
    <t>glass breakage control</t>
  </si>
  <si>
    <t>Calculation w/o guarantee</t>
  </si>
  <si>
    <t>95 mm Rahmen</t>
  </si>
  <si>
    <t>95 mm profile</t>
  </si>
  <si>
    <t>Per Positionen in den Optionen sind wieder möglich</t>
  </si>
  <si>
    <t>Glas-Glas Ecke mit Stufenglas</t>
  </si>
  <si>
    <t>Festfeldgrösse</t>
  </si>
  <si>
    <t>fixed pane size</t>
  </si>
  <si>
    <t>gerundet</t>
  </si>
  <si>
    <t>m²  total</t>
  </si>
  <si>
    <t>prix par élément</t>
  </si>
  <si>
    <t xml:space="preserve"> / m²</t>
  </si>
  <si>
    <t>Projet:</t>
  </si>
  <si>
    <t xml:space="preserve">VSG-TVG </t>
  </si>
  <si>
    <t xml:space="preserve">verre feuilleté </t>
  </si>
  <si>
    <t xml:space="preserve">verre trempé </t>
  </si>
  <si>
    <t>Dim. du cadre intérieur (clair)</t>
  </si>
  <si>
    <t>Dim. du cadre extérieur</t>
  </si>
  <si>
    <t>vantaux</t>
  </si>
  <si>
    <t>vantaux coulissants</t>
  </si>
  <si>
    <t>hors TVA</t>
  </si>
  <si>
    <t>trop Detroit</t>
  </si>
  <si>
    <t>Valeur Ug:</t>
  </si>
  <si>
    <t>No. de Pos. du client</t>
  </si>
  <si>
    <t>Vitrages avec détecteur de bris de verre</t>
  </si>
  <si>
    <t>Angle vitré avec vitrage décalé</t>
  </si>
  <si>
    <t xml:space="preserve"> rails, double-vitrage</t>
  </si>
  <si>
    <t>largeur panneau fixe</t>
  </si>
  <si>
    <t>m² / pcs.</t>
  </si>
  <si>
    <t xml:space="preserve">dimension du verre        </t>
  </si>
  <si>
    <t xml:space="preserve">pcs. de verouillages </t>
  </si>
  <si>
    <t>préparation pour une serrure à cylindre    </t>
  </si>
  <si>
    <t>Vitrage</t>
  </si>
  <si>
    <t>Description</t>
  </si>
  <si>
    <t>Renfort statique en carbonne</t>
  </si>
  <si>
    <t>Renfort statique en acier</t>
  </si>
  <si>
    <t>Galandage</t>
  </si>
  <si>
    <t>Sans galandage</t>
  </si>
  <si>
    <t>Éléments mobiles avec surveillance de position</t>
  </si>
  <si>
    <t>Fermetures avec surveillance du pêne</t>
  </si>
  <si>
    <t>arrondi</t>
  </si>
  <si>
    <t>Aussenmass</t>
  </si>
  <si>
    <t>Aussenmaß</t>
  </si>
  <si>
    <t xml:space="preserve"> o/a frame size</t>
  </si>
  <si>
    <t xml:space="preserve"> dim extérieur</t>
  </si>
  <si>
    <t>51 mm frame profile</t>
  </si>
  <si>
    <t>profil du cadre 51mm</t>
  </si>
  <si>
    <t>100 mm Rahmen</t>
  </si>
  <si>
    <t>100 m profile</t>
  </si>
  <si>
    <t>profil de cadre 100mm</t>
  </si>
  <si>
    <t>Verschlüsse mit Riegelüberwachung und Übertragungseinheit</t>
  </si>
  <si>
    <t>-gleisig,  2-fach Isolierglas</t>
  </si>
  <si>
    <t>m2/Stk.</t>
  </si>
  <si>
    <t>m2 Total</t>
  </si>
  <si>
    <t>-gleisig,  3-fach Isolierglas</t>
  </si>
  <si>
    <t xml:space="preserve"> rails, triple-vitrage</t>
  </si>
  <si>
    <t>Metallbau ...(unter Register Sprache D1 anpassen)</t>
  </si>
  <si>
    <t>Company… (please adapt in Sprache D1)</t>
  </si>
  <si>
    <t>Menuiserie .. (à adapter dans l'onglet Sprache D1)</t>
  </si>
  <si>
    <t>Preisanpassung Pauschal für Oberflächenvariante der aktiven Positionen:</t>
  </si>
  <si>
    <t>Preisanpassung Pauschal für Oberflächenvariante der akitven Positionen:</t>
  </si>
  <si>
    <t>item</t>
  </si>
  <si>
    <t>Additional charge for alternative surface of all active items:</t>
  </si>
  <si>
    <t>-tracks double glazed</t>
  </si>
  <si>
    <t>-tracks triple glazed</t>
  </si>
  <si>
    <t>fixed corner glazing</t>
  </si>
  <si>
    <t>rounded</t>
  </si>
  <si>
    <t>alternative currency factor</t>
  </si>
  <si>
    <t>Weissglaszuschlag</t>
  </si>
  <si>
    <t>objekt nr.</t>
    <phoneticPr fontId="0" type="noConversion"/>
  </si>
  <si>
    <t>objekt</t>
    <phoneticPr fontId="0" type="noConversion"/>
  </si>
  <si>
    <t>IMG</t>
    <phoneticPr fontId="0" type="noConversion"/>
  </si>
  <si>
    <t>antal</t>
    <phoneticPr fontId="0" type="noConversion"/>
  </si>
  <si>
    <t>pos.</t>
  </si>
  <si>
    <t>bredd mm</t>
    <phoneticPr fontId="0" type="noConversion"/>
  </si>
  <si>
    <t>höjd mm</t>
    <phoneticPr fontId="0" type="noConversion"/>
  </si>
  <si>
    <t>2=2 skena  3=3 skena</t>
  </si>
  <si>
    <t>45 mm ramprofil</t>
    <phoneticPr fontId="0" type="noConversion"/>
  </si>
  <si>
    <t>51 mm ramprofil</t>
    <phoneticPr fontId="0" type="noConversion"/>
  </si>
  <si>
    <t>100 mm ramprofil</t>
    <phoneticPr fontId="0" type="noConversion"/>
  </si>
  <si>
    <t>95 mm ramprofil</t>
    <phoneticPr fontId="0" type="noConversion"/>
  </si>
  <si>
    <t>vågrätt profil</t>
    <phoneticPr fontId="0" type="noConversion"/>
  </si>
  <si>
    <t>lodrätt profil</t>
    <phoneticPr fontId="0" type="noConversion"/>
  </si>
  <si>
    <t>sektioner</t>
    <phoneticPr fontId="0" type="noConversion"/>
  </si>
  <si>
    <t>sida öppningen</t>
  </si>
  <si>
    <t>mitt öppningen 30</t>
  </si>
  <si>
    <t>fast parti öppning</t>
    <phoneticPr fontId="0" type="noConversion"/>
  </si>
  <si>
    <t>labyrint</t>
  </si>
  <si>
    <t>öppningsbart</t>
  </si>
  <si>
    <t>fast</t>
  </si>
  <si>
    <t>totalt</t>
  </si>
  <si>
    <r>
      <t>m</t>
    </r>
    <r>
      <rPr>
        <vertAlign val="superscript"/>
        <sz val="9"/>
        <rFont val="Arial"/>
        <family val="2"/>
      </rPr>
      <t>2</t>
    </r>
    <r>
      <rPr>
        <sz val="10"/>
        <rFont val="Arial"/>
        <family val="2"/>
      </rPr>
      <t>/st</t>
    </r>
  </si>
  <si>
    <r>
      <t>m</t>
    </r>
    <r>
      <rPr>
        <vertAlign val="superscript"/>
        <sz val="9"/>
        <rFont val="Arial"/>
        <family val="2"/>
      </rPr>
      <t>2</t>
    </r>
    <r>
      <rPr>
        <sz val="10"/>
        <rFont val="Arial"/>
        <family val="2"/>
      </rPr>
      <t>/totalt</t>
    </r>
  </si>
  <si>
    <t>pris per enhet/st</t>
  </si>
  <si>
    <t>pris totalt</t>
  </si>
  <si>
    <t>/m2</t>
    <phoneticPr fontId="0" type="noConversion"/>
  </si>
  <si>
    <t>bredd fast parti mm</t>
    <phoneticPr fontId="0" type="noConversion"/>
  </si>
  <si>
    <t>glas storlek</t>
  </si>
  <si>
    <t>paneler</t>
    <phoneticPr fontId="0" type="noConversion"/>
  </si>
  <si>
    <t>pris</t>
    <phoneticPr fontId="0" type="noConversion"/>
  </si>
  <si>
    <t>språk</t>
  </si>
  <si>
    <t>antal lås</t>
  </si>
  <si>
    <t>montagetid (rekommenderad)</t>
  </si>
  <si>
    <t>tim (montage)</t>
  </si>
  <si>
    <t>tim (produktion)</t>
    <phoneticPr fontId="0" type="noConversion"/>
  </si>
  <si>
    <t>tim (planeringen)</t>
    <phoneticPr fontId="0" type="noConversion"/>
  </si>
  <si>
    <t>underkonstruktion topp &amp; vertikal</t>
    <phoneticPr fontId="0" type="noConversion"/>
  </si>
  <si>
    <t>underkonstruktion / sockel</t>
    <phoneticPr fontId="0" type="noConversion"/>
  </si>
  <si>
    <t>underkonstruktion / kran</t>
    <phoneticPr fontId="0" type="noConversion"/>
  </si>
  <si>
    <t>inköp</t>
  </si>
  <si>
    <t>planering + montage</t>
  </si>
  <si>
    <t>underkonstruktion</t>
  </si>
  <si>
    <t>risk / marginal</t>
  </si>
  <si>
    <t>rabatt</t>
    <phoneticPr fontId="0" type="noConversion"/>
  </si>
  <si>
    <t>ut - pris / enhet</t>
  </si>
  <si>
    <t>valuta</t>
  </si>
  <si>
    <t>objekt</t>
  </si>
  <si>
    <t>/ tim montage</t>
  </si>
  <si>
    <t>/ im planeringen</t>
  </si>
  <si>
    <t>montage tim</t>
    <phoneticPr fontId="0" type="noConversion"/>
  </si>
  <si>
    <t>planerings tim</t>
    <phoneticPr fontId="0" type="noConversion"/>
  </si>
  <si>
    <t>försäljning - pris / m2</t>
    <phoneticPr fontId="0" type="noConversion"/>
  </si>
  <si>
    <t>alarmkomponenter</t>
    <phoneticPr fontId="0" type="noConversion"/>
  </si>
  <si>
    <t>glas</t>
  </si>
  <si>
    <t>lås</t>
  </si>
  <si>
    <t>antal profilcylindrar</t>
    <phoneticPr fontId="0" type="noConversion"/>
  </si>
  <si>
    <t>lamellglas/termiskt härdat säkergetsglas</t>
    <phoneticPr fontId="0" type="noConversion"/>
  </si>
  <si>
    <t>lamellglas (VSG)</t>
  </si>
  <si>
    <t>härdad säkerhetsglas (ESG-H)</t>
  </si>
  <si>
    <t>yttermåt element</t>
  </si>
  <si>
    <t>innermått, ram (synlig)</t>
    <phoneticPr fontId="0" type="noConversion"/>
  </si>
  <si>
    <t>yttermått, ram (inbyggt)</t>
  </si>
  <si>
    <t>-spår, 2-glas</t>
    <phoneticPr fontId="0" type="noConversion"/>
  </si>
  <si>
    <t>-spår, 3-glas</t>
    <phoneticPr fontId="0" type="noConversion"/>
  </si>
  <si>
    <t>antal fält</t>
  </si>
  <si>
    <t>rörlig</t>
  </si>
  <si>
    <t>glas:</t>
  </si>
  <si>
    <t>gammal version</t>
    <phoneticPr fontId="0" type="noConversion"/>
  </si>
  <si>
    <t>alternativ</t>
    <phoneticPr fontId="0" type="noConversion"/>
  </si>
  <si>
    <t>Alu natur eloxerad</t>
  </si>
  <si>
    <t>RAL (pulverlackad)</t>
  </si>
  <si>
    <t>Tilläggspris för alt. Ytbehandling</t>
    <phoneticPr fontId="0" type="noConversion"/>
  </si>
  <si>
    <t>ex. moms</t>
  </si>
  <si>
    <t xml:space="preserve"> --&gt;fast pari är bredare än skjutparti</t>
    <phoneticPr fontId="0" type="noConversion"/>
  </si>
  <si>
    <t>övrigt</t>
    <phoneticPr fontId="0" type="noConversion"/>
  </si>
  <si>
    <t>tilläggspris</t>
    <phoneticPr fontId="0" type="noConversion"/>
  </si>
  <si>
    <t>pris utan glas</t>
  </si>
  <si>
    <t>glas vikt</t>
  </si>
  <si>
    <t>karm vikt</t>
  </si>
  <si>
    <t>höjd</t>
  </si>
  <si>
    <t>karm</t>
    <phoneticPr fontId="0" type="noConversion"/>
  </si>
  <si>
    <t>bredden</t>
  </si>
  <si>
    <t>för smal / liten</t>
    <phoneticPr fontId="0" type="noConversion"/>
  </si>
  <si>
    <t>för högt</t>
  </si>
  <si>
    <t>lamellgals ?</t>
    <phoneticPr fontId="0" type="noConversion"/>
  </si>
  <si>
    <t>U-värde</t>
    <phoneticPr fontId="0" type="noConversion"/>
  </si>
  <si>
    <t>glasyta ?</t>
    <phoneticPr fontId="0" type="noConversion"/>
  </si>
  <si>
    <t>glaskoss kontorll</t>
    <phoneticPr fontId="0" type="noConversion"/>
  </si>
  <si>
    <t>glas bredare än 2m</t>
    <phoneticPr fontId="0" type="noConversion"/>
  </si>
  <si>
    <t>objekt tjocklek</t>
    <phoneticPr fontId="0" type="noConversion"/>
  </si>
  <si>
    <t>fasat paneler</t>
    <phoneticPr fontId="0" type="noConversion"/>
  </si>
  <si>
    <t>cylinder ?</t>
    <phoneticPr fontId="0" type="noConversion"/>
  </si>
  <si>
    <t>insektsnät ?</t>
    <phoneticPr fontId="0" type="noConversion"/>
  </si>
  <si>
    <t>förstärkt labyrint</t>
    <phoneticPr fontId="0" type="noConversion"/>
  </si>
  <si>
    <t>profil m carbonförstärkning</t>
    <phoneticPr fontId="0" type="noConversion"/>
  </si>
  <si>
    <t>profil m stålförstärkning</t>
    <phoneticPr fontId="0" type="noConversion"/>
  </si>
  <si>
    <t>ramar ?</t>
    <phoneticPr fontId="0" type="noConversion"/>
  </si>
  <si>
    <t>Beräkning utan garanti</t>
    <phoneticPr fontId="0" type="noConversion"/>
  </si>
  <si>
    <t>90° hörn</t>
    <phoneticPr fontId="0" type="noConversion"/>
  </si>
  <si>
    <t>öppningstyp</t>
    <phoneticPr fontId="0" type="noConversion"/>
  </si>
  <si>
    <t>Colinal E6 EV1 20my</t>
    <phoneticPr fontId="0" type="noConversion"/>
  </si>
  <si>
    <t>Prisklass 5</t>
    <phoneticPr fontId="0" type="noConversion"/>
  </si>
  <si>
    <t>Prisklass 6</t>
    <phoneticPr fontId="0" type="noConversion"/>
  </si>
  <si>
    <t>skjutdörr, infälld i väggen</t>
    <phoneticPr fontId="0" type="noConversion"/>
  </si>
  <si>
    <t>90° hörna med hörnelement</t>
    <phoneticPr fontId="0" type="noConversion"/>
  </si>
  <si>
    <t>objekts nr kund</t>
    <phoneticPr fontId="0" type="noConversion"/>
  </si>
  <si>
    <t>tilläggs arbete</t>
    <phoneticPr fontId="0" type="noConversion"/>
  </si>
  <si>
    <t>totalt</t>
    <phoneticPr fontId="0" type="noConversion"/>
  </si>
  <si>
    <t>vänster</t>
    <phoneticPr fontId="0" type="noConversion"/>
  </si>
  <si>
    <t>höger</t>
    <phoneticPr fontId="0" type="noConversion"/>
  </si>
  <si>
    <t>utan infälld skjutdörr</t>
    <phoneticPr fontId="0" type="noConversion"/>
  </si>
  <si>
    <t>skjutpartier m positionsövervakning</t>
    <phoneticPr fontId="0" type="noConversion"/>
  </si>
  <si>
    <t>låsövervakning</t>
    <phoneticPr fontId="0" type="noConversion"/>
  </si>
  <si>
    <t>glaskross sensor</t>
    <phoneticPr fontId="0" type="noConversion"/>
  </si>
  <si>
    <t>Totala antal Sky-Frame objekt</t>
    <phoneticPr fontId="0" type="noConversion"/>
  </si>
  <si>
    <t>tottala Sky-Frame alt.</t>
    <phoneticPr fontId="0" type="noConversion"/>
  </si>
  <si>
    <t>Summa av Sky-Frame alt.</t>
    <phoneticPr fontId="0" type="noConversion"/>
  </si>
  <si>
    <t>underkonstruktion &amp; utrustning</t>
    <phoneticPr fontId="0" type="noConversion"/>
  </si>
  <si>
    <t>?? Val 11-15 ??</t>
    <phoneticPr fontId="0" type="noConversion"/>
  </si>
  <si>
    <t>alternativa växlingskurs</t>
    <phoneticPr fontId="0" type="noConversion"/>
  </si>
  <si>
    <t xml:space="preserve">alternativ valuta </t>
    <phoneticPr fontId="0" type="noConversion"/>
  </si>
  <si>
    <t>glas-glas hörn med steppade glas</t>
    <phoneticPr fontId="0" type="noConversion"/>
  </si>
  <si>
    <t>avrundad</t>
    <phoneticPr fontId="0" type="noConversion"/>
  </si>
  <si>
    <t>W</t>
  </si>
  <si>
    <t>Mitelöffnung mit 1xPositionsüberwachung</t>
  </si>
  <si>
    <t>EIN</t>
  </si>
  <si>
    <t>IN</t>
  </si>
  <si>
    <t>ohne runden</t>
  </si>
  <si>
    <t>51 mm Rahmen</t>
  </si>
  <si>
    <t>nummero di posizione</t>
  </si>
  <si>
    <t>Azienda… (sotto D1 regolare registro lingua)</t>
  </si>
  <si>
    <t>pezzo</t>
  </si>
  <si>
    <t>unità</t>
  </si>
  <si>
    <t>larghezza mm</t>
  </si>
  <si>
    <t>altezza mm</t>
  </si>
  <si>
    <t xml:space="preserve">2=2 binari 3=3 binari </t>
  </si>
  <si>
    <t>45 mm profilo telaio</t>
  </si>
  <si>
    <t>51 mm profilo telaio</t>
  </si>
  <si>
    <t>95 mm profilo telaio</t>
  </si>
  <si>
    <t>100 mm profilo telaio</t>
  </si>
  <si>
    <t>pro.orizz.</t>
  </si>
  <si>
    <t>profilo verticale</t>
  </si>
  <si>
    <t>vetrate</t>
  </si>
  <si>
    <t>apertura laterale</t>
  </si>
  <si>
    <t>apertura centrale</t>
  </si>
  <si>
    <t>grandezza vetrata fissa</t>
  </si>
  <si>
    <t>labirinti</t>
  </si>
  <si>
    <t>scorrevole</t>
  </si>
  <si>
    <t>fisso</t>
  </si>
  <si>
    <t>totale</t>
  </si>
  <si>
    <t>m²/pz.</t>
  </si>
  <si>
    <t>m² totale</t>
  </si>
  <si>
    <t>prezzo per pezzo</t>
  </si>
  <si>
    <t>prezzo totale</t>
  </si>
  <si>
    <t>larghezza vetrata fissa mm</t>
  </si>
  <si>
    <t>grandezza vetro</t>
  </si>
  <si>
    <t>prezzo</t>
  </si>
  <si>
    <t>lingua</t>
  </si>
  <si>
    <t>pz. chiusure</t>
  </si>
  <si>
    <t>tempi montaggio consigliato</t>
  </si>
  <si>
    <t>ore montaggio</t>
  </si>
  <si>
    <t>ore produzione</t>
  </si>
  <si>
    <t>ore progettazzione</t>
  </si>
  <si>
    <t>/m sottostr. architrave+laterale</t>
  </si>
  <si>
    <t>/m sottostruttura base</t>
  </si>
  <si>
    <t>sottostr. complessivo / gru</t>
  </si>
  <si>
    <t>acquisto</t>
  </si>
  <si>
    <t>progettazione + montaggio</t>
  </si>
  <si>
    <t>sottostruttura</t>
  </si>
  <si>
    <t>rischio / guadagno</t>
  </si>
  <si>
    <t>sconto</t>
  </si>
  <si>
    <t>prezzo di vendita per pezzo</t>
  </si>
  <si>
    <t>Oggetto:</t>
  </si>
  <si>
    <t>ore di montaggio</t>
  </si>
  <si>
    <t>ore di progettazione</t>
  </si>
  <si>
    <t>prezzo di vendita / m²</t>
  </si>
  <si>
    <t>rivestimenti di vetro</t>
  </si>
  <si>
    <t>componenti d'alarme</t>
  </si>
  <si>
    <t>vetro</t>
  </si>
  <si>
    <t>chiusura</t>
  </si>
  <si>
    <t>chiusure</t>
  </si>
  <si>
    <t>pz. preparazione del clilidro</t>
  </si>
  <si>
    <t>vetro di sicurezza laminato VSG</t>
  </si>
  <si>
    <t>vetro temprato ESG</t>
  </si>
  <si>
    <t>misura esterna</t>
  </si>
  <si>
    <t>misura luce del telaio</t>
  </si>
  <si>
    <t>misura esterna del telaio</t>
  </si>
  <si>
    <t>-binari, vetro isolante (2-IV)</t>
  </si>
  <si>
    <t>-binari, vetro isolante (3-IV)</t>
  </si>
  <si>
    <t>pz. Vetrata</t>
  </si>
  <si>
    <t>testo</t>
  </si>
  <si>
    <t>versione più vecchia</t>
  </si>
  <si>
    <t>anodizzato naturale</t>
  </si>
  <si>
    <t>Verniciatura a caldo RAL</t>
  </si>
  <si>
    <t>Allineamento complessivo dei prezzi per superficie alternativa delle posizioni attive:</t>
  </si>
  <si>
    <t>escluso IVA</t>
  </si>
  <si>
    <t>cilindro</t>
  </si>
  <si>
    <t xml:space="preserve"> --&gt; parte fisso più grande dello scorrevole</t>
  </si>
  <si>
    <t>casi particolari</t>
  </si>
  <si>
    <t>sovrapprezzo</t>
  </si>
  <si>
    <t>prezzo senza vetro</t>
  </si>
  <si>
    <t>peso del vetro</t>
  </si>
  <si>
    <t>peso del telaio</t>
  </si>
  <si>
    <t>altezza</t>
  </si>
  <si>
    <t>telaio</t>
  </si>
  <si>
    <t>larghezza</t>
  </si>
  <si>
    <t>troppo stretto</t>
  </si>
  <si>
    <t>binari?</t>
  </si>
  <si>
    <t>troppo alto</t>
  </si>
  <si>
    <t>vetro di sicurezza laminato VSG?</t>
  </si>
  <si>
    <t>superficie vetro?</t>
  </si>
  <si>
    <t>controllo di rottura vetri</t>
  </si>
  <si>
    <t>vetro oltre 2m</t>
  </si>
  <si>
    <t>spessore dell'elemento</t>
  </si>
  <si>
    <t>parte fisso</t>
  </si>
  <si>
    <t>cilindro?</t>
  </si>
  <si>
    <t>zanzariera?</t>
  </si>
  <si>
    <t>statica del labirinto</t>
  </si>
  <si>
    <t>rinforzo statico in carbonio CFK</t>
  </si>
  <si>
    <t>rinforzo statico in acciaio</t>
  </si>
  <si>
    <t>profilo del telaio ?</t>
  </si>
  <si>
    <t>calcolo senza garanzia</t>
  </si>
  <si>
    <t>angolo 90°</t>
  </si>
  <si>
    <t>tipo di apertura</t>
  </si>
  <si>
    <t>classe di prezzo 5</t>
  </si>
  <si>
    <t>classe di prezzo 6</t>
  </si>
  <si>
    <t>formazione della stazione</t>
  </si>
  <si>
    <t>giunzione ad angolo 90° con elementi accanto</t>
  </si>
  <si>
    <t>descrizione posizione cliente</t>
  </si>
  <si>
    <t>lav. supplement.</t>
  </si>
  <si>
    <t>elementi</t>
  </si>
  <si>
    <t>sinistra</t>
  </si>
  <si>
    <t>destra</t>
  </si>
  <si>
    <t>senza stazione</t>
  </si>
  <si>
    <t>Elementi mobili con controllo di posizione</t>
  </si>
  <si>
    <t>Chiusure con il monitoraggio e trasmissione del chiavistello</t>
  </si>
  <si>
    <t>Vetri con rilevatore rottura vetri</t>
  </si>
  <si>
    <t>Totale elementi Sky-Frame</t>
  </si>
  <si>
    <t>Totale opzioni Sky-Frame</t>
  </si>
  <si>
    <t>Somma opzioni Sky-Frame</t>
  </si>
  <si>
    <t>sottostruttura e attrezzatura</t>
  </si>
  <si>
    <t>opzione  11-15 ?</t>
  </si>
  <si>
    <t>fattore valuta alternativa</t>
  </si>
  <si>
    <t>definizione valuta alternativa</t>
  </si>
  <si>
    <t>angolo tuttovetro con vetro multistrato</t>
  </si>
  <si>
    <t>arrotondato</t>
  </si>
  <si>
    <t>Sonnenschutz</t>
  </si>
  <si>
    <t>Sonnenschutz "Plus"</t>
  </si>
  <si>
    <t>(ONE)</t>
  </si>
  <si>
    <t>(SNX)</t>
  </si>
  <si>
    <t>Wärmeschutz</t>
  </si>
  <si>
    <t>(UN)</t>
  </si>
  <si>
    <t>richtiger Mehrpreis wäre:</t>
  </si>
  <si>
    <t>hier noch alter Mehrpreis:</t>
  </si>
  <si>
    <t>SG-05</t>
  </si>
  <si>
    <t>SG-06</t>
  </si>
  <si>
    <t>SG-06+P4A</t>
  </si>
  <si>
    <t>SG-05+P4A</t>
  </si>
  <si>
    <t>(CHF)</t>
  </si>
  <si>
    <t>SG-01/11/21</t>
  </si>
  <si>
    <t>6 / 6</t>
  </si>
  <si>
    <t>SG-02/12/22</t>
  </si>
  <si>
    <t>8 / 8</t>
  </si>
  <si>
    <t>SG-03/13/23</t>
  </si>
  <si>
    <t>8 / 6</t>
  </si>
  <si>
    <t>10 / 6</t>
  </si>
  <si>
    <t>SG-04/14/24</t>
  </si>
  <si>
    <t>6 / 8-2</t>
  </si>
  <si>
    <t>6 / P4A</t>
  </si>
  <si>
    <t>8 / 8-2</t>
  </si>
  <si>
    <t>8 / P4A</t>
  </si>
  <si>
    <t>Glasaufbau</t>
  </si>
  <si>
    <t>(Preise wie bisher)</t>
  </si>
  <si>
    <t>(NEU dazu)</t>
  </si>
  <si>
    <t>Zuschlag m2</t>
  </si>
  <si>
    <t>glass coating</t>
  </si>
  <si>
    <t>glass assembly</t>
  </si>
  <si>
    <t>assemblage en verre</t>
  </si>
  <si>
    <t>montaggio di vetro</t>
  </si>
  <si>
    <t>glas beläggning</t>
  </si>
  <si>
    <t>glasenhet</t>
  </si>
  <si>
    <t>78 / 61</t>
  </si>
  <si>
    <t>77 / 59</t>
  </si>
  <si>
    <t>77 / 60</t>
  </si>
  <si>
    <t>70 / 50</t>
  </si>
  <si>
    <t>69 / 49</t>
  </si>
  <si>
    <t>69 / 50</t>
  </si>
  <si>
    <t>68 / 47</t>
  </si>
  <si>
    <t>60 / 28</t>
  </si>
  <si>
    <t>59 / 28</t>
  </si>
  <si>
    <t>FRANCE:</t>
  </si>
  <si>
    <t>SG-05+SP10</t>
  </si>
  <si>
    <t>SG-06+SP10</t>
  </si>
  <si>
    <t>6 / SP10</t>
  </si>
  <si>
    <t>8 / SP10</t>
  </si>
  <si>
    <t>Sky-Frame</t>
  </si>
  <si>
    <t>WK2-Menu:</t>
  </si>
  <si>
    <t>RC2</t>
  </si>
  <si>
    <t>increased burglary protection RC2 (frames only)</t>
  </si>
  <si>
    <t>increased burglary protection according to RC2</t>
  </si>
  <si>
    <t>increased burglary 
protection RC2</t>
  </si>
  <si>
    <t>6 / 6 / 6</t>
  </si>
  <si>
    <t>8 / 8 / 8</t>
  </si>
  <si>
    <t>6 / T12-2 / 6</t>
  </si>
  <si>
    <t>6 / T13-P4A / 6</t>
  </si>
  <si>
    <t>SG-31/41/51</t>
  </si>
  <si>
    <t>SG-32/42/52</t>
  </si>
  <si>
    <t>SG-33/43/53</t>
  </si>
  <si>
    <t>SG-34/44/54</t>
  </si>
  <si>
    <t>SG-35</t>
  </si>
  <si>
    <t>SG-33+P4A</t>
  </si>
  <si>
    <t>SG-35+P4A</t>
  </si>
  <si>
    <t xml:space="preserve">S+ </t>
  </si>
  <si>
    <t>70 / 51</t>
  </si>
  <si>
    <t>Mehrpreis für P4A =</t>
  </si>
  <si>
    <t>SG-33+SP10</t>
  </si>
  <si>
    <t>6 / T13-SP13 / 6</t>
  </si>
  <si>
    <t>SG-35+SP13</t>
  </si>
  <si>
    <t>gerechnet</t>
  </si>
  <si>
    <t>Änderung</t>
  </si>
  <si>
    <t>insect screen?</t>
  </si>
  <si>
    <t>profiles with carbon fibre inlays</t>
  </si>
  <si>
    <t>profiles with steel inlays</t>
  </si>
  <si>
    <t>Lt / g-Wert</t>
  </si>
  <si>
    <t>Lt / g-value</t>
  </si>
  <si>
    <t>Lt / g-värde</t>
  </si>
  <si>
    <t>E6 EV1 (20my)</t>
  </si>
  <si>
    <t>E6 EV1 (25my)</t>
  </si>
  <si>
    <t>Total éléments Sky-Frame</t>
  </si>
  <si>
    <t>Total options Sky-Frame</t>
  </si>
  <si>
    <t>Somme options Sky-Frame</t>
  </si>
  <si>
    <t>Sous-construction et équipement</t>
  </si>
  <si>
    <t>VSG?</t>
  </si>
  <si>
    <t>Gleise?</t>
  </si>
  <si>
    <t>RC2 -glass?</t>
  </si>
  <si>
    <t xml:space="preserve">RC2-Glas? </t>
  </si>
  <si>
    <t>RC2-Glas?</t>
  </si>
  <si>
    <t>RC2-verre?</t>
  </si>
  <si>
    <t>RC2-vetro?</t>
  </si>
  <si>
    <t>rails?</t>
  </si>
  <si>
    <t>spår?</t>
  </si>
  <si>
    <t>Keramik?</t>
  </si>
  <si>
    <t>ceramic?</t>
  </si>
  <si>
    <t>céramique?</t>
  </si>
  <si>
    <t>ceramica?</t>
  </si>
  <si>
    <t>LSG-TVG</t>
  </si>
  <si>
    <t>/ h Montage</t>
  </si>
  <si>
    <t>/ h Planung</t>
  </si>
  <si>
    <t>/ ore montaggio</t>
  </si>
  <si>
    <t>/ ore progettazione</t>
  </si>
  <si>
    <t>Formel:</t>
  </si>
  <si>
    <t>Einbruchhemmung 
RC2</t>
  </si>
  <si>
    <t>Retard d'effraction 
RC2</t>
  </si>
  <si>
    <t>Einbruchhemmung
RC2</t>
  </si>
  <si>
    <t>Maggiore sicurezza
RC2</t>
  </si>
  <si>
    <t>förstärkt inbrottskydd
RC2</t>
  </si>
  <si>
    <t>förstärkt inbrottskydd RC2 (endast ram)</t>
  </si>
  <si>
    <t>förstärkt inbrottsskydd enligt RC2</t>
  </si>
  <si>
    <t>1 = mit Systemvorbeschrieb</t>
  </si>
  <si>
    <t>1 = with description of system</t>
  </si>
  <si>
    <t>1 = avec description de système</t>
  </si>
  <si>
    <t>1 = con descrizione del sistema</t>
  </si>
  <si>
    <t>1 = med beskriving av system</t>
  </si>
  <si>
    <t>Pulver RAL / NCS / DB</t>
  </si>
  <si>
    <t>powder RAL / NCS</t>
  </si>
  <si>
    <t>Pulver RAL / NCS</t>
  </si>
  <si>
    <t>Thermolaqué  RAL / NCS</t>
  </si>
  <si>
    <t>verniciatura a polvere RAL / NCS</t>
  </si>
  <si>
    <t>powder RAL / NCS / DB</t>
  </si>
  <si>
    <t>pulverlackad RAL / NCS</t>
  </si>
  <si>
    <t>Pulver RAL / NCS mit Voranodisation</t>
  </si>
  <si>
    <t>RAL / NCS powdercoated and predanodized</t>
  </si>
  <si>
    <t>Thermolaqué  RAL / NCS incl. PRÉANODISATION</t>
  </si>
  <si>
    <t>polvere RAL / NCS con preanodizzato</t>
  </si>
  <si>
    <t>RAL / NCS (pulverlackad och föranodiserad  )</t>
  </si>
  <si>
    <t>Permalux</t>
  </si>
  <si>
    <t>Holzstrukturlack</t>
  </si>
  <si>
    <t>Preisklasse 8</t>
  </si>
  <si>
    <t>Preisklasse 9</t>
  </si>
  <si>
    <t>Preisklasse 10</t>
  </si>
  <si>
    <t>RCOG</t>
  </si>
  <si>
    <t>RC2 / RCOG</t>
  </si>
  <si>
    <t>Wood texture</t>
  </si>
  <si>
    <t>Price class 8</t>
  </si>
  <si>
    <t>Price class 9</t>
  </si>
  <si>
    <t>Price class 10</t>
  </si>
  <si>
    <t>Structure en bois</t>
  </si>
  <si>
    <t>Classe de prix 8</t>
  </si>
  <si>
    <t>Classe de prix 9</t>
  </si>
  <si>
    <t>Classe de prix 10</t>
  </si>
  <si>
    <t>Struttura in legno</t>
  </si>
  <si>
    <t>Classe di prezzo 10</t>
  </si>
  <si>
    <t>Classe di prezzo 8</t>
  </si>
  <si>
    <t>Classe di prezzo 9</t>
  </si>
  <si>
    <t>Prisklass 8</t>
  </si>
  <si>
    <t>Prisklass 9</t>
  </si>
  <si>
    <t>Prisklass 10</t>
  </si>
  <si>
    <t>Trästruktur</t>
  </si>
  <si>
    <t>Surface:</t>
  </si>
  <si>
    <t>Superficie:</t>
  </si>
  <si>
    <t>Yta:</t>
  </si>
  <si>
    <t>Anzeige:</t>
  </si>
  <si>
    <t xml:space="preserve"> = Aussenmaß   L = Lichtmaß</t>
  </si>
  <si>
    <t xml:space="preserve"> = Lichtmaß    A = Aussenmaß  </t>
  </si>
  <si>
    <t xml:space="preserve"> = Aussenmass   L = Lichtmass</t>
  </si>
  <si>
    <t xml:space="preserve"> = Lichtmass    A = Aussenmass  </t>
  </si>
  <si>
    <t xml:space="preserve"> = o/a frame size   L = clear size </t>
  </si>
  <si>
    <t xml:space="preserve"> = clear size   A = o/a frame size</t>
  </si>
  <si>
    <t xml:space="preserve"> = dim extérieur  L = dim intérieur (clair)</t>
  </si>
  <si>
    <t xml:space="preserve"> = dim intérieur (clair)  A = dim extérieur</t>
  </si>
  <si>
    <t xml:space="preserve"> = misura esterna   L = misura luce</t>
  </si>
  <si>
    <t xml:space="preserve"> = misura luce   A = misura esterna</t>
  </si>
  <si>
    <t xml:space="preserve"> = Lichtmaß   A = Aussenmaß  </t>
  </si>
  <si>
    <t xml:space="preserve"> = yttermått   L = synligt mått</t>
  </si>
  <si>
    <t xml:space="preserve"> = synligt mått   A = yttermått</t>
  </si>
  <si>
    <t>Couleur alternative. Forfait pour toutes les positions activées:</t>
  </si>
  <si>
    <t>trans.lum.Lt/fact.solaire g</t>
  </si>
  <si>
    <t>trasm.lum.Lt/fattore solare g</t>
  </si>
  <si>
    <t>Prescrizione Sky-Frame 3:
“Finestre scorrevoli isolate senza telaio" 
Profilo in alluminio a taglio termico con una profondità di 158/242mm (2/3 binari).
Larghezza visibile del telaio 51mm scalato à 32/19mm (laterale e architrave) rispettivamente 100mm scalato à 32/68mm (base).
Finestre scorrevoli ad incasso nel telaio con vetro isolante spessore totale 54mm.
Larghezza visibile della traversa: 20mm.
Apertura centrale: 34mm o 80mm a secondo dell'esecuzione.
Guarnizione: Guarnizione a spazzola con membrana tra il telaio e l'anta.
Serramenti: Sistema di chiusura con il multi-punto di bloccaggio.
Superficie: Esecuzione standard anodizzato naturale.
Le posizioni degli elementi comprendono la finestra incluso le guarnizioni, ma senza la sottostruttura e le piastre di collegamento. Altrimenti, questi vengono segnalati in posizioni separate.</t>
  </si>
  <si>
    <t>Description for Sky-Frame 3:
“Frameless insulated sliding windows" 
Thermally insulated circumferential aluminium profile with a profile depth of 158/242mm (2/3 track). 
Elevation width of frame 51mm, staggered on 32/19mm (vertical and top), 100mm, staggered 32/68mm (bottom). Sliding windows recessed in frame with insulating glass, thickness 54mm. 
Visible mullion width: 20mm
Middle openings: 34mm or 80mm depending on version.
Seal: rubber seals between frame and door.
Fittings: system lock with multi-point locking mechanism.
Finish: standard version: standard plain anodized
The element items include the window with surrounding connecting joint, but exclude the substructure and the connecting plates. Otherwise these are shown in the separate items</t>
  </si>
  <si>
    <t>Vorbeschrieb Sky-Frame 3:
"Isolierte Schiebefenster ohne Rahmen" 
Thermisch getrenntes Aluminiumprofil umlaufend mit Bautiefe 158/242mm (2/3-gleisig). Rahmenansichtsbreite 51mm auf 32/19mm abgestuft (Seite und Sturz) bzw. 100mm abgestuft 32/68mm (Sockel). Im Rahmen versenkt laufende Flügel mit Isoliergläsern in Totalstärke 54mm. 
Sprossenansichtsbreite: 20mm
Mittelöffnungen: 34mm oder 80mm je nach Ausführung
Dichtung: Gummidichtungen 
Beschläge: Systemverschluss mit Mehrpunktverriegelung
Oberfläche: Standardausführung farblos eloxiert
Die Elementpositionen beinhalten das Fenster inkl. umlaufender Anschlussfuge, jedoch ohne Unterkonstruktion und Anschlussbleche. Ansonsten werden diese in den separaten Positionen ausgewiesen.</t>
  </si>
  <si>
    <t>Vorbeschrieb Sky-Frame 2:
"Isolierte Schiebefenster ohne Rahmen" 
Thermisch getrenntes Aluminiumprofil umlaufend mit Bautiefe 110/170mm (2/3-gleisig). Rahmenansichtsbreite 45mm auf 29/16mm abgestuft (Seite und Sturz) bzw. 95mm abgestuft 29/66mm (Sockel). Im Rahmen versenkt laufende Flügel mit Isoliergläsern in Totalstärke 30mm. 
Sprossenansichtsbreite: 20mm
Mittelöffnungen: 34mm oder 80mm je nach Ausführung
Dichtung: Bürstendichtung mit Membran
Beschläge: Systemverschluss mit Mehrpunktverriegelung
Oberfläche: Standardausführung farblos eloxiert
Die Elementpositionen beinhalten das Fenster inkl. umlaufender Anschlussfuge, jedoch ohne Unterkonstruktion und Anschlussbleche. Ansonsten werden diese in den separaten Positionen ausgewiesen.</t>
  </si>
  <si>
    <t>Description for Sky-Frame 2:
“Frameless insulated sliding windows" 
Thermally insulated circumferential aluminium profile with a profile depth of 110/170mm (2/3 track). 
Elevation width of frame 51mm, staggered on 29/16mm (vertical and top), 95mm, staggered 29/66mm (bottom). Sliding windows recessed in frame with insulating glass, thickness 30mm. 
Visible mullion width: 20mm
Middle openings: 34mm or 80mm depending on version.
Seal: brush seals with membran between frame and door.
Fittings: system lock with multi-point locking mechanism.
Finish: standard version: standard plain anodized
The element items include the window with surrounding connecting joint, but exclude the substructure and the connecting plates. Otherwise these are shown in the separate items</t>
  </si>
  <si>
    <t>Prescrizione Sky-Frame 2:
“Finestre scorrevoli isolate senza telaio" 
Profilo in alluminio a taglio termico con una profondità di 110/170mm (2/3 binari).
Larghezza visibile del telaio 45mm scalato à 29/16mm (laterale e architrave) rispettivamente 95mm scalato à 29/66mm (base).
Finestre scorrevoli ad incasso nel telaio con vetro isolante spessore totale 30mm.
Larghezza visibile della traversa: 20mm.
Apertura centrale: 34mm o 80mm a secondo dell'esecuzione.
Guarnizione: Guarnizione a spazzola con membrana tra il telaio e l'anta.
Serramenti: Sistema di chiusura con il multi-punto di bloccaggio.
Superficie: Esecuzione standard anodizzato naturale.
Le posizioni degli elementi comprendono la finestra incluso le guarnizioni, ma senza la sottostruttura e le piastre di collegamento. Altrimenti, questi vengono segnalati in posizioni separate.</t>
  </si>
  <si>
    <t>Beskrivning för Sky-Frame 2:
"Ramlösa isolerade skjutbara fönster"
Värmeisolerad aluminiumprofiler (varmkant) med ett profildjup på 110/170mm (2 / 3 spår).
Skjutpartier med isolerglas, tjocklek 30mm, infällda i ram.
Synlig mellanprofil/labyrint bredd: 20mm
Mittöppning: 34mm eller 80mm, beroende på version.
Tätning: borstlist med membran mellan karm och dörr.
Beslag: systemlås med flerpunktslås.
Finish: standard version: anodiserad.
Sky-Frame elementen inkluderar glassystemen med väggfästen. Underkonstruktionen och juster och -anslutningsplattorna tillkommer. Annars visas dessa på de separata elementen</t>
  </si>
  <si>
    <t xml:space="preserve">Beskrivning för Sky-Frame 3:
"Ramlösa isolerade skjutbara fönster"
Värmeisolerad aluminiumprofiler (varmkant) med ett profildjup på 158/242mm (2 / 3 spår).
Skjutpartier med isolerglas, tjocklek 51mm, infällda i ram.
Synlig mellanprofil/labyrint bredd: 20mm
Mittöppning: 34mm eller 80mm, beroende på version.
Tätning: borstlist med membran mellan karm och dörr.
Beslag: systemlås med flerpunktslås.
Finish: standard version: anodiserad.
Sky-Frame elementen inkluderar glassystemen med väggfästen. Underkonstruktionen och juster och -anslutningsplattorna tillkommer. Annars visas dessa på de separata elementen. 
</t>
  </si>
  <si>
    <t>SG-34+P4A</t>
  </si>
  <si>
    <t>SG-34+SP10</t>
  </si>
  <si>
    <t>MP für SP10 auf P4A =</t>
  </si>
  <si>
    <t>kein Email-Problem mehr!</t>
  </si>
  <si>
    <t>6 / 6 / 8-2   WG</t>
  </si>
  <si>
    <t>8 / 8 / 8-2   WG</t>
  </si>
  <si>
    <t>6 / 6 / P4A  WG</t>
  </si>
  <si>
    <t>8 / 8 / P4A  WG</t>
  </si>
  <si>
    <t>6 / 6 / SP10  WG</t>
  </si>
  <si>
    <t>8 / 8 / SP10  WG</t>
  </si>
  <si>
    <t>S+</t>
  </si>
  <si>
    <t>Stk. Insektenschutzgitter ausziehbar</t>
  </si>
  <si>
    <t>pcs. insect screens extensible</t>
  </si>
  <si>
    <t>antal myggskydd utbyggbar</t>
  </si>
  <si>
    <t>Insektengitter ausz.</t>
  </si>
  <si>
    <t>insect screen extens.</t>
  </si>
  <si>
    <t>pcs. moustiquaire extensible</t>
  </si>
  <si>
    <t>pz. zanzariera estensibile</t>
  </si>
  <si>
    <t>zanzariera estens.</t>
  </si>
  <si>
    <t>myggskydd utbyg.</t>
  </si>
  <si>
    <t>ausziehbares Insektenschutzgitter (1m)</t>
  </si>
  <si>
    <t>extensible insect screen (1m)</t>
  </si>
  <si>
    <t>moustiquaire extensible (1m)</t>
  </si>
  <si>
    <t>zanzariera estensibile (1m)</t>
  </si>
  <si>
    <t>antal myggskydd utbyggbar (1m)</t>
  </si>
  <si>
    <t>moustiquaire extens.</t>
  </si>
  <si>
    <t>erhöhte Sicherheit durch RC2 Rahmenausbildung</t>
  </si>
  <si>
    <t>erhöhte Sicherheit durch RC2 Ausführung</t>
  </si>
  <si>
    <t>maggiore sicurezza attraverso la struttura del telaio RC2</t>
  </si>
  <si>
    <t>maggiore sicurezza per l'esecuzione RC2</t>
  </si>
  <si>
    <t>retard d'effraction RC2</t>
  </si>
  <si>
    <t>retard d'effraction RC2 (seulement cadre)</t>
  </si>
  <si>
    <t>bewegliche Elemente mit Positionsüberwachung</t>
  </si>
  <si>
    <t xml:space="preserve">Schieber </t>
  </si>
  <si>
    <t>S m2</t>
  </si>
  <si>
    <t>F m2</t>
  </si>
  <si>
    <t>Breitenerzwingung nicht möglich</t>
  </si>
  <si>
    <t>Stunden</t>
  </si>
  <si>
    <t>Stunden x Stk</t>
  </si>
  <si>
    <t>h Montagezeit x Stk.</t>
  </si>
  <si>
    <t>CHF /m  UK Sturz + Seite</t>
  </si>
  <si>
    <t>CHF /m  UK Sturz + Seite  x Stk.</t>
  </si>
  <si>
    <t>CHF/ Sokel x  Stk.</t>
  </si>
  <si>
    <t>SG-61/63 Sondergrösse</t>
  </si>
  <si>
    <t>SG-62/64 Sondergrösse</t>
  </si>
  <si>
    <t>10 / 10</t>
  </si>
  <si>
    <t>10 / 16-2</t>
  </si>
  <si>
    <t xml:space="preserve"> ESG-H 10 / ESG-H 10  (d=38mm) </t>
  </si>
  <si>
    <t xml:space="preserve"> ESG-H 10 / VSG 16-2  (d=40.7mm) </t>
  </si>
  <si>
    <t xml:space="preserve"> ESG-H 6 / ESG-H 6 / VSG WG SP10 </t>
  </si>
  <si>
    <t xml:space="preserve"> ESG-H 8 / ESG-H 8 / VSG WG SP10 </t>
  </si>
  <si>
    <t xml:space="preserve"> ESG-H 6 / VSG-TVG TVG SP13 / ESG-H 6 </t>
  </si>
  <si>
    <t xml:space="preserve"> 10 / 10 </t>
  </si>
  <si>
    <t xml:space="preserve"> 10 / 16-2 </t>
  </si>
  <si>
    <t xml:space="preserve"> 6 / 6 / SP10  WG </t>
  </si>
  <si>
    <t xml:space="preserve"> 8 / 8 / SP10  WG </t>
  </si>
  <si>
    <t xml:space="preserve"> 6 / T13-SP13 / 6 </t>
  </si>
  <si>
    <t xml:space="preserve">              -  </t>
  </si>
  <si>
    <t xml:space="preserve">Kalkulationsschema Beispiel </t>
  </si>
  <si>
    <t xml:space="preserve">Calculation shema, exemple </t>
  </si>
  <si>
    <t xml:space="preserve">Schéma de calcul, exemple </t>
  </si>
  <si>
    <t xml:space="preserve">Esempio di schema di calcolo </t>
  </si>
  <si>
    <t xml:space="preserve">Beräkningsschema ex </t>
  </si>
  <si>
    <t>SG-x7 Schallschutz (49 dB)</t>
  </si>
  <si>
    <t>8-2P WG / 6 / T12-2P (49 dB)</t>
  </si>
  <si>
    <t>3-gleiser möglich</t>
  </si>
  <si>
    <t>Nirotec 017 (CNS)</t>
  </si>
  <si>
    <t>PSI, Sprossen =</t>
  </si>
  <si>
    <t>PSI, Randprofile =</t>
  </si>
  <si>
    <t>Randverbund-Auswahl 
(Menu bei Uw):</t>
  </si>
  <si>
    <t>Auswahl-Nr:</t>
  </si>
  <si>
    <t>Menu-Auswahl:</t>
  </si>
  <si>
    <t>gewähltes Sky-Frame:</t>
  </si>
  <si>
    <t>^^^ wird gemäss MINERGIE-Formular 8.1 nicht so berechnet</t>
  </si>
  <si>
    <t>SP-V</t>
  </si>
  <si>
    <t>(bei Minergie-Zertifizierung war Durchnschitt mit Laby = 0.065)</t>
  </si>
  <si>
    <t>NT017</t>
  </si>
  <si>
    <t>Sky-Frame:</t>
  </si>
  <si>
    <t>PSI-
Datenbank:</t>
  </si>
  <si>
    <t>(Ansichtsbreite = Profil inkl. hervorstehendes GFK)</t>
  </si>
  <si>
    <t>SF3</t>
  </si>
  <si>
    <t>SF2</t>
  </si>
  <si>
    <t>Sockel</t>
  </si>
  <si>
    <t>Sturz</t>
  </si>
  <si>
    <t>Wahl SF:</t>
  </si>
  <si>
    <t>Wahl:</t>
  </si>
  <si>
    <t>Datenbank:</t>
  </si>
  <si>
    <t>- ohne Minergie-P</t>
  </si>
  <si>
    <t>gemäss Minergie-Zertifiz. SF3:</t>
  </si>
  <si>
    <t>- ohne Stahl-Labys</t>
  </si>
  <si>
    <t>Sky-Frame Typ =</t>
  </si>
  <si>
    <t>- ohne Laby'30</t>
  </si>
  <si>
    <t>Berechnung:</t>
  </si>
  <si>
    <t>Laby Af, Durchschnitt</t>
  </si>
  <si>
    <t>Mittelöff Af, Durchschnitt</t>
  </si>
  <si>
    <t>Randfest Af, Durch. Angepasst</t>
  </si>
  <si>
    <t>Randöff Af, Durchschnitt</t>
  </si>
  <si>
    <t>Sockel Uf, Durch.angepasst</t>
  </si>
  <si>
    <t>Sturz Uf, Durch.angepasst</t>
  </si>
  <si>
    <t>Ecken, Uf</t>
  </si>
  <si>
    <t>Laby Uf, Durch.angepasst</t>
  </si>
  <si>
    <t>Mittelöff Uf, Durch.angepasst</t>
  </si>
  <si>
    <t>Randfest Uf, Durch. Angepasst</t>
  </si>
  <si>
    <t>Randöff Uf, Durch.angepasst</t>
  </si>
  <si>
    <t>Uf-Werte
Datenbank:</t>
  </si>
  <si>
    <t>Tabellen mit Durschnitts-Uf / Ans.Breiten:</t>
  </si>
  <si>
    <t>Durchschnitt =</t>
  </si>
  <si>
    <t>Summe =</t>
  </si>
  <si>
    <t>...dann ganze Zeile nach unten ziehen:</t>
  </si>
  <si>
    <t>Hier überall auf ELEMENT verweisen --&gt;</t>
  </si>
  <si>
    <t>Total-Summe Uf, horizontal</t>
  </si>
  <si>
    <t>Total-Summe Uf, vertikal</t>
  </si>
  <si>
    <t>Ecken Af = immer 0 (nur PSI)</t>
  </si>
  <si>
    <t>Ecken</t>
  </si>
  <si>
    <t>Randfest</t>
  </si>
  <si>
    <t>Uf*Ans.F, p.Typ:</t>
  </si>
  <si>
    <t>Ansichtsbreite:</t>
  </si>
  <si>
    <t>Uf, pro Typ:  [W/m2K]</t>
  </si>
  <si>
    <t>Eingabe:</t>
  </si>
  <si>
    <t>W/mK</t>
  </si>
  <si>
    <t>Uw-Berechnung - Nachweis Wärmedämmung:</t>
  </si>
  <si>
    <t>I---- ab hier die Spalten ausblenden (Gelb) ----&gt;     ( +berechnete Zellen ganz links sperren/schützen )</t>
  </si>
  <si>
    <t>EN 10077-1+2</t>
  </si>
  <si>
    <t>Mittelöff (eben / versetzt)</t>
  </si>
  <si>
    <t>horizontal</t>
  </si>
  <si>
    <t>vertikal</t>
  </si>
  <si>
    <t>Element</t>
  </si>
  <si>
    <t>Fläche</t>
  </si>
  <si>
    <t>Wärmestrom</t>
  </si>
  <si>
    <t>Sprossen + Ecke</t>
  </si>
  <si>
    <t>Randverbund</t>
  </si>
  <si>
    <t>Randprofil</t>
  </si>
  <si>
    <t>12-2</t>
  </si>
  <si>
    <t>86 / 74</t>
  </si>
  <si>
    <t>Uw =</t>
  </si>
  <si>
    <t>ouverture latérale</t>
  </si>
  <si>
    <t>side fixed</t>
  </si>
  <si>
    <t>fixe latérale</t>
  </si>
  <si>
    <t>centre opening (offset / same level)</t>
  </si>
  <si>
    <t>ouv. centrale (décalée / même)</t>
  </si>
  <si>
    <t>corners</t>
  </si>
  <si>
    <t>angles</t>
  </si>
  <si>
    <t>Uf, per type: [W/m2K]</t>
  </si>
  <si>
    <t>Uf, par type: [W/m2K]</t>
  </si>
  <si>
    <t>Uw calculation - proof of insulation:</t>
  </si>
  <si>
    <t>Calcul Uw - valeur d'isolation éprouvée:</t>
  </si>
  <si>
    <t>width (view):</t>
  </si>
  <si>
    <t>largeur (de la vue)</t>
  </si>
  <si>
    <t>corners Af = always 0 (only PSI)</t>
  </si>
  <si>
    <t>angles Af = toujours 0 (PSI)</t>
  </si>
  <si>
    <t>Total sum Uf, vertical</t>
  </si>
  <si>
    <t>Somme Uf, vertical</t>
  </si>
  <si>
    <t xml:space="preserve">soffit </t>
  </si>
  <si>
    <t>linteau</t>
  </si>
  <si>
    <t xml:space="preserve">base </t>
  </si>
  <si>
    <t>socle</t>
  </si>
  <si>
    <t>horizontally</t>
  </si>
  <si>
    <t>horizontalement</t>
  </si>
  <si>
    <t>Total sum Uf, horizontal</t>
  </si>
  <si>
    <t>Somme Uf, horizontal</t>
  </si>
  <si>
    <t>vertical</t>
  </si>
  <si>
    <t>area</t>
  </si>
  <si>
    <t>surface</t>
  </si>
  <si>
    <t>element</t>
  </si>
  <si>
    <t>heat flow</t>
  </si>
  <si>
    <t>courant de chaleur</t>
  </si>
  <si>
    <t>Sprossen + Ecken</t>
  </si>
  <si>
    <t>mullions + corners</t>
  </si>
  <si>
    <t>meneaux + angles</t>
  </si>
  <si>
    <t>edge seal</t>
  </si>
  <si>
    <t>joint bord</t>
  </si>
  <si>
    <t>side profile</t>
  </si>
  <si>
    <t>profil latérale</t>
  </si>
  <si>
    <t>result</t>
  </si>
  <si>
    <t>Résultat</t>
  </si>
  <si>
    <t>3m</t>
  </si>
  <si>
    <t>Labyrinth:</t>
  </si>
  <si>
    <t>Labyrinth mm:</t>
  </si>
  <si>
    <t>AUD</t>
  </si>
  <si>
    <t>USD</t>
  </si>
  <si>
    <t>Incoterms</t>
  </si>
  <si>
    <t>FCA</t>
  </si>
  <si>
    <t>DAP</t>
  </si>
  <si>
    <t>Swisspacer U</t>
  </si>
  <si>
    <t>SG-71</t>
  </si>
  <si>
    <t>SG-72</t>
  </si>
  <si>
    <t>SG-73</t>
  </si>
  <si>
    <t>SG-74</t>
  </si>
  <si>
    <t>SG75</t>
  </si>
  <si>
    <t>SG-76</t>
  </si>
  <si>
    <t>12</t>
  </si>
  <si>
    <t>87 / 77</t>
  </si>
  <si>
    <t>88 / 80</t>
  </si>
  <si>
    <t>89 / 84</t>
  </si>
  <si>
    <t>87 / 76</t>
  </si>
  <si>
    <t>88 / 77</t>
  </si>
  <si>
    <t>10</t>
  </si>
  <si>
    <t>6</t>
  </si>
  <si>
    <t>10-2</t>
  </si>
  <si>
    <t>8-2</t>
  </si>
  <si>
    <t>24.71</t>
  </si>
  <si>
    <t>40.71</t>
  </si>
  <si>
    <t>53.68</t>
  </si>
  <si>
    <t>46.01</t>
  </si>
  <si>
    <t>52.82</t>
  </si>
  <si>
    <t>56.09</t>
  </si>
  <si>
    <t>Vorbeschrieb Sky-Frame 1:
"Unisolierte Schiebefenster ohne Rahmen" 
Unisoliertes Aluminiumprofil umlaufend mit Bautiefe 110/170mm (2/3-gleisig). Rahmenansichtsbreite 45mm auf 29/16mm abgestuft (Seite und Sturz) bzw. 95mm abgestuft 29/66mm (Sockel). Im Rahmen versenkt laufende Flügel mit Einfachglas .
Sprossenansichtsbreite: 20mm
Mittelöffnungen: 34mm oder 80mm je nach Ausführung
Dichtung: Bürstendichtung mit Membran
Beschläge: Systemverschluss mit Mehrpunktverriegelung
Oberfläche: Standardausführung farblos eloxiert
Die Elementpositionen beinhalten das Fenster inkl. umlaufender Anschlussfuge, jedoch ohne Unterkonstruktion und Anschlussbleche. Ansonsten werden diese in den separaten Positionen ausgewiesen.</t>
  </si>
  <si>
    <t>-gleisig</t>
  </si>
  <si>
    <t>-tracks</t>
  </si>
  <si>
    <t xml:space="preserve"> rails</t>
  </si>
  <si>
    <t>-binari</t>
  </si>
  <si>
    <t>-spår</t>
  </si>
  <si>
    <t>Sturz mm</t>
  </si>
  <si>
    <t>Sockel mm</t>
  </si>
  <si>
    <t>ESG-H 6 / ESG-H 6</t>
  </si>
  <si>
    <t>ESG-H 8 / ESG-H 8</t>
  </si>
  <si>
    <t>ESG-H 6 / ESG-H 8</t>
  </si>
  <si>
    <t>ESG-H 10 / ESG-H 6</t>
  </si>
  <si>
    <t>ESG-H 6 / VSG 8-2</t>
  </si>
  <si>
    <t>ESG-H 8 / VSG 8-2</t>
  </si>
  <si>
    <t>ESG-H 6 / VSG 9-P4A</t>
  </si>
  <si>
    <t>ESG-H 8 / VSG-TVG 9-P4A</t>
  </si>
  <si>
    <t>Beschicht.
 GFK
Ersatz</t>
  </si>
  <si>
    <t>-</t>
  </si>
  <si>
    <t>m2 / lm (Profil
 Oberfläche)</t>
  </si>
  <si>
    <t>Korrekt.
Preis 
Alu - GFK</t>
  </si>
  <si>
    <t>AU$</t>
  </si>
  <si>
    <t>??</t>
  </si>
  <si>
    <t>Schnittplanung</t>
  </si>
  <si>
    <t>US</t>
  </si>
  <si>
    <t># of panel</t>
  </si>
  <si>
    <r>
      <rPr>
        <b/>
        <sz val="14"/>
        <color indexed="10"/>
        <rFont val="Arial"/>
        <family val="2"/>
      </rPr>
      <t xml:space="preserve">*** </t>
    </r>
    <r>
      <rPr>
        <b/>
        <sz val="10"/>
        <color indexed="9"/>
        <rFont val="Arial"/>
        <family val="2"/>
      </rPr>
      <t xml:space="preserve">NFRC </t>
    </r>
    <r>
      <rPr>
        <b/>
        <sz val="14"/>
        <color indexed="10"/>
        <rFont val="Arial"/>
        <family val="2"/>
      </rPr>
      <t xml:space="preserve">*** </t>
    </r>
  </si>
  <si>
    <t>MP für NFRC-Glaskleberhandling=</t>
  </si>
  <si>
    <t>(CHF / Glas!)</t>
  </si>
  <si>
    <r>
      <rPr>
        <sz val="10"/>
        <color indexed="10"/>
        <rFont val="Arial"/>
        <family val="2"/>
      </rPr>
      <t>in SPRACHE zu ändern:</t>
    </r>
    <r>
      <rPr>
        <sz val="10"/>
        <rFont val="Arial"/>
        <family val="2"/>
      </rPr>
      <t xml:space="preserve">
ESG = TSG
TVG = 
VSG = LSG
</t>
    </r>
  </si>
  <si>
    <t>U-factor</t>
  </si>
  <si>
    <t>weight</t>
  </si>
  <si>
    <t>(CG Premium)</t>
  </si>
  <si>
    <t>SHGC / VT</t>
  </si>
  <si>
    <t>0.41 / 0.59</t>
  </si>
  <si>
    <t>0.40 / 0.58</t>
  </si>
  <si>
    <t>0.41 / 0.58</t>
  </si>
  <si>
    <t>0.40 / 0.57</t>
  </si>
  <si>
    <t>0.37 / 0.57</t>
  </si>
  <si>
    <t>0.47 / 0.65</t>
  </si>
  <si>
    <t>0.47 / 0.63</t>
  </si>
  <si>
    <t>ClimaGuard</t>
  </si>
  <si>
    <t>(CG 1.0 + Prm)</t>
  </si>
  <si>
    <t>0.35 / 0.52</t>
  </si>
  <si>
    <t>0.34 / 0.51</t>
  </si>
  <si>
    <t>0.35 / 0.51</t>
  </si>
  <si>
    <t>0.34 / 0.50</t>
  </si>
  <si>
    <t>0.31 / 0.50</t>
  </si>
  <si>
    <t>0.39 / 0.55</t>
  </si>
  <si>
    <t>(SN 62/34 + Prm)</t>
  </si>
  <si>
    <t>0.29 / 0.46</t>
  </si>
  <si>
    <t>0.28 / 0.46</t>
  </si>
  <si>
    <t>0.29 / 0.45</t>
  </si>
  <si>
    <t>0.28 / 0.45</t>
  </si>
  <si>
    <t>0.23 / 0.45</t>
  </si>
  <si>
    <t>0.26 / 0.51</t>
  </si>
  <si>
    <t>0.26 / 0.5</t>
  </si>
  <si>
    <t>Super Neutral 62/34</t>
  </si>
  <si>
    <t>Sonnenschutz "Plus" dark</t>
  </si>
  <si>
    <t>(SN 51/28 + Prm)</t>
  </si>
  <si>
    <t>0.26 / 0.38</t>
  </si>
  <si>
    <t>0.26 / 0.37</t>
  </si>
  <si>
    <t>0.26 / 0.36</t>
  </si>
  <si>
    <t>0.19 / 0.37</t>
  </si>
  <si>
    <t>0.22 / 0.42</t>
  </si>
  <si>
    <t>0.22 / 0.40</t>
  </si>
  <si>
    <t>Super Neutral 51/28</t>
  </si>
  <si>
    <t>0.49 / 0.67</t>
  </si>
  <si>
    <t>0.48 / 0.66</t>
  </si>
  <si>
    <t>0.49 / 0.66</t>
  </si>
  <si>
    <t>0.48 / 0.65</t>
  </si>
  <si>
    <t>0.41 / 0.57</t>
  </si>
  <si>
    <t>0.26 / 0.53</t>
  </si>
  <si>
    <t>0.26 / 0.52</t>
  </si>
  <si>
    <t>0.22 / 0.43</t>
  </si>
  <si>
    <t>Vorbeschrieb Sky-Frame 1:
"Unisolierte Schiebefenster ohne Rahmen" 
Unisoliertes Aluminiumprofil umlaufend mit Bautiefe 110/170mm (2/3-gleisig). Rahmenansichtsbreite 45mm auf 29/16mm abgestuft (Seite und Sturz) bzw. 95mm abgestuft 29/66mm (Sockel). Im Rahmen versenkt laufende Flügel mit Einfachglas .
Sprossenansichtsbreite: ab 20mm
Mittelöffnungen: 34mm oder 80mm je nach Ausführung
Dichtung: Bürstendichtung mit Membran
Beschläge: Systemverschluss mit Mehrpunktverriegelung
Oberfläche: Standardausführung farblos eloxiert
Die Elementpositionen beinhalten das Fenster inkl. umlaufender Anschlussfuge, jedoch ohne Unterkonstruktion und Anschlussbleche. Ansonsten werden diese in den separaten Positionen ausgewiesen.</t>
  </si>
  <si>
    <t>Vorbeschrieb Sky-Frame 2:
"Isolierte Schiebefenster ohne Rahmen" 
Thermisch getrenntes Aluminiumprofil umlaufend mit Bautiefe 110/170mm (2/3-gleisig). Rahmenansichtsbreite 45mm auf 29/16mm abgestuft (Seite und Sturz) bzw. 95mm abgestuft 29/66mm (Sockel). Im Rahmen versenkt laufende Flügel mit Isoliergläsern in Totalstärke 30mm.
Sprossenansichtsbreite: ab 20mm
Mittelöffnungen: 34mm oder 80mm je nach Ausführung
Dichtung: Bürstendichtung mit Membran
Beschläge: Systemverschluss mit Mehrpunktverriegelung
Oberfläche: Standardausführung farblos eloxiert
Die Elementpositionen beinhalten das Fenster inkl. umlaufender Anschlussfuge, jedoch ohne Unterkonstruktion und Anschlussbleche. Ansonsten werden diese in den separaten Positionen ausgewiesen.</t>
  </si>
  <si>
    <t>Vorbeschrieb Sky-Frame 2:
"Isolierte Schiebefenster ohne Rahmen" 
Thermisch getrenntes Aluminiumprofil umlaufend mit Bautiefe 110/170mm (2/3-gleisig). Rahmenansichtsbreite 45mm auf 29/16mm abgestuft (Seite und Sturz) bzw. 95mm abgestuft 29/66mm (Sockel). Im Rahmen versenkt laufende Flügel mit Isoliergläsern in Totalstärke 30mm. 
Sprossenansichtsbreite: ab 20mm
Mittelöffnungen: 34mm oder 80mm je nach Ausführung
Dichtung: Bürstendichtung mit Membran
Beschläge: Systemverschluss mit Mehrpunktverriegelung
Oberfläche: Standardausführung farblos eloxiert
Die Elementpositionen beinhalten das Fenster inkl. umlaufender Anschlussfuge, jedoch ohne Unterkonstruktion und Anschlussbleche. Ansonsten werden diese in den separaten Positionen ausgewiesen.</t>
  </si>
  <si>
    <t>Vorbeschrieb Sky-Frame 3:
"Isolierte Schiebefenster ohne Rahmen" 
Thermisch getrenntes Aluminiumprofil umlaufend mit Bautiefe 158/242mm (2/3-gleisig). Rahmenansichtsbreite 51mm auf 32/19mm abgestuft (Seite und Sturz) bzw. 100mm abgestuft 32/68mm (Sockel). Im Rahmen versenkt laufende Flügel mit Isoliergläsern in Totalstärke 54mm. 
Sprossenansichtsbreite: ab 20mm
Mittelöffnungen: 34mm oder 80mm je nach Ausführung
Dichtung: Gummidichtungen
Beschläge: Systemverschluss mit Mehrpunktverriegelung
Oberfläche: Standardausführung farblos eloxiert
Die Elementpositionen beinhalten das Fenster inkl. umlaufender Anschlussfuge, jedoch ohne Unterkonstruktion und Anschlussbleche. Ansonsten werden diese in den separaten Positionen ausgewiesen.</t>
  </si>
  <si>
    <t>Vorbeschrieb Sky-Frame 3:
"Isolierte Schiebefenster ohne Rahmen" 
Thermisch getrenntes Aluminiumprofil umlaufend mit Bautiefe 158/242mm (2/3-gleisig). Rahmenansichtsbreite 51mm auf 32/19mm abgestuft (Seite und Sturz) bzw. 100mm abgestuft 32/68mm (Sockel). Im Rahmen versenkt laufende Flügel mit Isoliergläsern in Totalstärke 54mm. 
Sprossenansichtsbreite: ab 20mm
Mittelöffnungen: 34mm oder 80mm je nach Ausführung
Dichtung: Gummidichtungen 
Beschläge: Systemverschluss mit Mehrpunktverriegelung
Oberfläche: Standardausführung farblos eloxiert
Die Elementpositionen beinhalten das Fenster inkl. umlaufender Anschlussfuge, jedoch ohne Unterkonstruktion und Anschlussbleche. Ansonsten werden diese in den separaten Positionen ausgewiesen.</t>
  </si>
  <si>
    <t>Prescription Sky-Frame 3:
"Fenêtres coulissantes isolées sans cadre" 
Profil aluminium avec séparation thermique sur le pourtour avec profondeur de montage 158/242mm (2/3 rails). 
Largeur visible du cadre 51mm avec échelonnement à 32/19mm Vantail coulissant encastré dans le cadre avec verres isolant d’épaisseur totale 54mm. 
Largeur visible des meneaux: de 20mm
Ouvertures centrales: 34mm ou 80mm en fonction de l’exécution.
Étanchéité: joints en caoutchouc entre le cadre et le vantail.
Ferrures: fermeture système avec verrouillage multipoints.
Finition: finition standard anodisé transparent
Les positions d’éléments comprennent la fenêtre, avec joint de raccord sur le pourtour, cependant sans sous-construction et tôles de raccord Dans le cas contraire, celles-ci sont indiquées dans les positions séparées.</t>
  </si>
  <si>
    <t>Prescription Sky-Frame 2:
"Fenêtres coulissantes isolées sans cadre" 
Profil aluminium d’une profondeur de 110/170mm (2/3 rails) avec rupture de pont thermique périphérique.
Largeur visible du cadre 45mm échelonné à 29/16mm (linteau et latérale) ; 95mm échelonné à 29/66mm (socle).
Vantail coulissant encastré dans le cadre avec verres isolants, épaisseur totale 30mm.
Largeur visible des meneaux: de 20mm
Ouvertures centrales: 34mm ou 80mm en fonction de l’exécution.
Étanchéité: Joints en brosse avec membrane entre le cadre et le vantail.
Ferrures: Système de fermeture avec verrouillage multipoints.
Finitions: Finitions standards anodisé transparent.
Les positions d’éléments comprennent la fenêtre inclusive le montage et joint de raccord sur le pourtour, cependant sans sous-construction et tôles de raccord. Dans le cas contraire, celles-ci sont indiquées dans des positions séparées.</t>
  </si>
  <si>
    <t xml:space="preserve">Prescription Sky-Frame 1:
"Fenêtres coulissants pas isolés sans cadre" 
Profil aluminium d’une profondeur de 110/170mm (2/3 rails) sans rupture thermique périphérique. Largeur visible du cadre 45mm échelonné à 29/16mm.
Vantail coulissant encastré dans le cadre avec verres pas isolés, épaisseur totale 12mm.
Largeur visible des meneaux: de 20mm
Ouvertures centrales: 34mm ou 80mm en fonction de l’exécution.
Étanchéité: Joints en brosse avec membrane entre le cadre et le vantail.
Ferrures: Système de fermeture avec verrouillage multipoints.
Finitions: Finitions standards anodisé transparent.
Les positions d’éléments comprennent la fenêtre inclusive le montage et joint de raccord sur le pourtour, cependant sans sous-construction et tôles de raccord. Dans le cas contraire, celles-ci sont indiquées dans des positions séparées.
</t>
  </si>
  <si>
    <t>Description for Sky-Frame 3:
“frameless insulated sliding windows" 
Thermally insulated circumferential aluminium profile with a profile depth of 158/242mm (2/3 track). 
Elevation width of frame 51mm, staggered on 32/19mm (vertical and top), 100mm, staggered 32/68mm (bottom). Sliding windows recessed in frame with insulating glass, thickness 54mm. 
Visible mullion width: from 20mm
Middle openings: 34mm or 80mm depending on version.
Seal: rubber seals between frame and door.
Fittings: system lock with multi-point locking mechanism.
Finish: standard version: standard plain anodized
The element items include the window with surrounding connecting joint, but exclude the substructure and the connecting plates. Otherwise these are shown in the separate items.</t>
  </si>
  <si>
    <t>Description for Sky-Frame 2:
“frameless insulated sliding windows" 
Thermally insulated circumferential aluminium profile with a profile depth of 110/170mm (2/3 track). 
Elevation width of frame 45mm, staggered on 29/16mm (vertical and top), 95mm, staggered 29/66mm (bottom). Sliding windows recessed in frame with insulating glass, thickness 30mm. 
Visible mullion width: from 20mm
Middle openings: 34mm or 80mm depending on version.
Seal: brush seals with membran between frame and door.
Fittings: system lock with multi-point locking mechanism.
Finish: standard version: standard plain anodized
The element items include the window with surrounding connecting joint, but exclude the substructure and the connecting plates. Otherwise these are shown in the separate items.</t>
  </si>
  <si>
    <t>Description for Sky-Frame 1:
“frameless thermally unbroken sliding windows" 
Thermally uninsulated circumferential aluminium profile with a profile depth of 110/170mm (2/3 track). 
Elevation width of frame 45mm, staggered on 29/16mm (vertical and top), 95mm, staggered 29/66mm (bottom). Sliding windows recessed in frame with single glass.
Visible mullion width: from 20mm
Middle openings: 34mm or 80mm depending on version.
Seal: brush seals with membran between frame and door.
Fittings: system lock with multi-point locking mechanism.
Finish: standard version: standard plain anodized
The element items include the window with surrounding connecting joint, but exclude the substructure and the connecting plates. Otherwise these are shown in the separate items.</t>
  </si>
  <si>
    <t>pce(s)</t>
  </si>
  <si>
    <t>surface:</t>
  </si>
  <si>
    <t>&lt;----- !!!!!!</t>
  </si>
  <si>
    <t>KORR'16</t>
  </si>
  <si>
    <t>XN-Werte'16</t>
  </si>
  <si>
    <t>73 / 54</t>
  </si>
  <si>
    <t>72 / 53</t>
  </si>
  <si>
    <t>73 / 54-52</t>
  </si>
  <si>
    <t>72 / 52-53</t>
  </si>
  <si>
    <t>71 / 51</t>
  </si>
  <si>
    <t>51 / 52-49</t>
  </si>
  <si>
    <t>79 / 61</t>
  </si>
  <si>
    <t>77 / 61</t>
  </si>
  <si>
    <t>Formel war falsch -&gt;</t>
  </si>
  <si>
    <t>64 / 45</t>
  </si>
  <si>
    <t>63 / 45</t>
  </si>
  <si>
    <t>64 / 44-46</t>
  </si>
  <si>
    <t>64 / 43-45</t>
  </si>
  <si>
    <t>63 / 43</t>
  </si>
  <si>
    <t>63 / 44-41</t>
  </si>
  <si>
    <t>67 / 49</t>
  </si>
  <si>
    <t>55 / 33</t>
  </si>
  <si>
    <t>54 / 33</t>
  </si>
  <si>
    <t>55 / 32-34</t>
  </si>
  <si>
    <t>54 / 31-33</t>
  </si>
  <si>
    <t>53 / 25</t>
  </si>
  <si>
    <t>53 / 32-31</t>
  </si>
  <si>
    <t>xxx</t>
  </si>
  <si>
    <t>GESPERRT!</t>
  </si>
  <si>
    <t>obj.spezifisch abklären</t>
  </si>
  <si>
    <t>S+ dark</t>
  </si>
  <si>
    <t>(gleich teuer wie "Plus")</t>
  </si>
  <si>
    <t>MGT:</t>
  </si>
  <si>
    <t>(gem. Schreiben 23.11.2015)</t>
  </si>
  <si>
    <t>Max. Glasmasse:</t>
  </si>
  <si>
    <t>!!!</t>
  </si>
  <si>
    <t>81 / 64</t>
  </si>
  <si>
    <t>80 / 63</t>
  </si>
  <si>
    <t>80 / 64</t>
  </si>
  <si>
    <t>80 / 62</t>
  </si>
  <si>
    <t>80 / 59-64</t>
  </si>
  <si>
    <t>79 / 59-62</t>
  </si>
  <si>
    <t>korrigiert'16</t>
  </si>
  <si>
    <t>71 / 52</t>
  </si>
  <si>
    <t>70 / 48-51</t>
  </si>
  <si>
    <t>70 / 48-50</t>
  </si>
  <si>
    <t>61 / 28</t>
  </si>
  <si>
    <t>Maxmimal-Mass</t>
  </si>
  <si>
    <t>-&gt; keine NFRC Gläser für SF1 vorhanden</t>
  </si>
  <si>
    <t>Stand: 2016-04-20 (IvL)</t>
  </si>
  <si>
    <t>VSG 12-2 in SF2</t>
  </si>
  <si>
    <t>Ug-value</t>
  </si>
  <si>
    <t>valore Ug</t>
  </si>
  <si>
    <t>Sky-Frame TOOL           Version 2016-07-12</t>
  </si>
  <si>
    <t>usd</t>
  </si>
  <si>
    <t>volume discount</t>
  </si>
  <si>
    <t>%</t>
  </si>
  <si>
    <t>sub total</t>
  </si>
  <si>
    <t>B2B register discount</t>
  </si>
  <si>
    <t>currency exchange discount</t>
  </si>
  <si>
    <t>custom duty discount</t>
  </si>
  <si>
    <t>shipping discount</t>
  </si>
  <si>
    <t>BRACKETS</t>
  </si>
  <si>
    <t>brackets for sill 135mm</t>
  </si>
  <si>
    <t>GUTTER</t>
  </si>
  <si>
    <t>gutter, aluminum extrusion, stst grid cover</t>
  </si>
  <si>
    <t>m</t>
  </si>
  <si>
    <t>ELECTRIC DRIVE</t>
  </si>
  <si>
    <t>electric drive, 1 motor per leave, including internal wireing</t>
  </si>
  <si>
    <t>SEN152</t>
  </si>
  <si>
    <t>surcharge for Sentry Glass interlayer, 1,52mm thick, maximum size 2140x3660mm, (7'x12')</t>
  </si>
  <si>
    <t>RUSL_SK1214</t>
  </si>
  <si>
    <t>RCI</t>
  </si>
  <si>
    <t>12-2 TEMP_1</t>
  </si>
  <si>
    <t>surcharge for laminated and tempered glass, 2x6mm, price base SG-76, &lt;2400x3500mm</t>
  </si>
  <si>
    <t>12-2 TEMP_2</t>
  </si>
  <si>
    <t>surcharge for laminated and tempered glass, 2x6mm, price base SG-76, &lt;2400x4000mm</t>
  </si>
  <si>
    <t>BV</t>
  </si>
  <si>
    <t>breather valves for sites higher than 2600 ft msl, 1 unit per air space</t>
  </si>
  <si>
    <t>BM</t>
  </si>
  <si>
    <t>L-shaped break metal to close pocket, ~160x25mm, length &lt;3000mm</t>
  </si>
  <si>
    <t>SEN304</t>
  </si>
  <si>
    <t>b</t>
  </si>
  <si>
    <r>
      <rPr>
        <b/>
        <sz val="10"/>
        <rFont val="Arial"/>
        <family val="2"/>
      </rPr>
      <t>Delivery terms</t>
    </r>
    <r>
      <rPr>
        <sz val="10"/>
        <rFont val="Arial"/>
        <family val="2"/>
      </rPr>
      <t xml:space="preserve">: DDP nearest port. </t>
    </r>
  </si>
  <si>
    <t>Continuous drainage gutter compliant with SIA 271.
Extruded aluminium with removable chrome steel metal cover, ground (slot dimension 60 x 6 mm).
Patent fixing, without penetrating the water-carrying level, from the outside directly to the base profile.  
The gutter is not designed tight and does not have a slope. 
The gutter has to be drained separately (not through the drainage layer or the roof drainage).</t>
  </si>
  <si>
    <t>pcs. insect screens extendable</t>
  </si>
  <si>
    <t>extendable insect screen (1m)</t>
  </si>
  <si>
    <t>excluding TAX</t>
  </si>
  <si>
    <t>surcharge for Sentry Glass interlayer, 3,04mm thick, maximum size 1800x2250mm, (7'x12')</t>
  </si>
  <si>
    <t>SGP Hurricane</t>
  </si>
  <si>
    <t xml:space="preserve">surcharge for Sentry Glass PVB interlayer, 2 x 3,04mm thick, glass build up 10|16-2, maximum size 2140x3660mm, </t>
  </si>
  <si>
    <t>SF 3, reinforced XL labyrinth, with steel inlays, pair</t>
  </si>
  <si>
    <t>SF 2, reinforced XL labyrinth, with steel inlays, pair</t>
  </si>
  <si>
    <t>SF 2, reinforced central interlock, aluminum, 34x20-60mm</t>
  </si>
  <si>
    <t>RUSL_SK400493</t>
  </si>
  <si>
    <t>box</t>
  </si>
  <si>
    <r>
      <t>·</t>
    </r>
    <r>
      <rPr>
        <sz val="7"/>
        <rFont val="Times New Roman"/>
        <family val="1"/>
      </rPr>
      <t xml:space="preserve">       </t>
    </r>
    <r>
      <rPr>
        <sz val="11"/>
        <rFont val="Calibri"/>
        <family val="2"/>
      </rPr>
      <t xml:space="preserve">as of US$   100,000 </t>
    </r>
    <r>
      <rPr>
        <sz val="11"/>
        <rFont val="Wingdings"/>
        <charset val="2"/>
      </rPr>
      <t>à</t>
    </r>
    <r>
      <rPr>
        <sz val="11"/>
        <rFont val="Calibri"/>
        <family val="2"/>
      </rPr>
      <t xml:space="preserve">    4%</t>
    </r>
  </si>
  <si>
    <r>
      <t>·</t>
    </r>
    <r>
      <rPr>
        <sz val="7"/>
        <rFont val="Times New Roman"/>
        <family val="1"/>
      </rPr>
      <t xml:space="preserve">       </t>
    </r>
    <r>
      <rPr>
        <sz val="11"/>
        <rFont val="Calibri"/>
        <family val="2"/>
      </rPr>
      <t xml:space="preserve">as of US$   150,000 </t>
    </r>
    <r>
      <rPr>
        <sz val="11"/>
        <rFont val="Wingdings"/>
        <charset val="2"/>
      </rPr>
      <t>à</t>
    </r>
    <r>
      <rPr>
        <sz val="11"/>
        <rFont val="Calibri"/>
        <family val="2"/>
      </rPr>
      <t xml:space="preserve">    6%</t>
    </r>
  </si>
  <si>
    <r>
      <t>·</t>
    </r>
    <r>
      <rPr>
        <sz val="7"/>
        <rFont val="Times New Roman"/>
        <family val="1"/>
      </rPr>
      <t xml:space="preserve">       </t>
    </r>
    <r>
      <rPr>
        <sz val="11"/>
        <rFont val="Calibri"/>
        <family val="2"/>
      </rPr>
      <t xml:space="preserve">as of US$   200,000 </t>
    </r>
    <r>
      <rPr>
        <sz val="11"/>
        <rFont val="Wingdings"/>
        <charset val="2"/>
      </rPr>
      <t>à</t>
    </r>
    <r>
      <rPr>
        <sz val="11"/>
        <rFont val="Calibri"/>
        <family val="2"/>
      </rPr>
      <t xml:space="preserve">    8%</t>
    </r>
  </si>
  <si>
    <r>
      <t>·</t>
    </r>
    <r>
      <rPr>
        <sz val="7"/>
        <rFont val="Times New Roman"/>
        <family val="1"/>
      </rPr>
      <t xml:space="preserve">       </t>
    </r>
    <r>
      <rPr>
        <sz val="11"/>
        <rFont val="Calibri"/>
        <family val="2"/>
      </rPr>
      <t xml:space="preserve">as of US$   250,000 </t>
    </r>
    <r>
      <rPr>
        <sz val="11"/>
        <rFont val="Wingdings"/>
        <charset val="2"/>
      </rPr>
      <t>à</t>
    </r>
    <r>
      <rPr>
        <sz val="11"/>
        <rFont val="Calibri"/>
        <family val="2"/>
      </rPr>
      <t xml:space="preserve">  10%</t>
    </r>
  </si>
  <si>
    <t>Payment conditions</t>
  </si>
  <si>
    <r>
      <t>·</t>
    </r>
    <r>
      <rPr>
        <sz val="7"/>
        <rFont val="Times New Roman"/>
        <family val="1"/>
      </rPr>
      <t xml:space="preserve">     </t>
    </r>
    <r>
      <rPr>
        <sz val="11"/>
        <rFont val="Calibri"/>
        <family val="2"/>
      </rPr>
      <t>50% due at contract confirmation</t>
    </r>
  </si>
  <si>
    <t>Please refer to terms &amp; condition and warranty on separate PDF documents</t>
  </si>
  <si>
    <r>
      <rPr>
        <b/>
        <sz val="10"/>
        <rFont val="Arial"/>
        <family val="2"/>
      </rPr>
      <t>Not included</t>
    </r>
    <r>
      <rPr>
        <sz val="10"/>
        <rFont val="Arial"/>
        <family val="2"/>
      </rPr>
      <t>:    Freight forwarding to final destination,</t>
    </r>
  </si>
  <si>
    <t xml:space="preserve">                         assembly and installation</t>
  </si>
  <si>
    <r>
      <rPr>
        <b/>
        <sz val="10"/>
        <rFont val="Arial"/>
        <family val="2"/>
      </rPr>
      <t>Note:</t>
    </r>
    <r>
      <rPr>
        <sz val="10"/>
        <rFont val="Arial"/>
        <family val="2"/>
      </rPr>
      <t xml:space="preserve">                1/4" max. deflection at header required</t>
    </r>
  </si>
  <si>
    <t xml:space="preserve">                    Currency : US Dollar</t>
  </si>
  <si>
    <r>
      <rPr>
        <b/>
        <sz val="10"/>
        <rFont val="Arial"/>
        <family val="2"/>
      </rPr>
      <t>CAD</t>
    </r>
    <r>
      <rPr>
        <sz val="10"/>
        <rFont val="Arial"/>
        <family val="2"/>
      </rPr>
      <t xml:space="preserve"> </t>
    </r>
    <r>
      <rPr>
        <b/>
        <sz val="10"/>
        <rFont val="Arial"/>
        <family val="2"/>
      </rPr>
      <t>Service:</t>
    </r>
    <r>
      <rPr>
        <sz val="10"/>
        <rFont val="Arial"/>
        <family val="2"/>
      </rPr>
      <t xml:space="preserve">           shop drawings $ 125.00 per hour</t>
    </r>
  </si>
  <si>
    <t>Saint Gobain (#2)</t>
  </si>
  <si>
    <t>Cool-Lite SKN 176 coating on #2 + tempered glass, maximum size 2400x3150mm</t>
  </si>
  <si>
    <t>SunGuard HD 67</t>
  </si>
  <si>
    <t>base SG-76 &gt; surcharge for 4x interlayer GEWE-safe (totaly 1,52mm) + Sun Guard HD neutral 67 coating on #2 + tempered glass, maximum size 2400x3150mm</t>
  </si>
  <si>
    <r>
      <t>·</t>
    </r>
    <r>
      <rPr>
        <sz val="7"/>
        <rFont val="Times New Roman"/>
        <family val="1"/>
      </rPr>
      <t xml:space="preserve">     </t>
    </r>
    <r>
      <rPr>
        <sz val="11"/>
        <rFont val="Calibri"/>
        <family val="2"/>
      </rPr>
      <t xml:space="preserve">50% due in order to release pick up of goods in our US or CAN warehouse  </t>
    </r>
  </si>
  <si>
    <t>Universal screws (Inox) A2 for wooden and concrete surfaces. Pack. = 100 pcs.</t>
  </si>
  <si>
    <t>Electric drive                                                                      Drive for an average of 50 openings per day                             Connection: 100-240VAC / 50-60Hz                                                       Service access from below via soffit profile                                  Lateral service openings or covers not required.
Delivery configuration: Dead man's switch via button                   Manual operation possible in case of power failure                     Electric cables and buttons provided on site (Dead man's switch means that the window is only moved while pressing the button. This eliminates safety devices in most cases).</t>
  </si>
  <si>
    <t>Universal screws 7.5 x 52 A2</t>
  </si>
  <si>
    <t>Assembly Fee</t>
  </si>
  <si>
    <t>Weather Board</t>
  </si>
  <si>
    <t>clip-on weatherboard aluminum strip</t>
  </si>
  <si>
    <t>Note: Volume Discount per order applies after all discounts:</t>
  </si>
  <si>
    <t xml:space="preserve">total material </t>
  </si>
  <si>
    <t>components and materials</t>
  </si>
  <si>
    <t>components and material options</t>
  </si>
  <si>
    <t>Weekly assembly instruction fee plus expenses (hotel, rental car, meals) by an certified Sky-Frame master installer
(See note for Installation Support)</t>
  </si>
  <si>
    <t xml:space="preserve">                                plus expenses(flight, hotel, rental car, meals)</t>
  </si>
  <si>
    <r>
      <rPr>
        <b/>
        <sz val="10"/>
        <rFont val="Arial"/>
        <family val="2"/>
      </rPr>
      <t>Installation support</t>
    </r>
    <r>
      <rPr>
        <sz val="10"/>
        <rFont val="Arial"/>
        <family val="2"/>
      </rPr>
      <t xml:space="preserve">: Sky-Frame certified master installer $ 969.00 per day or weekly $ 5000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</si>
</sst>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43" formatCode="_(* #,##0.00_);_(* \(#,##0.00\);_(* &quot;-&quot;??_);_(@_)"/>
    <numFmt numFmtId="164" formatCode="_ * #,##0.00_ ;_ * \-#,##0.00_ ;_ * &quot;-&quot;??_ ;_ @_ "/>
    <numFmt numFmtId="165" formatCode="_ * #,##0_ ;_ * \-#,##0_ ;_ * &quot;-&quot;??_ ;_ @_ "/>
    <numFmt numFmtId="166" formatCode="_ * #,##0.0_ ;_ * \-#,##0.0_ ;_ * &quot;-&quot;??_ ;_ @_ "/>
    <numFmt numFmtId="167" formatCode="0.000"/>
    <numFmt numFmtId="168" formatCode="0.0"/>
    <numFmt numFmtId="169" formatCode="0_ ;\-0\ "/>
    <numFmt numFmtId="170" formatCode="#,##0.0_ ;\-#,##0.0\ "/>
    <numFmt numFmtId="171" formatCode="dd/mm/yyyy;@"/>
    <numFmt numFmtId="172" formatCode="\(#,##0.00\)"/>
    <numFmt numFmtId="173" formatCode="\(#,##0.0\)"/>
    <numFmt numFmtId="174" formatCode="_ * #,##0_ ;_ * \-#,##0_ ;_ * &quot;&quot;_ ;_ @_ "/>
    <numFmt numFmtId="175" formatCode="\(#,##0\)"/>
    <numFmt numFmtId="176" formatCode="_ * #,##0.0_ ;_ * \-#,##0.0_ ;_ * &quot;&quot;??_ ;_ @_ "/>
    <numFmt numFmtId="177" formatCode="#,##0_ ;\-#,##0\ "/>
    <numFmt numFmtId="178" formatCode="_ * #,##0_ ;_ * \-#,##0_ ;_ * \-??_ ;_ @_ "/>
    <numFmt numFmtId="179" formatCode="_ * #,##0.0000_ ;_ * \-#,##0.0000_ ;_ * &quot;-&quot;??_ ;_ @_ "/>
  </numFmts>
  <fonts count="54" x14ac:knownFonts="1">
    <font>
      <sz val="10"/>
      <name val="Arial"/>
    </font>
    <font>
      <sz val="11"/>
      <color theme="1"/>
      <name val="Calibri"/>
      <family val="2"/>
      <scheme val="minor"/>
    </font>
    <font>
      <sz val="10"/>
      <name val="Arial"/>
      <family val="2"/>
    </font>
    <font>
      <b/>
      <sz val="10"/>
      <color indexed="10"/>
      <name val="Arial"/>
      <family val="2"/>
    </font>
    <font>
      <b/>
      <sz val="10"/>
      <name val="Arial"/>
      <family val="2"/>
    </font>
    <font>
      <sz val="8"/>
      <name val="Arial"/>
      <family val="2"/>
    </font>
    <font>
      <sz val="8"/>
      <color indexed="81"/>
      <name val="Tahoma"/>
      <family val="2"/>
    </font>
    <font>
      <sz val="9"/>
      <name val="Arial"/>
      <family val="2"/>
    </font>
    <font>
      <b/>
      <sz val="12"/>
      <color indexed="81"/>
      <name val="Tahoma"/>
      <family val="2"/>
    </font>
    <font>
      <sz val="10"/>
      <name val="Wingdings"/>
      <charset val="2"/>
    </font>
    <font>
      <b/>
      <sz val="10"/>
      <color indexed="81"/>
      <name val="Tahoma"/>
      <family val="2"/>
    </font>
    <font>
      <b/>
      <sz val="8"/>
      <color indexed="81"/>
      <name val="Tahoma"/>
      <family val="2"/>
    </font>
    <font>
      <sz val="10"/>
      <color indexed="9"/>
      <name val="Arial"/>
      <family val="2"/>
    </font>
    <font>
      <sz val="9"/>
      <color indexed="81"/>
      <name val="Tahoma"/>
      <family val="2"/>
    </font>
    <font>
      <sz val="10"/>
      <name val="Arial"/>
      <family val="2"/>
    </font>
    <font>
      <b/>
      <sz val="72"/>
      <name val="Arial"/>
      <family val="2"/>
    </font>
    <font>
      <b/>
      <sz val="48"/>
      <name val="Arial"/>
      <family val="2"/>
    </font>
    <font>
      <sz val="12"/>
      <color indexed="81"/>
      <name val="Tahoma"/>
      <family val="2"/>
    </font>
    <font>
      <sz val="10"/>
      <name val="Arial"/>
      <family val="2"/>
    </font>
    <font>
      <vertAlign val="superscript"/>
      <sz val="9"/>
      <name val="Arial"/>
      <family val="2"/>
    </font>
    <font>
      <b/>
      <u val="singleAccounting"/>
      <sz val="10"/>
      <name val="Arial"/>
      <family val="2"/>
    </font>
    <font>
      <b/>
      <sz val="12"/>
      <name val="Arial"/>
      <family val="2"/>
    </font>
    <font>
      <sz val="12"/>
      <name val="Arial"/>
      <family val="2"/>
    </font>
    <font>
      <b/>
      <sz val="14"/>
      <name val="Arial"/>
      <family val="2"/>
    </font>
    <font>
      <b/>
      <sz val="9"/>
      <color indexed="81"/>
      <name val="Tahoma"/>
      <family val="2"/>
    </font>
    <font>
      <sz val="11"/>
      <name val="Arial"/>
      <family val="2"/>
    </font>
    <font>
      <sz val="10"/>
      <name val="Times New Roman"/>
      <family val="1"/>
    </font>
    <font>
      <sz val="10"/>
      <color indexed="10"/>
      <name val="Arial"/>
      <family val="2"/>
    </font>
    <font>
      <b/>
      <sz val="9"/>
      <name val="Arial"/>
      <family val="2"/>
    </font>
    <font>
      <sz val="9"/>
      <color indexed="10"/>
      <name val="Arial"/>
      <family val="2"/>
    </font>
    <font>
      <b/>
      <u/>
      <sz val="10"/>
      <name val="Arial"/>
      <family val="2"/>
    </font>
    <font>
      <b/>
      <sz val="11"/>
      <name val="Arial"/>
      <family val="2"/>
    </font>
    <font>
      <b/>
      <sz val="11"/>
      <color indexed="17"/>
      <name val="Arial"/>
      <family val="2"/>
    </font>
    <font>
      <b/>
      <u val="double"/>
      <sz val="10"/>
      <name val="Arial"/>
      <family val="2"/>
    </font>
    <font>
      <sz val="12"/>
      <color indexed="10"/>
      <name val="Arial"/>
      <family val="2"/>
    </font>
    <font>
      <b/>
      <u/>
      <sz val="18"/>
      <name val="Arial"/>
      <family val="2"/>
    </font>
    <font>
      <b/>
      <sz val="16"/>
      <name val="Arial"/>
      <family val="2"/>
    </font>
    <font>
      <sz val="9"/>
      <color indexed="81"/>
      <name val="Segoe UI"/>
      <family val="2"/>
    </font>
    <font>
      <b/>
      <sz val="9"/>
      <color indexed="81"/>
      <name val="Segoe UI"/>
      <family val="2"/>
    </font>
    <font>
      <b/>
      <sz val="10"/>
      <color indexed="9"/>
      <name val="Arial"/>
      <family val="2"/>
    </font>
    <font>
      <b/>
      <sz val="14"/>
      <color indexed="10"/>
      <name val="Arial"/>
      <family val="2"/>
    </font>
    <font>
      <sz val="11"/>
      <color theme="1"/>
      <name val="Calibri"/>
      <family val="2"/>
      <scheme val="minor"/>
    </font>
    <font>
      <b/>
      <sz val="11"/>
      <color rgb="FFFF0000"/>
      <name val="Arial"/>
      <family val="2"/>
    </font>
    <font>
      <b/>
      <sz val="10"/>
      <color rgb="FFFF0000"/>
      <name val="Arial"/>
      <family val="2"/>
    </font>
    <font>
      <sz val="10"/>
      <color theme="0"/>
      <name val="Arial"/>
      <family val="2"/>
    </font>
    <font>
      <sz val="10"/>
      <color rgb="FFFFFF00"/>
      <name val="Arial"/>
      <family val="2"/>
    </font>
    <font>
      <sz val="10"/>
      <color rgb="FFCCFFFF"/>
      <name val="Arial"/>
      <family val="2"/>
    </font>
    <font>
      <sz val="12"/>
      <color rgb="FF222222"/>
      <name val="Arial"/>
      <family val="2"/>
    </font>
    <font>
      <b/>
      <sz val="28"/>
      <color rgb="FFFF0000"/>
      <name val="Arial"/>
      <family val="2"/>
    </font>
    <font>
      <sz val="11"/>
      <name val="Calibri"/>
      <family val="2"/>
    </font>
    <font>
      <sz val="11"/>
      <name val="Symbol"/>
      <family val="1"/>
      <charset val="2"/>
    </font>
    <font>
      <sz val="7"/>
      <name val="Times New Roman"/>
      <family val="1"/>
    </font>
    <font>
      <sz val="11"/>
      <name val="Wingdings"/>
      <charset val="2"/>
    </font>
    <font>
      <b/>
      <sz val="11"/>
      <name val="Calibri"/>
      <family val="2"/>
    </font>
  </fonts>
  <fills count="15">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8"/>
        <bgColor indexed="64"/>
      </patternFill>
    </fill>
    <fill>
      <patternFill patternType="solid">
        <fgColor indexed="11"/>
        <bgColor indexed="64"/>
      </patternFill>
    </fill>
    <fill>
      <patternFill patternType="solid">
        <fgColor rgb="FFCCFFFF"/>
        <bgColor indexed="64"/>
      </patternFill>
    </fill>
    <fill>
      <patternFill patternType="solid">
        <fgColor theme="0"/>
        <bgColor indexed="64"/>
      </patternFill>
    </fill>
    <fill>
      <patternFill patternType="solid">
        <fgColor rgb="FFFFFF99"/>
        <bgColor indexed="64"/>
      </patternFill>
    </fill>
    <fill>
      <patternFill patternType="solid">
        <fgColor rgb="FF92D050"/>
        <bgColor indexed="64"/>
      </patternFill>
    </fill>
    <fill>
      <patternFill patternType="solid">
        <fgColor theme="6" tint="0.59999389629810485"/>
        <bgColor indexed="64"/>
      </patternFill>
    </fill>
    <fill>
      <patternFill patternType="solid">
        <fgColor rgb="FF92D050"/>
        <bgColor indexed="51"/>
      </patternFill>
    </fill>
    <fill>
      <patternFill patternType="solid">
        <fgColor theme="6" tint="0.39997558519241921"/>
        <bgColor indexed="49"/>
      </patternFill>
    </fill>
    <fill>
      <patternFill patternType="solid">
        <fgColor theme="6" tint="0.59999389629810485"/>
        <bgColor indexed="27"/>
      </patternFill>
    </fill>
    <fill>
      <patternFill patternType="solid">
        <fgColor theme="6" tint="0.79998168889431442"/>
        <bgColor indexed="64"/>
      </patternFill>
    </fill>
  </fills>
  <borders count="49">
    <border>
      <left/>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style="medium">
        <color indexed="64"/>
      </left>
      <right style="thin">
        <color indexed="64"/>
      </right>
      <top/>
      <bottom style="thin">
        <color indexed="64"/>
      </bottom>
      <diagonal/>
    </border>
    <border>
      <left/>
      <right/>
      <top/>
      <bottom style="thick">
        <color indexed="64"/>
      </bottom>
      <diagonal/>
    </border>
    <border>
      <left style="thin">
        <color indexed="64"/>
      </left>
      <right style="medium">
        <color indexed="64"/>
      </right>
      <top/>
      <bottom style="thin">
        <color indexed="64"/>
      </bottom>
      <diagonal/>
    </border>
    <border>
      <left/>
      <right style="thin">
        <color indexed="64"/>
      </right>
      <top/>
      <bottom/>
      <diagonal/>
    </border>
    <border>
      <left/>
      <right/>
      <top style="medium">
        <color indexed="64"/>
      </top>
      <bottom style="medium">
        <color indexed="64"/>
      </bottom>
      <diagonal/>
    </border>
    <border>
      <left/>
      <right/>
      <top style="thin">
        <color indexed="64"/>
      </top>
      <bottom style="medium">
        <color indexed="64"/>
      </bottom>
      <diagonal/>
    </border>
    <border>
      <left/>
      <right/>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top/>
      <bottom style="thin">
        <color indexed="8"/>
      </bottom>
      <diagonal/>
    </border>
    <border>
      <left style="thin">
        <color indexed="8"/>
      </left>
      <right/>
      <top/>
      <bottom style="thin">
        <color indexed="8"/>
      </bottom>
      <diagonal/>
    </border>
    <border>
      <left/>
      <right style="thin">
        <color indexed="8"/>
      </right>
      <top/>
      <bottom/>
      <diagonal/>
    </border>
    <border>
      <left style="thin">
        <color indexed="8"/>
      </left>
      <right/>
      <top/>
      <bottom/>
      <diagonal/>
    </border>
    <border>
      <left/>
      <right style="thin">
        <color indexed="64"/>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8"/>
      </left>
      <right style="thin">
        <color indexed="64"/>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bottom/>
      <diagonal/>
    </border>
    <border>
      <left style="thin">
        <color indexed="8"/>
      </left>
      <right style="thin">
        <color indexed="64"/>
      </right>
      <top/>
      <bottom style="thin">
        <color indexed="8"/>
      </bottom>
      <diagonal/>
    </border>
    <border>
      <left style="thin">
        <color indexed="8"/>
      </left>
      <right style="thin">
        <color indexed="8"/>
      </right>
      <top/>
      <bottom style="thin">
        <color indexed="8"/>
      </bottom>
      <diagonal/>
    </border>
    <border>
      <left style="thin">
        <color indexed="8"/>
      </left>
      <right style="thin">
        <color indexed="64"/>
      </right>
      <top style="thin">
        <color indexed="8"/>
      </top>
      <bottom style="thin">
        <color indexed="8"/>
      </bottom>
      <diagonal/>
    </border>
    <border>
      <left style="thin">
        <color indexed="64"/>
      </left>
      <right/>
      <top style="thin">
        <color indexed="8"/>
      </top>
      <bottom style="thin">
        <color indexed="8"/>
      </bottom>
      <diagonal/>
    </border>
    <border>
      <left style="thin">
        <color indexed="8"/>
      </left>
      <right/>
      <top style="thin">
        <color indexed="8"/>
      </top>
      <bottom style="thin">
        <color indexed="8"/>
      </bottom>
      <diagonal/>
    </border>
    <border>
      <left/>
      <right style="thin">
        <color indexed="64"/>
      </right>
      <top style="thin">
        <color indexed="8"/>
      </top>
      <bottom/>
      <diagonal/>
    </border>
    <border>
      <left/>
      <right/>
      <top style="thin">
        <color indexed="8"/>
      </top>
      <bottom/>
      <diagonal/>
    </border>
    <border>
      <left style="thin">
        <color indexed="8"/>
      </left>
      <right/>
      <top style="thin">
        <color indexed="8"/>
      </top>
      <bottom/>
      <diagonal/>
    </border>
    <border>
      <left style="thin">
        <color indexed="64"/>
      </left>
      <right style="thin">
        <color indexed="8"/>
      </right>
      <top style="thin">
        <color indexed="64"/>
      </top>
      <bottom/>
      <diagonal/>
    </border>
    <border>
      <left/>
      <right style="thin">
        <color indexed="8"/>
      </right>
      <top style="thin">
        <color indexed="64"/>
      </top>
      <bottom style="thin">
        <color indexed="64"/>
      </bottom>
      <diagonal/>
    </border>
  </borders>
  <cellStyleXfs count="108">
    <xf numFmtId="0" fontId="0" fillId="0" borderId="0"/>
    <xf numFmtId="164" fontId="41" fillId="0" borderId="0" applyFont="0" applyFill="0" applyBorder="0" applyAlignment="0" applyProtection="0"/>
    <xf numFmtId="164" fontId="41" fillId="0" borderId="0" applyFont="0" applyFill="0" applyBorder="0" applyAlignment="0" applyProtection="0"/>
    <xf numFmtId="164" fontId="41" fillId="0" borderId="0" applyFont="0" applyFill="0" applyBorder="0" applyAlignment="0" applyProtection="0"/>
    <xf numFmtId="164" fontId="41" fillId="0" borderId="0" applyFont="0" applyFill="0" applyBorder="0" applyAlignment="0" applyProtection="0"/>
    <xf numFmtId="164" fontId="41" fillId="0" borderId="0" applyFont="0" applyFill="0" applyBorder="0" applyAlignment="0" applyProtection="0"/>
    <xf numFmtId="164" fontId="41" fillId="0" borderId="0" applyFont="0" applyFill="0" applyBorder="0" applyAlignment="0" applyProtection="0"/>
    <xf numFmtId="164" fontId="41" fillId="0" borderId="0" applyFont="0" applyFill="0" applyBorder="0" applyAlignment="0" applyProtection="0"/>
    <xf numFmtId="164" fontId="41" fillId="0" borderId="0" applyFont="0" applyFill="0" applyBorder="0" applyAlignment="0" applyProtection="0"/>
    <xf numFmtId="164" fontId="41" fillId="0" borderId="0" applyFont="0" applyFill="0" applyBorder="0" applyAlignment="0" applyProtection="0"/>
    <xf numFmtId="164" fontId="41" fillId="0" borderId="0" applyFont="0" applyFill="0" applyBorder="0" applyAlignment="0" applyProtection="0"/>
    <xf numFmtId="164" fontId="41" fillId="0" borderId="0" applyFont="0" applyFill="0" applyBorder="0" applyAlignment="0" applyProtection="0"/>
    <xf numFmtId="164" fontId="41" fillId="0" borderId="0" applyFont="0" applyFill="0" applyBorder="0" applyAlignment="0" applyProtection="0"/>
    <xf numFmtId="164" fontId="41" fillId="0" borderId="0" applyFont="0" applyFill="0" applyBorder="0" applyAlignment="0" applyProtection="0"/>
    <xf numFmtId="164" fontId="41" fillId="0" borderId="0" applyFont="0" applyFill="0" applyBorder="0" applyAlignment="0" applyProtection="0"/>
    <xf numFmtId="164" fontId="41" fillId="0" borderId="0" applyFont="0" applyFill="0" applyBorder="0" applyAlignment="0" applyProtection="0"/>
    <xf numFmtId="164" fontId="41" fillId="0" borderId="0" applyFont="0" applyFill="0" applyBorder="0" applyAlignment="0" applyProtection="0"/>
    <xf numFmtId="164" fontId="41" fillId="0" borderId="0" applyFont="0" applyFill="0" applyBorder="0" applyAlignment="0" applyProtection="0"/>
    <xf numFmtId="164" fontId="41" fillId="0" borderId="0" applyFont="0" applyFill="0" applyBorder="0" applyAlignment="0" applyProtection="0"/>
    <xf numFmtId="164" fontId="41" fillId="0" borderId="0" applyFont="0" applyFill="0" applyBorder="0" applyAlignment="0" applyProtection="0"/>
    <xf numFmtId="164" fontId="41" fillId="0" borderId="0" applyFont="0" applyFill="0" applyBorder="0" applyAlignment="0" applyProtection="0"/>
    <xf numFmtId="164" fontId="41" fillId="0" borderId="0" applyFont="0" applyFill="0" applyBorder="0" applyAlignment="0" applyProtection="0"/>
    <xf numFmtId="164" fontId="41" fillId="0" borderId="0" applyFont="0" applyFill="0" applyBorder="0" applyAlignment="0" applyProtection="0"/>
    <xf numFmtId="164" fontId="2" fillId="0" borderId="0" applyFont="0" applyFill="0" applyBorder="0" applyAlignment="0" applyProtection="0"/>
    <xf numFmtId="9" fontId="2"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1" fillId="0" borderId="0"/>
    <xf numFmtId="0" fontId="2" fillId="0" borderId="0"/>
    <xf numFmtId="0" fontId="2"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2" fillId="0" borderId="0"/>
    <xf numFmtId="0" fontId="2" fillId="0" borderId="0"/>
    <xf numFmtId="0" fontId="2" fillId="0" borderId="0"/>
    <xf numFmtId="0" fontId="2"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1" fillId="0" borderId="0"/>
  </cellStyleXfs>
  <cellXfs count="492">
    <xf numFmtId="0" fontId="0" fillId="0" borderId="0" xfId="0"/>
    <xf numFmtId="0" fontId="0" fillId="0" borderId="0" xfId="0" applyProtection="1">
      <protection hidden="1"/>
    </xf>
    <xf numFmtId="0" fontId="4" fillId="0" borderId="0" xfId="0" applyFont="1" applyProtection="1">
      <protection hidden="1"/>
    </xf>
    <xf numFmtId="0" fontId="0" fillId="0" borderId="0" xfId="0" applyAlignment="1" applyProtection="1">
      <alignment horizontal="right"/>
      <protection hidden="1"/>
    </xf>
    <xf numFmtId="0" fontId="2" fillId="0" borderId="0" xfId="0" applyFont="1" applyProtection="1">
      <protection hidden="1"/>
    </xf>
    <xf numFmtId="0" fontId="0" fillId="0" borderId="0" xfId="0" applyAlignment="1" applyProtection="1">
      <alignment wrapText="1"/>
      <protection hidden="1"/>
    </xf>
    <xf numFmtId="0" fontId="0" fillId="0" borderId="0" xfId="0" applyBorder="1" applyProtection="1">
      <protection hidden="1"/>
    </xf>
    <xf numFmtId="0" fontId="2" fillId="0" borderId="0" xfId="0" applyFont="1" applyBorder="1" applyAlignment="1" applyProtection="1">
      <alignment wrapText="1"/>
      <protection hidden="1"/>
    </xf>
    <xf numFmtId="164" fontId="0" fillId="0" borderId="0" xfId="23" applyFont="1" applyProtection="1">
      <protection hidden="1"/>
    </xf>
    <xf numFmtId="0" fontId="0" fillId="6" borderId="3" xfId="0" applyFill="1" applyBorder="1" applyAlignment="1" applyProtection="1">
      <alignment horizontal="center" textRotation="90"/>
      <protection hidden="1"/>
    </xf>
    <xf numFmtId="0" fontId="0" fillId="6" borderId="4" xfId="0" applyFill="1" applyBorder="1" applyAlignment="1" applyProtection="1">
      <alignment horizontal="left"/>
      <protection hidden="1"/>
    </xf>
    <xf numFmtId="165" fontId="5" fillId="6" borderId="4" xfId="23" applyNumberFormat="1" applyFont="1" applyFill="1" applyBorder="1" applyProtection="1">
      <protection hidden="1"/>
    </xf>
    <xf numFmtId="0" fontId="0" fillId="6" borderId="4" xfId="0" applyFill="1" applyBorder="1" applyProtection="1">
      <protection hidden="1"/>
    </xf>
    <xf numFmtId="0" fontId="0" fillId="6" borderId="5" xfId="0" applyFill="1" applyBorder="1" applyProtection="1">
      <protection hidden="1"/>
    </xf>
    <xf numFmtId="0" fontId="0" fillId="6" borderId="6" xfId="0" applyFill="1" applyBorder="1" applyProtection="1">
      <protection hidden="1"/>
    </xf>
    <xf numFmtId="165" fontId="0" fillId="6" borderId="4" xfId="0" applyNumberFormat="1" applyFill="1" applyBorder="1" applyProtection="1">
      <protection hidden="1"/>
    </xf>
    <xf numFmtId="165" fontId="14" fillId="6" borderId="4" xfId="23" applyNumberFormat="1" applyFont="1" applyFill="1" applyBorder="1" applyProtection="1">
      <protection hidden="1"/>
    </xf>
    <xf numFmtId="0" fontId="0" fillId="6" borderId="7" xfId="0" applyFill="1" applyBorder="1" applyAlignment="1" applyProtection="1">
      <alignment horizontal="center"/>
      <protection hidden="1"/>
    </xf>
    <xf numFmtId="0" fontId="0" fillId="6" borderId="8" xfId="0" applyFill="1" applyBorder="1" applyAlignment="1" applyProtection="1">
      <alignment horizontal="center"/>
      <protection hidden="1"/>
    </xf>
    <xf numFmtId="0" fontId="0" fillId="6" borderId="3" xfId="0" applyFill="1" applyBorder="1" applyAlignment="1" applyProtection="1">
      <alignment horizontal="center"/>
      <protection hidden="1"/>
    </xf>
    <xf numFmtId="0" fontId="0" fillId="6" borderId="9" xfId="0" applyFill="1" applyBorder="1" applyAlignment="1" applyProtection="1">
      <alignment horizontal="center" textRotation="90"/>
      <protection hidden="1"/>
    </xf>
    <xf numFmtId="0" fontId="0" fillId="6" borderId="10" xfId="0" applyFill="1" applyBorder="1" applyAlignment="1" applyProtection="1">
      <alignment horizontal="center" textRotation="90"/>
      <protection hidden="1"/>
    </xf>
    <xf numFmtId="0" fontId="0" fillId="6" borderId="2" xfId="0" applyFill="1" applyBorder="1" applyAlignment="1" applyProtection="1">
      <alignment horizontal="center" textRotation="90" wrapText="1"/>
      <protection hidden="1"/>
    </xf>
    <xf numFmtId="0" fontId="0" fillId="6" borderId="9" xfId="0" applyFill="1" applyBorder="1" applyAlignment="1" applyProtection="1">
      <alignment textRotation="90"/>
      <protection hidden="1"/>
    </xf>
    <xf numFmtId="0" fontId="0" fillId="6" borderId="3" xfId="0" applyFill="1" applyBorder="1" applyAlignment="1" applyProtection="1">
      <alignment textRotation="90"/>
      <protection hidden="1"/>
    </xf>
    <xf numFmtId="0" fontId="0" fillId="6" borderId="10" xfId="0" applyFill="1" applyBorder="1" applyAlignment="1" applyProtection="1">
      <alignment textRotation="90"/>
      <protection hidden="1"/>
    </xf>
    <xf numFmtId="0" fontId="0" fillId="6" borderId="8" xfId="0" applyFill="1" applyBorder="1" applyAlignment="1" applyProtection="1">
      <alignment textRotation="90"/>
      <protection hidden="1"/>
    </xf>
    <xf numFmtId="0" fontId="0" fillId="6" borderId="3" xfId="0" applyFill="1" applyBorder="1" applyProtection="1">
      <protection hidden="1"/>
    </xf>
    <xf numFmtId="0" fontId="0" fillId="6" borderId="2" xfId="0" applyFill="1" applyBorder="1" applyProtection="1">
      <protection hidden="1"/>
    </xf>
    <xf numFmtId="166" fontId="0" fillId="6" borderId="2" xfId="0" applyNumberFormat="1" applyFill="1" applyBorder="1" applyProtection="1">
      <protection hidden="1"/>
    </xf>
    <xf numFmtId="1" fontId="0" fillId="6" borderId="2" xfId="0" applyNumberFormat="1" applyFill="1" applyBorder="1" applyProtection="1">
      <protection hidden="1"/>
    </xf>
    <xf numFmtId="1" fontId="2" fillId="6" borderId="8" xfId="0" applyNumberFormat="1" applyFont="1" applyFill="1" applyBorder="1" applyProtection="1">
      <protection hidden="1"/>
    </xf>
    <xf numFmtId="0" fontId="0" fillId="6" borderId="2" xfId="0" applyFill="1" applyBorder="1" applyAlignment="1" applyProtection="1">
      <alignment horizontal="center"/>
      <protection hidden="1"/>
    </xf>
    <xf numFmtId="0" fontId="3" fillId="6" borderId="2" xfId="0" applyFont="1" applyFill="1" applyBorder="1" applyProtection="1">
      <protection hidden="1"/>
    </xf>
    <xf numFmtId="0" fontId="0" fillId="6" borderId="0" xfId="0" applyFill="1" applyBorder="1" applyProtection="1">
      <protection hidden="1"/>
    </xf>
    <xf numFmtId="0" fontId="2" fillId="6" borderId="0" xfId="0" applyFont="1" applyFill="1" applyBorder="1" applyProtection="1">
      <protection hidden="1"/>
    </xf>
    <xf numFmtId="0" fontId="0" fillId="6" borderId="0" xfId="0" applyFill="1" applyBorder="1" applyAlignment="1" applyProtection="1">
      <alignment horizontal="center"/>
      <protection hidden="1"/>
    </xf>
    <xf numFmtId="166" fontId="14" fillId="6" borderId="0" xfId="23" applyNumberFormat="1" applyFont="1" applyFill="1" applyBorder="1" applyAlignment="1" applyProtection="1">
      <alignment horizontal="right"/>
      <protection hidden="1"/>
    </xf>
    <xf numFmtId="170" fontId="14" fillId="6" borderId="0" xfId="23" applyNumberFormat="1" applyFont="1" applyFill="1" applyBorder="1" applyAlignment="1" applyProtection="1">
      <alignment horizontal="right"/>
      <protection hidden="1"/>
    </xf>
    <xf numFmtId="14" fontId="0" fillId="6" borderId="0" xfId="0" applyNumberFormat="1" applyFill="1" applyBorder="1" applyAlignment="1" applyProtection="1">
      <alignment horizontal="center"/>
      <protection hidden="1"/>
    </xf>
    <xf numFmtId="3" fontId="0" fillId="6" borderId="0" xfId="0" applyNumberFormat="1" applyFill="1" applyBorder="1" applyAlignment="1" applyProtection="1">
      <alignment horizontal="center"/>
      <protection hidden="1"/>
    </xf>
    <xf numFmtId="1" fontId="0" fillId="6" borderId="0" xfId="0" applyNumberFormat="1" applyFill="1" applyBorder="1" applyAlignment="1" applyProtection="1">
      <alignment horizontal="center"/>
      <protection hidden="1"/>
    </xf>
    <xf numFmtId="164" fontId="14" fillId="6" borderId="0" xfId="23" applyFont="1" applyFill="1" applyBorder="1" applyAlignment="1" applyProtection="1">
      <alignment horizontal="center"/>
      <protection hidden="1"/>
    </xf>
    <xf numFmtId="164" fontId="2" fillId="6" borderId="0" xfId="23" applyFont="1" applyFill="1" applyBorder="1" applyAlignment="1" applyProtection="1">
      <alignment horizontal="center"/>
      <protection hidden="1"/>
    </xf>
    <xf numFmtId="169" fontId="14" fillId="6" borderId="0" xfId="23" applyNumberFormat="1" applyFont="1" applyFill="1" applyBorder="1" applyAlignment="1" applyProtection="1">
      <alignment horizontal="center"/>
      <protection hidden="1"/>
    </xf>
    <xf numFmtId="0" fontId="15" fillId="6" borderId="3" xfId="0" applyFont="1" applyFill="1" applyBorder="1" applyAlignment="1" applyProtection="1">
      <alignment horizontal="center" vertical="center"/>
      <protection hidden="1"/>
    </xf>
    <xf numFmtId="0" fontId="2" fillId="0" borderId="0" xfId="0" applyFont="1" applyAlignment="1" applyProtection="1">
      <alignment horizontal="left"/>
      <protection hidden="1"/>
    </xf>
    <xf numFmtId="0" fontId="0" fillId="6" borderId="11" xfId="0" applyFill="1" applyBorder="1" applyAlignment="1" applyProtection="1">
      <alignment horizontal="left"/>
      <protection hidden="1"/>
    </xf>
    <xf numFmtId="0" fontId="0" fillId="0" borderId="2" xfId="0" applyBorder="1" applyAlignment="1" applyProtection="1">
      <alignment horizontal="left"/>
      <protection hidden="1"/>
    </xf>
    <xf numFmtId="165" fontId="0" fillId="6" borderId="0" xfId="0" applyNumberFormat="1" applyFill="1" applyBorder="1" applyProtection="1">
      <protection hidden="1"/>
    </xf>
    <xf numFmtId="0" fontId="0" fillId="0" borderId="19" xfId="0" applyBorder="1" applyProtection="1">
      <protection hidden="1"/>
    </xf>
    <xf numFmtId="164" fontId="0" fillId="6" borderId="0" xfId="0" applyNumberFormat="1" applyFill="1" applyBorder="1" applyProtection="1">
      <protection hidden="1"/>
    </xf>
    <xf numFmtId="0" fontId="0" fillId="4" borderId="0" xfId="0" applyFill="1" applyProtection="1">
      <protection hidden="1"/>
    </xf>
    <xf numFmtId="0" fontId="0" fillId="2" borderId="0" xfId="0" applyFill="1" applyProtection="1">
      <protection hidden="1"/>
    </xf>
    <xf numFmtId="0" fontId="0" fillId="2" borderId="0" xfId="0" applyNumberFormat="1" applyFill="1" applyAlignment="1" applyProtection="1">
      <alignment horizontal="center"/>
      <protection hidden="1"/>
    </xf>
    <xf numFmtId="0" fontId="0" fillId="2" borderId="0" xfId="0" applyNumberFormat="1" applyFill="1" applyProtection="1">
      <protection hidden="1"/>
    </xf>
    <xf numFmtId="0" fontId="0" fillId="0" borderId="0" xfId="0" applyNumberFormat="1" applyProtection="1">
      <protection hidden="1"/>
    </xf>
    <xf numFmtId="0" fontId="0" fillId="0" borderId="0" xfId="0" applyProtection="1">
      <protection locked="0" hidden="1"/>
    </xf>
    <xf numFmtId="1" fontId="2" fillId="0" borderId="0" xfId="23" applyNumberFormat="1" applyFont="1" applyAlignment="1" applyProtection="1">
      <alignment horizontal="center"/>
      <protection hidden="1"/>
    </xf>
    <xf numFmtId="0" fontId="2" fillId="0" borderId="0" xfId="0" applyFont="1" applyAlignment="1" applyProtection="1">
      <alignment textRotation="90" wrapText="1"/>
      <protection hidden="1"/>
    </xf>
    <xf numFmtId="0" fontId="0" fillId="0" borderId="0" xfId="0" applyAlignment="1" applyProtection="1">
      <alignment wrapText="1"/>
      <protection locked="0" hidden="1"/>
    </xf>
    <xf numFmtId="0" fontId="2" fillId="0" borderId="2" xfId="0" applyFont="1" applyBorder="1" applyAlignment="1" applyProtection="1">
      <alignment horizontal="left" vertical="center" wrapText="1"/>
      <protection hidden="1"/>
    </xf>
    <xf numFmtId="4" fontId="2" fillId="0" borderId="2" xfId="0" applyNumberFormat="1" applyFont="1" applyBorder="1" applyAlignment="1" applyProtection="1">
      <alignment vertical="center" wrapText="1"/>
      <protection hidden="1"/>
    </xf>
    <xf numFmtId="1" fontId="2" fillId="0" borderId="2" xfId="23" applyNumberFormat="1" applyFont="1" applyBorder="1" applyAlignment="1" applyProtection="1">
      <alignment horizontal="center" vertical="center" wrapText="1"/>
      <protection hidden="1"/>
    </xf>
    <xf numFmtId="1" fontId="4" fillId="0" borderId="22" xfId="23" applyNumberFormat="1" applyFont="1" applyBorder="1" applyAlignment="1" applyProtection="1">
      <alignment horizontal="center" vertical="center" wrapText="1"/>
      <protection hidden="1"/>
    </xf>
    <xf numFmtId="166" fontId="4" fillId="0" borderId="22" xfId="23" applyNumberFormat="1" applyFont="1" applyBorder="1" applyAlignment="1" applyProtection="1">
      <alignment vertical="center" wrapText="1"/>
      <protection hidden="1"/>
    </xf>
    <xf numFmtId="1" fontId="0" fillId="0" borderId="0" xfId="23" applyNumberFormat="1" applyFont="1" applyAlignment="1" applyProtection="1">
      <alignment horizontal="center"/>
      <protection hidden="1"/>
    </xf>
    <xf numFmtId="166" fontId="2" fillId="0" borderId="2" xfId="23" applyNumberFormat="1" applyFont="1" applyBorder="1" applyAlignment="1" applyProtection="1">
      <alignment vertical="center" wrapText="1"/>
      <protection hidden="1"/>
    </xf>
    <xf numFmtId="0" fontId="0" fillId="0" borderId="14" xfId="0" applyBorder="1" applyAlignment="1" applyProtection="1">
      <alignment horizontal="left" vertical="top" wrapText="1"/>
      <protection hidden="1"/>
    </xf>
    <xf numFmtId="0" fontId="2" fillId="0" borderId="17" xfId="0" applyFont="1" applyBorder="1" applyAlignment="1" applyProtection="1">
      <alignment horizontal="center"/>
      <protection hidden="1"/>
    </xf>
    <xf numFmtId="0" fontId="2" fillId="0" borderId="17" xfId="0" applyFont="1" applyBorder="1" applyProtection="1">
      <protection hidden="1"/>
    </xf>
    <xf numFmtId="0" fontId="2" fillId="0" borderId="17" xfId="0" applyFont="1" applyBorder="1" applyAlignment="1" applyProtection="1">
      <alignment horizontal="right"/>
      <protection hidden="1"/>
    </xf>
    <xf numFmtId="0" fontId="0" fillId="0" borderId="14" xfId="0" applyBorder="1" applyAlignment="1" applyProtection="1">
      <alignment horizontal="center" vertical="top" wrapText="1"/>
      <protection hidden="1"/>
    </xf>
    <xf numFmtId="4" fontId="9" fillId="0" borderId="14" xfId="0" applyNumberFormat="1" applyFont="1" applyBorder="1" applyAlignment="1" applyProtection="1">
      <alignment wrapText="1"/>
      <protection hidden="1"/>
    </xf>
    <xf numFmtId="1" fontId="0" fillId="0" borderId="14" xfId="0" applyNumberFormat="1" applyBorder="1" applyAlignment="1" applyProtection="1">
      <alignment horizontal="right" vertical="top" wrapText="1"/>
      <protection hidden="1"/>
    </xf>
    <xf numFmtId="164" fontId="0" fillId="0" borderId="14" xfId="23" applyNumberFormat="1" applyFont="1" applyBorder="1" applyAlignment="1" applyProtection="1">
      <alignment vertical="top" wrapText="1"/>
      <protection hidden="1"/>
    </xf>
    <xf numFmtId="0" fontId="0" fillId="0" borderId="17" xfId="0" applyBorder="1" applyAlignment="1" applyProtection="1">
      <alignment horizontal="center" vertical="top" wrapText="1"/>
      <protection hidden="1"/>
    </xf>
    <xf numFmtId="1" fontId="0" fillId="0" borderId="17" xfId="0" applyNumberFormat="1" applyBorder="1" applyAlignment="1" applyProtection="1">
      <alignment horizontal="left" vertical="top" wrapText="1"/>
      <protection hidden="1"/>
    </xf>
    <xf numFmtId="1" fontId="0" fillId="0" borderId="17" xfId="0" applyNumberFormat="1" applyBorder="1" applyAlignment="1" applyProtection="1">
      <alignment horizontal="right" wrapText="1"/>
      <protection hidden="1"/>
    </xf>
    <xf numFmtId="164" fontId="0" fillId="0" borderId="17" xfId="23" applyNumberFormat="1" applyFont="1" applyBorder="1" applyAlignment="1" applyProtection="1">
      <alignment wrapText="1"/>
      <protection hidden="1"/>
    </xf>
    <xf numFmtId="0" fontId="2" fillId="0" borderId="17" xfId="0" applyFont="1" applyBorder="1" applyAlignment="1" applyProtection="1">
      <alignment horizontal="center" vertical="top" wrapText="1"/>
      <protection hidden="1"/>
    </xf>
    <xf numFmtId="0" fontId="0" fillId="0" borderId="0" xfId="0" applyAlignment="1" applyProtection="1">
      <protection locked="0" hidden="1"/>
    </xf>
    <xf numFmtId="0" fontId="4" fillId="0" borderId="23" xfId="0" applyFont="1" applyBorder="1" applyAlignment="1" applyProtection="1">
      <alignment horizontal="left" vertical="center"/>
      <protection hidden="1"/>
    </xf>
    <xf numFmtId="0" fontId="0" fillId="0" borderId="23" xfId="0" applyBorder="1" applyAlignment="1" applyProtection="1">
      <alignment vertical="center"/>
      <protection hidden="1"/>
    </xf>
    <xf numFmtId="0" fontId="4" fillId="0" borderId="23" xfId="0" applyFont="1" applyBorder="1" applyAlignment="1" applyProtection="1">
      <alignment horizontal="right" vertical="center"/>
      <protection hidden="1"/>
    </xf>
    <xf numFmtId="164" fontId="4" fillId="0" borderId="23" xfId="0" applyNumberFormat="1" applyFont="1" applyBorder="1" applyAlignment="1" applyProtection="1">
      <alignment vertical="center" wrapText="1"/>
      <protection hidden="1"/>
    </xf>
    <xf numFmtId="0" fontId="4" fillId="0" borderId="0" xfId="0" applyFont="1" applyAlignment="1" applyProtection="1">
      <alignment horizontal="center"/>
      <protection hidden="1"/>
    </xf>
    <xf numFmtId="0" fontId="4" fillId="0" borderId="0" xfId="0" applyFont="1" applyAlignment="1" applyProtection="1">
      <alignment horizontal="right"/>
      <protection hidden="1"/>
    </xf>
    <xf numFmtId="4" fontId="4" fillId="0" borderId="14" xfId="0" applyNumberFormat="1" applyFont="1" applyBorder="1" applyAlignment="1" applyProtection="1">
      <alignment wrapText="1"/>
      <protection hidden="1"/>
    </xf>
    <xf numFmtId="4" fontId="2" fillId="0" borderId="14" xfId="0" applyNumberFormat="1" applyFont="1" applyBorder="1" applyAlignment="1" applyProtection="1">
      <alignment horizontal="right" vertical="top" wrapText="1"/>
      <protection hidden="1"/>
    </xf>
    <xf numFmtId="0" fontId="0" fillId="0" borderId="17" xfId="0" applyBorder="1" applyAlignment="1" applyProtection="1">
      <alignment horizontal="left" vertical="top" wrapText="1"/>
      <protection hidden="1"/>
    </xf>
    <xf numFmtId="166" fontId="0" fillId="0" borderId="17" xfId="23" applyNumberFormat="1" applyFont="1" applyBorder="1" applyAlignment="1" applyProtection="1">
      <alignment horizontal="right" wrapText="1"/>
      <protection hidden="1"/>
    </xf>
    <xf numFmtId="164" fontId="0" fillId="0" borderId="17" xfId="23" applyNumberFormat="1" applyFont="1" applyBorder="1" applyAlignment="1" applyProtection="1">
      <alignment horizontal="right" wrapText="1"/>
      <protection hidden="1"/>
    </xf>
    <xf numFmtId="4" fontId="4" fillId="0" borderId="14" xfId="0" applyNumberFormat="1" applyFont="1" applyBorder="1" applyAlignment="1" applyProtection="1">
      <alignment horizontal="right" wrapText="1"/>
      <protection hidden="1"/>
    </xf>
    <xf numFmtId="0" fontId="4" fillId="0" borderId="22" xfId="0" applyFont="1" applyBorder="1" applyAlignment="1" applyProtection="1">
      <alignment vertical="center"/>
      <protection hidden="1"/>
    </xf>
    <xf numFmtId="0" fontId="0" fillId="0" borderId="22" xfId="0" applyBorder="1" applyAlignment="1" applyProtection="1">
      <alignment vertical="center"/>
      <protection hidden="1"/>
    </xf>
    <xf numFmtId="166" fontId="4" fillId="0" borderId="22" xfId="23" applyNumberFormat="1" applyFont="1" applyBorder="1" applyAlignment="1" applyProtection="1">
      <alignment horizontal="right" vertical="center"/>
      <protection hidden="1"/>
    </xf>
    <xf numFmtId="164" fontId="4" fillId="0" borderId="22" xfId="23" applyNumberFormat="1" applyFont="1" applyBorder="1" applyAlignment="1" applyProtection="1">
      <alignment horizontal="right" vertical="center" wrapText="1"/>
      <protection hidden="1"/>
    </xf>
    <xf numFmtId="0" fontId="2" fillId="0" borderId="0" xfId="0" applyNumberFormat="1" applyFont="1" applyBorder="1" applyAlignment="1" applyProtection="1">
      <alignment horizontal="right" wrapText="1"/>
      <protection hidden="1"/>
    </xf>
    <xf numFmtId="166" fontId="2" fillId="0" borderId="14" xfId="0" applyNumberFormat="1" applyFont="1" applyBorder="1" applyAlignment="1" applyProtection="1">
      <alignment horizontal="right" vertical="top" wrapText="1"/>
      <protection hidden="1"/>
    </xf>
    <xf numFmtId="4" fontId="2" fillId="0" borderId="0" xfId="0" applyNumberFormat="1" applyFont="1" applyBorder="1" applyAlignment="1" applyProtection="1">
      <alignment horizontal="right" wrapText="1"/>
      <protection hidden="1"/>
    </xf>
    <xf numFmtId="0" fontId="0" fillId="0" borderId="0" xfId="0" applyAlignment="1" applyProtection="1">
      <protection hidden="1"/>
    </xf>
    <xf numFmtId="49" fontId="0" fillId="0" borderId="0" xfId="0" applyNumberFormat="1" applyAlignment="1" applyProtection="1">
      <alignment vertical="top" wrapText="1"/>
      <protection locked="0" hidden="1"/>
    </xf>
    <xf numFmtId="49" fontId="0" fillId="0" borderId="0" xfId="0" applyNumberFormat="1" applyAlignment="1" applyProtection="1">
      <alignment vertical="top" wrapText="1"/>
      <protection hidden="1"/>
    </xf>
    <xf numFmtId="164" fontId="0" fillId="0" borderId="0" xfId="0" applyNumberFormat="1" applyProtection="1">
      <protection hidden="1"/>
    </xf>
    <xf numFmtId="0" fontId="0" fillId="3" borderId="11" xfId="0" applyFill="1" applyBorder="1" applyProtection="1">
      <protection hidden="1"/>
    </xf>
    <xf numFmtId="0" fontId="0" fillId="3" borderId="2" xfId="0" applyFill="1" applyBorder="1" applyProtection="1">
      <protection hidden="1"/>
    </xf>
    <xf numFmtId="0" fontId="0" fillId="3" borderId="8" xfId="0" applyFill="1" applyBorder="1" applyProtection="1">
      <protection hidden="1"/>
    </xf>
    <xf numFmtId="166" fontId="0" fillId="3" borderId="3" xfId="0" applyNumberFormat="1" applyFill="1" applyBorder="1" applyProtection="1">
      <protection hidden="1"/>
    </xf>
    <xf numFmtId="0" fontId="0" fillId="3" borderId="3" xfId="0" applyFill="1" applyBorder="1" applyProtection="1">
      <protection hidden="1"/>
    </xf>
    <xf numFmtId="0" fontId="0" fillId="3" borderId="0" xfId="0" applyFill="1" applyProtection="1">
      <protection hidden="1"/>
    </xf>
    <xf numFmtId="0" fontId="2" fillId="3" borderId="3" xfId="0" applyFont="1" applyFill="1" applyBorder="1" applyProtection="1">
      <protection hidden="1"/>
    </xf>
    <xf numFmtId="0" fontId="2" fillId="3" borderId="3" xfId="0" applyFont="1" applyFill="1" applyBorder="1" applyAlignment="1" applyProtection="1">
      <alignment horizontal="right"/>
      <protection hidden="1"/>
    </xf>
    <xf numFmtId="164" fontId="0" fillId="0" borderId="0" xfId="23" applyNumberFormat="1" applyFont="1" applyProtection="1">
      <protection hidden="1"/>
    </xf>
    <xf numFmtId="0" fontId="0" fillId="5" borderId="0" xfId="0" applyFill="1" applyProtection="1">
      <protection hidden="1"/>
    </xf>
    <xf numFmtId="0" fontId="0" fillId="3" borderId="11" xfId="0" applyFill="1" applyBorder="1" applyAlignment="1" applyProtection="1">
      <alignment horizontal="left"/>
      <protection hidden="1"/>
    </xf>
    <xf numFmtId="0" fontId="0" fillId="3" borderId="2" xfId="0" applyFill="1" applyBorder="1" applyAlignment="1" applyProtection="1">
      <alignment horizontal="left"/>
      <protection hidden="1"/>
    </xf>
    <xf numFmtId="0" fontId="0" fillId="3" borderId="14" xfId="0" applyFill="1" applyBorder="1" applyProtection="1">
      <protection hidden="1"/>
    </xf>
    <xf numFmtId="0" fontId="0" fillId="3" borderId="15" xfId="0" applyFill="1" applyBorder="1" applyProtection="1">
      <protection hidden="1"/>
    </xf>
    <xf numFmtId="0" fontId="0" fillId="3" borderId="0" xfId="0" applyFill="1" applyBorder="1" applyProtection="1">
      <protection hidden="1"/>
    </xf>
    <xf numFmtId="0" fontId="0" fillId="0" borderId="8" xfId="0" applyFill="1" applyBorder="1" applyProtection="1">
      <protection locked="0" hidden="1"/>
    </xf>
    <xf numFmtId="0" fontId="0" fillId="3" borderId="14" xfId="0" applyFill="1" applyBorder="1" applyAlignment="1" applyProtection="1">
      <alignment horizontal="center"/>
      <protection hidden="1"/>
    </xf>
    <xf numFmtId="9" fontId="0" fillId="0" borderId="2" xfId="24" applyFont="1" applyFill="1" applyBorder="1" applyProtection="1">
      <protection locked="0" hidden="1"/>
    </xf>
    <xf numFmtId="0" fontId="0" fillId="0" borderId="15" xfId="0" applyFill="1" applyBorder="1" applyAlignment="1" applyProtection="1">
      <alignment horizontal="center"/>
      <protection locked="0" hidden="1"/>
    </xf>
    <xf numFmtId="0" fontId="0" fillId="3" borderId="21" xfId="0" applyFill="1" applyBorder="1" applyProtection="1">
      <protection hidden="1"/>
    </xf>
    <xf numFmtId="0" fontId="0" fillId="3" borderId="11" xfId="0" applyFill="1" applyBorder="1" applyAlignment="1" applyProtection="1">
      <alignment horizontal="center"/>
      <protection hidden="1"/>
    </xf>
    <xf numFmtId="0" fontId="0" fillId="0" borderId="2" xfId="0" applyFill="1" applyBorder="1" applyProtection="1">
      <protection locked="0" hidden="1"/>
    </xf>
    <xf numFmtId="0" fontId="2" fillId="0" borderId="8" xfId="0" applyFont="1" applyFill="1" applyBorder="1" applyAlignment="1" applyProtection="1">
      <alignment horizontal="center"/>
      <protection locked="0" hidden="1"/>
    </xf>
    <xf numFmtId="0" fontId="2" fillId="3" borderId="0" xfId="0" applyFont="1" applyFill="1" applyBorder="1" applyAlignment="1" applyProtection="1">
      <alignment horizontal="center"/>
      <protection hidden="1"/>
    </xf>
    <xf numFmtId="9" fontId="0" fillId="0" borderId="15" xfId="24" applyFont="1" applyFill="1" applyBorder="1" applyProtection="1">
      <protection locked="0" hidden="1"/>
    </xf>
    <xf numFmtId="165" fontId="5" fillId="3" borderId="3" xfId="23" applyNumberFormat="1" applyFont="1" applyFill="1" applyBorder="1" applyProtection="1">
      <protection hidden="1"/>
    </xf>
    <xf numFmtId="1" fontId="5" fillId="3" borderId="3" xfId="0" applyNumberFormat="1" applyFont="1" applyFill="1" applyBorder="1" applyAlignment="1" applyProtection="1">
      <alignment horizontal="center"/>
      <protection hidden="1"/>
    </xf>
    <xf numFmtId="165" fontId="0" fillId="3" borderId="3" xfId="0" applyNumberFormat="1" applyFill="1" applyBorder="1" applyAlignment="1" applyProtection="1">
      <alignment horizontal="center"/>
      <protection hidden="1"/>
    </xf>
    <xf numFmtId="0" fontId="0" fillId="3" borderId="3" xfId="0" applyFill="1" applyBorder="1" applyAlignment="1" applyProtection="1">
      <alignment horizontal="center" textRotation="90"/>
      <protection hidden="1"/>
    </xf>
    <xf numFmtId="49" fontId="0" fillId="3" borderId="3" xfId="0" applyNumberFormat="1" applyFill="1" applyBorder="1" applyAlignment="1" applyProtection="1">
      <alignment horizontal="center"/>
      <protection hidden="1"/>
    </xf>
    <xf numFmtId="0" fontId="9" fillId="3" borderId="3" xfId="0" applyFont="1" applyFill="1" applyBorder="1" applyAlignment="1" applyProtection="1">
      <alignment horizontal="left"/>
      <protection hidden="1"/>
    </xf>
    <xf numFmtId="168" fontId="0" fillId="3" borderId="3" xfId="0" applyNumberFormat="1" applyFill="1" applyBorder="1" applyAlignment="1" applyProtection="1">
      <alignment horizontal="center"/>
      <protection hidden="1"/>
    </xf>
    <xf numFmtId="165" fontId="0" fillId="5" borderId="3" xfId="23" applyNumberFormat="1" applyFont="1" applyFill="1" applyBorder="1" applyAlignment="1" applyProtection="1">
      <alignment horizontal="right"/>
      <protection hidden="1"/>
    </xf>
    <xf numFmtId="165" fontId="0" fillId="5" borderId="3" xfId="0" applyNumberFormat="1" applyFill="1" applyBorder="1" applyAlignment="1" applyProtection="1">
      <alignment horizontal="center"/>
      <protection hidden="1"/>
    </xf>
    <xf numFmtId="165" fontId="0" fillId="5" borderId="3" xfId="23" applyNumberFormat="1" applyFont="1" applyFill="1" applyBorder="1" applyAlignment="1" applyProtection="1">
      <alignment horizontal="center"/>
      <protection hidden="1"/>
    </xf>
    <xf numFmtId="0" fontId="2" fillId="0" borderId="12" xfId="0" applyFont="1" applyFill="1" applyBorder="1" applyAlignment="1" applyProtection="1">
      <alignment horizontal="center"/>
      <protection locked="0" hidden="1"/>
    </xf>
    <xf numFmtId="166" fontId="0" fillId="3" borderId="15" xfId="23" applyNumberFormat="1" applyFont="1" applyFill="1" applyBorder="1" applyProtection="1">
      <protection hidden="1"/>
    </xf>
    <xf numFmtId="0" fontId="0" fillId="5" borderId="0" xfId="0" applyFill="1" applyBorder="1" applyProtection="1">
      <protection hidden="1"/>
    </xf>
    <xf numFmtId="171" fontId="42" fillId="6" borderId="4" xfId="0" applyNumberFormat="1" applyFont="1" applyFill="1" applyBorder="1" applyAlignment="1" applyProtection="1">
      <alignment horizontal="left"/>
      <protection locked="0" hidden="1"/>
    </xf>
    <xf numFmtId="0" fontId="0" fillId="2" borderId="0" xfId="0" applyFill="1" applyProtection="1"/>
    <xf numFmtId="0" fontId="0" fillId="0" borderId="0" xfId="0" applyProtection="1"/>
    <xf numFmtId="0" fontId="0" fillId="3" borderId="2" xfId="0" applyFill="1" applyBorder="1" applyAlignment="1" applyProtection="1">
      <alignment horizontal="center"/>
      <protection hidden="1"/>
    </xf>
    <xf numFmtId="0" fontId="2" fillId="3" borderId="12" xfId="0" applyFont="1" applyFill="1" applyBorder="1" applyAlignment="1" applyProtection="1">
      <alignment horizontal="left"/>
      <protection hidden="1"/>
    </xf>
    <xf numFmtId="0" fontId="0" fillId="3" borderId="14" xfId="0" applyFill="1" applyBorder="1" applyAlignment="1" applyProtection="1">
      <alignment horizontal="left"/>
      <protection hidden="1"/>
    </xf>
    <xf numFmtId="165" fontId="0" fillId="3" borderId="2" xfId="23" applyNumberFormat="1" applyFont="1" applyFill="1" applyBorder="1" applyAlignment="1" applyProtection="1">
      <alignment horizontal="center"/>
      <protection hidden="1"/>
    </xf>
    <xf numFmtId="0" fontId="0" fillId="3" borderId="11" xfId="0" applyFill="1" applyBorder="1" applyAlignment="1" applyProtection="1">
      <protection hidden="1"/>
    </xf>
    <xf numFmtId="0" fontId="0" fillId="3" borderId="2" xfId="0" applyFill="1" applyBorder="1" applyAlignment="1" applyProtection="1">
      <protection hidden="1"/>
    </xf>
    <xf numFmtId="0" fontId="41" fillId="8" borderId="0" xfId="85" applyFill="1" applyProtection="1">
      <protection hidden="1"/>
    </xf>
    <xf numFmtId="164" fontId="41" fillId="8" borderId="0" xfId="1" applyFont="1" applyFill="1" applyProtection="1">
      <protection hidden="1"/>
    </xf>
    <xf numFmtId="9" fontId="41" fillId="8" borderId="0" xfId="25" applyFont="1" applyFill="1" applyProtection="1">
      <protection hidden="1"/>
    </xf>
    <xf numFmtId="0" fontId="41" fillId="8" borderId="14" xfId="85" applyFill="1" applyBorder="1" applyProtection="1">
      <protection hidden="1"/>
    </xf>
    <xf numFmtId="164" fontId="41" fillId="8" borderId="14" xfId="85" applyNumberFormat="1" applyFill="1" applyBorder="1" applyProtection="1">
      <protection hidden="1"/>
    </xf>
    <xf numFmtId="164" fontId="41" fillId="8" borderId="0" xfId="85" applyNumberFormat="1" applyFill="1" applyBorder="1" applyProtection="1">
      <protection hidden="1"/>
    </xf>
    <xf numFmtId="0" fontId="41" fillId="8" borderId="17" xfId="85" applyFill="1" applyBorder="1" applyProtection="1">
      <protection hidden="1"/>
    </xf>
    <xf numFmtId="0" fontId="41" fillId="8" borderId="0" xfId="85" applyFill="1" applyBorder="1" applyProtection="1">
      <protection hidden="1"/>
    </xf>
    <xf numFmtId="0" fontId="41" fillId="8" borderId="14" xfId="85" applyFill="1" applyBorder="1" applyAlignment="1" applyProtection="1">
      <alignment horizontal="right"/>
      <protection hidden="1"/>
    </xf>
    <xf numFmtId="164" fontId="41" fillId="8" borderId="14" xfId="1" applyFont="1" applyFill="1" applyBorder="1" applyProtection="1">
      <protection hidden="1"/>
    </xf>
    <xf numFmtId="0" fontId="4" fillId="8" borderId="23" xfId="0" applyFont="1" applyFill="1" applyBorder="1" applyProtection="1">
      <protection hidden="1"/>
    </xf>
    <xf numFmtId="164" fontId="4" fillId="8" borderId="23" xfId="0" applyNumberFormat="1" applyFont="1" applyFill="1" applyBorder="1" applyProtection="1">
      <protection hidden="1"/>
    </xf>
    <xf numFmtId="0" fontId="0" fillId="8" borderId="0" xfId="0" applyFill="1" applyProtection="1">
      <protection hidden="1"/>
    </xf>
    <xf numFmtId="9" fontId="41" fillId="8" borderId="14" xfId="24" applyFont="1" applyFill="1" applyBorder="1" applyProtection="1">
      <protection hidden="1"/>
    </xf>
    <xf numFmtId="9" fontId="4" fillId="8" borderId="23" xfId="24" applyFont="1" applyFill="1" applyBorder="1" applyProtection="1">
      <protection hidden="1"/>
    </xf>
    <xf numFmtId="0" fontId="2" fillId="0" borderId="0" xfId="0" applyFont="1" applyAlignment="1" applyProtection="1">
      <alignment wrapText="1"/>
      <protection hidden="1"/>
    </xf>
    <xf numFmtId="0" fontId="0" fillId="0" borderId="0" xfId="0" applyAlignment="1">
      <alignment wrapText="1"/>
    </xf>
    <xf numFmtId="0" fontId="0" fillId="2" borderId="0" xfId="0" applyNumberFormat="1" applyFill="1" applyAlignment="1" applyProtection="1">
      <alignment horizontal="left" vertical="top" wrapText="1"/>
      <protection hidden="1"/>
    </xf>
    <xf numFmtId="0" fontId="2" fillId="0" borderId="0" xfId="57" applyFont="1" applyFill="1" applyAlignment="1" applyProtection="1">
      <alignment wrapText="1"/>
      <protection locked="0"/>
    </xf>
    <xf numFmtId="165" fontId="0" fillId="3" borderId="11" xfId="0" applyNumberFormat="1" applyFill="1" applyBorder="1" applyAlignment="1" applyProtection="1">
      <alignment horizontal="right"/>
      <protection hidden="1"/>
    </xf>
    <xf numFmtId="173" fontId="0" fillId="3" borderId="8" xfId="0" applyNumberFormat="1" applyFill="1" applyBorder="1" applyAlignment="1" applyProtection="1">
      <alignment horizontal="right"/>
      <protection hidden="1"/>
    </xf>
    <xf numFmtId="168" fontId="0" fillId="3" borderId="11" xfId="23" applyNumberFormat="1" applyFont="1" applyFill="1" applyBorder="1" applyAlignment="1" applyProtection="1">
      <alignment horizontal="right"/>
      <protection hidden="1"/>
    </xf>
    <xf numFmtId="164" fontId="2" fillId="3" borderId="3" xfId="23" applyFont="1" applyFill="1" applyBorder="1" applyProtection="1">
      <protection hidden="1"/>
    </xf>
    <xf numFmtId="164" fontId="0" fillId="3" borderId="3" xfId="23" applyFont="1" applyFill="1" applyBorder="1" applyProtection="1">
      <protection hidden="1"/>
    </xf>
    <xf numFmtId="0" fontId="0" fillId="8" borderId="11" xfId="0" applyFill="1" applyBorder="1" applyAlignment="1" applyProtection="1">
      <alignment horizontal="left"/>
      <protection hidden="1"/>
    </xf>
    <xf numFmtId="0" fontId="0" fillId="8" borderId="17" xfId="0" applyFill="1" applyBorder="1" applyProtection="1">
      <protection hidden="1"/>
    </xf>
    <xf numFmtId="0" fontId="0" fillId="8" borderId="2" xfId="0" applyFill="1" applyBorder="1" applyProtection="1">
      <protection hidden="1"/>
    </xf>
    <xf numFmtId="0" fontId="0" fillId="8" borderId="7" xfId="0" applyFill="1" applyBorder="1" applyProtection="1">
      <protection hidden="1"/>
    </xf>
    <xf numFmtId="165" fontId="0" fillId="8" borderId="17" xfId="0" applyNumberFormat="1" applyFill="1" applyBorder="1" applyAlignment="1" applyProtection="1">
      <alignment horizontal="center"/>
      <protection hidden="1"/>
    </xf>
    <xf numFmtId="172" fontId="0" fillId="8" borderId="17" xfId="0" applyNumberFormat="1" applyFill="1" applyBorder="1" applyProtection="1">
      <protection hidden="1"/>
    </xf>
    <xf numFmtId="0" fontId="0" fillId="3" borderId="14" xfId="0" applyFill="1" applyBorder="1" applyAlignment="1" applyProtection="1">
      <protection hidden="1"/>
    </xf>
    <xf numFmtId="0" fontId="0" fillId="8" borderId="17" xfId="0" applyFill="1" applyBorder="1" applyAlignment="1" applyProtection="1">
      <alignment horizontal="center"/>
      <protection hidden="1"/>
    </xf>
    <xf numFmtId="174" fontId="0" fillId="3" borderId="3" xfId="0" applyNumberFormat="1" applyFill="1" applyBorder="1" applyAlignment="1" applyProtection="1">
      <alignment horizontal="center"/>
      <protection hidden="1"/>
    </xf>
    <xf numFmtId="0" fontId="4" fillId="8" borderId="0" xfId="0" applyFont="1" applyFill="1" applyProtection="1">
      <protection hidden="1"/>
    </xf>
    <xf numFmtId="0" fontId="2" fillId="8" borderId="0" xfId="0" applyFont="1" applyFill="1" applyProtection="1">
      <protection hidden="1"/>
    </xf>
    <xf numFmtId="172" fontId="0" fillId="3" borderId="8" xfId="0" applyNumberFormat="1" applyFill="1" applyBorder="1" applyAlignment="1" applyProtection="1">
      <alignment horizontal="right"/>
      <protection hidden="1"/>
    </xf>
    <xf numFmtId="175" fontId="0" fillId="3" borderId="11" xfId="0" applyNumberFormat="1" applyFill="1" applyBorder="1" applyProtection="1">
      <protection hidden="1"/>
    </xf>
    <xf numFmtId="173" fontId="0" fillId="3" borderId="3" xfId="0" applyNumberFormat="1" applyFill="1" applyBorder="1" applyAlignment="1" applyProtection="1">
      <protection hidden="1"/>
    </xf>
    <xf numFmtId="0" fontId="2" fillId="0" borderId="0" xfId="0" applyFont="1" applyBorder="1" applyAlignment="1" applyProtection="1">
      <alignment horizontal="left" vertical="center" wrapText="1"/>
      <protection hidden="1"/>
    </xf>
    <xf numFmtId="1" fontId="0" fillId="3" borderId="3" xfId="23" applyNumberFormat="1" applyFont="1" applyFill="1" applyBorder="1" applyAlignment="1" applyProtection="1">
      <alignment horizontal="center"/>
      <protection hidden="1"/>
    </xf>
    <xf numFmtId="0" fontId="4" fillId="6" borderId="0" xfId="0" applyFont="1" applyFill="1" applyBorder="1" applyAlignment="1" applyProtection="1">
      <alignment horizontal="left"/>
      <protection hidden="1"/>
    </xf>
    <xf numFmtId="0" fontId="2" fillId="0" borderId="3" xfId="0" applyFont="1" applyFill="1" applyBorder="1" applyProtection="1">
      <protection locked="0"/>
    </xf>
    <xf numFmtId="0" fontId="2" fillId="0" borderId="3" xfId="0" applyFont="1" applyFill="1" applyBorder="1" applyAlignment="1" applyProtection="1">
      <alignment wrapText="1"/>
      <protection locked="0"/>
    </xf>
    <xf numFmtId="0" fontId="2" fillId="0" borderId="3" xfId="0" applyFont="1" applyFill="1" applyBorder="1" applyAlignment="1" applyProtection="1">
      <alignment horizontal="right" wrapText="1"/>
      <protection locked="0"/>
    </xf>
    <xf numFmtId="164" fontId="2" fillId="0" borderId="3" xfId="23" applyFont="1" applyFill="1" applyBorder="1" applyProtection="1">
      <protection locked="0"/>
    </xf>
    <xf numFmtId="168" fontId="2" fillId="0" borderId="3" xfId="0" applyNumberFormat="1" applyFont="1" applyFill="1" applyBorder="1" applyProtection="1">
      <protection locked="0"/>
    </xf>
    <xf numFmtId="0" fontId="0" fillId="0" borderId="3" xfId="0" applyFill="1" applyBorder="1" applyAlignment="1" applyProtection="1">
      <alignment horizontal="center"/>
      <protection locked="0"/>
    </xf>
    <xf numFmtId="0" fontId="2" fillId="0" borderId="12" xfId="0" applyFont="1" applyFill="1" applyBorder="1" applyAlignment="1" applyProtection="1">
      <alignment horizontal="center"/>
      <protection locked="0"/>
    </xf>
    <xf numFmtId="0" fontId="4" fillId="0" borderId="24" xfId="0" applyFont="1" applyBorder="1" applyAlignment="1" applyProtection="1">
      <alignment horizontal="left"/>
      <protection hidden="1"/>
    </xf>
    <xf numFmtId="0" fontId="0" fillId="0" borderId="24" xfId="0" applyBorder="1" applyProtection="1">
      <protection hidden="1"/>
    </xf>
    <xf numFmtId="0" fontId="4" fillId="0" borderId="24" xfId="0" applyFont="1" applyBorder="1" applyAlignment="1" applyProtection="1">
      <alignment horizontal="right"/>
      <protection hidden="1"/>
    </xf>
    <xf numFmtId="164" fontId="4" fillId="0" borderId="24" xfId="0" applyNumberFormat="1" applyFont="1" applyBorder="1" applyAlignment="1" applyProtection="1">
      <alignment wrapText="1"/>
      <protection hidden="1"/>
    </xf>
    <xf numFmtId="0" fontId="12" fillId="0" borderId="2" xfId="0" applyFont="1" applyBorder="1" applyAlignment="1" applyProtection="1">
      <alignment horizontal="left" wrapText="1"/>
      <protection hidden="1"/>
    </xf>
    <xf numFmtId="0" fontId="2" fillId="0" borderId="2" xfId="0" applyNumberFormat="1" applyFont="1" applyBorder="1" applyAlignment="1" applyProtection="1">
      <alignment horizontal="left" wrapText="1"/>
      <protection hidden="1"/>
    </xf>
    <xf numFmtId="4" fontId="2" fillId="0" borderId="2" xfId="0" applyNumberFormat="1" applyFont="1" applyBorder="1" applyAlignment="1" applyProtection="1">
      <alignment horizontal="right" wrapText="1"/>
      <protection hidden="1"/>
    </xf>
    <xf numFmtId="164" fontId="2" fillId="0" borderId="2" xfId="0" applyNumberFormat="1" applyFont="1" applyBorder="1" applyAlignment="1" applyProtection="1">
      <alignment wrapText="1"/>
      <protection hidden="1"/>
    </xf>
    <xf numFmtId="176" fontId="14" fillId="6" borderId="0" xfId="23" applyNumberFormat="1" applyFont="1" applyFill="1" applyBorder="1" applyAlignment="1" applyProtection="1">
      <alignment horizontal="right"/>
      <protection hidden="1"/>
    </xf>
    <xf numFmtId="0" fontId="0" fillId="0" borderId="14" xfId="0" applyNumberFormat="1" applyBorder="1" applyAlignment="1" applyProtection="1">
      <alignment horizontal="left" vertical="top" wrapText="1"/>
      <protection hidden="1"/>
    </xf>
    <xf numFmtId="0" fontId="2" fillId="0" borderId="0" xfId="0" applyFont="1" applyAlignment="1" applyProtection="1">
      <alignment textRotation="90"/>
      <protection hidden="1"/>
    </xf>
    <xf numFmtId="49" fontId="2" fillId="0" borderId="0" xfId="57" applyNumberFormat="1" applyFont="1" applyFill="1" applyAlignment="1" applyProtection="1">
      <alignment wrapText="1"/>
      <protection locked="0"/>
    </xf>
    <xf numFmtId="0" fontId="2" fillId="0" borderId="0" xfId="76" applyFont="1" applyFill="1" applyAlignment="1" applyProtection="1">
      <alignment wrapText="1"/>
      <protection locked="0"/>
    </xf>
    <xf numFmtId="0" fontId="2" fillId="0" borderId="0" xfId="64" applyFont="1" applyFill="1" applyAlignment="1" applyProtection="1">
      <alignment wrapText="1"/>
      <protection locked="0"/>
    </xf>
    <xf numFmtId="0" fontId="2" fillId="0" borderId="0" xfId="65" applyFont="1" applyFill="1" applyAlignment="1" applyProtection="1">
      <alignment wrapText="1"/>
      <protection locked="0"/>
    </xf>
    <xf numFmtId="2" fontId="0" fillId="6" borderId="0" xfId="0" applyNumberFormat="1" applyFill="1" applyBorder="1" applyProtection="1">
      <protection hidden="1"/>
    </xf>
    <xf numFmtId="0" fontId="18" fillId="0" borderId="0" xfId="57" applyFont="1" applyFill="1" applyAlignment="1" applyProtection="1">
      <alignment wrapText="1"/>
      <protection locked="0"/>
    </xf>
    <xf numFmtId="0" fontId="0" fillId="0" borderId="0" xfId="0" applyFill="1" applyProtection="1">
      <protection locked="0"/>
    </xf>
    <xf numFmtId="0" fontId="0" fillId="0" borderId="0" xfId="0" quotePrefix="1" applyFill="1" applyProtection="1">
      <protection locked="0"/>
    </xf>
    <xf numFmtId="166" fontId="20" fillId="6" borderId="0" xfId="23" applyNumberFormat="1" applyFont="1" applyFill="1" applyBorder="1" applyAlignment="1" applyProtection="1">
      <alignment horizontal="right"/>
      <protection hidden="1"/>
    </xf>
    <xf numFmtId="49" fontId="2" fillId="0" borderId="3" xfId="48" applyNumberFormat="1" applyFont="1" applyFill="1" applyBorder="1" applyAlignment="1" applyProtection="1">
      <alignment horizontal="left" vertical="center"/>
      <protection locked="0"/>
    </xf>
    <xf numFmtId="49" fontId="2" fillId="0" borderId="3" xfId="48" applyNumberFormat="1" applyFont="1" applyFill="1" applyBorder="1" applyAlignment="1" applyProtection="1">
      <alignment horizontal="center" vertical="center"/>
      <protection locked="0"/>
    </xf>
    <xf numFmtId="0" fontId="2" fillId="0" borderId="3" xfId="48" applyFill="1" applyBorder="1" applyAlignment="1" applyProtection="1">
      <alignment horizontal="center" vertical="center"/>
      <protection locked="0"/>
    </xf>
    <xf numFmtId="165" fontId="2" fillId="0" borderId="3" xfId="23" applyNumberFormat="1" applyFill="1" applyBorder="1" applyAlignment="1" applyProtection="1">
      <alignment vertical="center"/>
      <protection locked="0"/>
    </xf>
    <xf numFmtId="0" fontId="2" fillId="0" borderId="9" xfId="48" applyFill="1" applyBorder="1" applyAlignment="1" applyProtection="1">
      <alignment horizontal="center" vertical="center"/>
      <protection locked="0"/>
    </xf>
    <xf numFmtId="0" fontId="2" fillId="0" borderId="9" xfId="48" applyFont="1" applyFill="1" applyBorder="1" applyAlignment="1" applyProtection="1">
      <alignment horizontal="center" vertical="center"/>
      <protection locked="0"/>
    </xf>
    <xf numFmtId="49" fontId="2" fillId="0" borderId="10" xfId="47" applyNumberFormat="1" applyFont="1" applyFill="1" applyBorder="1" applyAlignment="1" applyProtection="1">
      <alignment horizontal="center" vertical="center"/>
      <protection locked="0"/>
    </xf>
    <xf numFmtId="0" fontId="0" fillId="0" borderId="9" xfId="0" applyFill="1" applyBorder="1" applyAlignment="1" applyProtection="1">
      <alignment horizontal="center" vertical="center"/>
      <protection locked="0"/>
    </xf>
    <xf numFmtId="0" fontId="0" fillId="6" borderId="10" xfId="0" applyFill="1" applyBorder="1" applyAlignment="1" applyProtection="1">
      <alignment horizontal="center" vertical="center"/>
      <protection hidden="1"/>
    </xf>
    <xf numFmtId="0" fontId="0" fillId="6" borderId="9" xfId="0" applyFill="1" applyBorder="1" applyAlignment="1" applyProtection="1">
      <alignment horizontal="center" vertical="center"/>
      <protection hidden="1"/>
    </xf>
    <xf numFmtId="0" fontId="0" fillId="0" borderId="3" xfId="0" applyFill="1" applyBorder="1" applyAlignment="1" applyProtection="1">
      <alignment horizontal="center" vertical="center"/>
      <protection locked="0"/>
    </xf>
    <xf numFmtId="0" fontId="2" fillId="0" borderId="3" xfId="0" applyFont="1" applyFill="1" applyBorder="1" applyAlignment="1" applyProtection="1">
      <alignment horizontal="center" vertical="center"/>
      <protection locked="0"/>
    </xf>
    <xf numFmtId="0" fontId="2" fillId="0" borderId="3" xfId="52" applyFont="1" applyFill="1" applyBorder="1" applyAlignment="1" applyProtection="1">
      <alignment horizontal="center" vertical="center"/>
      <protection locked="0"/>
    </xf>
    <xf numFmtId="1" fontId="14" fillId="6" borderId="4" xfId="23" applyNumberFormat="1" applyFont="1" applyFill="1" applyBorder="1" applyAlignment="1" applyProtection="1">
      <alignment horizontal="center" vertical="center"/>
      <protection hidden="1"/>
    </xf>
    <xf numFmtId="1" fontId="0" fillId="0" borderId="2" xfId="0" applyNumberFormat="1" applyFill="1" applyBorder="1" applyAlignment="1" applyProtection="1">
      <alignment horizontal="center" vertical="center"/>
      <protection locked="0"/>
    </xf>
    <xf numFmtId="0" fontId="0" fillId="6" borderId="4" xfId="0" applyFill="1" applyBorder="1" applyAlignment="1" applyProtection="1">
      <alignment horizontal="center" vertical="center"/>
      <protection hidden="1"/>
    </xf>
    <xf numFmtId="1" fontId="0" fillId="6" borderId="3" xfId="0" applyNumberFormat="1" applyFill="1" applyBorder="1" applyAlignment="1" applyProtection="1">
      <alignment horizontal="center" vertical="center"/>
      <protection hidden="1"/>
    </xf>
    <xf numFmtId="1" fontId="0" fillId="6" borderId="10" xfId="0" applyNumberFormat="1" applyFill="1" applyBorder="1" applyAlignment="1" applyProtection="1">
      <alignment horizontal="center" vertical="center"/>
      <protection hidden="1"/>
    </xf>
    <xf numFmtId="166" fontId="14" fillId="6" borderId="3" xfId="23" applyNumberFormat="1" applyFont="1" applyFill="1" applyBorder="1" applyAlignment="1" applyProtection="1">
      <alignment vertical="center"/>
      <protection hidden="1"/>
    </xf>
    <xf numFmtId="166" fontId="0" fillId="6" borderId="3" xfId="0" applyNumberFormat="1" applyFill="1" applyBorder="1" applyAlignment="1" applyProtection="1">
      <alignment vertical="center"/>
      <protection hidden="1"/>
    </xf>
    <xf numFmtId="165" fontId="4" fillId="6" borderId="3" xfId="0" applyNumberFormat="1" applyFont="1" applyFill="1" applyBorder="1" applyAlignment="1" applyProtection="1">
      <alignment vertical="center"/>
      <protection hidden="1"/>
    </xf>
    <xf numFmtId="165" fontId="14" fillId="6" borderId="3" xfId="23" applyNumberFormat="1" applyFont="1" applyFill="1" applyBorder="1" applyAlignment="1" applyProtection="1">
      <alignment vertical="center"/>
      <protection hidden="1"/>
    </xf>
    <xf numFmtId="0" fontId="9" fillId="6" borderId="3" xfId="0" applyFont="1" applyFill="1" applyBorder="1" applyAlignment="1" applyProtection="1">
      <alignment vertical="center"/>
      <protection hidden="1"/>
    </xf>
    <xf numFmtId="0" fontId="0" fillId="0" borderId="0" xfId="0" applyAlignment="1" applyProtection="1">
      <alignment vertical="center"/>
      <protection hidden="1"/>
    </xf>
    <xf numFmtId="0" fontId="0" fillId="0" borderId="0" xfId="0" applyAlignment="1">
      <alignment vertical="center"/>
    </xf>
    <xf numFmtId="1" fontId="14" fillId="6" borderId="20" xfId="23" applyNumberFormat="1" applyFont="1" applyFill="1" applyBorder="1" applyAlignment="1" applyProtection="1">
      <alignment horizontal="center" vertical="center"/>
      <protection hidden="1"/>
    </xf>
    <xf numFmtId="0" fontId="2" fillId="6" borderId="3" xfId="0" applyFont="1" applyFill="1" applyBorder="1" applyAlignment="1" applyProtection="1">
      <alignment horizontal="center"/>
      <protection hidden="1"/>
    </xf>
    <xf numFmtId="0" fontId="22" fillId="6" borderId="0" xfId="0" applyFont="1" applyFill="1" applyBorder="1" applyAlignment="1" applyProtection="1">
      <alignment horizontal="center" vertical="center"/>
      <protection hidden="1"/>
    </xf>
    <xf numFmtId="0" fontId="22" fillId="0" borderId="0" xfId="0" applyFont="1" applyAlignment="1">
      <alignment vertical="center"/>
    </xf>
    <xf numFmtId="0" fontId="22" fillId="0" borderId="0" xfId="0" applyFont="1" applyAlignment="1" applyProtection="1">
      <alignment vertical="center"/>
      <protection hidden="1"/>
    </xf>
    <xf numFmtId="1" fontId="23" fillId="0" borderId="3" xfId="0" applyNumberFormat="1" applyFont="1" applyFill="1" applyBorder="1" applyAlignment="1" applyProtection="1">
      <alignment horizontal="center" vertical="center"/>
      <protection locked="0" hidden="1"/>
    </xf>
    <xf numFmtId="0" fontId="2" fillId="9" borderId="0" xfId="0" applyFont="1" applyFill="1" applyProtection="1"/>
    <xf numFmtId="0" fontId="2" fillId="0" borderId="0" xfId="0" applyFont="1" applyFill="1" applyProtection="1">
      <protection locked="0"/>
    </xf>
    <xf numFmtId="0" fontId="0" fillId="6" borderId="2" xfId="0" applyFill="1" applyBorder="1" applyAlignment="1" applyProtection="1">
      <alignment vertical="center"/>
      <protection hidden="1"/>
    </xf>
    <xf numFmtId="0" fontId="0" fillId="6" borderId="8" xfId="0" applyFill="1" applyBorder="1" applyAlignment="1" applyProtection="1">
      <alignment vertical="center"/>
      <protection hidden="1"/>
    </xf>
    <xf numFmtId="0" fontId="7" fillId="0" borderId="3" xfId="0" applyFont="1" applyFill="1" applyBorder="1" applyAlignment="1" applyProtection="1">
      <alignment horizontal="center" vertical="center"/>
      <protection locked="0" hidden="1"/>
    </xf>
    <xf numFmtId="0" fontId="46" fillId="6" borderId="2" xfId="0" applyFont="1" applyFill="1" applyBorder="1" applyAlignment="1" applyProtection="1">
      <alignment vertical="center"/>
      <protection hidden="1"/>
    </xf>
    <xf numFmtId="167" fontId="0" fillId="6" borderId="2" xfId="0" applyNumberFormat="1" applyFill="1" applyBorder="1" applyAlignment="1" applyProtection="1">
      <alignment vertical="center"/>
      <protection hidden="1"/>
    </xf>
    <xf numFmtId="165" fontId="14" fillId="6" borderId="2" xfId="23" applyNumberFormat="1" applyFont="1" applyFill="1" applyBorder="1" applyAlignment="1" applyProtection="1">
      <alignment vertical="center"/>
      <protection hidden="1"/>
    </xf>
    <xf numFmtId="168" fontId="0" fillId="6" borderId="2" xfId="0" applyNumberFormat="1" applyFill="1" applyBorder="1" applyAlignment="1" applyProtection="1">
      <alignment vertical="center"/>
      <protection hidden="1"/>
    </xf>
    <xf numFmtId="168" fontId="2" fillId="6" borderId="2" xfId="0" applyNumberFormat="1" applyFont="1" applyFill="1" applyBorder="1" applyAlignment="1" applyProtection="1">
      <alignment horizontal="right" vertical="center"/>
      <protection hidden="1"/>
    </xf>
    <xf numFmtId="0" fontId="0" fillId="6" borderId="0" xfId="0" applyFill="1" applyBorder="1" applyAlignment="1" applyProtection="1">
      <alignment vertical="center"/>
      <protection hidden="1"/>
    </xf>
    <xf numFmtId="0" fontId="0" fillId="6" borderId="26" xfId="0" applyFill="1" applyBorder="1" applyAlignment="1" applyProtection="1">
      <alignment horizontal="center"/>
      <protection hidden="1"/>
    </xf>
    <xf numFmtId="0" fontId="0" fillId="6" borderId="26" xfId="0" applyFill="1" applyBorder="1" applyAlignment="1" applyProtection="1">
      <alignment horizontal="center" textRotation="90"/>
      <protection hidden="1"/>
    </xf>
    <xf numFmtId="49" fontId="2" fillId="0" borderId="26" xfId="48" applyNumberFormat="1" applyFont="1" applyFill="1" applyBorder="1" applyAlignment="1" applyProtection="1">
      <alignment horizontal="center" vertical="center" shrinkToFit="1"/>
      <protection locked="0"/>
    </xf>
    <xf numFmtId="0" fontId="0" fillId="6" borderId="8" xfId="0" applyFill="1" applyBorder="1" applyAlignment="1" applyProtection="1">
      <alignment horizontal="left" vertical="center"/>
      <protection hidden="1"/>
    </xf>
    <xf numFmtId="0" fontId="0" fillId="6" borderId="25" xfId="0" applyFill="1" applyBorder="1" applyAlignment="1" applyProtection="1">
      <alignment horizontal="center" textRotation="90" wrapText="1"/>
      <protection hidden="1"/>
    </xf>
    <xf numFmtId="1" fontId="2" fillId="0" borderId="17" xfId="0" applyNumberFormat="1" applyFont="1" applyFill="1" applyBorder="1" applyAlignment="1" applyProtection="1">
      <alignment horizontal="center" vertical="center"/>
      <protection locked="0"/>
    </xf>
    <xf numFmtId="0" fontId="2" fillId="6" borderId="3" xfId="0" applyFont="1" applyFill="1" applyBorder="1" applyAlignment="1" applyProtection="1">
      <alignment horizontal="center" textRotation="90"/>
      <protection hidden="1"/>
    </xf>
    <xf numFmtId="0" fontId="2" fillId="6" borderId="8" xfId="0" applyFont="1" applyFill="1" applyBorder="1" applyAlignment="1" applyProtection="1">
      <alignment horizontal="right" vertical="center"/>
      <protection hidden="1"/>
    </xf>
    <xf numFmtId="1" fontId="5" fillId="0" borderId="3" xfId="0" applyNumberFormat="1" applyFont="1" applyFill="1" applyBorder="1" applyAlignment="1" applyProtection="1">
      <alignment horizontal="center" vertical="center"/>
      <protection locked="0"/>
    </xf>
    <xf numFmtId="0" fontId="7" fillId="6" borderId="9" xfId="0" applyFont="1" applyFill="1" applyBorder="1" applyAlignment="1" applyProtection="1">
      <alignment horizontal="center" textRotation="90"/>
      <protection hidden="1"/>
    </xf>
    <xf numFmtId="0" fontId="26" fillId="0" borderId="9" xfId="48" applyFont="1" applyFill="1" applyBorder="1" applyAlignment="1" applyProtection="1">
      <alignment horizontal="center" vertical="center"/>
      <protection locked="0"/>
    </xf>
    <xf numFmtId="0" fontId="2" fillId="2" borderId="0" xfId="0" applyFont="1" applyFill="1" applyBorder="1" applyAlignment="1" applyProtection="1">
      <alignment textRotation="90"/>
      <protection hidden="1"/>
    </xf>
    <xf numFmtId="177" fontId="0" fillId="6" borderId="0" xfId="0" applyNumberFormat="1" applyFill="1" applyBorder="1" applyAlignment="1" applyProtection="1">
      <alignment horizontal="center"/>
      <protection hidden="1"/>
    </xf>
    <xf numFmtId="165" fontId="0" fillId="6" borderId="0" xfId="0" applyNumberFormat="1" applyFill="1" applyBorder="1" applyProtection="1">
      <protection hidden="1"/>
    </xf>
    <xf numFmtId="14" fontId="0" fillId="6" borderId="4" xfId="0" applyNumberFormat="1" applyFill="1" applyBorder="1" applyProtection="1">
      <protection hidden="1"/>
    </xf>
    <xf numFmtId="14" fontId="0" fillId="6" borderId="0" xfId="0" applyNumberFormat="1" applyFill="1" applyBorder="1" applyAlignment="1" applyProtection="1">
      <alignment horizontal="center"/>
      <protection locked="0" hidden="1"/>
    </xf>
    <xf numFmtId="164" fontId="41" fillId="0" borderId="0" xfId="23" applyFont="1" applyFill="1" applyAlignment="1" applyProtection="1">
      <alignment horizontal="right"/>
      <protection locked="0" hidden="1"/>
    </xf>
    <xf numFmtId="174" fontId="0" fillId="3" borderId="2" xfId="0" applyNumberFormat="1" applyFill="1" applyBorder="1" applyAlignment="1" applyProtection="1">
      <alignment horizontal="left"/>
      <protection hidden="1"/>
    </xf>
    <xf numFmtId="174" fontId="45" fillId="3" borderId="2" xfId="0" applyNumberFormat="1" applyFont="1" applyFill="1" applyBorder="1" applyAlignment="1" applyProtection="1">
      <alignment horizontal="left"/>
      <protection hidden="1"/>
    </xf>
    <xf numFmtId="0" fontId="0" fillId="0" borderId="0" xfId="0" applyNumberFormat="1" applyFill="1" applyProtection="1">
      <protection hidden="1"/>
    </xf>
    <xf numFmtId="0" fontId="2" fillId="0" borderId="0" xfId="0" applyFont="1" applyFill="1" applyProtection="1"/>
    <xf numFmtId="0" fontId="2" fillId="0" borderId="0" xfId="0" applyNumberFormat="1" applyFont="1" applyFill="1" applyProtection="1">
      <protection hidden="1"/>
    </xf>
    <xf numFmtId="49" fontId="0" fillId="0" borderId="0" xfId="0" applyNumberFormat="1" applyFill="1" applyProtection="1">
      <protection hidden="1"/>
    </xf>
    <xf numFmtId="0" fontId="2" fillId="0" borderId="0" xfId="0" applyNumberFormat="1" applyFont="1" applyFill="1" applyAlignment="1" applyProtection="1">
      <alignment wrapText="1"/>
      <protection hidden="1"/>
    </xf>
    <xf numFmtId="0" fontId="0" fillId="0" borderId="0" xfId="0" applyFill="1"/>
    <xf numFmtId="0" fontId="0" fillId="10" borderId="0" xfId="0" applyFill="1" applyProtection="1">
      <protection hidden="1"/>
    </xf>
    <xf numFmtId="0" fontId="0" fillId="10" borderId="0" xfId="0" applyFill="1" applyAlignment="1" applyProtection="1">
      <alignment horizontal="center"/>
      <protection hidden="1"/>
    </xf>
    <xf numFmtId="164" fontId="0" fillId="10" borderId="0" xfId="0" applyNumberFormat="1" applyFill="1" applyProtection="1">
      <protection hidden="1"/>
    </xf>
    <xf numFmtId="0" fontId="0" fillId="10" borderId="3" xfId="0" applyFill="1" applyBorder="1" applyProtection="1">
      <protection hidden="1"/>
    </xf>
    <xf numFmtId="0" fontId="0" fillId="10" borderId="3" xfId="0" applyFill="1" applyBorder="1" applyAlignment="1" applyProtection="1">
      <alignment horizontal="center"/>
      <protection hidden="1"/>
    </xf>
    <xf numFmtId="0" fontId="4" fillId="10" borderId="0" xfId="0" applyFont="1" applyFill="1" applyAlignment="1" applyProtection="1">
      <alignment horizontal="center"/>
      <protection hidden="1"/>
    </xf>
    <xf numFmtId="0" fontId="0" fillId="10" borderId="0" xfId="0" applyFill="1" applyAlignment="1" applyProtection="1">
      <alignment wrapText="1"/>
      <protection hidden="1"/>
    </xf>
    <xf numFmtId="0" fontId="0" fillId="10" borderId="3" xfId="0" applyFill="1" applyBorder="1" applyAlignment="1" applyProtection="1">
      <alignment horizontal="center" wrapText="1"/>
      <protection hidden="1"/>
    </xf>
    <xf numFmtId="0" fontId="4" fillId="10" borderId="0" xfId="0" applyFont="1" applyFill="1" applyAlignment="1" applyProtection="1">
      <alignment wrapText="1"/>
      <protection hidden="1"/>
    </xf>
    <xf numFmtId="0" fontId="0" fillId="0" borderId="0" xfId="0" applyBorder="1" applyAlignment="1" applyProtection="1">
      <alignment horizontal="center"/>
      <protection hidden="1"/>
    </xf>
    <xf numFmtId="0" fontId="0" fillId="0" borderId="21" xfId="0" applyBorder="1" applyProtection="1">
      <protection hidden="1"/>
    </xf>
    <xf numFmtId="0" fontId="22" fillId="0" borderId="0" xfId="0" applyFont="1" applyBorder="1" applyAlignment="1" applyProtection="1">
      <alignment vertical="center"/>
      <protection hidden="1"/>
    </xf>
    <xf numFmtId="0" fontId="4" fillId="11" borderId="34" xfId="0" applyFont="1" applyFill="1" applyBorder="1" applyAlignment="1" applyProtection="1">
      <alignment vertical="center"/>
      <protection hidden="1"/>
    </xf>
    <xf numFmtId="2" fontId="23" fillId="11" borderId="22" xfId="0" applyNumberFormat="1" applyFont="1" applyFill="1" applyBorder="1" applyAlignment="1" applyProtection="1">
      <alignment horizontal="center" vertical="center"/>
      <protection hidden="1"/>
    </xf>
    <xf numFmtId="2" fontId="31" fillId="11" borderId="22" xfId="0" applyNumberFormat="1" applyFont="1" applyFill="1" applyBorder="1" applyAlignment="1" applyProtection="1">
      <alignment horizontal="right" vertical="center"/>
      <protection hidden="1"/>
    </xf>
    <xf numFmtId="0" fontId="0" fillId="11" borderId="22" xfId="0" applyFill="1" applyBorder="1" applyAlignment="1" applyProtection="1">
      <alignment vertical="center"/>
      <protection hidden="1"/>
    </xf>
    <xf numFmtId="0" fontId="0" fillId="11" borderId="35" xfId="0" applyFill="1" applyBorder="1" applyAlignment="1" applyProtection="1">
      <alignment vertical="center"/>
      <protection hidden="1"/>
    </xf>
    <xf numFmtId="0" fontId="0" fillId="7" borderId="27" xfId="0" applyFill="1" applyBorder="1" applyAlignment="1" applyProtection="1">
      <alignment vertical="center"/>
      <protection hidden="1"/>
    </xf>
    <xf numFmtId="0" fontId="0" fillId="7" borderId="27" xfId="0" applyFill="1" applyBorder="1" applyAlignment="1" applyProtection="1">
      <alignment horizontal="center" vertical="center"/>
      <protection hidden="1"/>
    </xf>
    <xf numFmtId="0" fontId="0" fillId="7" borderId="28" xfId="0" applyFill="1" applyBorder="1" applyAlignment="1" applyProtection="1">
      <alignment vertical="center"/>
      <protection hidden="1"/>
    </xf>
    <xf numFmtId="0" fontId="0" fillId="7" borderId="29" xfId="0" applyFill="1" applyBorder="1" applyAlignment="1" applyProtection="1">
      <alignment vertical="center"/>
      <protection hidden="1"/>
    </xf>
    <xf numFmtId="2" fontId="0" fillId="7" borderId="0" xfId="0" applyNumberFormat="1" applyFont="1" applyFill="1" applyBorder="1" applyAlignment="1" applyProtection="1">
      <alignment horizontal="right" vertical="center"/>
      <protection hidden="1"/>
    </xf>
    <xf numFmtId="0" fontId="0" fillId="7" borderId="0" xfId="0" applyFill="1" applyBorder="1" applyAlignment="1" applyProtection="1">
      <alignment vertical="center"/>
      <protection hidden="1"/>
    </xf>
    <xf numFmtId="0" fontId="0" fillId="7" borderId="0" xfId="0" applyFill="1" applyBorder="1" applyAlignment="1" applyProtection="1">
      <alignment horizontal="center"/>
      <protection hidden="1"/>
    </xf>
    <xf numFmtId="0" fontId="0" fillId="7" borderId="30" xfId="0" applyFill="1" applyBorder="1" applyProtection="1">
      <protection hidden="1"/>
    </xf>
    <xf numFmtId="0" fontId="0" fillId="7" borderId="0" xfId="0" applyFill="1" applyBorder="1" applyProtection="1">
      <protection hidden="1"/>
    </xf>
    <xf numFmtId="0" fontId="4" fillId="7" borderId="0" xfId="0" applyFont="1" applyFill="1" applyBorder="1" applyAlignment="1" applyProtection="1">
      <alignment horizontal="left" vertical="center"/>
      <protection hidden="1"/>
    </xf>
    <xf numFmtId="0" fontId="4" fillId="7" borderId="0" xfId="0" applyFont="1" applyFill="1" applyBorder="1" applyAlignment="1" applyProtection="1">
      <alignment horizontal="right" vertical="center"/>
      <protection hidden="1"/>
    </xf>
    <xf numFmtId="0" fontId="0" fillId="0" borderId="37" xfId="0" applyFont="1" applyBorder="1" applyAlignment="1" applyProtection="1">
      <alignment horizontal="center" vertical="center"/>
      <protection hidden="1"/>
    </xf>
    <xf numFmtId="167" fontId="7" fillId="0" borderId="38" xfId="0" applyNumberFormat="1" applyFont="1" applyBorder="1" applyAlignment="1" applyProtection="1">
      <alignment horizontal="center" vertical="center"/>
      <protection hidden="1"/>
    </xf>
    <xf numFmtId="178" fontId="7" fillId="0" borderId="38" xfId="0" applyNumberFormat="1" applyFont="1" applyBorder="1" applyAlignment="1" applyProtection="1">
      <alignment horizontal="center" vertical="center"/>
      <protection hidden="1"/>
    </xf>
    <xf numFmtId="167" fontId="0" fillId="0" borderId="39" xfId="0" applyNumberFormat="1" applyFont="1" applyBorder="1" applyAlignment="1" applyProtection="1">
      <alignment horizontal="center" vertical="center"/>
      <protection hidden="1"/>
    </xf>
    <xf numFmtId="2" fontId="32" fillId="12" borderId="40" xfId="0" applyNumberFormat="1" applyFont="1" applyFill="1" applyBorder="1" applyAlignment="1" applyProtection="1">
      <alignment horizontal="center" vertical="center"/>
      <protection hidden="1"/>
    </xf>
    <xf numFmtId="167" fontId="0" fillId="0" borderId="40" xfId="0" applyNumberFormat="1" applyFont="1" applyFill="1" applyBorder="1" applyAlignment="1" applyProtection="1">
      <alignment horizontal="center" vertical="center"/>
      <protection hidden="1"/>
    </xf>
    <xf numFmtId="167" fontId="4" fillId="0" borderId="40" xfId="0" applyNumberFormat="1" applyFont="1" applyBorder="1" applyAlignment="1" applyProtection="1">
      <alignment horizontal="center" vertical="center"/>
      <protection hidden="1"/>
    </xf>
    <xf numFmtId="167" fontId="0" fillId="0" borderId="40" xfId="0" applyNumberFormat="1" applyFont="1" applyBorder="1" applyAlignment="1" applyProtection="1">
      <alignment horizontal="center" vertical="center"/>
      <protection hidden="1"/>
    </xf>
    <xf numFmtId="168" fontId="0" fillId="0" borderId="40" xfId="0" applyNumberFormat="1" applyFont="1" applyBorder="1" applyAlignment="1" applyProtection="1">
      <alignment horizontal="center" vertical="center"/>
      <protection hidden="1"/>
    </xf>
    <xf numFmtId="167" fontId="4" fillId="13" borderId="40" xfId="0" applyNumberFormat="1" applyFont="1" applyFill="1" applyBorder="1" applyAlignment="1" applyProtection="1">
      <alignment horizontal="center" vertical="center"/>
      <protection hidden="1"/>
    </xf>
    <xf numFmtId="167" fontId="4" fillId="14" borderId="40" xfId="0" applyNumberFormat="1" applyFont="1" applyFill="1" applyBorder="1" applyAlignment="1" applyProtection="1">
      <alignment horizontal="center" vertical="center"/>
      <protection hidden="1"/>
    </xf>
    <xf numFmtId="1" fontId="0" fillId="0" borderId="40" xfId="0" applyNumberFormat="1" applyFont="1" applyBorder="1" applyAlignment="1" applyProtection="1">
      <alignment horizontal="center" vertical="center"/>
      <protection hidden="1"/>
    </xf>
    <xf numFmtId="0" fontId="0" fillId="0" borderId="40" xfId="0" applyBorder="1" applyAlignment="1" applyProtection="1">
      <alignment horizontal="center" vertical="center"/>
      <protection hidden="1"/>
    </xf>
    <xf numFmtId="1" fontId="0" fillId="0" borderId="40" xfId="0" applyNumberFormat="1" applyBorder="1" applyAlignment="1" applyProtection="1">
      <alignment horizontal="center" vertical="center"/>
      <protection hidden="1"/>
    </xf>
    <xf numFmtId="178" fontId="2" fillId="0" borderId="40" xfId="0" applyNumberFormat="1" applyFont="1" applyBorder="1" applyAlignment="1" applyProtection="1">
      <alignment horizontal="center" vertical="center"/>
      <protection hidden="1"/>
    </xf>
    <xf numFmtId="0" fontId="2" fillId="0" borderId="40" xfId="0" applyFont="1" applyBorder="1" applyAlignment="1" applyProtection="1">
      <alignment horizontal="center" vertical="center"/>
      <protection hidden="1"/>
    </xf>
    <xf numFmtId="49" fontId="2" fillId="0" borderId="40" xfId="0" applyNumberFormat="1" applyFont="1" applyBorder="1" applyAlignment="1" applyProtection="1">
      <alignment horizontal="center" vertical="center"/>
      <protection hidden="1"/>
    </xf>
    <xf numFmtId="49" fontId="2" fillId="0" borderId="40" xfId="0" applyNumberFormat="1" applyFont="1" applyBorder="1" applyAlignment="1" applyProtection="1">
      <alignment horizontal="left" vertical="center"/>
      <protection hidden="1"/>
    </xf>
    <xf numFmtId="0" fontId="0" fillId="0" borderId="41" xfId="0" applyFont="1" applyBorder="1" applyAlignment="1" applyProtection="1">
      <alignment horizontal="center" textRotation="90"/>
      <protection hidden="1"/>
    </xf>
    <xf numFmtId="2" fontId="33" fillId="0" borderId="37" xfId="0" applyNumberFormat="1" applyFont="1" applyBorder="1" applyAlignment="1" applyProtection="1">
      <alignment horizontal="center" textRotation="90"/>
      <protection hidden="1"/>
    </xf>
    <xf numFmtId="0" fontId="0" fillId="0" borderId="37" xfId="0" applyFont="1" applyBorder="1" applyAlignment="1" applyProtection="1">
      <alignment horizontal="center" textRotation="90"/>
      <protection hidden="1"/>
    </xf>
    <xf numFmtId="0" fontId="30" fillId="0" borderId="37" xfId="0" applyFont="1" applyBorder="1" applyAlignment="1" applyProtection="1">
      <alignment horizontal="center" textRotation="90"/>
      <protection hidden="1"/>
    </xf>
    <xf numFmtId="0" fontId="33" fillId="0" borderId="37" xfId="0" applyFont="1" applyBorder="1" applyAlignment="1" applyProtection="1">
      <alignment horizontal="center" textRotation="90"/>
      <protection hidden="1"/>
    </xf>
    <xf numFmtId="0" fontId="0" fillId="0" borderId="37" xfId="0" applyBorder="1" applyAlignment="1" applyProtection="1">
      <alignment horizontal="center" textRotation="90"/>
      <protection hidden="1"/>
    </xf>
    <xf numFmtId="0" fontId="0" fillId="0" borderId="40" xfId="0" applyFont="1" applyBorder="1" applyAlignment="1" applyProtection="1">
      <alignment horizontal="center" textRotation="90"/>
      <protection hidden="1"/>
    </xf>
    <xf numFmtId="0" fontId="2" fillId="0" borderId="31" xfId="0" applyFont="1" applyBorder="1" applyAlignment="1" applyProtection="1">
      <alignment vertical="center"/>
      <protection hidden="1"/>
    </xf>
    <xf numFmtId="0" fontId="2" fillId="0" borderId="32" xfId="0" applyFont="1" applyBorder="1" applyAlignment="1" applyProtection="1">
      <alignment horizontal="center" vertical="center"/>
      <protection hidden="1"/>
    </xf>
    <xf numFmtId="2" fontId="2" fillId="0" borderId="42" xfId="0" applyNumberFormat="1" applyFont="1" applyBorder="1" applyAlignment="1" applyProtection="1">
      <alignment horizontal="left" vertical="center"/>
      <protection hidden="1"/>
    </xf>
    <xf numFmtId="0" fontId="2" fillId="0" borderId="32" xfId="0" applyFont="1" applyBorder="1" applyAlignment="1" applyProtection="1">
      <alignment vertical="center"/>
      <protection hidden="1"/>
    </xf>
    <xf numFmtId="0" fontId="2" fillId="0" borderId="43" xfId="0" applyFont="1" applyBorder="1" applyAlignment="1" applyProtection="1">
      <alignment vertical="center"/>
      <protection hidden="1"/>
    </xf>
    <xf numFmtId="0" fontId="2" fillId="0" borderId="37" xfId="0" applyFont="1" applyBorder="1" applyAlignment="1" applyProtection="1">
      <alignment vertical="center"/>
      <protection hidden="1"/>
    </xf>
    <xf numFmtId="0" fontId="2" fillId="0" borderId="33" xfId="0" applyFont="1" applyBorder="1" applyAlignment="1" applyProtection="1">
      <alignment vertical="center"/>
      <protection hidden="1"/>
    </xf>
    <xf numFmtId="0" fontId="2" fillId="0" borderId="27" xfId="0" applyFont="1" applyBorder="1" applyAlignment="1" applyProtection="1">
      <alignment vertical="center"/>
      <protection hidden="1"/>
    </xf>
    <xf numFmtId="0" fontId="2" fillId="0" borderId="28" xfId="0" applyFont="1" applyBorder="1" applyAlignment="1" applyProtection="1">
      <alignment vertical="center"/>
      <protection hidden="1"/>
    </xf>
    <xf numFmtId="0" fontId="0" fillId="0" borderId="0" xfId="0" applyFont="1" applyBorder="1" applyAlignment="1" applyProtection="1">
      <alignment vertical="center"/>
      <protection hidden="1"/>
    </xf>
    <xf numFmtId="0" fontId="22" fillId="0" borderId="21" xfId="0" applyFont="1" applyBorder="1" applyProtection="1">
      <protection hidden="1"/>
    </xf>
    <xf numFmtId="2" fontId="22" fillId="0" borderId="0" xfId="0" applyNumberFormat="1" applyFont="1" applyBorder="1" applyAlignment="1" applyProtection="1">
      <alignment horizontal="center" vertical="center"/>
      <protection hidden="1"/>
    </xf>
    <xf numFmtId="0" fontId="22" fillId="0" borderId="0" xfId="0" applyFont="1" applyBorder="1" applyAlignment="1" applyProtection="1">
      <alignment horizontal="left" vertical="center"/>
      <protection hidden="1"/>
    </xf>
    <xf numFmtId="0" fontId="34" fillId="0" borderId="0" xfId="0" applyFont="1" applyFill="1" applyBorder="1" applyAlignment="1" applyProtection="1">
      <alignment horizontal="right" vertical="center"/>
      <protection hidden="1"/>
    </xf>
    <xf numFmtId="0" fontId="22" fillId="0" borderId="0" xfId="0" applyFont="1" applyFill="1" applyBorder="1" applyAlignment="1" applyProtection="1">
      <alignment horizontal="right" vertical="center"/>
      <protection hidden="1"/>
    </xf>
    <xf numFmtId="0" fontId="22" fillId="0" borderId="0" xfId="0" applyFont="1" applyBorder="1" applyProtection="1">
      <protection hidden="1"/>
    </xf>
    <xf numFmtId="0" fontId="22" fillId="0" borderId="0" xfId="0" applyFont="1" applyBorder="1" applyAlignment="1" applyProtection="1">
      <alignment horizontal="center" vertical="center"/>
      <protection hidden="1"/>
    </xf>
    <xf numFmtId="0" fontId="21" fillId="0" borderId="30" xfId="0" applyFont="1" applyBorder="1" applyAlignment="1" applyProtection="1">
      <alignment vertical="center"/>
      <protection hidden="1"/>
    </xf>
    <xf numFmtId="0" fontId="0" fillId="0" borderId="0" xfId="0" applyBorder="1" applyAlignment="1" applyProtection="1">
      <alignment vertical="center"/>
      <protection hidden="1"/>
    </xf>
    <xf numFmtId="0" fontId="7" fillId="0" borderId="0" xfId="0" applyFont="1" applyBorder="1" applyAlignment="1" applyProtection="1">
      <alignment horizontal="left" vertical="center"/>
      <protection hidden="1"/>
    </xf>
    <xf numFmtId="0" fontId="7" fillId="0" borderId="0" xfId="0" applyFont="1" applyFill="1" applyBorder="1" applyAlignment="1" applyProtection="1">
      <alignment horizontal="right" vertical="center"/>
      <protection hidden="1"/>
    </xf>
    <xf numFmtId="0" fontId="7" fillId="0" borderId="0" xfId="0" applyFont="1" applyBorder="1" applyAlignment="1" applyProtection="1">
      <alignment vertical="center"/>
      <protection hidden="1"/>
    </xf>
    <xf numFmtId="0" fontId="7" fillId="0" borderId="0" xfId="0" applyFont="1" applyBorder="1" applyAlignment="1" applyProtection="1">
      <alignment horizontal="right" vertical="center"/>
      <protection hidden="1"/>
    </xf>
    <xf numFmtId="0" fontId="0" fillId="0" borderId="30" xfId="0" applyBorder="1" applyProtection="1">
      <protection hidden="1"/>
    </xf>
    <xf numFmtId="0" fontId="0" fillId="0" borderId="0" xfId="0" applyAlignment="1"/>
    <xf numFmtId="0" fontId="0" fillId="0" borderId="44" xfId="0" applyBorder="1" applyAlignment="1" applyProtection="1">
      <protection hidden="1"/>
    </xf>
    <xf numFmtId="0" fontId="29" fillId="0" borderId="45" xfId="0" applyFont="1" applyFill="1" applyBorder="1" applyAlignment="1" applyProtection="1">
      <alignment horizontal="right"/>
      <protection hidden="1"/>
    </xf>
    <xf numFmtId="0" fontId="0" fillId="0" borderId="45" xfId="0" applyBorder="1" applyAlignment="1" applyProtection="1">
      <protection hidden="1"/>
    </xf>
    <xf numFmtId="0" fontId="7" fillId="0" borderId="45" xfId="0" applyFont="1" applyBorder="1" applyAlignment="1" applyProtection="1">
      <alignment horizontal="left"/>
      <protection hidden="1"/>
    </xf>
    <xf numFmtId="2" fontId="27" fillId="0" borderId="45" xfId="0" applyNumberFormat="1" applyFont="1" applyFill="1" applyBorder="1" applyAlignment="1" applyProtection="1">
      <alignment horizontal="center"/>
      <protection hidden="1"/>
    </xf>
    <xf numFmtId="0" fontId="7" fillId="0" borderId="45" xfId="0" applyFont="1" applyBorder="1" applyAlignment="1" applyProtection="1">
      <protection hidden="1"/>
    </xf>
    <xf numFmtId="0" fontId="25" fillId="0" borderId="45" xfId="0" applyFont="1" applyBorder="1" applyAlignment="1" applyProtection="1">
      <protection hidden="1"/>
    </xf>
    <xf numFmtId="0" fontId="0" fillId="0" borderId="45" xfId="0" applyBorder="1" applyAlignment="1" applyProtection="1">
      <alignment horizontal="center"/>
      <protection hidden="1"/>
    </xf>
    <xf numFmtId="0" fontId="35" fillId="0" borderId="46" xfId="0" applyFont="1" applyBorder="1" applyAlignment="1" applyProtection="1">
      <alignment vertical="center"/>
      <protection hidden="1"/>
    </xf>
    <xf numFmtId="0" fontId="2" fillId="0" borderId="0" xfId="0" applyFont="1" applyFill="1"/>
    <xf numFmtId="167" fontId="0" fillId="7" borderId="29" xfId="0" applyNumberFormat="1" applyFill="1" applyBorder="1" applyAlignment="1" applyProtection="1">
      <alignment vertical="center"/>
      <protection hidden="1"/>
    </xf>
    <xf numFmtId="167" fontId="0" fillId="7" borderId="0" xfId="0" applyNumberFormat="1" applyFill="1" applyBorder="1" applyAlignment="1" applyProtection="1">
      <alignment horizontal="right" vertical="center"/>
      <protection hidden="1"/>
    </xf>
    <xf numFmtId="0" fontId="0" fillId="0" borderId="40" xfId="0" applyBorder="1" applyAlignment="1" applyProtection="1">
      <alignment horizontal="center" textRotation="90"/>
      <protection hidden="1"/>
    </xf>
    <xf numFmtId="0" fontId="2" fillId="0" borderId="47" xfId="0" applyFont="1" applyBorder="1" applyAlignment="1" applyProtection="1">
      <alignment vertical="center"/>
      <protection hidden="1"/>
    </xf>
    <xf numFmtId="0" fontId="2" fillId="0" borderId="38" xfId="0" applyFont="1" applyBorder="1" applyAlignment="1" applyProtection="1">
      <alignment vertical="center"/>
      <protection hidden="1"/>
    </xf>
    <xf numFmtId="0" fontId="0" fillId="0" borderId="40" xfId="0" applyBorder="1" applyAlignment="1" applyProtection="1">
      <alignment horizontal="center"/>
      <protection hidden="1"/>
    </xf>
    <xf numFmtId="0" fontId="2" fillId="0" borderId="36" xfId="0" applyFont="1" applyBorder="1" applyAlignment="1" applyProtection="1">
      <alignment vertical="center"/>
      <protection hidden="1"/>
    </xf>
    <xf numFmtId="0" fontId="31" fillId="0" borderId="1" xfId="0" applyFont="1" applyBorder="1" applyAlignment="1" applyProtection="1">
      <alignment vertical="center"/>
      <protection hidden="1"/>
    </xf>
    <xf numFmtId="0" fontId="2" fillId="0" borderId="0" xfId="80" applyNumberFormat="1" applyFont="1" applyFill="1" applyProtection="1">
      <protection hidden="1"/>
    </xf>
    <xf numFmtId="0" fontId="47" fillId="0" borderId="0" xfId="0" applyFont="1" applyAlignment="1">
      <alignment horizontal="left" vertical="center"/>
    </xf>
    <xf numFmtId="0" fontId="2" fillId="0" borderId="0" xfId="80" applyFont="1" applyFill="1"/>
    <xf numFmtId="0" fontId="47" fillId="0" borderId="0" xfId="0" applyFont="1" applyAlignment="1">
      <alignment horizontal="left"/>
    </xf>
    <xf numFmtId="0" fontId="0" fillId="7" borderId="0" xfId="0" applyFill="1" applyBorder="1" applyAlignment="1" applyProtection="1">
      <alignment horizontal="right" vertical="center"/>
      <protection hidden="1"/>
    </xf>
    <xf numFmtId="0" fontId="0" fillId="3" borderId="0" xfId="0" applyFill="1" applyBorder="1" applyProtection="1">
      <protection locked="0" hidden="1"/>
    </xf>
    <xf numFmtId="0" fontId="0" fillId="3" borderId="21" xfId="0" applyFill="1" applyBorder="1" applyProtection="1">
      <protection locked="0" hidden="1"/>
    </xf>
    <xf numFmtId="0" fontId="4" fillId="6" borderId="3" xfId="0" applyFont="1" applyFill="1" applyBorder="1" applyProtection="1">
      <protection hidden="1"/>
    </xf>
    <xf numFmtId="0" fontId="42" fillId="6" borderId="3" xfId="0" applyFont="1" applyFill="1" applyBorder="1" applyAlignment="1" applyProtection="1">
      <alignment vertical="center"/>
      <protection hidden="1"/>
    </xf>
    <xf numFmtId="0" fontId="44" fillId="0" borderId="0" xfId="0" applyFont="1" applyProtection="1">
      <protection locked="0"/>
    </xf>
    <xf numFmtId="14" fontId="0" fillId="0" borderId="0" xfId="0" applyNumberFormat="1"/>
    <xf numFmtId="165" fontId="4" fillId="6" borderId="3" xfId="23" applyNumberFormat="1" applyFont="1" applyFill="1" applyBorder="1" applyAlignment="1" applyProtection="1">
      <alignment horizontal="right" vertical="center"/>
      <protection hidden="1"/>
    </xf>
    <xf numFmtId="165" fontId="4" fillId="6" borderId="2" xfId="23" applyNumberFormat="1" applyFont="1" applyFill="1" applyBorder="1" applyAlignment="1" applyProtection="1">
      <alignment horizontal="right"/>
      <protection hidden="1"/>
    </xf>
    <xf numFmtId="0" fontId="3" fillId="0" borderId="3" xfId="0" applyFont="1" applyBorder="1" applyAlignment="1" applyProtection="1">
      <alignment vertical="center"/>
      <protection locked="0" hidden="1"/>
    </xf>
    <xf numFmtId="0" fontId="43" fillId="0" borderId="0" xfId="0" applyNumberFormat="1" applyFont="1" applyAlignment="1" applyProtection="1">
      <alignment horizontal="right"/>
      <protection hidden="1"/>
    </xf>
    <xf numFmtId="164" fontId="22" fillId="0" borderId="0" xfId="23" applyFont="1" applyBorder="1" applyAlignment="1" applyProtection="1">
      <alignment vertical="center"/>
      <protection hidden="1"/>
    </xf>
    <xf numFmtId="167" fontId="28" fillId="0" borderId="0" xfId="0" applyNumberFormat="1" applyFont="1" applyFill="1" applyBorder="1" applyAlignment="1" applyProtection="1">
      <alignment horizontal="center" vertical="center"/>
      <protection hidden="1"/>
    </xf>
    <xf numFmtId="179" fontId="0" fillId="6" borderId="0" xfId="0" applyNumberFormat="1" applyFill="1" applyBorder="1" applyAlignment="1" applyProtection="1">
      <alignment horizontal="center"/>
      <protection hidden="1"/>
    </xf>
    <xf numFmtId="0" fontId="0" fillId="8" borderId="0" xfId="0" applyFill="1" applyProtection="1">
      <protection locked="0" hidden="1"/>
    </xf>
    <xf numFmtId="165" fontId="46" fillId="6" borderId="2" xfId="0" applyNumberFormat="1" applyFont="1" applyFill="1" applyBorder="1" applyProtection="1">
      <protection hidden="1"/>
    </xf>
    <xf numFmtId="0" fontId="0" fillId="0" borderId="0" xfId="0" applyFill="1" applyBorder="1" applyAlignment="1" applyProtection="1">
      <alignment horizontal="right"/>
      <protection hidden="1"/>
    </xf>
    <xf numFmtId="0" fontId="0" fillId="0" borderId="0" xfId="0" applyAlignment="1" applyProtection="1">
      <alignment horizontal="right"/>
      <protection locked="0"/>
    </xf>
    <xf numFmtId="0" fontId="0" fillId="0" borderId="0" xfId="0" applyFill="1" applyAlignment="1" applyProtection="1">
      <alignment horizontal="right"/>
      <protection locked="0"/>
    </xf>
    <xf numFmtId="13" fontId="2" fillId="0" borderId="0" xfId="0" applyNumberFormat="1" applyFont="1" applyFill="1" applyAlignment="1" applyProtection="1">
      <alignment horizontal="right"/>
      <protection locked="0"/>
    </xf>
    <xf numFmtId="1" fontId="0" fillId="0" borderId="0" xfId="0" applyNumberFormat="1" applyFill="1" applyBorder="1" applyAlignment="1" applyProtection="1">
      <alignment horizontal="right"/>
      <protection hidden="1"/>
    </xf>
    <xf numFmtId="0" fontId="0" fillId="0" borderId="0" xfId="0" applyFill="1" applyBorder="1" applyAlignment="1" applyProtection="1">
      <alignment horizontal="right" wrapText="1"/>
      <protection hidden="1"/>
    </xf>
    <xf numFmtId="0" fontId="0" fillId="0" borderId="0" xfId="0" applyAlignment="1" applyProtection="1">
      <alignment horizontal="center"/>
      <protection locked="0"/>
    </xf>
    <xf numFmtId="0" fontId="7" fillId="0" borderId="10" xfId="0" applyFont="1" applyFill="1" applyBorder="1" applyAlignment="1" applyProtection="1">
      <alignment horizontal="center"/>
      <protection locked="0"/>
    </xf>
    <xf numFmtId="2" fontId="0" fillId="10" borderId="3" xfId="0" applyNumberFormat="1" applyFill="1" applyBorder="1" applyAlignment="1" applyProtection="1">
      <alignment horizontal="center"/>
      <protection hidden="1"/>
    </xf>
    <xf numFmtId="49" fontId="4" fillId="0" borderId="14" xfId="0" applyNumberFormat="1" applyFont="1" applyBorder="1" applyAlignment="1" applyProtection="1">
      <alignment wrapText="1"/>
      <protection hidden="1"/>
    </xf>
    <xf numFmtId="49" fontId="0" fillId="0" borderId="17" xfId="0" applyNumberFormat="1" applyBorder="1" applyAlignment="1" applyProtection="1">
      <alignment horizontal="left" vertical="top" wrapText="1"/>
      <protection hidden="1"/>
    </xf>
    <xf numFmtId="49" fontId="4" fillId="0" borderId="14" xfId="0" applyNumberFormat="1" applyFont="1" applyBorder="1" applyAlignment="1" applyProtection="1">
      <alignment horizontal="left" wrapText="1"/>
      <protection hidden="1"/>
    </xf>
    <xf numFmtId="0" fontId="2" fillId="6" borderId="2" xfId="0" applyFont="1" applyFill="1" applyBorder="1" applyProtection="1">
      <protection hidden="1"/>
    </xf>
    <xf numFmtId="1" fontId="5" fillId="0" borderId="3" xfId="0" applyNumberFormat="1" applyFont="1" applyFill="1" applyBorder="1" applyAlignment="1" applyProtection="1">
      <alignment horizontal="center" vertical="center" wrapText="1"/>
      <protection locked="0"/>
    </xf>
    <xf numFmtId="43" fontId="0" fillId="0" borderId="0" xfId="0" applyNumberFormat="1" applyProtection="1">
      <protection hidden="1"/>
    </xf>
    <xf numFmtId="0" fontId="0" fillId="0" borderId="0" xfId="0" applyBorder="1" applyAlignment="1" applyProtection="1">
      <alignment horizontal="left" vertical="top" wrapText="1"/>
      <protection hidden="1"/>
    </xf>
    <xf numFmtId="49" fontId="0" fillId="0" borderId="0" xfId="0" applyNumberFormat="1" applyBorder="1" applyAlignment="1" applyProtection="1">
      <alignment horizontal="left" vertical="top" wrapText="1"/>
      <protection hidden="1"/>
    </xf>
    <xf numFmtId="166" fontId="0" fillId="0" borderId="0" xfId="23" applyNumberFormat="1" applyFont="1" applyBorder="1" applyAlignment="1" applyProtection="1">
      <alignment horizontal="right" wrapText="1"/>
      <protection hidden="1"/>
    </xf>
    <xf numFmtId="164" fontId="0" fillId="0" borderId="0" xfId="23" applyNumberFormat="1" applyFont="1" applyBorder="1" applyAlignment="1" applyProtection="1">
      <alignment horizontal="right" wrapText="1"/>
      <protection hidden="1"/>
    </xf>
    <xf numFmtId="0" fontId="2" fillId="0" borderId="3" xfId="107" applyFont="1" applyFill="1" applyBorder="1" applyAlignment="1" applyProtection="1">
      <alignment wrapText="1"/>
      <protection locked="0"/>
    </xf>
    <xf numFmtId="0" fontId="50" fillId="0" borderId="0" xfId="0" applyFont="1" applyAlignment="1">
      <alignment horizontal="left" vertical="center" indent="5"/>
    </xf>
    <xf numFmtId="0" fontId="53" fillId="0" borderId="0" xfId="0" applyFont="1" applyAlignment="1">
      <alignment vertical="center"/>
    </xf>
    <xf numFmtId="0" fontId="2" fillId="0" borderId="17" xfId="0" applyNumberFormat="1" applyFont="1" applyBorder="1" applyAlignment="1" applyProtection="1">
      <alignment horizontal="right" wrapText="1"/>
      <protection hidden="1"/>
    </xf>
    <xf numFmtId="49" fontId="4" fillId="0" borderId="0" xfId="0" applyNumberFormat="1" applyFont="1" applyBorder="1" applyAlignment="1" applyProtection="1">
      <alignment wrapText="1"/>
      <protection hidden="1"/>
    </xf>
    <xf numFmtId="4" fontId="2" fillId="0" borderId="0" xfId="0" applyNumberFormat="1" applyFont="1" applyBorder="1" applyAlignment="1" applyProtection="1">
      <alignment horizontal="right" vertical="top" wrapText="1"/>
      <protection hidden="1"/>
    </xf>
    <xf numFmtId="166" fontId="2" fillId="0" borderId="0" xfId="0" applyNumberFormat="1" applyFont="1" applyBorder="1" applyAlignment="1" applyProtection="1">
      <alignment horizontal="right" vertical="top" wrapText="1"/>
      <protection hidden="1"/>
    </xf>
    <xf numFmtId="4" fontId="4" fillId="0" borderId="0" xfId="0" applyNumberFormat="1" applyFont="1" applyBorder="1" applyAlignment="1" applyProtection="1">
      <alignment horizontal="right" wrapText="1"/>
      <protection hidden="1"/>
    </xf>
    <xf numFmtId="4" fontId="4" fillId="0" borderId="0" xfId="0" applyNumberFormat="1" applyFont="1" applyBorder="1" applyAlignment="1" applyProtection="1">
      <alignment wrapText="1"/>
      <protection hidden="1"/>
    </xf>
    <xf numFmtId="4" fontId="2" fillId="0" borderId="17" xfId="0" applyNumberFormat="1" applyFont="1" applyBorder="1" applyAlignment="1" applyProtection="1">
      <alignment horizontal="right" wrapText="1"/>
      <protection hidden="1"/>
    </xf>
    <xf numFmtId="0" fontId="0" fillId="6" borderId="18" xfId="0" applyFill="1" applyBorder="1" applyAlignment="1" applyProtection="1">
      <alignment horizontal="center"/>
      <protection hidden="1"/>
    </xf>
    <xf numFmtId="0" fontId="0" fillId="6" borderId="4" xfId="0" applyFill="1" applyBorder="1" applyAlignment="1" applyProtection="1">
      <alignment horizontal="center"/>
      <protection hidden="1"/>
    </xf>
    <xf numFmtId="0" fontId="0" fillId="6" borderId="20" xfId="0" applyFill="1" applyBorder="1" applyAlignment="1" applyProtection="1">
      <alignment horizontal="center"/>
      <protection hidden="1"/>
    </xf>
    <xf numFmtId="0" fontId="0" fillId="0" borderId="11" xfId="0" applyFill="1" applyBorder="1" applyAlignment="1" applyProtection="1">
      <alignment horizontal="left" vertical="center"/>
      <protection locked="0" hidden="1"/>
    </xf>
    <xf numFmtId="0" fontId="0" fillId="0" borderId="2" xfId="0" applyBorder="1" applyAlignment="1">
      <alignment horizontal="left" vertical="center"/>
    </xf>
    <xf numFmtId="0" fontId="0" fillId="0" borderId="8" xfId="0" applyBorder="1" applyAlignment="1">
      <alignment horizontal="left" vertical="center"/>
    </xf>
    <xf numFmtId="0" fontId="2" fillId="6" borderId="11" xfId="0" applyFont="1" applyFill="1" applyBorder="1" applyAlignment="1" applyProtection="1">
      <alignment horizontal="left"/>
      <protection hidden="1"/>
    </xf>
    <xf numFmtId="0" fontId="2" fillId="6" borderId="2" xfId="0" applyFont="1" applyFill="1" applyBorder="1" applyAlignment="1" applyProtection="1">
      <alignment horizontal="left"/>
      <protection hidden="1"/>
    </xf>
    <xf numFmtId="0" fontId="2" fillId="6" borderId="8" xfId="0" applyFont="1" applyFill="1" applyBorder="1" applyAlignment="1" applyProtection="1">
      <alignment horizontal="left"/>
      <protection hidden="1"/>
    </xf>
    <xf numFmtId="0" fontId="25" fillId="6" borderId="11" xfId="0" applyFont="1" applyFill="1" applyBorder="1" applyAlignment="1" applyProtection="1">
      <alignment horizontal="left" vertical="center"/>
      <protection hidden="1"/>
    </xf>
    <xf numFmtId="0" fontId="25" fillId="6" borderId="8" xfId="0" applyFont="1" applyFill="1" applyBorder="1" applyAlignment="1" applyProtection="1">
      <alignment horizontal="left" vertical="center"/>
      <protection hidden="1"/>
    </xf>
    <xf numFmtId="0" fontId="0" fillId="6" borderId="2" xfId="0" applyFill="1" applyBorder="1" applyAlignment="1" applyProtection="1">
      <alignment horizontal="left" vertical="center"/>
      <protection hidden="1"/>
    </xf>
    <xf numFmtId="0" fontId="25" fillId="0" borderId="11" xfId="0" applyFont="1" applyFill="1" applyBorder="1" applyAlignment="1" applyProtection="1">
      <alignment horizontal="left" vertical="center"/>
      <protection locked="0"/>
    </xf>
    <xf numFmtId="0" fontId="25" fillId="0" borderId="2" xfId="0" applyFont="1" applyFill="1" applyBorder="1" applyAlignment="1" applyProtection="1">
      <alignment horizontal="left" vertical="center"/>
      <protection locked="0"/>
    </xf>
    <xf numFmtId="0" fontId="25" fillId="0" borderId="8" xfId="0" applyFont="1" applyFill="1" applyBorder="1" applyAlignment="1" applyProtection="1">
      <alignment horizontal="left" vertical="center"/>
      <protection locked="0"/>
    </xf>
    <xf numFmtId="0" fontId="0" fillId="6" borderId="11" xfId="0" applyFill="1" applyBorder="1" applyAlignment="1" applyProtection="1">
      <alignment horizontal="left" vertical="center"/>
      <protection hidden="1"/>
    </xf>
    <xf numFmtId="0" fontId="0" fillId="6" borderId="8" xfId="0" applyFill="1" applyBorder="1" applyAlignment="1" applyProtection="1">
      <alignment horizontal="left" vertical="center"/>
      <protection hidden="1"/>
    </xf>
    <xf numFmtId="0" fontId="0" fillId="6" borderId="26" xfId="0" applyFill="1" applyBorder="1" applyAlignment="1" applyProtection="1">
      <alignment horizontal="center"/>
      <protection hidden="1"/>
    </xf>
    <xf numFmtId="0" fontId="0" fillId="6" borderId="2" xfId="0" applyFill="1" applyBorder="1" applyAlignment="1" applyProtection="1">
      <alignment horizontal="center"/>
      <protection hidden="1"/>
    </xf>
    <xf numFmtId="0" fontId="0" fillId="0" borderId="25" xfId="0" applyBorder="1" applyAlignment="1">
      <alignment horizontal="center"/>
    </xf>
    <xf numFmtId="0" fontId="0" fillId="3" borderId="2" xfId="0" applyFill="1" applyBorder="1" applyAlignment="1" applyProtection="1">
      <alignment horizontal="center"/>
      <protection hidden="1"/>
    </xf>
    <xf numFmtId="0" fontId="0" fillId="3" borderId="2" xfId="0" applyFill="1" applyBorder="1" applyAlignment="1" applyProtection="1">
      <alignment horizontal="left"/>
      <protection hidden="1"/>
    </xf>
    <xf numFmtId="166" fontId="0" fillId="3" borderId="11" xfId="0" applyNumberFormat="1" applyFill="1" applyBorder="1" applyAlignment="1" applyProtection="1">
      <alignment horizontal="right"/>
      <protection hidden="1"/>
    </xf>
    <xf numFmtId="166" fontId="0" fillId="3" borderId="8" xfId="0" applyNumberFormat="1" applyFill="1" applyBorder="1" applyAlignment="1" applyProtection="1">
      <alignment horizontal="right"/>
      <protection hidden="1"/>
    </xf>
    <xf numFmtId="0" fontId="0" fillId="3" borderId="11" xfId="0" applyFill="1" applyBorder="1" applyAlignment="1" applyProtection="1">
      <alignment horizontal="center" textRotation="90" wrapText="1"/>
      <protection hidden="1"/>
    </xf>
    <xf numFmtId="0" fontId="0" fillId="3" borderId="8" xfId="0" applyFill="1" applyBorder="1" applyAlignment="1" applyProtection="1">
      <alignment horizontal="center" textRotation="90" wrapText="1"/>
      <protection hidden="1"/>
    </xf>
    <xf numFmtId="0" fontId="0" fillId="3" borderId="5" xfId="0" applyFill="1" applyBorder="1" applyAlignment="1" applyProtection="1">
      <alignment horizontal="left"/>
      <protection hidden="1"/>
    </xf>
    <xf numFmtId="0" fontId="0" fillId="3" borderId="17" xfId="0" applyFill="1" applyBorder="1" applyAlignment="1" applyProtection="1">
      <alignment horizontal="left"/>
      <protection hidden="1"/>
    </xf>
    <xf numFmtId="0" fontId="0" fillId="8" borderId="11" xfId="0" applyFill="1" applyBorder="1" applyAlignment="1" applyProtection="1">
      <alignment horizontal="left"/>
      <protection hidden="1"/>
    </xf>
    <xf numFmtId="0" fontId="0" fillId="3" borderId="12" xfId="0" applyFill="1" applyBorder="1" applyAlignment="1" applyProtection="1">
      <alignment horizontal="left"/>
      <protection hidden="1"/>
    </xf>
    <xf numFmtId="0" fontId="0" fillId="3" borderId="14" xfId="0" applyFill="1" applyBorder="1" applyAlignment="1" applyProtection="1">
      <alignment horizontal="left"/>
      <protection hidden="1"/>
    </xf>
    <xf numFmtId="0" fontId="2" fillId="3" borderId="3" xfId="0" applyFont="1" applyFill="1" applyBorder="1" applyAlignment="1" applyProtection="1">
      <alignment horizontal="center"/>
      <protection hidden="1"/>
    </xf>
    <xf numFmtId="0" fontId="0" fillId="3" borderId="3" xfId="0" applyFill="1" applyBorder="1" applyAlignment="1" applyProtection="1">
      <alignment horizontal="center"/>
      <protection hidden="1"/>
    </xf>
    <xf numFmtId="0" fontId="16" fillId="3" borderId="14" xfId="0" applyFont="1" applyFill="1" applyBorder="1" applyAlignment="1" applyProtection="1">
      <alignment horizontal="center"/>
      <protection hidden="1"/>
    </xf>
    <xf numFmtId="0" fontId="16" fillId="3" borderId="0" xfId="0" applyFont="1" applyFill="1" applyBorder="1" applyAlignment="1" applyProtection="1">
      <alignment horizontal="center"/>
      <protection hidden="1"/>
    </xf>
    <xf numFmtId="0" fontId="16" fillId="3" borderId="17" xfId="0" applyFont="1" applyFill="1" applyBorder="1" applyAlignment="1" applyProtection="1">
      <alignment horizontal="center"/>
      <protection hidden="1"/>
    </xf>
    <xf numFmtId="0" fontId="0" fillId="0" borderId="2" xfId="0" applyBorder="1" applyAlignment="1" applyProtection="1">
      <alignment horizontal="left" wrapText="1"/>
      <protection hidden="1"/>
    </xf>
    <xf numFmtId="0" fontId="0" fillId="0" borderId="0" xfId="0" applyAlignment="1" applyProtection="1">
      <protection locked="0" hidden="1"/>
    </xf>
    <xf numFmtId="0" fontId="0" fillId="0" borderId="0" xfId="0" applyAlignment="1" applyProtection="1">
      <alignment wrapText="1"/>
      <protection locked="0" hidden="1"/>
    </xf>
    <xf numFmtId="0" fontId="0" fillId="0" borderId="0" xfId="0" applyAlignment="1" applyProtection="1">
      <alignment horizontal="center" wrapText="1"/>
      <protection locked="0" hidden="1"/>
    </xf>
    <xf numFmtId="0" fontId="0" fillId="0" borderId="0" xfId="0" applyAlignment="1" applyProtection="1">
      <alignment horizontal="center"/>
      <protection locked="0" hidden="1"/>
    </xf>
    <xf numFmtId="0" fontId="0" fillId="0" borderId="2" xfId="0" applyBorder="1" applyAlignment="1" applyProtection="1">
      <alignment horizontal="left"/>
      <protection hidden="1"/>
    </xf>
    <xf numFmtId="0" fontId="4" fillId="0" borderId="0" xfId="0" applyFont="1" applyAlignment="1" applyProtection="1">
      <alignment horizontal="left"/>
      <protection hidden="1"/>
    </xf>
    <xf numFmtId="0" fontId="0" fillId="0" borderId="2" xfId="0" applyBorder="1" applyAlignment="1" applyProtection="1">
      <alignment horizontal="left" vertical="center"/>
      <protection hidden="1"/>
    </xf>
    <xf numFmtId="0" fontId="4" fillId="0" borderId="22" xfId="0" applyFont="1" applyBorder="1" applyAlignment="1" applyProtection="1">
      <alignment horizontal="left" vertical="center"/>
      <protection hidden="1"/>
    </xf>
    <xf numFmtId="0" fontId="4" fillId="10" borderId="13" xfId="0" applyFont="1" applyFill="1" applyBorder="1" applyAlignment="1" applyProtection="1">
      <alignment horizontal="center" vertical="center" wrapText="1"/>
      <protection hidden="1"/>
    </xf>
    <xf numFmtId="0" fontId="4" fillId="10" borderId="16" xfId="0" applyFont="1" applyFill="1" applyBorder="1" applyAlignment="1" applyProtection="1">
      <alignment horizontal="center" vertical="center" wrapText="1"/>
      <protection hidden="1"/>
    </xf>
    <xf numFmtId="0" fontId="4" fillId="10" borderId="4" xfId="0" applyFont="1" applyFill="1" applyBorder="1" applyAlignment="1" applyProtection="1">
      <alignment horizontal="center" vertical="center" wrapText="1"/>
      <protection hidden="1"/>
    </xf>
    <xf numFmtId="0" fontId="22" fillId="0" borderId="0" xfId="0" applyFont="1" applyBorder="1" applyAlignment="1" applyProtection="1">
      <alignment horizontal="center" vertical="center"/>
      <protection hidden="1"/>
    </xf>
    <xf numFmtId="0" fontId="21" fillId="7" borderId="14" xfId="0" applyFont="1" applyFill="1" applyBorder="1" applyAlignment="1" applyProtection="1">
      <alignment horizontal="left" vertical="center" shrinkToFit="1"/>
      <protection hidden="1"/>
    </xf>
    <xf numFmtId="0" fontId="0" fillId="0" borderId="14" xfId="0" applyBorder="1" applyAlignment="1" applyProtection="1">
      <alignment shrinkToFit="1"/>
      <protection hidden="1"/>
    </xf>
    <xf numFmtId="0" fontId="0" fillId="0" borderId="2" xfId="0" applyBorder="1" applyAlignment="1" applyProtection="1">
      <alignment shrinkToFit="1"/>
      <protection hidden="1"/>
    </xf>
    <xf numFmtId="0" fontId="0" fillId="0" borderId="48" xfId="0" applyBorder="1" applyAlignment="1" applyProtection="1">
      <alignment shrinkToFit="1"/>
      <protection hidden="1"/>
    </xf>
    <xf numFmtId="0" fontId="0" fillId="0" borderId="11" xfId="0" applyBorder="1" applyAlignment="1" applyProtection="1">
      <alignment vertical="center" shrinkToFit="1"/>
      <protection hidden="1"/>
    </xf>
    <xf numFmtId="0" fontId="0" fillId="0" borderId="8" xfId="0" applyBorder="1" applyAlignment="1" applyProtection="1">
      <alignment shrinkToFit="1"/>
      <protection hidden="1"/>
    </xf>
    <xf numFmtId="0" fontId="48" fillId="7" borderId="0" xfId="0" applyFont="1" applyFill="1" applyBorder="1" applyAlignment="1" applyProtection="1">
      <alignment horizontal="center" vertical="center"/>
      <protection hidden="1"/>
    </xf>
    <xf numFmtId="0" fontId="48" fillId="7" borderId="27" xfId="0" applyFont="1" applyFill="1" applyBorder="1" applyAlignment="1" applyProtection="1">
      <alignment horizontal="center" vertical="center"/>
      <protection hidden="1"/>
    </xf>
    <xf numFmtId="0" fontId="2" fillId="0" borderId="2" xfId="0" applyFont="1" applyBorder="1" applyAlignment="1" applyProtection="1">
      <alignment horizontal="left" vertical="center"/>
      <protection hidden="1"/>
    </xf>
    <xf numFmtId="0" fontId="2" fillId="0" borderId="8" xfId="0" applyFont="1" applyBorder="1" applyAlignment="1" applyProtection="1">
      <alignment horizontal="left" vertical="center"/>
      <protection hidden="1"/>
    </xf>
    <xf numFmtId="0" fontId="36" fillId="0" borderId="0" xfId="0" applyFont="1" applyBorder="1" applyAlignment="1" applyProtection="1">
      <alignment horizontal="left" vertical="center"/>
      <protection locked="0" hidden="1"/>
    </xf>
  </cellXfs>
  <cellStyles count="108">
    <cellStyle name="Comma" xfId="23" builtinId="3"/>
    <cellStyle name="Dezimal 2" xfId="1" xr:uid="{00000000-0005-0000-0000-000001000000}"/>
    <cellStyle name="Dezimal 2 10" xfId="2" xr:uid="{00000000-0005-0000-0000-000002000000}"/>
    <cellStyle name="Dezimal 2 11" xfId="3" xr:uid="{00000000-0005-0000-0000-000003000000}"/>
    <cellStyle name="Dezimal 2 12" xfId="4" xr:uid="{00000000-0005-0000-0000-000004000000}"/>
    <cellStyle name="Dezimal 2 13" xfId="5" xr:uid="{00000000-0005-0000-0000-000005000000}"/>
    <cellStyle name="Dezimal 2 14" xfId="6" xr:uid="{00000000-0005-0000-0000-000006000000}"/>
    <cellStyle name="Dezimal 2 15" xfId="7" xr:uid="{00000000-0005-0000-0000-000007000000}"/>
    <cellStyle name="Dezimal 2 16" xfId="8" xr:uid="{00000000-0005-0000-0000-000008000000}"/>
    <cellStyle name="Dezimal 2 17" xfId="9" xr:uid="{00000000-0005-0000-0000-000009000000}"/>
    <cellStyle name="Dezimal 2 18" xfId="10" xr:uid="{00000000-0005-0000-0000-00000A000000}"/>
    <cellStyle name="Dezimal 2 19" xfId="11" xr:uid="{00000000-0005-0000-0000-00000B000000}"/>
    <cellStyle name="Dezimal 2 2" xfId="12" xr:uid="{00000000-0005-0000-0000-00000C000000}"/>
    <cellStyle name="Dezimal 2 20" xfId="13" xr:uid="{00000000-0005-0000-0000-00000D000000}"/>
    <cellStyle name="Dezimal 2 21" xfId="14" xr:uid="{00000000-0005-0000-0000-00000E000000}"/>
    <cellStyle name="Dezimal 2 22" xfId="15" xr:uid="{00000000-0005-0000-0000-00000F000000}"/>
    <cellStyle name="Dezimal 2 3" xfId="16" xr:uid="{00000000-0005-0000-0000-000010000000}"/>
    <cellStyle name="Dezimal 2 4" xfId="17" xr:uid="{00000000-0005-0000-0000-000011000000}"/>
    <cellStyle name="Dezimal 2 5" xfId="18" xr:uid="{00000000-0005-0000-0000-000012000000}"/>
    <cellStyle name="Dezimal 2 6" xfId="19" xr:uid="{00000000-0005-0000-0000-000013000000}"/>
    <cellStyle name="Dezimal 2 7" xfId="20" xr:uid="{00000000-0005-0000-0000-000014000000}"/>
    <cellStyle name="Dezimal 2 8" xfId="21" xr:uid="{00000000-0005-0000-0000-000015000000}"/>
    <cellStyle name="Dezimal 2 9" xfId="22" xr:uid="{00000000-0005-0000-0000-000016000000}"/>
    <cellStyle name="Normal" xfId="0" builtinId="0"/>
    <cellStyle name="Percent" xfId="24" builtinId="5"/>
    <cellStyle name="Prozent 2" xfId="25" xr:uid="{00000000-0005-0000-0000-000019000000}"/>
    <cellStyle name="Prozent 2 10" xfId="26" xr:uid="{00000000-0005-0000-0000-00001A000000}"/>
    <cellStyle name="Prozent 2 11" xfId="27" xr:uid="{00000000-0005-0000-0000-00001B000000}"/>
    <cellStyle name="Prozent 2 12" xfId="28" xr:uid="{00000000-0005-0000-0000-00001C000000}"/>
    <cellStyle name="Prozent 2 13" xfId="29" xr:uid="{00000000-0005-0000-0000-00001D000000}"/>
    <cellStyle name="Prozent 2 14" xfId="30" xr:uid="{00000000-0005-0000-0000-00001E000000}"/>
    <cellStyle name="Prozent 2 15" xfId="31" xr:uid="{00000000-0005-0000-0000-00001F000000}"/>
    <cellStyle name="Prozent 2 16" xfId="32" xr:uid="{00000000-0005-0000-0000-000020000000}"/>
    <cellStyle name="Prozent 2 17" xfId="33" xr:uid="{00000000-0005-0000-0000-000021000000}"/>
    <cellStyle name="Prozent 2 18" xfId="34" xr:uid="{00000000-0005-0000-0000-000022000000}"/>
    <cellStyle name="Prozent 2 19" xfId="35" xr:uid="{00000000-0005-0000-0000-000023000000}"/>
    <cellStyle name="Prozent 2 2" xfId="36" xr:uid="{00000000-0005-0000-0000-000024000000}"/>
    <cellStyle name="Prozent 2 20" xfId="37" xr:uid="{00000000-0005-0000-0000-000025000000}"/>
    <cellStyle name="Prozent 2 21" xfId="38" xr:uid="{00000000-0005-0000-0000-000026000000}"/>
    <cellStyle name="Prozent 2 22" xfId="39" xr:uid="{00000000-0005-0000-0000-000027000000}"/>
    <cellStyle name="Prozent 2 3" xfId="40" xr:uid="{00000000-0005-0000-0000-000028000000}"/>
    <cellStyle name="Prozent 2 4" xfId="41" xr:uid="{00000000-0005-0000-0000-000029000000}"/>
    <cellStyle name="Prozent 2 5" xfId="42" xr:uid="{00000000-0005-0000-0000-00002A000000}"/>
    <cellStyle name="Prozent 2 6" xfId="43" xr:uid="{00000000-0005-0000-0000-00002B000000}"/>
    <cellStyle name="Prozent 2 7" xfId="44" xr:uid="{00000000-0005-0000-0000-00002C000000}"/>
    <cellStyle name="Prozent 2 8" xfId="45" xr:uid="{00000000-0005-0000-0000-00002D000000}"/>
    <cellStyle name="Prozent 2 9" xfId="46" xr:uid="{00000000-0005-0000-0000-00002E000000}"/>
    <cellStyle name="Standard 11" xfId="47" xr:uid="{00000000-0005-0000-0000-00002F000000}"/>
    <cellStyle name="Standard 11 2" xfId="48" xr:uid="{00000000-0005-0000-0000-000030000000}"/>
    <cellStyle name="Standard 11 3" xfId="49" xr:uid="{00000000-0005-0000-0000-000031000000}"/>
    <cellStyle name="Standard 11 4" xfId="50" xr:uid="{00000000-0005-0000-0000-000032000000}"/>
    <cellStyle name="Standard 12 2" xfId="51" xr:uid="{00000000-0005-0000-0000-000033000000}"/>
    <cellStyle name="Standard 12 3" xfId="52" xr:uid="{00000000-0005-0000-0000-000034000000}"/>
    <cellStyle name="Standard 12 4" xfId="53" xr:uid="{00000000-0005-0000-0000-000035000000}"/>
    <cellStyle name="Standard 13" xfId="54" xr:uid="{00000000-0005-0000-0000-000036000000}"/>
    <cellStyle name="Standard 2" xfId="55" xr:uid="{00000000-0005-0000-0000-000037000000}"/>
    <cellStyle name="Standard 3" xfId="56" xr:uid="{00000000-0005-0000-0000-000038000000}"/>
    <cellStyle name="Standard 4" xfId="57" xr:uid="{00000000-0005-0000-0000-000039000000}"/>
    <cellStyle name="Standard 4 10" xfId="58" xr:uid="{00000000-0005-0000-0000-00003A000000}"/>
    <cellStyle name="Standard 4 11" xfId="59" xr:uid="{00000000-0005-0000-0000-00003B000000}"/>
    <cellStyle name="Standard 4 12" xfId="60" xr:uid="{00000000-0005-0000-0000-00003C000000}"/>
    <cellStyle name="Standard 4 13" xfId="61" xr:uid="{00000000-0005-0000-0000-00003D000000}"/>
    <cellStyle name="Standard 4 14" xfId="62" xr:uid="{00000000-0005-0000-0000-00003E000000}"/>
    <cellStyle name="Standard 4 15" xfId="63" xr:uid="{00000000-0005-0000-0000-00003F000000}"/>
    <cellStyle name="Standard 4 16" xfId="64" xr:uid="{00000000-0005-0000-0000-000040000000}"/>
    <cellStyle name="Standard 4 17" xfId="65" xr:uid="{00000000-0005-0000-0000-000041000000}"/>
    <cellStyle name="Standard 4 18" xfId="66" xr:uid="{00000000-0005-0000-0000-000042000000}"/>
    <cellStyle name="Standard 4 19" xfId="67" xr:uid="{00000000-0005-0000-0000-000043000000}"/>
    <cellStyle name="Standard 4 2" xfId="68" xr:uid="{00000000-0005-0000-0000-000044000000}"/>
    <cellStyle name="Standard 4 20" xfId="69" xr:uid="{00000000-0005-0000-0000-000045000000}"/>
    <cellStyle name="Standard 4 21" xfId="70" xr:uid="{00000000-0005-0000-0000-000046000000}"/>
    <cellStyle name="Standard 4 22" xfId="71" xr:uid="{00000000-0005-0000-0000-000047000000}"/>
    <cellStyle name="Standard 4 23" xfId="72" xr:uid="{00000000-0005-0000-0000-000048000000}"/>
    <cellStyle name="Standard 4 3" xfId="73" xr:uid="{00000000-0005-0000-0000-000049000000}"/>
    <cellStyle name="Standard 4 4" xfId="74" xr:uid="{00000000-0005-0000-0000-00004A000000}"/>
    <cellStyle name="Standard 4 5" xfId="75" xr:uid="{00000000-0005-0000-0000-00004B000000}"/>
    <cellStyle name="Standard 4 6" xfId="76" xr:uid="{00000000-0005-0000-0000-00004C000000}"/>
    <cellStyle name="Standard 4 7" xfId="77" xr:uid="{00000000-0005-0000-0000-00004D000000}"/>
    <cellStyle name="Standard 4 8" xfId="78" xr:uid="{00000000-0005-0000-0000-00004E000000}"/>
    <cellStyle name="Standard 4 9" xfId="79" xr:uid="{00000000-0005-0000-0000-00004F000000}"/>
    <cellStyle name="Standard 5" xfId="80" xr:uid="{00000000-0005-0000-0000-000050000000}"/>
    <cellStyle name="Standard 6" xfId="81" xr:uid="{00000000-0005-0000-0000-000051000000}"/>
    <cellStyle name="Standard 7" xfId="107" xr:uid="{00000000-0005-0000-0000-000052000000}"/>
    <cellStyle name="Standard 7 2" xfId="82" xr:uid="{00000000-0005-0000-0000-000053000000}"/>
    <cellStyle name="Standard 7 3" xfId="83" xr:uid="{00000000-0005-0000-0000-000054000000}"/>
    <cellStyle name="Standard 7 4" xfId="84" xr:uid="{00000000-0005-0000-0000-000055000000}"/>
    <cellStyle name="Standard 8" xfId="85" xr:uid="{00000000-0005-0000-0000-000056000000}"/>
    <cellStyle name="Standard 8 10" xfId="86" xr:uid="{00000000-0005-0000-0000-000057000000}"/>
    <cellStyle name="Standard 8 11" xfId="87" xr:uid="{00000000-0005-0000-0000-000058000000}"/>
    <cellStyle name="Standard 8 12" xfId="88" xr:uid="{00000000-0005-0000-0000-000059000000}"/>
    <cellStyle name="Standard 8 13" xfId="89" xr:uid="{00000000-0005-0000-0000-00005A000000}"/>
    <cellStyle name="Standard 8 14" xfId="90" xr:uid="{00000000-0005-0000-0000-00005B000000}"/>
    <cellStyle name="Standard 8 15" xfId="91" xr:uid="{00000000-0005-0000-0000-00005C000000}"/>
    <cellStyle name="Standard 8 16" xfId="92" xr:uid="{00000000-0005-0000-0000-00005D000000}"/>
    <cellStyle name="Standard 8 17" xfId="93" xr:uid="{00000000-0005-0000-0000-00005E000000}"/>
    <cellStyle name="Standard 8 18" xfId="94" xr:uid="{00000000-0005-0000-0000-00005F000000}"/>
    <cellStyle name="Standard 8 19" xfId="95" xr:uid="{00000000-0005-0000-0000-000060000000}"/>
    <cellStyle name="Standard 8 2" xfId="96" xr:uid="{00000000-0005-0000-0000-000061000000}"/>
    <cellStyle name="Standard 8 20" xfId="97" xr:uid="{00000000-0005-0000-0000-000062000000}"/>
    <cellStyle name="Standard 8 21" xfId="98" xr:uid="{00000000-0005-0000-0000-000063000000}"/>
    <cellStyle name="Standard 8 22" xfId="99" xr:uid="{00000000-0005-0000-0000-000064000000}"/>
    <cellStyle name="Standard 8 3" xfId="100" xr:uid="{00000000-0005-0000-0000-000065000000}"/>
    <cellStyle name="Standard 8 4" xfId="101" xr:uid="{00000000-0005-0000-0000-000066000000}"/>
    <cellStyle name="Standard 8 5" xfId="102" xr:uid="{00000000-0005-0000-0000-000067000000}"/>
    <cellStyle name="Standard 8 6" xfId="103" xr:uid="{00000000-0005-0000-0000-000068000000}"/>
    <cellStyle name="Standard 8 7" xfId="104" xr:uid="{00000000-0005-0000-0000-000069000000}"/>
    <cellStyle name="Standard 8 8" xfId="105" xr:uid="{00000000-0005-0000-0000-00006A000000}"/>
    <cellStyle name="Standard 8 9" xfId="106" xr:uid="{00000000-0005-0000-0000-00006B000000}"/>
  </cellStyles>
  <dxfs count="20">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ill>
        <patternFill>
          <bgColor rgb="FFFFC7CE"/>
        </patternFill>
      </fill>
    </dxf>
    <dxf>
      <font>
        <b/>
        <i val="0"/>
      </font>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1.w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w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w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w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xdr:twoCellAnchor editAs="absolute">
    <xdr:from>
      <xdr:col>234</xdr:col>
      <xdr:colOff>266700</xdr:colOff>
      <xdr:row>50</xdr:row>
      <xdr:rowOff>66675</xdr:rowOff>
    </xdr:from>
    <xdr:to>
      <xdr:col>235</xdr:col>
      <xdr:colOff>666750</xdr:colOff>
      <xdr:row>54</xdr:row>
      <xdr:rowOff>161925</xdr:rowOff>
    </xdr:to>
    <xdr:sp macro="" textlink="">
      <xdr:nvSpPr>
        <xdr:cNvPr id="20003" name="Text Box 6691">
          <a:extLst>
            <a:ext uri="{FF2B5EF4-FFF2-40B4-BE49-F238E27FC236}">
              <a16:creationId xmlns:a16="http://schemas.microsoft.com/office/drawing/2014/main" id="{00000000-0008-0000-0000-0000234E0000}"/>
            </a:ext>
          </a:extLst>
        </xdr:cNvPr>
        <xdr:cNvSpPr txBox="1">
          <a:spLocks noChangeArrowheads="1"/>
        </xdr:cNvSpPr>
      </xdr:nvSpPr>
      <xdr:spPr bwMode="auto">
        <a:xfrm>
          <a:off x="53844825" y="10839450"/>
          <a:ext cx="1162050" cy="742950"/>
        </a:xfrm>
        <a:prstGeom prst="rect">
          <a:avLst/>
        </a:prstGeom>
        <a:solidFill>
          <a:srgbClr val="FFFFFF"/>
        </a:solidFill>
        <a:ln w="9525">
          <a:solidFill>
            <a:srgbClr val="000000"/>
          </a:solidFill>
          <a:miter lim="800000"/>
          <a:headEnd/>
          <a:tailEnd/>
        </a:ln>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vfs01\temp\@GMT-2014.09.26-10.00.05\Beat%20Guhl\Preislisten%20Sky-Frame\Preisermittlung%20SKY-FRAME3%202010-08-13_Entwurf-Makro.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RG-SVR7\Daten_Firma\ISO_9001\01%20Management\02%20SE%20Systementwicklung\01%20Projekte\01%20Aktuell\1004%20-%20Kleinprojekte\XLS-Kalk%20mit%20Uw\Preisermittlung%20SKY-FRAME%202013-07-16%20Uw+++++1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LEMENT"/>
      <sheetName val="MONTAGE"/>
      <sheetName val="OPTION"/>
      <sheetName val="OFFERT 1"/>
      <sheetName val="OFFERT 2"/>
      <sheetName val="OFFERT 3"/>
      <sheetName val="OFFERT 4"/>
      <sheetName val="OFFERT 5"/>
      <sheetName val="VZ"/>
      <sheetName val="Sprache"/>
    </sheetNames>
    <sheetDataSet>
      <sheetData sheetId="0"/>
      <sheetData sheetId="1" refreshError="1"/>
      <sheetData sheetId="2" refreshError="1"/>
      <sheetData sheetId="3"/>
      <sheetData sheetId="4" refreshError="1"/>
      <sheetData sheetId="5" refreshError="1"/>
      <sheetData sheetId="6" refreshError="1"/>
      <sheetData sheetId="7" refreshError="1"/>
      <sheetData sheetId="8" refreshError="1"/>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LEMENT"/>
      <sheetName val="MONTAGE"/>
      <sheetName val="OPTION"/>
      <sheetName val="OFFERT 1"/>
      <sheetName val="OFFERT 2"/>
      <sheetName val="OFFERT 3"/>
      <sheetName val="OFFERT 4"/>
      <sheetName val="OFFERT 5"/>
      <sheetName val="VZ"/>
      <sheetName val="Sprache"/>
      <sheetName val="S2"/>
      <sheetName val="S3"/>
      <sheetName val="Kalkschema"/>
      <sheetName val="Glas"/>
      <sheetName val="Uw"/>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9.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10.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autoPageBreaks="0" fitToPage="1"/>
  </sheetPr>
  <dimension ref="A1:IV370"/>
  <sheetViews>
    <sheetView showGridLines="0" showZeros="0" tabSelected="1" showRuler="0" showOutlineSymbols="0" zoomScale="85" zoomScaleNormal="85" workbookViewId="0">
      <selection activeCell="K14" sqref="K14"/>
    </sheetView>
  </sheetViews>
  <sheetFormatPr defaultColWidth="10.85546875" defaultRowHeight="12.75" x14ac:dyDescent="0.2"/>
  <cols>
    <col min="1" max="1" width="15.7109375" customWidth="1"/>
    <col min="2" max="2" width="4.5703125" customWidth="1"/>
    <col min="3" max="3" width="3.7109375" customWidth="1"/>
    <col min="4" max="4" width="8.7109375" customWidth="1"/>
    <col min="5" max="5" width="7.7109375" customWidth="1"/>
    <col min="6" max="7" width="3.28515625" customWidth="1"/>
    <col min="8" max="9" width="3.7109375" customWidth="1"/>
    <col min="10" max="10" width="13.42578125" customWidth="1"/>
    <col min="11" max="11" width="5.7109375" customWidth="1"/>
    <col min="12" max="12" width="3.7109375" customWidth="1"/>
    <col min="13" max="13" width="3.5703125" customWidth="1"/>
    <col min="14" max="16" width="3.28515625" customWidth="1"/>
    <col min="17" max="17" width="14.42578125" customWidth="1"/>
    <col min="18" max="19" width="3.28515625" customWidth="1"/>
    <col min="20" max="20" width="4.28515625" customWidth="1"/>
    <col min="21" max="23" width="6.28515625" customWidth="1"/>
    <col min="24" max="26" width="3.28515625" customWidth="1"/>
    <col min="27" max="27" width="6.7109375" customWidth="1"/>
    <col min="28" max="28" width="7.28515625" customWidth="1"/>
    <col min="29" max="29" width="13" customWidth="1"/>
    <col min="30" max="30" width="12.7109375" customWidth="1"/>
    <col min="31" max="31" width="8.28515625" customWidth="1"/>
    <col min="32" max="32" width="7" customWidth="1"/>
    <col min="33" max="33" width="5.5703125" customWidth="1"/>
    <col min="34" max="34" width="29.5703125" customWidth="1"/>
    <col min="35" max="35" width="5.28515625" customWidth="1"/>
    <col min="36" max="36" width="9.5703125" hidden="1" customWidth="1"/>
    <col min="37" max="38" width="17.7109375" hidden="1" customWidth="1"/>
    <col min="39" max="40" width="4.28515625" hidden="1" customWidth="1"/>
    <col min="41" max="41" width="4.7109375" hidden="1" customWidth="1"/>
    <col min="42" max="42" width="11.42578125" hidden="1" customWidth="1"/>
    <col min="43" max="43" width="11.28515625" hidden="1" customWidth="1"/>
    <col min="44" max="44" width="4.42578125" hidden="1" customWidth="1"/>
    <col min="45" max="47" width="8.28515625" hidden="1" customWidth="1"/>
    <col min="48" max="48" width="5.5703125" hidden="1" customWidth="1"/>
    <col min="49" max="49" width="7.28515625" hidden="1" customWidth="1"/>
    <col min="50" max="50" width="6.7109375" hidden="1" customWidth="1"/>
    <col min="51" max="51" width="8.28515625" hidden="1" customWidth="1"/>
    <col min="52" max="55" width="3.7109375" hidden="1" customWidth="1"/>
    <col min="56" max="56" width="6" hidden="1" customWidth="1"/>
    <col min="57" max="57" width="7.5703125" hidden="1" customWidth="1"/>
    <col min="58" max="58" width="25" hidden="1" customWidth="1"/>
    <col min="59" max="62" width="6.7109375" hidden="1" customWidth="1"/>
    <col min="63" max="63" width="7.5703125" hidden="1" customWidth="1"/>
    <col min="64" max="67" width="6.7109375" hidden="1" customWidth="1"/>
    <col min="68" max="73" width="7.28515625" hidden="1" customWidth="1"/>
    <col min="74" max="78" width="7" hidden="1" customWidth="1"/>
    <col min="79" max="79" width="9.28515625" hidden="1" customWidth="1"/>
    <col min="80" max="80" width="8.5703125" hidden="1" customWidth="1"/>
    <col min="81" max="81" width="12.7109375" hidden="1" customWidth="1"/>
    <col min="82" max="82" width="10.42578125" hidden="1" customWidth="1"/>
    <col min="83" max="83" width="8.7109375" hidden="1" customWidth="1"/>
    <col min="84" max="85" width="7.28515625" hidden="1" customWidth="1"/>
    <col min="86" max="86" width="6.5703125" hidden="1" customWidth="1"/>
    <col min="87" max="87" width="10.28515625" hidden="1" customWidth="1"/>
    <col min="88" max="89" width="7.28515625" hidden="1" customWidth="1"/>
    <col min="90" max="92" width="6.28515625" hidden="1" customWidth="1"/>
    <col min="93" max="93" width="13" hidden="1" customWidth="1"/>
    <col min="94" max="96" width="6.28515625" hidden="1" customWidth="1"/>
    <col min="97" max="97" width="6.7109375" hidden="1" customWidth="1"/>
    <col min="98" max="98" width="9.7109375" hidden="1" customWidth="1"/>
    <col min="99" max="99" width="17.7109375" hidden="1" customWidth="1"/>
    <col min="100" max="107" width="13.28515625" hidden="1" customWidth="1"/>
    <col min="108" max="108" width="10.5703125" hidden="1" customWidth="1"/>
    <col min="109" max="109" width="9.7109375" hidden="1" customWidth="1"/>
    <col min="110" max="110" width="15.28515625" hidden="1" customWidth="1"/>
    <col min="111" max="111" width="9.5703125" hidden="1" customWidth="1"/>
    <col min="112" max="113" width="8.42578125" hidden="1" customWidth="1"/>
    <col min="114" max="114" width="8.7109375" hidden="1" customWidth="1"/>
    <col min="115" max="115" width="9.5703125" hidden="1" customWidth="1"/>
    <col min="116" max="116" width="10.28515625" hidden="1" customWidth="1"/>
    <col min="117" max="117" width="15.28515625" hidden="1" customWidth="1"/>
    <col min="118" max="118" width="8.42578125" hidden="1" customWidth="1"/>
    <col min="119" max="119" width="15.7109375" hidden="1" customWidth="1"/>
    <col min="120" max="120" width="14.28515625" hidden="1" customWidth="1"/>
    <col min="121" max="122" width="8.42578125" hidden="1" customWidth="1"/>
    <col min="123" max="123" width="12" hidden="1" customWidth="1"/>
    <col min="124" max="124" width="10.7109375" hidden="1" customWidth="1"/>
    <col min="125" max="126" width="10.28515625" hidden="1" customWidth="1"/>
    <col min="127" max="127" width="9" hidden="1" customWidth="1"/>
    <col min="128" max="128" width="7.5703125" hidden="1" customWidth="1"/>
    <col min="129" max="129" width="9.5703125" hidden="1" customWidth="1"/>
    <col min="130" max="130" width="11.42578125" hidden="1" customWidth="1"/>
    <col min="131" max="131" width="11" hidden="1" customWidth="1"/>
    <col min="132" max="132" width="10.7109375" hidden="1" customWidth="1"/>
    <col min="133" max="133" width="10" hidden="1" customWidth="1"/>
    <col min="134" max="134" width="8.42578125" hidden="1" customWidth="1"/>
    <col min="135" max="135" width="7.7109375" hidden="1" customWidth="1"/>
    <col min="136" max="136" width="8" hidden="1" customWidth="1"/>
    <col min="137" max="138" width="8.5703125" hidden="1" customWidth="1"/>
    <col min="139" max="140" width="10.28515625" hidden="1" customWidth="1"/>
    <col min="141" max="141" width="10.42578125" hidden="1" customWidth="1"/>
    <col min="142" max="143" width="10" hidden="1" customWidth="1"/>
    <col min="144" max="144" width="8.42578125" hidden="1" customWidth="1"/>
    <col min="145" max="145" width="7" hidden="1" customWidth="1"/>
    <col min="146" max="146" width="7.5703125" hidden="1" customWidth="1"/>
    <col min="147" max="152" width="6.28515625" hidden="1" customWidth="1"/>
    <col min="153" max="154" width="6" hidden="1" customWidth="1"/>
    <col min="155" max="155" width="8.28515625" hidden="1" customWidth="1"/>
    <col min="156" max="156" width="9.5703125" hidden="1" customWidth="1"/>
    <col min="157" max="157" width="9.42578125" hidden="1" customWidth="1"/>
    <col min="158" max="158" width="7.7109375" hidden="1" customWidth="1"/>
    <col min="159" max="160" width="6" hidden="1" customWidth="1"/>
    <col min="161" max="161" width="11.7109375" hidden="1" customWidth="1"/>
    <col min="162" max="162" width="8.42578125" hidden="1" customWidth="1"/>
    <col min="163" max="163" width="6" hidden="1" customWidth="1"/>
    <col min="164" max="164" width="11.42578125" hidden="1" customWidth="1"/>
    <col min="165" max="165" width="15.28515625" hidden="1" customWidth="1"/>
    <col min="166" max="168" width="11.42578125" hidden="1" customWidth="1"/>
    <col min="169" max="169" width="22.28515625" hidden="1" customWidth="1"/>
    <col min="170" max="182" width="11.42578125" hidden="1" customWidth="1"/>
    <col min="183" max="190" width="7.7109375" customWidth="1"/>
  </cols>
  <sheetData>
    <row r="1" spans="1:190" s="1" customFormat="1" x14ac:dyDescent="0.2">
      <c r="A1" s="438" t="str">
        <f>CONCATENATE(Sprache!C1,"           ",Sprache!D1)</f>
        <v>Sky-Frame TOOL           Version 2016-07-12           Company… (please adapt in Sprache D1)</v>
      </c>
      <c r="B1" s="439"/>
      <c r="C1" s="439"/>
      <c r="D1" s="439"/>
      <c r="E1" s="439"/>
      <c r="F1" s="439"/>
      <c r="G1" s="439"/>
      <c r="H1" s="439"/>
      <c r="I1" s="439"/>
      <c r="J1" s="439"/>
      <c r="K1" s="439"/>
      <c r="L1" s="439"/>
      <c r="M1" s="439"/>
      <c r="N1" s="439"/>
      <c r="O1" s="439"/>
      <c r="P1" s="439"/>
      <c r="Q1" s="439"/>
      <c r="R1" s="439"/>
      <c r="S1" s="439"/>
      <c r="T1" s="439"/>
      <c r="U1" s="439"/>
      <c r="V1" s="439"/>
      <c r="W1" s="439"/>
      <c r="X1" s="439"/>
      <c r="Y1" s="439"/>
      <c r="Z1" s="439"/>
      <c r="AA1" s="439"/>
      <c r="AB1" s="439"/>
      <c r="AC1" s="439"/>
      <c r="AD1" s="439"/>
      <c r="AE1" s="439"/>
      <c r="AF1" s="439"/>
      <c r="AG1" s="440"/>
      <c r="AH1" s="246" t="s">
        <v>772</v>
      </c>
      <c r="AI1" s="36"/>
      <c r="AJ1" s="36"/>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f>VLOOKUP(H47,BH74:BO83,8,FALSE)</f>
        <v>18.399999999999999</v>
      </c>
      <c r="CC1">
        <f>VLOOKUP(B47,BH74:BO83,8,FALSE)</f>
        <v>13.799999999999999</v>
      </c>
      <c r="CD1"/>
      <c r="CE1"/>
      <c r="CF1"/>
      <c r="CG1"/>
      <c r="CH1">
        <f>IFERROR(IF(ERROR.TYPE(CC1)&gt;0,1,2),)</f>
        <v>0</v>
      </c>
      <c r="CI1"/>
      <c r="CJ1"/>
      <c r="CK1"/>
      <c r="CL1"/>
      <c r="CM1"/>
      <c r="CN1"/>
      <c r="CO1"/>
      <c r="CP1"/>
      <c r="CQ1"/>
      <c r="CR1"/>
      <c r="CS1"/>
      <c r="CT1"/>
      <c r="CU1">
        <v>85</v>
      </c>
      <c r="CV1"/>
      <c r="CW1"/>
      <c r="CX1"/>
      <c r="CY1"/>
      <c r="CZ1"/>
      <c r="DA1"/>
      <c r="DB1"/>
      <c r="DC1">
        <v>85</v>
      </c>
      <c r="DD1">
        <f>EA58</f>
        <v>0</v>
      </c>
      <c r="DE1"/>
      <c r="DF1" t="s">
        <v>0</v>
      </c>
      <c r="DG1" t="s">
        <v>0</v>
      </c>
      <c r="DH1" t="s">
        <v>0</v>
      </c>
      <c r="DI1" t="s">
        <v>0</v>
      </c>
      <c r="DJ1" t="s">
        <v>0</v>
      </c>
      <c r="DK1" t="s">
        <v>0</v>
      </c>
      <c r="DL1"/>
      <c r="DM1"/>
      <c r="DN1"/>
      <c r="DO1"/>
      <c r="DP1"/>
      <c r="DQ1" t="s">
        <v>0</v>
      </c>
      <c r="DR1"/>
      <c r="DS1">
        <f>DI49</f>
        <v>150</v>
      </c>
      <c r="DT1">
        <f>IF($AH$4=2,150,
IF($AH$4=1,150,
IF($CO$69="og",150,100)))</f>
        <v>150</v>
      </c>
      <c r="DU1"/>
      <c r="DV1"/>
      <c r="DW1"/>
      <c r="DX1"/>
      <c r="DY1"/>
      <c r="DZ1">
        <v>0.14000000000000001</v>
      </c>
      <c r="EA1">
        <v>0.1</v>
      </c>
      <c r="EB1">
        <f>HLOOKUP($CH$78,$CJ$80:$CR$83,2,FALSE)%</f>
        <v>0.44</v>
      </c>
      <c r="EC1">
        <v>0.12</v>
      </c>
      <c r="ED1">
        <f>HLOOKUP($CH$78,$CJ$80:$CR$82,3,FALSE)</f>
        <v>1.1499999999999999</v>
      </c>
      <c r="EE1"/>
      <c r="EF1"/>
      <c r="EG1"/>
      <c r="EH1"/>
      <c r="EI1"/>
      <c r="EJ1"/>
      <c r="EK1"/>
      <c r="EL1"/>
      <c r="EM1"/>
      <c r="EN1"/>
      <c r="EO1"/>
      <c r="EP1"/>
      <c r="EQ1"/>
      <c r="ER1"/>
      <c r="ES1"/>
      <c r="ET1"/>
      <c r="EU1"/>
      <c r="EV1"/>
      <c r="EW1"/>
      <c r="EX1"/>
      <c r="EY1"/>
      <c r="EZ1"/>
      <c r="FA1"/>
      <c r="FB1" t="str">
        <f ca="1">IF($A$3=TODAY(),"",
IF(AY5&gt;0,"",IF(AO5="","",IF(OR(EJ5&gt;EN5,EK5&gt;EZ5),$FB$4,""))))</f>
        <v/>
      </c>
      <c r="FC1"/>
      <c r="FD1"/>
      <c r="FE1"/>
      <c r="FF1"/>
      <c r="FG1"/>
      <c r="FH1"/>
      <c r="FI1"/>
      <c r="FJ1"/>
      <c r="FK1"/>
      <c r="FL1"/>
      <c r="FM1"/>
      <c r="FN1"/>
      <c r="FO1" t="s">
        <v>827</v>
      </c>
      <c r="FP1" t="str">
        <f>IF(P1="R",IF(AT1-AT2=0,"",$FP$4),
IF(P1=2,IF(AT1-AT2=0,"",$FP$4),""))</f>
        <v/>
      </c>
      <c r="FQ1"/>
      <c r="FR1"/>
      <c r="FS1"/>
      <c r="FT1"/>
      <c r="FU1"/>
      <c r="FV1">
        <v>40909</v>
      </c>
      <c r="FW1" t="str">
        <f ca="1">IFERROR(IF(CJ69="","",IF(DATE($CJ$69-13,$CK$69-12,$CL$69-11)=TODAY(),IF(CM69="8",1,""),"")),)</f>
        <v/>
      </c>
      <c r="FX1"/>
      <c r="FY1"/>
      <c r="FZ1"/>
      <c r="GA1"/>
      <c r="GB1"/>
      <c r="GC1"/>
      <c r="GD1"/>
      <c r="GE1"/>
      <c r="GF1"/>
      <c r="GG1"/>
    </row>
    <row r="2" spans="1:190" s="249" customFormat="1" ht="20.100000000000001" customHeight="1" x14ac:dyDescent="0.2">
      <c r="A2" s="441" t="str">
        <f>CONCATENATE(Sprache!B57)</f>
        <v>Project:</v>
      </c>
      <c r="B2" s="442"/>
      <c r="C2" s="444"/>
      <c r="D2" s="445"/>
      <c r="E2" s="445"/>
      <c r="F2" s="445"/>
      <c r="G2" s="445"/>
      <c r="H2" s="445"/>
      <c r="I2" s="445"/>
      <c r="J2" s="445"/>
      <c r="K2" s="445"/>
      <c r="L2" s="445"/>
      <c r="M2" s="445"/>
      <c r="N2" s="445"/>
      <c r="O2" s="445"/>
      <c r="P2" s="445"/>
      <c r="Q2" s="445"/>
      <c r="R2" s="445"/>
      <c r="S2" s="445"/>
      <c r="T2" s="445"/>
      <c r="U2" s="445"/>
      <c r="V2" s="445"/>
      <c r="W2" s="445"/>
      <c r="X2" s="445"/>
      <c r="Y2" s="445"/>
      <c r="Z2" s="445"/>
      <c r="AA2" s="445"/>
      <c r="AB2" s="445"/>
      <c r="AC2" s="445"/>
      <c r="AD2" s="445"/>
      <c r="AE2" s="445"/>
      <c r="AF2" s="445"/>
      <c r="AG2" s="446"/>
      <c r="AH2" s="250">
        <v>2</v>
      </c>
      <c r="AI2" s="247"/>
      <c r="AJ2" s="247"/>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f>2-67</f>
        <v>-65</v>
      </c>
      <c r="DM2">
        <f>COLUMN(DM4)</f>
        <v>117</v>
      </c>
      <c r="DN2"/>
      <c r="DO2"/>
      <c r="DP2"/>
      <c r="DQ2"/>
      <c r="DR2"/>
      <c r="DS2"/>
      <c r="DT2">
        <f>SUM(DV5*C5+DV6*C6+DV7*C7+DV8*C8+DV9*C9+DV10*C10+DV11*C11+DV12*C12+DV13*C13+DV14*C14+DV15*C15+DV31*C31+DV32*C32+DV33*C33+DV34*C34+DV35*C35+DV36*C36+DV37*C37+DV38*C38+DV39*C39+DV40*C40+DV41*C41+DV42*C42+DV43*C43+DV44*C44+DV45*C45)</f>
        <v>0</v>
      </c>
      <c r="DU2"/>
      <c r="DV2"/>
      <c r="DW2"/>
      <c r="DX2"/>
      <c r="DY2">
        <f>(SUM(DY5*$C5+DY6*$C6+DY7*$C7+DY8*$C8+DY9*$C9+DY10*$C10+DY11*$C11+DY12*$C12+DY13*$C13+DY14*$C14+DY15*$C15+DY31*$C31+DY32*$C32+DY33*$C33+DY34*$C34+DY35*$C35+DY36*$C36+DY37*$C37+DY38*$C38+DY39*$C39+DY40*$C40+DY41*$C41+DY42*$C42+DY43*$C43+DY44*$C44+DY45*$C45)*DZ$1)</f>
        <v>0</v>
      </c>
      <c r="DZ2">
        <f>(SUM(DZ5*$C5+DZ6*$C6+DZ7*$C7+DZ8*$C8+DZ9*$C9+DZ10*$C10+DZ11*$C11+DZ12*$C12+DZ13*$C13+DZ14*$C14+DZ15*$C15+DZ31*$C31+DZ32*$C32+DZ33*$C33+DZ34*$C34+DZ35*$C35+DZ36*$C36+DZ37*$C37+DZ38*$C38+DZ39*$C39+DZ40*$C40+DZ41*$C41+DZ42*$C42+DZ43*$C43+DZ44*$C44+DZ45*$C45)*EA$1)</f>
        <v>0</v>
      </c>
      <c r="EA2">
        <f>(SUM(EA5*$C5+EA6*$C6+EA7*$C7+EA8*$C8+EA9*$C9+EA10*$C10+EA11*$C11+EA12*$C12+EA13*$C13+EA14*$C14+EA15*$C15+EA31*$C31+EA32*$C32+EA33*$C33+EA34*$C34+EA35*$C35+EA36*$C36+EA37*$C37+EA38*$C38+EA39*$C39+EA40*$C40+EA41*$C41+EA42*$C42+EA43*$C43+EA44*$C44+EA45*$C45)*$EB$1)</f>
        <v>0</v>
      </c>
      <c r="EB2">
        <f>(SUM(EB5*$C5+EB6*$C6+EB7*$C7+EB8*$C8+EB9*$C9+EB10*$C10+EB11*$C11+EB12*$C12+EB13*$C13+EB14*$C14+EB15*$C15+EB31*$C31+EB32*$C32+EB33*$C33+EB34*$C34+EB35*$C35+EB36*$C36+EB37*$C37+EB38*$C38+EB39*$C39+EB40*$C40+EB41*$C41+EB42*$C42+EB43*$C43+EB44*$C44+EB45*$C45)*$EC$1)</f>
        <v>0</v>
      </c>
      <c r="EC2" t="str">
        <f>HLOOKUP($CH$78,$CJ$80:$CR$83,1,FALSE)</f>
        <v>USD</v>
      </c>
      <c r="ED2" t="s">
        <v>368</v>
      </c>
      <c r="EE2"/>
      <c r="EF2" t="str">
        <f>HLOOKUP($CH$78,$CJ$80:$CR$83,1,FALSE)</f>
        <v>USD</v>
      </c>
      <c r="EG2"/>
      <c r="EH2"/>
      <c r="EI2"/>
      <c r="EJ2" t="s">
        <v>12</v>
      </c>
      <c r="EK2" t="s">
        <v>9</v>
      </c>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s="248"/>
      <c r="GB2" s="248"/>
      <c r="GC2" s="248"/>
      <c r="GD2" s="248"/>
      <c r="GE2" s="248"/>
      <c r="GF2" s="248"/>
      <c r="GG2" s="248"/>
    </row>
    <row r="3" spans="1:190" s="1" customFormat="1" ht="15" x14ac:dyDescent="0.25">
      <c r="A3" s="143"/>
      <c r="B3" s="10"/>
      <c r="C3" s="11"/>
      <c r="D3" s="276"/>
      <c r="E3" s="13"/>
      <c r="F3" s="14"/>
      <c r="G3" s="14"/>
      <c r="H3" s="14"/>
      <c r="I3" s="14"/>
      <c r="J3" s="262" t="str">
        <f>CONCATENATE(Sprache!B87)</f>
        <v>glass</v>
      </c>
      <c r="K3" s="410">
        <v>2</v>
      </c>
      <c r="L3" s="432" t="str">
        <f>CONCATENATE(Sprache!B22)</f>
        <v>horizontal profile</v>
      </c>
      <c r="M3" s="434"/>
      <c r="N3" s="432" t="str">
        <f>CONCATENATE(Sprache!B23)</f>
        <v>vertical profiles</v>
      </c>
      <c r="O3" s="433"/>
      <c r="P3" s="433"/>
      <c r="Q3" s="433"/>
      <c r="R3" s="433"/>
      <c r="S3" s="433"/>
      <c r="T3" s="434"/>
      <c r="U3" s="449" t="str">
        <f>CONCATENATE(Sprache!B100)</f>
        <v>special cases</v>
      </c>
      <c r="V3" s="450"/>
      <c r="W3" s="451"/>
      <c r="X3" s="432" t="str">
        <f>CONCATENATE(Sprache!B39)</f>
        <v>panels</v>
      </c>
      <c r="Y3" s="433"/>
      <c r="Z3" s="434"/>
      <c r="AA3" s="12"/>
      <c r="AB3" s="15"/>
      <c r="AC3" s="12"/>
      <c r="AD3" s="16"/>
      <c r="AE3" s="16"/>
      <c r="AF3" s="17"/>
      <c r="AG3" s="18"/>
      <c r="AH3" s="19"/>
      <c r="AI3" s="192"/>
      <c r="AJ3" s="36"/>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f>SUM(CD5:CP5)</f>
        <v>143.80000000000001</v>
      </c>
      <c r="CW3"/>
      <c r="CX3"/>
      <c r="CY3"/>
      <c r="CZ3"/>
      <c r="DA3"/>
      <c r="DB3"/>
      <c r="DC3"/>
      <c r="DD3"/>
      <c r="DE3">
        <v>0.13500000000000001</v>
      </c>
      <c r="DF3"/>
      <c r="DG3"/>
      <c r="DH3"/>
      <c r="DI3"/>
      <c r="DJ3"/>
      <c r="DK3"/>
      <c r="DL3"/>
      <c r="DM3">
        <f>DU65</f>
        <v>0</v>
      </c>
      <c r="DN3"/>
      <c r="DO3"/>
      <c r="DP3"/>
      <c r="DQ3"/>
      <c r="DR3"/>
      <c r="DS3"/>
      <c r="DT3"/>
      <c r="DU3"/>
      <c r="DV3"/>
      <c r="DW3"/>
      <c r="DX3"/>
      <c r="DY3">
        <f>DW65</f>
        <v>0</v>
      </c>
      <c r="DZ3"/>
      <c r="EA3"/>
      <c r="EB3"/>
      <c r="EC3"/>
      <c r="ED3"/>
      <c r="EE3"/>
      <c r="EF3"/>
      <c r="EG3"/>
      <c r="EH3"/>
      <c r="EI3"/>
      <c r="EJ3">
        <f>IF($AH$4=2,85,90)</f>
        <v>85</v>
      </c>
      <c r="EK3">
        <f>IF($AH$4=2,35,41)</f>
        <v>35</v>
      </c>
      <c r="EL3"/>
      <c r="EM3"/>
      <c r="EN3"/>
      <c r="EO3"/>
      <c r="EP3"/>
      <c r="EQ3"/>
      <c r="ER3"/>
      <c r="ES3"/>
      <c r="ET3"/>
      <c r="EU3"/>
      <c r="EV3"/>
      <c r="EW3"/>
      <c r="EX3"/>
      <c r="EY3"/>
      <c r="EZ3"/>
      <c r="FA3"/>
      <c r="FB3"/>
      <c r="FC3"/>
      <c r="FD3" t="s">
        <v>20</v>
      </c>
      <c r="FE3"/>
      <c r="FF3"/>
      <c r="FG3"/>
      <c r="FH3"/>
      <c r="FI3"/>
      <c r="FJ3"/>
      <c r="FK3"/>
      <c r="FL3"/>
      <c r="FM3"/>
      <c r="FN3"/>
      <c r="FO3"/>
      <c r="FP3"/>
      <c r="FQ3"/>
      <c r="FR3"/>
      <c r="FS3"/>
      <c r="FT3"/>
      <c r="FU3"/>
      <c r="FV3"/>
      <c r="FW3"/>
      <c r="FX3"/>
      <c r="FY3"/>
      <c r="FZ3"/>
      <c r="GA3"/>
      <c r="GB3"/>
      <c r="GC3"/>
      <c r="GD3"/>
      <c r="GE3"/>
      <c r="GF3"/>
      <c r="GG3"/>
    </row>
    <row r="4" spans="1:190" s="1" customFormat="1" ht="148.5" customHeight="1" x14ac:dyDescent="0.2">
      <c r="A4" s="9" t="str">
        <f>Sprache!B139</f>
        <v>Item no. Client</v>
      </c>
      <c r="B4" s="9" t="str">
        <f>CONCATENATE(Sprache!B8)</f>
        <v>item no.</v>
      </c>
      <c r="C4" s="9" t="str">
        <f>Sprache!B11</f>
        <v>pce(s)</v>
      </c>
      <c r="D4" s="9" t="str">
        <f>CONCATENATE(Sprache!B13)</f>
        <v>width mm</v>
      </c>
      <c r="E4" s="9" t="str">
        <f>CONCATENATE(Sprache!B14)</f>
        <v>height mm</v>
      </c>
      <c r="F4" s="20" t="str">
        <f>CONCATENATE(Sprache!B15)</f>
        <v xml:space="preserve">2=2 tracks 3=3 tracks </v>
      </c>
      <c r="G4" s="20" t="str">
        <f>CONCATENATE("",Sprache!B122)</f>
        <v>Reinforced vertical profiles</v>
      </c>
      <c r="H4" s="20" t="str">
        <f>CONCATENATE("",Sprache!B66)</f>
        <v>alarm components</v>
      </c>
      <c r="I4" s="271" t="str">
        <f>CONCATENATE("I=",Sprache!B97,"  ","Z=",Sprache!B96)</f>
        <v>I=insect screen extens.  Z=cylinder</v>
      </c>
      <c r="J4" s="263" t="str">
        <f>Sprache!B64 &amp; "  (" &amp; AH4 &amp; "-IV)"</f>
        <v>glass assembly  (2-IV)</v>
      </c>
      <c r="K4" s="21" t="str">
        <f>CONCATENATE(Sprache!B65)</f>
        <v>glass coating</v>
      </c>
      <c r="L4" s="20" t="str">
        <f>CONCATENATE(Sprache!B16)</f>
        <v>45 mm frame profile</v>
      </c>
      <c r="M4" s="21" t="str">
        <f>Sprache!B19</f>
        <v>95 mm profile</v>
      </c>
      <c r="N4" s="20" t="str">
        <f>CONCATENATE(Sprache!B16)</f>
        <v>45 mm frame profile</v>
      </c>
      <c r="O4" s="9" t="str">
        <f>CONCATENATE(Sprache!B19)</f>
        <v>95 mm profile</v>
      </c>
      <c r="P4" s="268" t="str">
        <f>CONCATENATE(Sprache!B127)</f>
        <v>90° corner</v>
      </c>
      <c r="Q4" s="9" t="str">
        <f>(Sprache!B128)</f>
        <v>opening type</v>
      </c>
      <c r="R4" s="9" t="str">
        <f>CONCATENATE(Sprache!B25)</f>
        <v>side opening</v>
      </c>
      <c r="S4" s="9" t="str">
        <f>CONCATENATE(Sprache!B26)</f>
        <v>centre opening</v>
      </c>
      <c r="T4" s="21" t="str">
        <f>CONCATENATE(Sprache!B28)</f>
        <v>labyrinth</v>
      </c>
      <c r="U4" s="22" t="str">
        <f>CONCATENATE(Sprache!B101,"  (",EC2,")")</f>
        <v>surcharge  (USD)</v>
      </c>
      <c r="V4" s="9" t="str">
        <f>CONCATENATE(Sprache!B88)</f>
        <v>text</v>
      </c>
      <c r="W4" s="266" t="str">
        <f>CONCATENATE(Sprache!B102)</f>
        <v>increased burglary 
protection RC2</v>
      </c>
      <c r="X4" s="23" t="str">
        <f>CONCATENATE(Sprache!B29)</f>
        <v>sliding</v>
      </c>
      <c r="Y4" s="24" t="str">
        <f>CONCATENATE(Sprache!B30)</f>
        <v>fixed</v>
      </c>
      <c r="Z4" s="25" t="str">
        <f>CONCATENATE(Sprache!$B31)</f>
        <v>total</v>
      </c>
      <c r="AA4" s="26" t="str">
        <f>CONCATENATE(Sprache!$B32,"(",Sprache!B76,")")</f>
        <v>m²/unit( o/a frame size)</v>
      </c>
      <c r="AB4" s="24" t="str">
        <f>CONCATENATE(Sprache!$B33)</f>
        <v>m² total</v>
      </c>
      <c r="AC4" s="24" t="str">
        <f>CONCATENATE(Sprache!$B34," ",EC2)</f>
        <v>price per unit USD</v>
      </c>
      <c r="AD4" s="24" t="str">
        <f>CONCATENATE(Sprache!$B35," ",EC2)</f>
        <v>total price USD</v>
      </c>
      <c r="AE4" s="24" t="str">
        <f>IF(ELEMENT!$CH$78=ELEMENT!$CM$63,"USD/sf ",CONCATENATE(EC2," ",Sprache!$B36))</f>
        <v xml:space="preserve">USD/sf </v>
      </c>
      <c r="AF4" s="24" t="str">
        <f>CONCATENATE(Sprache!$B37)</f>
        <v>width per fixed section mm</v>
      </c>
      <c r="AG4" s="24" t="str">
        <f>CONCATENATE(Sprache!$B27," ",Sprache!$B32)</f>
        <v>fixed pane size m²/unit</v>
      </c>
      <c r="AH4" s="45">
        <f>IF(AH2=2,2,
IF(AH2=1,1,3))</f>
        <v>2</v>
      </c>
      <c r="AI4" s="192"/>
      <c r="AJ4" s="273"/>
      <c r="AK4"/>
      <c r="AL4"/>
      <c r="AM4">
        <f>DX70</f>
        <v>0</v>
      </c>
      <c r="AN4">
        <f>EA67</f>
        <v>0</v>
      </c>
      <c r="AO4">
        <f>DQ58</f>
        <v>0</v>
      </c>
      <c r="AP4" t="s">
        <v>858</v>
      </c>
      <c r="AQ4">
        <f>DZ66</f>
        <v>0</v>
      </c>
      <c r="AR4">
        <f>DV66</f>
        <v>0</v>
      </c>
      <c r="AS4">
        <f>DU63</f>
        <v>0</v>
      </c>
      <c r="AT4">
        <f>DV63</f>
        <v>0</v>
      </c>
      <c r="AU4">
        <f>DW63</f>
        <v>0</v>
      </c>
      <c r="AV4">
        <f>DU84</f>
        <v>0</v>
      </c>
      <c r="AW4">
        <f>DY58</f>
        <v>0</v>
      </c>
      <c r="AX4">
        <f t="shared" ref="AX4:BE4" si="0">DX63</f>
        <v>0</v>
      </c>
      <c r="AY4">
        <f t="shared" si="0"/>
        <v>0</v>
      </c>
      <c r="AZ4">
        <f t="shared" si="0"/>
        <v>0</v>
      </c>
      <c r="BA4">
        <f t="shared" si="0"/>
        <v>0</v>
      </c>
      <c r="BB4">
        <f t="shared" si="0"/>
        <v>0</v>
      </c>
      <c r="BC4">
        <f t="shared" si="0"/>
        <v>0</v>
      </c>
      <c r="BD4">
        <f t="shared" si="0"/>
        <v>0</v>
      </c>
      <c r="BE4">
        <f t="shared" si="0"/>
        <v>0</v>
      </c>
      <c r="BF4">
        <f>DW66</f>
        <v>0</v>
      </c>
      <c r="BG4">
        <f t="shared" ref="BG4:BO4" si="1">DU60</f>
        <v>0</v>
      </c>
      <c r="BH4">
        <f t="shared" si="1"/>
        <v>0</v>
      </c>
      <c r="BI4">
        <f t="shared" si="1"/>
        <v>0</v>
      </c>
      <c r="BJ4">
        <f t="shared" si="1"/>
        <v>0</v>
      </c>
      <c r="BK4">
        <f t="shared" si="1"/>
        <v>0</v>
      </c>
      <c r="BL4">
        <f t="shared" si="1"/>
        <v>0</v>
      </c>
      <c r="BM4">
        <f t="shared" si="1"/>
        <v>0</v>
      </c>
      <c r="BN4">
        <f t="shared" si="1"/>
        <v>0</v>
      </c>
      <c r="BO4">
        <f t="shared" si="1"/>
        <v>0</v>
      </c>
      <c r="BP4">
        <f>ED62</f>
        <v>0</v>
      </c>
      <c r="BQ4">
        <f>ED60</f>
        <v>0</v>
      </c>
      <c r="BR4">
        <f>EE60</f>
        <v>0</v>
      </c>
      <c r="BS4">
        <f>EF60</f>
        <v>0</v>
      </c>
      <c r="BT4">
        <f>DV68</f>
        <v>0</v>
      </c>
      <c r="BU4">
        <f>DW67</f>
        <v>0</v>
      </c>
      <c r="BV4">
        <f>EH60</f>
        <v>0</v>
      </c>
      <c r="BW4">
        <f>EI60</f>
        <v>0</v>
      </c>
      <c r="BX4">
        <f t="shared" ref="BX4:CD4" si="2">DU61</f>
        <v>0</v>
      </c>
      <c r="BY4">
        <f t="shared" si="2"/>
        <v>0</v>
      </c>
      <c r="BZ4">
        <f t="shared" si="2"/>
        <v>0</v>
      </c>
      <c r="CA4">
        <f t="shared" si="2"/>
        <v>0</v>
      </c>
      <c r="CB4">
        <f t="shared" si="2"/>
        <v>0</v>
      </c>
      <c r="CC4">
        <f t="shared" si="2"/>
        <v>0</v>
      </c>
      <c r="CD4">
        <f t="shared" si="2"/>
        <v>0</v>
      </c>
      <c r="CE4" t="str">
        <f>CONCATENATE(EA61,DW67)</f>
        <v/>
      </c>
      <c r="CF4">
        <f>DW68</f>
        <v>0</v>
      </c>
      <c r="CG4">
        <f>EB61</f>
        <v>0</v>
      </c>
      <c r="CH4">
        <f>EC61</f>
        <v>0</v>
      </c>
      <c r="CI4">
        <f>DV69</f>
        <v>0</v>
      </c>
      <c r="CJ4">
        <f>DW69</f>
        <v>0</v>
      </c>
      <c r="CK4">
        <f>EF62</f>
        <v>0</v>
      </c>
      <c r="CL4">
        <f>ED61</f>
        <v>0</v>
      </c>
      <c r="CM4">
        <f>DQ91</f>
        <v>0</v>
      </c>
      <c r="CN4" t="str">
        <f>CONCATENATE(DX67,DW67)</f>
        <v/>
      </c>
      <c r="CO4">
        <f>DX68</f>
        <v>0</v>
      </c>
      <c r="CP4">
        <f>EF61</f>
        <v>0</v>
      </c>
      <c r="CQ4">
        <f>EG61</f>
        <v>0</v>
      </c>
      <c r="CR4">
        <f>EH61</f>
        <v>0</v>
      </c>
      <c r="CS4">
        <f>EH63</f>
        <v>0</v>
      </c>
      <c r="CT4">
        <f>EH62</f>
        <v>0</v>
      </c>
      <c r="CU4">
        <f>EI61</f>
        <v>0</v>
      </c>
      <c r="CV4">
        <f>EJ61</f>
        <v>0</v>
      </c>
      <c r="CW4">
        <f>DQ67</f>
        <v>0</v>
      </c>
      <c r="CX4">
        <f>DQ66</f>
        <v>0</v>
      </c>
      <c r="CY4">
        <f>DQ65</f>
        <v>0</v>
      </c>
      <c r="CZ4">
        <f>DQ64</f>
        <v>0</v>
      </c>
      <c r="DA4" t="str">
        <f>CONCATENATE(DY67,DW67)</f>
        <v/>
      </c>
      <c r="DB4">
        <f>DY68</f>
        <v>0</v>
      </c>
      <c r="DC4">
        <f>DQ63</f>
        <v>0</v>
      </c>
      <c r="DD4">
        <f>DQ62</f>
        <v>0</v>
      </c>
      <c r="DE4">
        <f>DQ61</f>
        <v>0</v>
      </c>
      <c r="DF4">
        <f>DQ60</f>
        <v>0</v>
      </c>
      <c r="DG4">
        <f>DQ59</f>
        <v>0</v>
      </c>
      <c r="DH4">
        <f>EB58</f>
        <v>0</v>
      </c>
      <c r="DI4">
        <f>$EC$64</f>
        <v>0</v>
      </c>
      <c r="DJ4"/>
      <c r="DK4"/>
      <c r="DL4">
        <f>EA68</f>
        <v>0</v>
      </c>
      <c r="DM4">
        <f>DW58</f>
        <v>0</v>
      </c>
      <c r="DN4">
        <f>DS58</f>
        <v>0</v>
      </c>
      <c r="DO4">
        <f>DU64</f>
        <v>0</v>
      </c>
      <c r="DP4">
        <f>DV64</f>
        <v>0</v>
      </c>
      <c r="DQ4">
        <f>DW64</f>
        <v>0</v>
      </c>
      <c r="DR4">
        <f>DX64</f>
        <v>0</v>
      </c>
      <c r="DS4">
        <f>DY64</f>
        <v>0</v>
      </c>
      <c r="DT4">
        <f>EA65</f>
        <v>0</v>
      </c>
      <c r="DU4">
        <f>DZ64</f>
        <v>0</v>
      </c>
      <c r="DV4">
        <f>EA64</f>
        <v>0</v>
      </c>
      <c r="DW4">
        <f>EB64</f>
        <v>0</v>
      </c>
      <c r="DX4">
        <f>DX66</f>
        <v>0</v>
      </c>
      <c r="DY4">
        <f>DR69</f>
        <v>0</v>
      </c>
      <c r="DZ4">
        <f>DR70</f>
        <v>0</v>
      </c>
      <c r="EA4">
        <f>DR71</f>
        <v>0</v>
      </c>
      <c r="EB4">
        <f>DV65</f>
        <v>0</v>
      </c>
      <c r="EC4">
        <f>DR72</f>
        <v>0</v>
      </c>
      <c r="ED4">
        <f>DR73</f>
        <v>0</v>
      </c>
      <c r="EE4">
        <f>DR74</f>
        <v>0</v>
      </c>
      <c r="EF4">
        <f>DR75</f>
        <v>0</v>
      </c>
      <c r="EG4"/>
      <c r="EH4">
        <f>DX58</f>
        <v>0</v>
      </c>
      <c r="EI4">
        <f>DR76</f>
        <v>0</v>
      </c>
      <c r="EJ4">
        <f>DR77</f>
        <v>0</v>
      </c>
      <c r="EK4">
        <f>DT59</f>
        <v>0</v>
      </c>
      <c r="EL4">
        <f>DY66</f>
        <v>0</v>
      </c>
      <c r="EM4">
        <f t="shared" ref="EM4:FA4" si="3">DV59</f>
        <v>0</v>
      </c>
      <c r="EN4">
        <f t="shared" si="3"/>
        <v>0</v>
      </c>
      <c r="EO4">
        <f t="shared" si="3"/>
        <v>0</v>
      </c>
      <c r="EP4">
        <f t="shared" si="3"/>
        <v>0</v>
      </c>
      <c r="EQ4">
        <f t="shared" si="3"/>
        <v>0</v>
      </c>
      <c r="ER4">
        <f t="shared" si="3"/>
        <v>0</v>
      </c>
      <c r="ES4">
        <f t="shared" si="3"/>
        <v>0</v>
      </c>
      <c r="ET4">
        <f t="shared" si="3"/>
        <v>0</v>
      </c>
      <c r="EU4">
        <f t="shared" si="3"/>
        <v>0</v>
      </c>
      <c r="EV4">
        <f t="shared" si="3"/>
        <v>0</v>
      </c>
      <c r="EW4">
        <f t="shared" si="3"/>
        <v>0</v>
      </c>
      <c r="EX4">
        <f t="shared" si="3"/>
        <v>0</v>
      </c>
      <c r="EY4">
        <f t="shared" si="3"/>
        <v>0</v>
      </c>
      <c r="EZ4">
        <f t="shared" si="3"/>
        <v>0</v>
      </c>
      <c r="FA4">
        <f t="shared" si="3"/>
        <v>0</v>
      </c>
      <c r="FB4" t="str">
        <f>CONCATENATE("  ",Sprache!$B$108," ?")</f>
        <v xml:space="preserve">  width ?</v>
      </c>
      <c r="FC4" t="str">
        <f>CONCATENATE("? ",Sprache!$B$106," ?")</f>
        <v>? height ?</v>
      </c>
      <c r="FD4" t="str">
        <f>Sprache!$B$107</f>
        <v>frame</v>
      </c>
      <c r="FE4" t="str">
        <f>CONCATENATE(Sprache!B122," ?")</f>
        <v>Reinforced vertical profiles ?</v>
      </c>
      <c r="FF4" t="str">
        <f>Sprache!B109</f>
        <v>too small</v>
      </c>
      <c r="FG4" t="str">
        <f>Sprache!B23</f>
        <v>vertical profiles</v>
      </c>
      <c r="FH4" t="str">
        <f>Sprache!B77</f>
        <v>ceramic?</v>
      </c>
      <c r="FI4" t="str">
        <f>Sprache!B115</f>
        <v>glass area?</v>
      </c>
      <c r="FJ4" t="str">
        <f>CONCATENATE(Sprache!B19," ?")</f>
        <v>95 mm profile ?</v>
      </c>
      <c r="FK4" t="str">
        <f>CONCATENATE(Sprache!B25," ?")</f>
        <v>side opening ?</v>
      </c>
      <c r="FL4" t="str">
        <f>CONCATENATE(Sprache!B121," ",Sprache!B106)</f>
        <v>insect screen? height</v>
      </c>
      <c r="FM4" t="str">
        <f>CONCATENATE(Sprache!B110," ?")</f>
        <v>tracks? ?</v>
      </c>
      <c r="FN4" t="str">
        <f>CONCATENATE(Sprache!B116," ?")</f>
        <v>glass breakage control ?</v>
      </c>
      <c r="FO4" t="str">
        <f>CONCATENATE(Sprache!C112," ?")</f>
        <v>RC2-Glas? ?</v>
      </c>
      <c r="FP4" t="str">
        <f>CONCATENATE("? ",Sprache!B106," / ",Sprache!B127,"?")</f>
        <v>? height / 90° corner?</v>
      </c>
      <c r="FQ4" t="str">
        <f>CONCATENATE("",Sprache!B87,"? ",)</f>
        <v xml:space="preserve">glass? </v>
      </c>
      <c r="FR4" t="str">
        <f>CONCATENATE("? ",Sprache!B65," ?")</f>
        <v>? glass coating ?</v>
      </c>
      <c r="FS4" t="str">
        <f>CONCATENATE("? ",Sprache!B98," ?")</f>
        <v>? extendable insect screen (1m) ?</v>
      </c>
      <c r="FT4" t="str">
        <f>"? "&amp;Sprache!C169&amp;" ?"</f>
        <v>? Breitenerzwingung nicht möglich ?</v>
      </c>
      <c r="FU4"/>
      <c r="FV4">
        <f>DX65</f>
        <v>0</v>
      </c>
      <c r="FW4">
        <f>DY65</f>
        <v>0</v>
      </c>
      <c r="FX4"/>
      <c r="FY4"/>
      <c r="FZ4"/>
      <c r="GA4" s="408" t="str">
        <f>IF($X$47="ein","width"&amp;CHAR(10)&amp;"mm",)</f>
        <v>width
mm</v>
      </c>
      <c r="GB4" s="403" t="str">
        <f>IF($X$47="ein","ft",)</f>
        <v>ft</v>
      </c>
      <c r="GC4" s="403" t="str">
        <f>IF($X$47="ein","in",)</f>
        <v>in</v>
      </c>
      <c r="GD4" s="403" t="str">
        <f>IF($X$47="ein","fract",)</f>
        <v>fract</v>
      </c>
      <c r="GE4" s="408" t="str">
        <f>IF($X$47="ein","height"&amp;CHAR(10)&amp;"mm",)</f>
        <v>height
mm</v>
      </c>
      <c r="GF4" s="403" t="str">
        <f>IF($X$47="ein","ft",)</f>
        <v>ft</v>
      </c>
      <c r="GG4" s="403" t="str">
        <f>IF($X$47="ein","in",)</f>
        <v>in</v>
      </c>
      <c r="GH4" s="403" t="str">
        <f>GD4</f>
        <v>fract</v>
      </c>
    </row>
    <row r="5" spans="1:190" s="243" customFormat="1" ht="14.25" customHeight="1" x14ac:dyDescent="0.2">
      <c r="A5" s="220"/>
      <c r="B5" s="221"/>
      <c r="C5" s="222"/>
      <c r="D5" s="223">
        <f>GA5</f>
        <v>0</v>
      </c>
      <c r="E5" s="223">
        <f>GE5</f>
        <v>0</v>
      </c>
      <c r="F5" s="224"/>
      <c r="G5" s="225">
        <v>0</v>
      </c>
      <c r="H5" s="225"/>
      <c r="I5" s="272"/>
      <c r="J5" s="264">
        <v>0</v>
      </c>
      <c r="K5" s="226"/>
      <c r="L5" s="227">
        <v>1</v>
      </c>
      <c r="M5" s="228">
        <f t="shared" ref="M5:M11" si="4">2-L5</f>
        <v>1</v>
      </c>
      <c r="N5" s="229">
        <f t="shared" ref="N5:N11" si="5">2-O5-BC5-BD5</f>
        <v>2</v>
      </c>
      <c r="O5" s="230"/>
      <c r="P5" s="231"/>
      <c r="Q5" s="232"/>
      <c r="R5" s="233">
        <f t="shared" ref="R5:R11" si="6">CC243</f>
        <v>0</v>
      </c>
      <c r="S5" s="233">
        <f t="shared" ref="S5:S11" si="7">CC202</f>
        <v>0</v>
      </c>
      <c r="T5" s="245">
        <f t="shared" ref="T5:T11" si="8">CC161</f>
        <v>0</v>
      </c>
      <c r="U5" s="234"/>
      <c r="V5" s="270"/>
      <c r="W5" s="267"/>
      <c r="X5" s="235">
        <f t="shared" ref="X5:X11" si="9">IF(CC284=0,0,CC284)</f>
        <v>0</v>
      </c>
      <c r="Y5" s="236" t="str">
        <f t="shared" ref="Y5:Y11" si="10">IF(AO5="","",(Z5-X5))</f>
        <v/>
      </c>
      <c r="Z5" s="237">
        <f t="shared" ref="Z5:Z11" si="11">IF(AO5="",0,(S5+T5+1-BC5))</f>
        <v>0</v>
      </c>
      <c r="AA5" s="238">
        <f t="shared" ref="AA5:AA11" si="12">IF(AO5="",0,SUM($AS5*$AT5/1000000))</f>
        <v>0</v>
      </c>
      <c r="AB5" s="239" t="str">
        <f t="shared" ref="AB5:AB11" si="13">IF(AO5="","",SUM($AT5*$AS5*$C5/1000000))</f>
        <v/>
      </c>
      <c r="AC5" s="240" t="str">
        <f t="shared" ref="AC5:AC11" ca="1" si="14">IF(AN5=1,EF5,
IF(AO5="","",
IF($FW$1=1,$EF5,
IF(AND($A$3=TODAY(),FX5=""),$EF5,
IF(FW5="",$EF5,
CONCATENATE(FW5))))))</f>
        <v/>
      </c>
      <c r="AD5" s="394" t="str">
        <f t="shared" ref="AD5:AD11" ca="1" si="15">IF(AC5="","",SUM($C5*AC5))</f>
        <v/>
      </c>
      <c r="AE5" s="241" t="str">
        <f>IF(AO5="","",IFERROR(IF(ELEMENT!$CH$78=ELEMENT!$CM$63,(AC5/AA5/10.75),(AC5/AA5)),""))</f>
        <v/>
      </c>
      <c r="AF5" s="241" t="str">
        <f t="shared" ref="AF5:AF11" si="16">IF(AO5="","",EK5)</f>
        <v/>
      </c>
      <c r="AG5" s="238" t="str">
        <f t="shared" ref="AG5:AG11" si="17">IF(AO5="","",SUM(EK5*AT5/1000000))</f>
        <v/>
      </c>
      <c r="AH5" s="242" t="str">
        <f t="shared" ref="AH5:AH11" si="18">IF(AND(AN5=1,AO5=""),"  ",IF(CY120=1,,IF(CY120&gt;1,,AR120)))</f>
        <v/>
      </c>
      <c r="AI5" s="192"/>
      <c r="AJ5" s="274"/>
      <c r="AK5"/>
      <c r="AL5"/>
      <c r="AM5">
        <f>IF(MID(V5,1,2)="sb",(MID(V5,3,30)),)</f>
        <v>0</v>
      </c>
      <c r="AN5" t="str">
        <f>IF(U5="","",IF(V5="","",IF(AO5="",1,"")))</f>
        <v/>
      </c>
      <c r="AO5" t="str">
        <f>IF(E5&gt;0,IF(D5&gt;0,IF(Q5="","",1),""),"")</f>
        <v/>
      </c>
      <c r="AP5" t="str">
        <f>IF(W5="RC2",2,
IF(W5="RCOG",1,""))</f>
        <v/>
      </c>
      <c r="AQ5">
        <f>IF(AO5="",,(AT5-L5*$BQ$46-M5*$BQ$47)+20)</f>
        <v>0</v>
      </c>
      <c r="AR5">
        <f>IF(F5="",2,F5)</f>
        <v>2</v>
      </c>
      <c r="AS5">
        <f>IF(AO5="",,IF($L$47=$CK$55,D5,D5+N5*$BF$34+O5*$BF$35
+BD5*
IF(AR5=2,$BP$46,
IF(AR5=3,$BP$43,
IF(AR5=4,$BP$40,$BP$37)))))</f>
        <v>0</v>
      </c>
      <c r="AT5">
        <f>IF(AO5="",,IF($L$47=$CK$55,E5,E5
+L5*$BF$34+M5*$BF$35))</f>
        <v>0</v>
      </c>
      <c r="AU5">
        <f>AS5</f>
        <v>0</v>
      </c>
      <c r="AV5">
        <f>IF(AW5=$CK$73,R5+S5+CC328,)</f>
        <v>0</v>
      </c>
      <c r="AW5">
        <f>H5</f>
        <v>0</v>
      </c>
      <c r="AX5" t="str">
        <f>IF(V5="","",
IF(MID(V5,1,2)="sb","",
IF(MID(V5,1,2)="fy","",
IF(MID(V5,1,2)="fx","",V5))))</f>
        <v/>
      </c>
      <c r="AY5">
        <f>IF(MID(V5,1,2)="fx",(MID(V5,3,30)),0)</f>
        <v>0</v>
      </c>
      <c r="AZ5">
        <f>TRUNC(BE5/6400,0)</f>
        <v>0</v>
      </c>
      <c r="BA5">
        <f>IF(I5=$CM$67,1,
IF(I5=$CN$67,1,
IF(I5=$CO$67,2,)))</f>
        <v>0</v>
      </c>
      <c r="BB5">
        <f>IF(I5=$CK$67,1,
IF(I5=$CM$67,1,
IF(I5=$CL$67,2,)))</f>
        <v>0</v>
      </c>
      <c r="BC5">
        <f>SUM(BD120:BE120)</f>
        <v>0</v>
      </c>
      <c r="BD5">
        <f>IF(P5="R",1,IF(P5="L",1,IF(P5=2,2,0)))</f>
        <v>0</v>
      </c>
      <c r="BE5">
        <f>IF(AO5="",0,AS5+$BF$56*BC5)</f>
        <v>0</v>
      </c>
      <c r="BF5"/>
      <c r="BG5">
        <f>IF($AH$4=$CK$75,'S2'!T5,
IF($AH$4=$CL$75,'S3'!T5,
IF($AH$4=$CJ$75,'S1'!T5,
IF($AH$4=$CM$75,S3M!T5,))))</f>
        <v>0</v>
      </c>
      <c r="BH5">
        <f>IF($AH$4=$CK$75,'S2'!U5,
IF($AH$4=$CL$75,'S3'!U5,
IF($AH$4=$CJ$75,'S1'!U5,
IF($AH$4=$CM$75,S3M!U5,))))</f>
        <v>0</v>
      </c>
      <c r="BI5">
        <f>IF($AH$4=$CK$75,'S2'!V5,
IF($AH$4=$CL$75,'S3'!V5,
IF($AH$4=$CJ$75,'S1'!V5,
IF($AH$4=$CM$75,S3M!V5,))))</f>
        <v>0</v>
      </c>
      <c r="BJ5">
        <f>IF($AH$4=$CK$75,'S2'!W5,
IF($AH$4=$CL$75,'S3'!W5,
IF($AH$4=$CJ$75,'S1'!W5,
IF($AH$4=$CM$75,S3M!W5,))))</f>
        <v>0</v>
      </c>
      <c r="BK5">
        <f>IF($AH$4=$CK$75,'S2'!X5,
IF($AH$4=$CL$75,'S3'!X5,
IF($AH$4=$CJ$75,'S1'!X5,
IF($AH$4=$CM$75,S3M!X5,))))</f>
        <v>0</v>
      </c>
      <c r="BL5">
        <f>IF($AH$4=$CK$75,'S2'!Y5,
IF($AH$4=$CL$75,'S3'!Y5,
IF($AH$4=$CJ$75,'S1'!Y5,
IF($AH$4=$CM$75,S3M!Y5,))))</f>
        <v>0</v>
      </c>
      <c r="BM5">
        <f>IF($AH$4=$CK$75,'S2'!Z5,
IF($AH$4=$CL$75,'S3'!Z5,
IF($AH$4=$CJ$75,'S1'!Z5,
IF($AH$4=$CM$75,S3M!Z5,))))</f>
        <v>0</v>
      </c>
      <c r="BN5">
        <f>IF($AH$4=$CK$75,'S2'!AA5,
IF($AH$4=$CL$75,'S3'!AA5,
IF($AH$4=$CJ$75,'S1'!AA5,
IF($AH$4=$CM$75,S3M!AA5,))))</f>
        <v>0</v>
      </c>
      <c r="BO5">
        <f>IF($AH$4=$CK$75,'S2'!AB5,
IF($AH$4=$CL$75,'S3'!AB5,
IF($AH$4=$CJ$75,'S1'!AB5,
IF($AH$4=$CM$75,S3M!AB5,))))</f>
        <v>0</v>
      </c>
      <c r="BP5"/>
      <c r="BQ5">
        <f>IF($AR5=2,($BM$46*$L5+$M5*$BM$47+$BM$45)*$BE5/1000+$L5*$BL$46+$M5*$BL$47+$BL$45,
IF($AR5=3,($BM$43*$L5+$M5*$BM$44+$BM$42)*$BE5/1000+$L5*$BL$43+$M5*$BL$44+$BL$42,
IF($AR5=4,($BM$40*$L5+$M5*$BM$41+$BM$39)*$BE5/1000+$L5*$BL$40+$M5*$BL$41+$BL$39,
IF($AR5=5,($BM$37*$L5+$M5*$BM$38+$BM$36)*$BE5/1000+$L5*$BL$37+$M5*$BL$38+$BL$36,))))</f>
        <v>58</v>
      </c>
      <c r="BR5">
        <f>IF($AR5=2,($BM$46*$N5+$O5*$BM$47)*$AT5/1000+$N5*$BL$46+$O5*$BL$47,
IF($AR5=3,($BM$43*$N5+$O5*$BM$44)*$AT5/1000+$N5*$BL$43+$O5*$BL$44,
IF($AR5=4,($BM$40*$N5+$O5*$BM$41)*$AT5/1000+$N5*$BL$40+$O5*$BL$41,
IF($AR5=5,($BM$37*$N5+$O5*$BM$38)*$AT5/1000+$N5*$BL$37+$O5*$BL$38,))))</f>
        <v>32</v>
      </c>
      <c r="BS5">
        <f>IF($G5=$CJ$59,
($BD5*$BL$7+$BD5*$BM$7*$AT5/1000)+($R5*$BL$8+$R5*$BM$8*$AT5/1000)+($S5*$BL$9+$S5*$BM$9*$AT5/1000)+($T5*$BL$11+$T5*$BM$11*$AT5/1000),
IF($G5=$CK$59,
($BD5*$BL$15+$BD5*$BM$15*$AT5/1000)+($R5*$BL$16+$R5*$BM$16*$AT5/1000)+($S5*$BL$17+$S5*$BM$17*$AT5/1000)+($T5*$BL$19+$T5*$BM$19*$AT5/1000),
($BD5*$BL$23+$BD5*$BM$23*$AT5/1000)+($R5*$BL$24+$R5*$BM$24*$AT5/1000)+($S5*$BL$25+$S5*$BM$25*$AT5/1000)+($T5*$BL$27+$T5*$BM$27*$AT5/1000)))</f>
        <v>0</v>
      </c>
      <c r="BT5">
        <f>X5*$BL$58
+
IF(OR(AP5=2,AP5=1),
$BL$61*R5+$BL$62*S5+$BL$65*T5+$BL$64*Y5+$BL$63*X5,)</f>
        <v>0</v>
      </c>
      <c r="BU5">
        <f>IF(AW5=$CK$73,AV5*$BL$71,
IF(AW5=$CL$73,(R5-AZ120)*$BL$67+S5*($BL$68+$BL$71),
IF(AW5=$CM$73,X5*$BL$69+Y5*$BL$70,
IF(AW5=$CN$73,(R5-AZ120)*$BL$67+S5*$BL$68+X5*$BL$69+Y5*$BL$70,))))</f>
        <v>0</v>
      </c>
      <c r="BV5">
        <f>IF(AR5&lt;3.5,$BL$52*AZ5,$BL$53*AZ5)
+
BA5*$BL$54
+
BC5*$BL$55
+
BB5*$BL$57+$BM$57*AT5/1000
+
IF(AQ5&gt;2900,BB5*220,)</f>
        <v>0</v>
      </c>
      <c r="BW5">
        <f>SUM(BQ5:BV5)</f>
        <v>90</v>
      </c>
      <c r="BX5">
        <f>IF($AR5=2,($BN$46*$L5+$M5*$BN$47+$BN$45)*$BE5/1000,
IF($AR5=3,($BN$43*$L5+$M5*$BN$44+$BN$42)*$BE5/1000,
IF($AR5=4,($BN$40*$L5+$M5*$BN$41+$BN$39)*$BE5/1000,
IF($AR5=5,($BN$37*$L5+$M5*$BN$38+$BN$36)*$BE5/1000,))))</f>
        <v>0</v>
      </c>
      <c r="BY5">
        <f>IF($AR5=2,($BN$46*$N5+$O5*$BN$47+$BN$45)*$AT5/1000,
IF($AR5=3,($BN$43*$N5+$O5*$BN$44+$BN$42)*$AT5/1000,
IF($AR5=4,($BN$40*$N5+$O5*$BN$41+$BN$39)*$AT5/1000,
IF($AR5=5,($BN$37*$N5+$O5*$BN$38+$BN$36)*$AT5/1000,))))</f>
        <v>0</v>
      </c>
      <c r="BZ5">
        <f>IF($G5=$CJ$59,
($BD5*$BN$7*$AT5/1000)+($R5*$BN$8*$AT5/1000)+($S5*$BN$9*$AT5/1000)+($T5*$BN$11*$AT5/1000),
IF($G5=$CK$59,
($BD5*$BN$15*$AT5/1000)+($R5*$BN$16*$AT5/1000)+($S5*$BN$17*$AT5/1000)+($T5*$BN$19*$AT5/1000),
($BD5*$BN$23*$AT5/1000)+($R5*$BN$24*$AT5/1000)+($S5*$BN$25*$AT5/1000)+($T5*$BN$27*$AT5/1000)))</f>
        <v>0</v>
      </c>
      <c r="CA5">
        <f>BB5*$BN$57*E5/1000</f>
        <v>0</v>
      </c>
      <c r="CB5">
        <f>SUM(BX5:CA5)*C5</f>
        <v>0</v>
      </c>
      <c r="CC5">
        <f>SUM(BX5:CA5)*$CC$1</f>
        <v>0</v>
      </c>
      <c r="CD5">
        <f>IF(G5=$CJ$59,
$BG$7*BD5+$BG$8*R5+S5*$BG$9+T5*$BG$11,
IF(G5=$CK$59,
$BG$15*BD5+$BG$16*R5+S5*$BG$17+T5*$BG$19,
$BG$23*BD5+$BG$24*R5+S5*$BG$25+T5*$BG$27))+
IF(AR5=2,$BG$45+$BG$46*L5+$BG$47*M5+N5*$BG$46+O5*$BG$47,
IF(AR5=3,L5*$BG$43+M5*$BG$44+$BG$42+N5*$BG$43+O5*$BG$44,
L5*$BG$40+M5*$BG$41+$BG$39+N5*$BG$40+O5*$BG$41))
+
$BG$55*BC5
+
$BG$57*BB5
+
$BG$54*BA5
+
IF(AR5&lt;3.5,$BG$52*AZ5,$BG$53*AZ5)</f>
        <v>80</v>
      </c>
      <c r="CE5">
        <f>IF(AW5=$CK$73,AV5*$BG$71,
IF(AW5=$CL$73,(R5-AZ120)*$BG$67+S5*($BG$68+$BG$71),
IF(AW5=$CM$73,X5*$BG$69+Y5*$BG$70,
IF(AW5=$CN$73,(R5-AZ120)*$BG$67+S5*$BG$68+X5*$BG$69+Y5*$BG$70,))))</f>
        <v>0</v>
      </c>
      <c r="CF5">
        <f>IF(OR(AP5=2,AP5=1),
$BG$61*R5+$BG$62*S5+$BG$65*T5+$BG$64*Y5+$BG$63*X5,)</f>
        <v>0</v>
      </c>
      <c r="CG5">
        <f>IF($AR5=2,($BJ$46*$L5+$M5*$BJ$47+$BJ$45)*$BE5/1000+$L5*$BK$46+$M5*$BK$47+$BK$45,
IF($AR5=3,($BJ$43*$L5+$M5*$BJ$44+$BJ$42)*$BE5/1000+$L5*$BK$43+$M5*$BK$44+$BK$42,
IF($AR5=4,($BJ$40*$L5+$M5*$BJ$41+$BJ$39)*$BE5/1000+$L5*$BK$40+$M5*$BK$41+$BK$39,
IF($AR5=5,($BJ$37*$L5+$M5*$BJ$38+$BJ$36)*$BE5/1000+$L5*$BK$37+$M5*$BK$38+$BK$36,))))</f>
        <v>46.2</v>
      </c>
      <c r="CH5">
        <f>IF($AR5=2,($BJ$46*$N5+$O5*$BJ$47)*$AT5/1000+$N5*$BK$46+$O5*$BK$47,
IF($AR5=3,($BJ$43*$N5+$O5*$BJ$44)*$AT5/1000+$N5*$BK$43+$O5*$BK$44,
IF($AR5=4,($BJ$40*$N5+$O5*$BJ$41)*$AT5/1000+$N5*$BK$40+$O5*$BK$41,
IF($AR5=5,($BJ$37*$N5+$O5*$BJ$38)*$AT5/1000+$N5*$BK$37+$O5*$BK$38,))))</f>
        <v>17.600000000000001</v>
      </c>
      <c r="CI5">
        <f>IF($G5=$CJ$59,
($BD5*$BK$7+$BD5*$BJ$7*$AT5/1000)*(1-$BP$7)+($R5*$BK$8+$R5*$BJ$8*$AT5/1000)*(1-$BP$8)+($S5*$BK$9+$S5*$BJ$9*$AT5/1000)*(1-$BP$9),
IF($G5=$CK$59,
($BD5*$BK$15+$BD5*$BJ$15*$AT5/1000)*(1-$BP$15)+($R5*$BK$16+$R5*$BJ$16*$AT5/1000)*(1-$BP$16)+($S5*$BK$17+$S5*$BJ$17*$AT5/1000)*(1-$BP$17),
($BD5*$BK$23+$BD5*$BJ$23*$AT5/1000)*(1-$BP$23)+($R5*$BK$24+$R5*$BJ$24*$AT5/1000)*(1-$BP$24)+($S5*$BK$25+$S5*$BJ$25*$AT5/1000)*(1-$BP$25)))</f>
        <v>0</v>
      </c>
      <c r="CJ5">
        <f>IF(AW5=$CK$73,AV5*$BJ$71,
IF(AW5=$CL$73,(R5-AZ120)*$BJ$67+S5*($BJ$68+$BJ$71),
IF(AW5=$CM$73,X5*$BJ$69+Y5*$BJ$70,
IF(AW5=$CN$73,(R5-AZ120)*$BJ$67+S5*$BJ$68+X5*$BJ$69+Y5*$BJ$70,))))</f>
        <v>0</v>
      </c>
      <c r="CK5">
        <f>IF($G5=$CJ$59,
($T5*$BK$11+$T5*$BJ$11*$AT5/1000),
IF($G5=$CK$59,
($T5*$BK$19+$T5*$BJ$19*$AT5/1000),
($T5*$BK$27+$T5*$BJ$27*$AT5/1000)))
+
IF(OR(AP5=2,AP5=1),
$BK$65*T5,)</f>
        <v>0</v>
      </c>
      <c r="CL5">
        <f>IF($G5=$CJ$59,
($BD5*$BK$7+$BD5*$BJ$7*$AT5/1000)*$BP$7+($R5*$BK$8+$R5*$BJ$8*$AT5/1000)*$BP$8+($S5*$BK$9+$S5*$BJ$9*$AT5/1000)*$BP$9,
IF($G5=$CK$59,
($BD5*$BK$15+$BD5*$BJ$15*$AT5/1000)*$BP$15+($R5*$BK$16+$R5*$BJ$16*$AT5/1000)*$BP$16+($S5*$BK$17+$S5*$BJ$17*$AT5/1000)*$BP$17,
($BD5*$BK$23+$BD5*$BJ$23*$AT5/1000)*$BP$23+($R5*$BK$24+$R5*$BJ$24*$AT5/1000)*$BP$24+($S5*$BK$25+$S5*$BJ$25*$AT5/1000)*$BP$25))</f>
        <v>0</v>
      </c>
      <c r="CM5">
        <f>IF(AR5&lt;3.5,$BK$52*AZ5,$BK$53*AZ5)
+
BA5*$BK$54
+
BC5*$BK$55
+
BB5*($BK$57+$BJ$57*E5/1000)</f>
        <v>0</v>
      </c>
      <c r="CN5">
        <f>IF(AW5=$CK$73,AV5*$BK$71,
IF(AW5=$CL$73,(R5-AZ120)*$BK$67+S5*($BK$68+$BK$71),
IF(AW5=$CM$73,X5*$BK$69+Y5*$BK$70,
IF(AW5=$CN$73,(R5-AZ120)*$BK$67+S5*$BK$68+X5*$BK$69+Y5*$BK$70,))))</f>
        <v>0</v>
      </c>
      <c r="CO5">
        <f>IF(OR(AP5=2,AP5=1),
$BK$61*R5+$BK$62*S5+$BK$64*Y5+$BK$63*X5,)</f>
        <v>0</v>
      </c>
      <c r="CP5" t="str">
        <f t="shared" ref="CP5:CP45" si="19">IF(AO5="","",Z5*$BK$49+((Z5*2*AQ5+2*AS5)/1000)*$BJ$49)</f>
        <v/>
      </c>
      <c r="CQ5">
        <f>SUM(CD5:CF5)*C5</f>
        <v>0</v>
      </c>
      <c r="CR5" t="str">
        <f>IF(AO5="","",CP5*C5)</f>
        <v/>
      </c>
      <c r="CS5">
        <f>SUM(CK5)*C5</f>
        <v>0</v>
      </c>
      <c r="CT5">
        <f>SUM(CL5:CO5)*C5</f>
        <v>0</v>
      </c>
      <c r="CU5">
        <f>SUM(CG5:CJ5)*C5</f>
        <v>0</v>
      </c>
      <c r="CV5">
        <f>IF($CO$69="og",SUM(CD5:CO5)*$CU$1/60,SUM(CD5:CP5)*$CU$1/60)</f>
        <v>203.7166666666667</v>
      </c>
      <c r="CW5">
        <f>IF($AR5=2,($BH$46*$L5+$M5*$BH$47+$BH$45)*$BE5/1000+$L5*$BI$46+$M5*$BI$47+$BI$45,
IF($AR5=3,($BH$43*$L5+$M5*$BH$44+$BH$42)*$BE5/1000+$L5*$BI$43+$M5*$BI$44+$BI$42,
IF($AR5=4,($BH$40*$L5+$M5*$BH$41+$BH$39)*$BE5/1000+$L5*$BI$40+$M5*$BI$41+$BI$39,
IF($AR5=5,($BH$37*$L5+$M5*$BH$38+$BH$36)*$BE5/1000+$L5*$BI$37+$M5*$BI$38+$BI$36,))))</f>
        <v>210</v>
      </c>
      <c r="CX5">
        <f>IF($AR5=2,($BH$46*$N5+$O5*$BH$47)*$AT5/1000+$N5*$BI$46+$O5*$BI$47,
IF($AR5=3,($BH$43*$N5+$O5*$BH$44)*$AT5/1000+$N5*$BI$43+$O5*$BI$44,
IF($AR5=4,($BH$40*$N5+$O5*$BH$41)*$AT5/1000+$N5*$BI$40+$O5*$BI$41,
IF($AR5=5,($BH$37*$N5+$O5*$BH$38)*$AT5/1000+$N5*$BI$37+$O5*$BI$38,))))</f>
        <v>120</v>
      </c>
      <c r="CY5">
        <f>IF($G5=$CJ$59,
($BD5*$BI$7+$BD5*$BH$7*$AT5/1000)+($R5*$BI$8+$R5*$BH$8*$AT5/1000)+($S5*$BI$9+$S5*$BH$9*$AT5/1000)+($T5*$BI$11+$T5*$BH$11*$AT5/1000),
IF($G5=$CK$59,
($BD5*$BI$15+$BD5*$BH$15*$AT5/1000)+($R5*$BI$16+$R5*$BH$16*$AT5/1000)+($S5*$BI$17+$S5*$BH$17*$AT5/1000)+($T5*$BI$19+$T5*$BH$19*$AT5/1000),
($BD5*$BI$23+$BD5*$BH$23*$AT5/1000)+($R5*$BI$24+$R5*$BH$24*$AT5/1000)+($S5*$BI$25+$S5*$BH$25*$AT5/1000)+($T5*$BI$27+$T5*$BH$27*$AT5/1000)))</f>
        <v>0</v>
      </c>
      <c r="CZ5">
        <f>IF(AR5&lt;3.5,$BI$52*AZ5,$BI$53*AZ5)
+
BC5*$BI$55
+
BB5*$BI$57+BB5*$BH$57*E5/1000
+BA5*$BI$54</f>
        <v>0</v>
      </c>
      <c r="DA5">
        <f>IF(AW5=$CK$73,(R5+(S5*2))*$BI$71,
IF(AW5=$CL$73,(R5-AZ120)*$BI$67+S5*($BI$68+$BI$71),
IF(AW5=$CM$73,X5*$BI$69+Y5*$BI$70,
IF(AW5=$CN$73,(R5-AZ120)*$BI$67+S5*$BI$68+X5*$BI$68+Y5*$BI$70,))))</f>
        <v>0</v>
      </c>
      <c r="DB5">
        <f>IF(OR(AP5=2,AP5=1),
$BI$61*R5+$BI$62*S5+$BI$65*T5+$BI$64*Y5+$BI$63*X5,)</f>
        <v>0</v>
      </c>
      <c r="DC5" t="str">
        <f>IF(AO5="","",Z5*$BI$49+AA5*$BH$49)</f>
        <v/>
      </c>
      <c r="DD5">
        <f>SUM(CW5:DC5)*C5/60</f>
        <v>0</v>
      </c>
      <c r="DE5">
        <f>IF(AO5="",0,
SUM(CW5:DC5)/60)</f>
        <v>0</v>
      </c>
      <c r="DF5">
        <f>(BQ5+BR5+BS5+BV5)*$DE$3</f>
        <v>12.15</v>
      </c>
      <c r="DG5">
        <f>IF(AO5="",0,BW5+CV5+DF5)</f>
        <v>0</v>
      </c>
      <c r="DH5">
        <f>(BW5+IF(B$47=BH$74,CC5,0))*C5*(1+DE$3)</f>
        <v>0</v>
      </c>
      <c r="DI5">
        <f>IF(MID(V5,1,2)="fy",(MID(V5,3,30))*AQ5/1000000,0)</f>
        <v>0</v>
      </c>
      <c r="DJ5"/>
      <c r="DK5"/>
      <c r="DL5">
        <f>DT5*C5</f>
        <v>0</v>
      </c>
      <c r="DM5">
        <f>DN5*C5</f>
        <v>0</v>
      </c>
      <c r="DN5">
        <f>IF(AO5="",0,SUM(($AS5-AY5)*$AT5/1000000))</f>
        <v>0</v>
      </c>
      <c r="DO5" t="e">
        <f>DK165</f>
        <v>#N/A</v>
      </c>
      <c r="DP5">
        <f>IFERROR(HLOOKUP(DG165,$CV$49:$DH$50,2,FALSE),)</f>
        <v>0</v>
      </c>
      <c r="DQ5" t="e">
        <f>DJ165</f>
        <v>#N/A</v>
      </c>
      <c r="DR5" t="e">
        <f>DI165</f>
        <v>#N/A</v>
      </c>
      <c r="DS5">
        <f>IF(AO5="",0,DN5*DL165)</f>
        <v>0</v>
      </c>
      <c r="DT5">
        <f>IF(AO5="",0,DU165)</f>
        <v>0</v>
      </c>
      <c r="DU5">
        <f>IF(AO5="",0,SUM(DN5*$DS$1))</f>
        <v>0</v>
      </c>
      <c r="DV5">
        <f>IF(AO5="",0,((DN5-IF(DI5&gt;DN5,DN5,DI5))*$DT$1))</f>
        <v>0</v>
      </c>
      <c r="DW5">
        <f>IF(AO5="",0,IF($CO$69="og",SUM(DV5),SUM(DS5+DT5+DU5+DV5)))</f>
        <v>0</v>
      </c>
      <c r="DX5">
        <f>IF($CO$69="og",,C5*(DS5+DT5+DU5))</f>
        <v>0</v>
      </c>
      <c r="DY5">
        <f>DG5+DW5</f>
        <v>0</v>
      </c>
      <c r="DZ5">
        <f>SUM(DY5+DY5*$DZ$1)</f>
        <v>0</v>
      </c>
      <c r="EA5">
        <f>SUM(DZ5+DZ5*$EA$1)</f>
        <v>0</v>
      </c>
      <c r="EB5">
        <f>SUM(EA5+EA5*$EB$1)</f>
        <v>0</v>
      </c>
      <c r="EC5">
        <f>SUM(EB5+EB5*$EC$1)</f>
        <v>0</v>
      </c>
      <c r="ED5">
        <f>(EC5*$ED$1)</f>
        <v>0</v>
      </c>
      <c r="EE5">
        <f>(ED5+U5)</f>
        <v>0</v>
      </c>
      <c r="EF5">
        <f>ROUND(EE5,0)+EG5</f>
        <v>0</v>
      </c>
      <c r="EG5">
        <f>ROUND(((SUM(BX5:CA5))*($CC$1)*(1+$DE$3)*(1+$DZ$1)*(1+$EA$1)*(1+$EB$1)*(1+$EC$1)*$ED$1),0)</f>
        <v>0</v>
      </c>
      <c r="EH5">
        <f>IFERROR(ROUND(((SUM(BX5:CA5))*($CB$1)*(1+$DE$3)*(1+$DZ$1)*(1+$EA$1)*(1+$EB$1)*(1+$EC$1)*$ED$1),0)-EG5,)</f>
        <v>0</v>
      </c>
      <c r="EI5">
        <f>AS5-(N5*$EK$3+O5*$EJ$3)</f>
        <v>-70</v>
      </c>
      <c r="EJ5">
        <f>IF(X5=0,0,
IF(AM5&gt;0,VALUE(AM5),
IF(Y5=0,EI5/X5,
IF(EI5/Z5&lt;EY5,EI5/Z5,
EY5))))</f>
        <v>0</v>
      </c>
      <c r="EK5">
        <f>IFERROR(IF(Y5="",0,
IF(X5=0,EI5/Y5,(EI5-EJ5*X5)/Y5)),)</f>
        <v>0</v>
      </c>
      <c r="EL5">
        <f>IFERROR(EY5*X5+EZ5*Y5,)</f>
        <v>0</v>
      </c>
      <c r="EM5" t="e">
        <f>IF(DO165*1000000/AQ5&lt;EY5,DO165*1000000/AQ5,EY5)</f>
        <v>#DIV/0!</v>
      </c>
      <c r="EN5">
        <f>IF(EO5="qf",EX5,IF(EO5="hf",EU5,ER5))</f>
        <v>0</v>
      </c>
      <c r="EO5" t="str">
        <f>IF(EW5&gt;AQ5,"qf",IF(ET5&gt;AQ5,"hf","üh"))</f>
        <v>üh</v>
      </c>
      <c r="EP5">
        <f>IFERROR(HLOOKUP($DG165,$CV$49:$DH$103,53,FALSE),)</f>
        <v>0</v>
      </c>
      <c r="EQ5">
        <f>IFERROR(HLOOKUP($DG165,$CV$49:$DH$103,54,FALSE),)</f>
        <v>0</v>
      </c>
      <c r="ER5">
        <f>IFERROR(HLOOKUP($DG165,$CV$49:$DH$103,55,FALSE),)</f>
        <v>0</v>
      </c>
      <c r="ES5">
        <f>IFERROR(HLOOKUP($DG165,$CV$49:$DH$103,43,FALSE),)</f>
        <v>0</v>
      </c>
      <c r="ET5">
        <f>IFERROR(HLOOKUP($DG165,$CV$49:$DH$103,44,FALSE),)</f>
        <v>0</v>
      </c>
      <c r="EU5">
        <f>IFERROR(HLOOKUP($DG165,$CV$49:$DH$103,45,FALSE),)</f>
        <v>0</v>
      </c>
      <c r="EV5">
        <f>IFERROR(HLOOKUP($DG165,$CV$49:$DH$103,48,FALSE),)</f>
        <v>0</v>
      </c>
      <c r="EW5">
        <f>IFERROR(HLOOKUP($DG165,$CV$49:$DH$103,49,FALSE),)</f>
        <v>0</v>
      </c>
      <c r="EX5">
        <f>IFERROR(HLOOKUP($DG165,$CV$49:$DH$103,50,FALSE),)</f>
        <v>0</v>
      </c>
      <c r="EY5">
        <f>IF(EO5="hf",EU5,
IF(EO5="qf",EX5,ER5))</f>
        <v>0</v>
      </c>
      <c r="EZ5">
        <f>IF(EO5="hf",ES5,
IF(EO5="qf",EV5,EP5))</f>
        <v>0</v>
      </c>
      <c r="FA5">
        <f>IF(EO5="hf",ET5,
IF(EO5="qf",EW5,EQ5))</f>
        <v>0</v>
      </c>
      <c r="FB5" t="str">
        <f>IF(AY5&gt;0,"",IF(AO5="","",IF(EJ5&gt;EN5,$FB$4,IF(EK5&gt;EZ5,$FB$4,""))))</f>
        <v/>
      </c>
      <c r="FC5" t="str">
        <f>IF(AO5="","",
IF(AQ5&lt;400,$FC$4,
IF(AQ5&gt;FA5,$FC$4,"")))</f>
        <v/>
      </c>
      <c r="FD5" t="str">
        <f>IF(AS5+E5=0,"",IF(SUM(L5:M5)=2,IF(SUM(N5+O5+BC5+BD5)=2,"",Sprache!$B$107),Sprache!$B$107))</f>
        <v/>
      </c>
      <c r="FE5" t="str">
        <f>IF(G5=$CV$107,IF($CV$108&gt;AQ5,"",$FE$4),
IF(G5=$CW$107,IF($CW$108&gt;AQ5,"",$FE$4),
IF(G5=$CX$107,IF($CX$108&gt;AQ5,"",$FE$4),)))</f>
        <v/>
      </c>
      <c r="FF5" t="str">
        <f>IFERROR("",IF(AO5=0,"",
IF(Q5="F","",
IF(EJ5=0,"",
IF(AQ5&lt;1500,IF(400&lt;EJ5,"",$FF$4),IF(700&lt;EJ5,"",$FF$4))))))</f>
        <v/>
      </c>
      <c r="FG5" t="str">
        <f>IF(N5&lt;0,$FG$4,"")</f>
        <v/>
      </c>
      <c r="FH5" t="str">
        <f ca="1">IF($A$3=TODAY(),"",
IF(BA120=1,IF(DN165=0,"",$FH$4),""))</f>
        <v/>
      </c>
      <c r="FI5" t="str">
        <f>IFERROR(IF(MID(V5,1,2)="fx","",
IF(AO5="","",
IF(OR(
AQ5*EJ5/1000000&gt;DO165,
AQ5*EK5/1000000&gt;DP165),
$FI$4,""))),"")</f>
        <v/>
      </c>
      <c r="FJ5" t="str">
        <f>IF(O5&lt;BA5,$FJ$4,"")</f>
        <v/>
      </c>
      <c r="FK5" t="str">
        <f>IF(R5&lt;BA5,$FK$4,"")</f>
        <v/>
      </c>
      <c r="FL5" t="str">
        <f>IF(MID(I5,1,1)="I",IF(AQ5&gt;4500,$FL$4,""),"")</f>
        <v/>
      </c>
      <c r="FM5" t="str">
        <f>IF(AO5&lt;&gt;1,"",
IF(F5="","",
IF(OR(F5=$CJ$52,F5=$CK$52,F5=$CL$52),"",$FM$4)))</f>
        <v/>
      </c>
      <c r="FN5" t="str">
        <f>IF(DX165="NEIN",IF(EA165="NEIN",$FN$4,""),"")</f>
        <v/>
      </c>
      <c r="FO5" t="str">
        <f>IF(AP5=2,
IF(EB165=0,"",$FO$4),"")</f>
        <v/>
      </c>
      <c r="FP5" t="str">
        <f>IF(P5="R",IF(AT5-AT6=0,"",$FP$4),
IF(P5=2,IF(AT5-AT6=0,"",$FP$4),""))</f>
        <v/>
      </c>
      <c r="FQ5" t="str">
        <f>IF(AO5="","",IF(DK165=0,Sprache!$B$65&amp;" ?",IF(CH165="?",$FQ$4,"")))</f>
        <v/>
      </c>
      <c r="FR5" t="str">
        <f>IF(DH165=$DI$51,"",
IF(DH165=$DI$56,"",
IF(DH165=$DI$61,"",
IF(DH165=$DI$66,"",
IF(DH165=$DI$71,"",
IF(DH165=$DI$76,"",
IF(DH165=$DI$81,"",$FR$4)))))))</f>
        <v/>
      </c>
      <c r="FS5" t="str">
        <f>IF((BA5+BB5)&gt;R5,$FS$4,"")</f>
        <v/>
      </c>
      <c r="FT5" t="str">
        <f>IF(AND(Y5=0,AM5&gt;0),$FT$4,"")</f>
        <v/>
      </c>
      <c r="FU5"/>
      <c r="FV5" t="str">
        <f ca="1">IF(TODAY()=$A$3,"",IF(TODAY()&gt;DATE(2018,7,1),CONCATENATE(Sprache!$B$89),""))</f>
        <v>outdated version</v>
      </c>
      <c r="FW5" t="str">
        <f ca="1">CONCATENATE(FV5,FU5,FT5,FS5,FR5,FP5,FQ5,FK5,FL5,FN5,FO5,FJ5,FI5,FH5,FG5,FF5,FE5,FD5,FC5,FB5,FM5,$BQ$98,IFERROR(IF(ERROR.TYPE($CC$1)&gt;0,Sprache!$B$91&amp;" ?",2),))</f>
        <v>outdated version</v>
      </c>
      <c r="FX5" t="str">
        <f ca="1">CONCATENATE(FV5,FU5,FT5,FS5,FR5,FP5,FQ5,FK5,FN5,FO5,FJ5,FG5,FF5,FE5,FD5,FL5,FM5,$BQ$98,IFERROR(IF(ERROR.TYPE($CC$1)&gt;0,Sprache!$B$91&amp;" ?",2),))</f>
        <v>outdated version</v>
      </c>
      <c r="FY5" t="str">
        <f ca="1">IF(AN5=1,"",
IF(AO5="","",
IF($FW$1=1,"",
IF(AND($A$3=TODAY(),FX5=""),"",
IF(FW5="","",
CONCATENATE(FW5))))))</f>
        <v/>
      </c>
      <c r="FZ5"/>
      <c r="GA5" s="407">
        <f>ROUND(CONVERT(GB5,"ft","m")*1000
+CONVERT(GC5,"in","m")*1000
+CONVERT(GD5,"in","m")*1000,1)</f>
        <v>0</v>
      </c>
      <c r="GB5" s="405"/>
      <c r="GC5" s="405"/>
      <c r="GD5" s="406"/>
      <c r="GE5" s="407">
        <f>ROUND(CONVERT(GF5,"ft","m")*1000
+CONVERT(GG5,"in","m")*1000
+CONVERT(GH5,"in","m")*1000,1)</f>
        <v>0</v>
      </c>
      <c r="GF5" s="405"/>
      <c r="GG5" s="404"/>
      <c r="GH5" s="406"/>
    </row>
    <row r="6" spans="1:190" s="243" customFormat="1" ht="14.25" customHeight="1" x14ac:dyDescent="0.2">
      <c r="A6" s="220"/>
      <c r="B6" s="221"/>
      <c r="C6" s="222"/>
      <c r="D6" s="223">
        <f t="shared" ref="D6:D45" si="20">GA6</f>
        <v>0</v>
      </c>
      <c r="E6" s="223">
        <f t="shared" ref="E6:E45" si="21">GE6</f>
        <v>0</v>
      </c>
      <c r="F6" s="224"/>
      <c r="G6" s="225"/>
      <c r="H6" s="225"/>
      <c r="I6" s="272"/>
      <c r="J6" s="264"/>
      <c r="K6" s="226"/>
      <c r="L6" s="227">
        <v>1</v>
      </c>
      <c r="M6" s="228">
        <f t="shared" si="4"/>
        <v>1</v>
      </c>
      <c r="N6" s="229">
        <f t="shared" si="5"/>
        <v>2</v>
      </c>
      <c r="O6" s="230"/>
      <c r="P6" s="231"/>
      <c r="Q6" s="232"/>
      <c r="R6" s="233">
        <f t="shared" si="6"/>
        <v>0</v>
      </c>
      <c r="S6" s="233">
        <f t="shared" si="7"/>
        <v>0</v>
      </c>
      <c r="T6" s="245">
        <f t="shared" si="8"/>
        <v>0</v>
      </c>
      <c r="U6" s="234"/>
      <c r="V6" s="270"/>
      <c r="W6" s="267"/>
      <c r="X6" s="235">
        <f t="shared" si="9"/>
        <v>0</v>
      </c>
      <c r="Y6" s="236" t="str">
        <f t="shared" si="10"/>
        <v/>
      </c>
      <c r="Z6" s="237">
        <f t="shared" si="11"/>
        <v>0</v>
      </c>
      <c r="AA6" s="238">
        <f t="shared" si="12"/>
        <v>0</v>
      </c>
      <c r="AB6" s="239" t="str">
        <f t="shared" si="13"/>
        <v/>
      </c>
      <c r="AC6" s="240" t="str">
        <f t="shared" ca="1" si="14"/>
        <v/>
      </c>
      <c r="AD6" s="394" t="str">
        <f t="shared" ca="1" si="15"/>
        <v/>
      </c>
      <c r="AE6" s="241" t="str">
        <f>IF(AO6="","",IFERROR(IF(ELEMENT!$CH$78=ELEMENT!$CM$63,(AC6/AA6/10.75),(AC6/AA6)),""))</f>
        <v/>
      </c>
      <c r="AF6" s="241" t="str">
        <f t="shared" si="16"/>
        <v/>
      </c>
      <c r="AG6" s="238" t="str">
        <f t="shared" si="17"/>
        <v/>
      </c>
      <c r="AH6" s="242" t="str">
        <f t="shared" si="18"/>
        <v/>
      </c>
      <c r="AI6" s="192"/>
      <c r="AJ6" s="274"/>
      <c r="AK6"/>
      <c r="AL6"/>
      <c r="AM6">
        <f>IF(MID(V6,1,2)="sb",(MID(V6,3,30)),)</f>
        <v>0</v>
      </c>
      <c r="AN6" t="str">
        <f>IF(U6="","",IF(V6="","",IF(AO6="",1,"")))</f>
        <v/>
      </c>
      <c r="AO6" t="str">
        <f>IF(E6&gt;0,IF(D6&gt;0,IF(Q6="","",1),""),"")</f>
        <v/>
      </c>
      <c r="AP6" t="str">
        <f>IF(W6="RC2",2,
IF(W6="RCOG",1,""))</f>
        <v/>
      </c>
      <c r="AQ6">
        <f t="shared" ref="AQ6:AQ45" si="22">IF(AO6="",,(AT6-L6*$BQ$46-M6*$BQ$47)+20)</f>
        <v>0</v>
      </c>
      <c r="AR6">
        <f>IF(F6="",2,F6)</f>
        <v>2</v>
      </c>
      <c r="AS6">
        <f>IF(AO6="",,IF($L$47=$CK$55,D6,D6+N6*$BF$34+O6*$BF$35
+BD6*
IF(AR6=2,$BP$46,
IF(AR6=3,$BP$43,
IF(AR6=4,$BP$40,$BP$37)))))</f>
        <v>0</v>
      </c>
      <c r="AT6">
        <f t="shared" ref="AT6:AT45" si="23">IF(AO6="",,IF($L$47=$CK$55,E6,E6
+L6*$BF$34+M6*$BF$35))</f>
        <v>0</v>
      </c>
      <c r="AU6">
        <f>AS6</f>
        <v>0</v>
      </c>
      <c r="AV6">
        <f>IF(AW6=$CK$73,R6+S6+CC329,)</f>
        <v>0</v>
      </c>
      <c r="AW6">
        <f>H6</f>
        <v>0</v>
      </c>
      <c r="AX6" t="str">
        <f t="shared" ref="AX6:AX45" si="24">IF(V6="","",
IF(MID(V6,1,2)="sb","",
IF(MID(V6,1,2)="fy","",
IF(MID(V6,1,2)="fx","",V6))))</f>
        <v/>
      </c>
      <c r="AY6">
        <f>IF(MID(V6,1,2)="fx",(MID(V6,3,30)),0)</f>
        <v>0</v>
      </c>
      <c r="AZ6">
        <f>TRUNC(BE6/6400,0)</f>
        <v>0</v>
      </c>
      <c r="BA6">
        <f>IF(I6=$CM$67,1,
IF(I6=$CN$67,1,
IF(I6=$CO$67,2,)))</f>
        <v>0</v>
      </c>
      <c r="BB6">
        <f>IF(I6=$CK$67,1,
IF(I6=$CM$67,1,
IF(I6=$CL$67,2,)))</f>
        <v>0</v>
      </c>
      <c r="BC6">
        <f>SUM(BD121:BE121)</f>
        <v>0</v>
      </c>
      <c r="BD6">
        <f>IF(P6="R",1,IF(P6="L",1,IF(P6=2,2,0)))</f>
        <v>0</v>
      </c>
      <c r="BE6">
        <f>IF(AO6="",0,AS6+$BF$56*BC6)</f>
        <v>0</v>
      </c>
      <c r="BF6">
        <f t="shared" ref="BF6:BF19" si="25">DS66</f>
        <v>0</v>
      </c>
      <c r="BG6">
        <f>IF($AH$4=$CK$75,'S2'!T6,
IF($AH$4=$CL$75,'S3'!T6,
IF($AH$4=$CJ$75,'S1'!T6,
IF($AH$4=$CM$75,S3M!T6,))))</f>
        <v>0</v>
      </c>
      <c r="BH6">
        <f>IF($AH$4=$CK$75,'S2'!U6,
IF($AH$4=$CL$75,'S3'!U6,
IF($AH$4=$CJ$75,'S1'!U6,
IF($AH$4=$CM$75,S3M!U6,))))</f>
        <v>0</v>
      </c>
      <c r="BI6">
        <f>IF($AH$4=$CK$75,'S2'!V6,
IF($AH$4=$CL$75,'S3'!V6,
IF($AH$4=$CJ$75,'S1'!V6,
IF($AH$4=$CM$75,S3M!V6,))))</f>
        <v>0</v>
      </c>
      <c r="BJ6">
        <f>IF($AH$4=$CK$75,'S2'!W6,
IF($AH$4=$CL$75,'S3'!W6,
IF($AH$4=$CJ$75,'S1'!W6,
IF($AH$4=$CM$75,S3M!W6,))))</f>
        <v>0</v>
      </c>
      <c r="BK6">
        <f>IF($AH$4=$CK$75,'S2'!X6,
IF($AH$4=$CL$75,'S3'!X6,
IF($AH$4=$CJ$75,'S1'!X6,
IF($AH$4=$CM$75,S3M!X6,))))</f>
        <v>0</v>
      </c>
      <c r="BL6">
        <f>IF($AH$4=$CK$75,'S2'!Y6,
IF($AH$4=$CL$75,'S3'!Y6,
IF($AH$4=$CJ$75,'S1'!Y6,
IF($AH$4=$CM$75,S3M!Y6,))))</f>
        <v>0</v>
      </c>
      <c r="BM6">
        <f>IF($AH$4=$CK$75,'S2'!Z6,
IF($AH$4=$CL$75,'S3'!Z6,
IF($AH$4=$CJ$75,'S1'!Z6,
IF($AH$4=$CM$75,S3M!Z6,))))</f>
        <v>0</v>
      </c>
      <c r="BN6">
        <f>IF($AH$4=$CK$75,'S2'!AA6,
IF($AH$4=$CL$75,'S3'!AA6,
IF($AH$4=$CJ$75,'S1'!AA6,
IF($AH$4=$CM$75,S3M!AA6,))))</f>
        <v>0</v>
      </c>
      <c r="BO6">
        <f>IF($AH$4=$CK$75,'S2'!AB6,
IF($AH$4=$CL$75,'S3'!AB6,
IF($AH$4=$CJ$75,'S1'!AB6,
IF($AH$4=$CM$75,S3M!AB6,))))</f>
        <v>0</v>
      </c>
      <c r="BP6"/>
      <c r="BQ6">
        <f>IF($AR6=2,($BM$46*$L6+$M6*$BM$47+$BM$45)*$BE6/1000+$L6*$BL$46+$M6*$BL$47+$BL$45,
IF($AR6=3,($BM$43*$L6+$M6*$BM$44+$BM$42)*$BE6/1000+$L6*$BL$43+$M6*$BL$44+$BL$42,
IF($AR6=4,($BM$40*$L6+$M6*$BM$41+$BM$39)*$BE6/1000+$L6*$BL$40+$M6*$BL$41+$BL$39,
IF($AR6=5,($BM$37*$L6+$M6*$BM$38+$BM$36)*$BE6/1000+$L6*$BL$37+$M6*$BL$38+$BL$36,))))</f>
        <v>58</v>
      </c>
      <c r="BR6">
        <f>IF($AR6=2,($BM$46*$N6+$O6*$BM$47)*$AT6/1000+$N6*$BL$46+$O6*$BL$47,
IF($AR6=3,($BM$43*$N6+$O6*$BM$44)*$AT6/1000+$N6*$BL$43+$O6*$BL$44,
IF($AR6=4,($BM$40*$N6+$O6*$BM$41)*$AT6/1000+$N6*$BL$40+$O6*$BL$41,
IF($AR6=5,($BM$37*$N6+$O6*$BM$38)*$AT6/1000+$N6*$BL$37+$O6*$BL$38,))))</f>
        <v>32</v>
      </c>
      <c r="BS6">
        <f>IF($G6=$CJ$59,
($BD6*$BL$7+$BD6*$BM$7*$AT6/1000)+($R6*$BL$8+$R6*$BM$8*$AT6/1000)+($S6*$BL$9+$S6*$BM$9*$AT6/1000)+($T6*$BL$11+$T6*$BM$11*$AT6/1000),
IF($G6=$CK$59,
($BD6*$BL$15+$BD6*$BM$15*$AT6/1000)+($R6*$BL$16+$R6*$BM$16*$AT6/1000)+($S6*$BL$17+$S6*$BM$17*$AT6/1000)+($T6*$BL$19+$T6*$BM$19*$AT6/1000),
($BD6*$BL$23+$BD6*$BM$23*$AT6/1000)+($R6*$BL$24+$R6*$BM$24*$AT6/1000)+($S6*$BL$25+$S6*$BM$25*$AT6/1000)+($T6*$BL$27+$T6*$BM$27*$AT6/1000)))</f>
        <v>0</v>
      </c>
      <c r="BT6">
        <f>X6*$BL$58
+
IF(OR(AP6=2,AP6=1),
$BL$61*R6+$BL$62*S6+$BL$65*T6+$BL$64*Y6+$BL$63*X6,)</f>
        <v>0</v>
      </c>
      <c r="BU6">
        <f>IF(AW6=$CK$73,AV6*$BL$71,
IF(AW6=$CL$73,(R6-AZ121)*$BL$67+S6*($BL$68+$BL$71),
IF(AW6=$CM$73,X6*$BL$69+Y6*$BL$70,
IF(AW6=$CN$73,(R6-AZ121)*$BL$67+S6*$BL$68+X6*$BL$69+Y6*$BL$70,))))</f>
        <v>0</v>
      </c>
      <c r="BV6">
        <f>IF(AR6&lt;3.5,$BL$52*AZ6,$BL$53*AZ6)
+
BA6*$BL$54
+
BC6*$BL$55
+
BB6*$BL$57+$BM$57*AT6/1000
+
IF(AQ6&gt;2900,BB6*220,)</f>
        <v>0</v>
      </c>
      <c r="BW6">
        <f>SUM(BQ6:BV6)</f>
        <v>90</v>
      </c>
      <c r="BX6">
        <f>IF($AR6=2,($BN$46*$L6+$M6*$BN$47+$BN$45)*$BE6/1000,
IF($AR6=3,($BN$43*$L6+$M6*$BN$44+$BN$42)*$BE6/1000,
IF($AR6=4,($BN$40*$L6+$M6*$BN$41+$BN$39)*$BE6/1000,
IF($AR6=5,($BN$37*$L6+$M6*$BN$38+$BN$36)*$BE6/1000,))))</f>
        <v>0</v>
      </c>
      <c r="BY6">
        <f>IF($AR6=2,($BN$46*$N6+$O6*$BN$47+$BN$45)*$AT6/1000,
IF($AR6=3,($BN$43*$N6+$O6*$BN$44+$BN$42)*$AT6/1000,
IF($AR6=4,($BN$40*$N6+$O6*$BN$41+$BN$39)*$AT6/1000,
IF($AR6=5,($BN$37*$N6+$O6*$BN$38+$BN$36)*$AT6/1000,))))</f>
        <v>0</v>
      </c>
      <c r="BZ6">
        <f>IF($G6=$CJ$59,
($BD6*$BN$7*$AT6/1000)+($R6*$BN$8*$AT6/1000)+($S6*$BN$9*$AT6/1000)+($T6*$BN$11*$AT6/1000),
IF($G6=$CK$59,
($BD6*$BN$15*$AT6/1000)+($R6*$BN$16*$AT6/1000)+($S6*$BN$17*$AT6/1000)+($T6*$BN$19*$AT6/1000),
($BD6*$BN$23*$AT6/1000)+($R6*$BN$24*$AT6/1000)+($S6*$BN$25*$AT6/1000)+($T6*$BN$27*$AT6/1000)))</f>
        <v>0</v>
      </c>
      <c r="CA6">
        <f>BB6*$BN$57*E6/1000</f>
        <v>0</v>
      </c>
      <c r="CB6">
        <f>SUM(BX6:CA6)*C6</f>
        <v>0</v>
      </c>
      <c r="CC6">
        <f>SUM(BX6:CA6)*$CC$1</f>
        <v>0</v>
      </c>
      <c r="CD6">
        <f>IF(G6=$CJ$59,
$BG$7*BD6+$BG$8*R6+S6*$BG$9+T6*$BG$11,
IF(G6=$CK$59,
$BG$15*BD6+$BG$16*R6+S6*$BG$17+T6*$BG$19,
$BG$23*BD6+$BG$24*R6+S6*$BG$25+T6*$BG$27))+
IF(AR6=2,$BG$45+$BG$46*L6+$BG$47*M6+N6*$BG$46+O6*$BG$47,
IF(AR6=3,L6*$BG$43+M6*$BG$44+$BG$42+N6*$BG$43+O6*$BG$44,
L6*$BG$40+M6*$BG$41+$BG$39+N6*$BG$40+O6*$BG$41))
+
$BG$55*BC6
+
$BG$57*BB6
+
$BG$54*BA6
+
IF(AR6&lt;3.5,$BG$52*AZ6,$BG$53*AZ6)</f>
        <v>80</v>
      </c>
      <c r="CE6">
        <f>IF(AW6=$CK$73,AV6*$BG$71,
IF(AW6=$CL$73,(R6-AZ121)*$BG$67+S6*($BG$68+$BG$71),
IF(AW6=$CM$73,X6*$BG$69+Y6*$BG$70,
IF(AW6=$CN$73,(R6-AZ121)*$BG$67+S6*$BG$68+X6*$BG$69+Y6*$BG$70,))))</f>
        <v>0</v>
      </c>
      <c r="CF6">
        <f>IF(OR(AP6=2,AP6=1),
$BG$61*R6+$BG$62*S6+$BG$65*T6+$BG$64*Y6+$BG$63*X6,)</f>
        <v>0</v>
      </c>
      <c r="CG6">
        <f>IF($AR6=2,($BJ$46*$L6+$M6*$BJ$47+$BJ$45)*$BE6/1000+$L6*$BK$46+$M6*$BK$47+$BK$45,
IF($AR6=3,($BJ$43*$L6+$M6*$BJ$44+$BJ$42)*$BE6/1000+$L6*$BK$43+$M6*$BK$44+$BK$42,
IF($AR6=4,($BJ$40*$L6+$M6*$BJ$41+$BJ$39)*$BE6/1000+$L6*$BK$40+$M6*$BK$41+$BK$39,
IF($AR6=5,($BJ$37*$L6+$M6*$BJ$38+$BJ$36)*$BE6/1000+$L6*$BK$37+$M6*$BK$38+$BK$36,))))</f>
        <v>46.2</v>
      </c>
      <c r="CH6">
        <f>IF($AR6=2,($BJ$46*$N6+$O6*$BJ$47)*$AT6/1000+$N6*$BK$46+$O6*$BK$47,
IF($AR6=3,($BJ$43*$N6+$O6*$BJ$44)*$AT6/1000+$N6*$BK$43+$O6*$BK$44,
IF($AR6=4,($BJ$40*$N6+$O6*$BJ$41)*$AT6/1000+$N6*$BK$40+$O6*$BK$41,
IF($AR6=5,($BJ$37*$N6+$O6*$BJ$38)*$AT6/1000+$N6*$BK$37+$O6*$BK$38,))))</f>
        <v>17.600000000000001</v>
      </c>
      <c r="CI6">
        <f>IF($G6=$CJ$59,
($BD6*$BK$7+$BD6*$BJ$7*$AT6/1000)*(1-$BP$7)+($R6*$BK$8+$R6*$BJ$8*$AT6/1000)*(1-$BP$8)+($S6*$BK$9+$S6*$BJ$9*$AT6/1000)*(1-$BP$9),
IF($G6=$CK$59,
($BD6*$BK$15+$BD6*$BJ$15*$AT6/1000)*(1-$BP$15)+($R6*$BK$16+$R6*$BJ$16*$AT6/1000)*(1-$BP$16)+($S6*$BK$17+$S6*$BJ$17*$AT6/1000)*(1-$BP$17),
($BD6*$BK$23+$BD6*$BJ$23*$AT6/1000)*(1-$BP$23)+($R6*$BK$24+$R6*$BJ$24*$AT6/1000)*(1-$BP$24)+($S6*$BK$25+$S6*$BJ$25*$AT6/1000)*(1-$BP$25)))</f>
        <v>0</v>
      </c>
      <c r="CJ6">
        <f>IF(AW6=$CK$73,AV6*$BJ$71,
IF(AW6=$CL$73,(R6-AZ121)*$BJ$67+S6*($BJ$68+$BJ$71),
IF(AW6=$CM$73,X6*$BJ$69+Y6*$BJ$70,
IF(AW6=$CN$73,(R6-AZ121)*$BJ$67+S6*$BJ$68+X6*$BJ$69+Y6*$BJ$70,))))</f>
        <v>0</v>
      </c>
      <c r="CK6">
        <f>IF($G6=$CJ$59,
($T6*$BK$11+$T6*$BJ$11*$AT6/1000),
IF($G6=$CK$59,
($T6*$BK$19+$T6*$BJ$19*$AT6/1000),
($T6*$BK$27+$T6*$BJ$27*$AT6/1000)))
+
IF(OR(AP6=2,AP6=1),
$BK$65*T6,)</f>
        <v>0</v>
      </c>
      <c r="CL6">
        <f>IF($G6=$CJ$59,
($BD6*$BK$7+$BD6*$BJ$7*$AT6/1000)*$BP$7+($R6*$BK$8+$R6*$BJ$8*$AT6/1000)*$BP$8+($S6*$BK$9+$S6*$BJ$9*$AT6/1000)*$BP$9,
IF($G6=$CK$59,
($BD6*$BK$15+$BD6*$BJ$15*$AT6/1000)*$BP$15+($R6*$BK$16+$R6*$BJ$16*$AT6/1000)*$BP$16+($S6*$BK$17+$S6*$BJ$17*$AT6/1000)*$BP$17,
($BD6*$BK$23+$BD6*$BJ$23*$AT6/1000)*$BP$23+($R6*$BK$24+$R6*$BJ$24*$AT6/1000)*$BP$24+($S6*$BK$25+$S6*$BJ$25*$AT6/1000)*$BP$25))</f>
        <v>0</v>
      </c>
      <c r="CM6">
        <f>IF(AR6&lt;3.5,$BK$52*AZ6,$BK$53*AZ6)
+
BA6*$BK$54
+
BC6*$BK$55
+
BB6*($BK$57+$BJ$57*E6/1000)</f>
        <v>0</v>
      </c>
      <c r="CN6">
        <f>IF(AW6=$CK$73,AV6*$BK$71,
IF(AW6=$CL$73,(R6-AZ121)*$BK$67+S6*($BK$68+$BK$71),
IF(AW6=$CM$73,X6*$BK$69+Y6*$BK$70,
IF(AW6=$CN$73,(R6-AZ121)*$BK$67+S6*$BK$68+X6*$BK$69+Y6*$BK$70,))))</f>
        <v>0</v>
      </c>
      <c r="CO6">
        <f>IF(OR(AP6=2,AP6=1),
$BK$61*R6+$BK$62*S6+$BK$64*Y6+$BK$63*X6,)</f>
        <v>0</v>
      </c>
      <c r="CP6" t="str">
        <f t="shared" si="19"/>
        <v/>
      </c>
      <c r="CQ6">
        <f>SUM(CD6:CF6)*C6</f>
        <v>0</v>
      </c>
      <c r="CR6" t="str">
        <f>IF(AO6="","",CP6*C6)</f>
        <v/>
      </c>
      <c r="CS6">
        <f>SUM(CK6)*C6</f>
        <v>0</v>
      </c>
      <c r="CT6">
        <f>SUM(CL6:CO6)*C6</f>
        <v>0</v>
      </c>
      <c r="CU6">
        <f>SUM(CG6:CJ6)*C6</f>
        <v>0</v>
      </c>
      <c r="CV6">
        <f>IF($CO$69="og",SUM(CD6:CO6)*$CU$1/60,SUM(CD6:CP6)*$CU$1/60)</f>
        <v>203.7166666666667</v>
      </c>
      <c r="CW6">
        <f>IF($AR6=2,($BH$46*$L6+$M6*$BH$47+$BH$45)*$BE6/1000+$L6*$BI$46+$M6*$BI$47+$BI$45,
IF($AR6=3,($BH$43*$L6+$M6*$BH$44+$BH$42)*$BE6/1000+$L6*$BI$43+$M6*$BI$44+$BI$42,
IF($AR6=4,($BH$40*$L6+$M6*$BH$41+$BH$39)*$BE6/1000+$L6*$BI$40+$M6*$BI$41+$BI$39,
IF($AR6=5,($BH$37*$L6+$M6*$BH$38+$BH$36)*$BE6/1000+$L6*$BI$37+$M6*$BI$38+$BI$36,))))</f>
        <v>210</v>
      </c>
      <c r="CX6">
        <f>IF($AR6=2,($BH$46*$N6+$O6*$BH$47)*$AT6/1000+$N6*$BI$46+$O6*$BI$47,
IF($AR6=3,($BH$43*$N6+$O6*$BH$44)*$AT6/1000+$N6*$BI$43+$O6*$BI$44,
IF($AR6=4,($BH$40*$N6+$O6*$BH$41)*$AT6/1000+$N6*$BI$40+$O6*$BI$41,
IF($AR6=5,($BH$37*$N6+$O6*$BH$38)*$AT6/1000+$N6*$BI$37+$O6*$BI$38,))))</f>
        <v>120</v>
      </c>
      <c r="CY6">
        <f>IF($G6=$CJ$59,
($BD6*$BI$7+$BD6*$BH$7*$AT6/1000)+($R6*$BI$8+$R6*$BH$8*$AT6/1000)+($S6*$BI$9+$S6*$BH$9*$AT6/1000)+($T6*$BI$11+$T6*$BH$11*$AT6/1000),
IF($G6=$CK$59,
($BD6*$BI$15+$BD6*$BH$15*$AT6/1000)+($R6*$BI$16+$R6*$BH$16*$AT6/1000)+($S6*$BI$17+$S6*$BH$17*$AT6/1000)+($T6*$BI$19+$T6*$BH$19*$AT6/1000),
($BD6*$BI$23+$BD6*$BH$23*$AT6/1000)+($R6*$BI$24+$R6*$BH$24*$AT6/1000)+($S6*$BI$25+$S6*$BH$25*$AT6/1000)+($T6*$BI$27+$T6*$BH$27*$AT6/1000)))</f>
        <v>0</v>
      </c>
      <c r="CZ6">
        <f>IF(AR6&lt;3.5,$BI$52*AZ6,$BI$53*AZ6)
+
BC6*$BI$55
+
BB6*$BI$57+BB6*$BH$57*E6/1000
+BA6*$BI$54</f>
        <v>0</v>
      </c>
      <c r="DA6">
        <f>IF(AW6=$CK$73,(R6+(S6*2))*$BI$71,
IF(AW6=$CL$73,(R6-AZ121)*$BI$67+S6*($BI$68+$BI$71),
IF(AW6=$CM$73,X6*$BI$69+Y6*$BI$70,
IF(AW6=$CN$73,(R6-AZ121)*$BI$67+S6*$BI$68+X6*$BI$68+Y6*$BI$70,))))</f>
        <v>0</v>
      </c>
      <c r="DB6">
        <f>IF(OR(AP6=2,AP6=1),
$BI$61*R6+$BI$62*S6+$BI$65*T6+$BI$64*Y6+$BI$63*X6,)</f>
        <v>0</v>
      </c>
      <c r="DC6" t="str">
        <f>IF(AO6="","",Z6*$BI$49+AA6*$BH$49)</f>
        <v/>
      </c>
      <c r="DD6">
        <f>SUM(CW6:DC6)*C6/60</f>
        <v>0</v>
      </c>
      <c r="DE6">
        <f>IF(AO6="",0,
SUM(CW6:DC6)/60)</f>
        <v>0</v>
      </c>
      <c r="DF6">
        <f>(BQ6+BR6+BS6+BV6)*$DE$3</f>
        <v>12.15</v>
      </c>
      <c r="DG6">
        <f>IF(AO6="",0,BW6+CV6+DF6)</f>
        <v>0</v>
      </c>
      <c r="DH6">
        <f>(BW6+IF(B$47=BH$74,CC6,0))*C6*(1+DE$3)</f>
        <v>0</v>
      </c>
      <c r="DI6">
        <f t="shared" ref="DI6:DI45" si="26">IF(MID(V6,1,2)="fy",(MID(V6,3,30))*AQ6/1000000,0)</f>
        <v>0</v>
      </c>
      <c r="DJ6"/>
      <c r="DK6"/>
      <c r="DL6">
        <f>DT6*C6</f>
        <v>0</v>
      </c>
      <c r="DM6">
        <f>DN6*C6</f>
        <v>0</v>
      </c>
      <c r="DN6">
        <f>IF(AO6="",0,SUM(($AS6-AY6)*$AT6/1000000))</f>
        <v>0</v>
      </c>
      <c r="DO6" t="e">
        <f>DK166</f>
        <v>#N/A</v>
      </c>
      <c r="DP6">
        <f>IFERROR(HLOOKUP(DG166,$CV$49:$DH$50,2,FALSE),)</f>
        <v>0</v>
      </c>
      <c r="DQ6" t="e">
        <f>DJ166</f>
        <v>#N/A</v>
      </c>
      <c r="DR6" t="e">
        <f>DI166</f>
        <v>#N/A</v>
      </c>
      <c r="DS6">
        <f>IF(AO6="",0,DN6*DL166)</f>
        <v>0</v>
      </c>
      <c r="DT6">
        <f>IF(AO6="",0,DU166)</f>
        <v>0</v>
      </c>
      <c r="DU6">
        <f>IF(AO6="",0,SUM(DN6*$DS$1))</f>
        <v>0</v>
      </c>
      <c r="DV6">
        <f t="shared" ref="DV6:DV45" si="27">IF(AO6="",0,((DN6-IF(DI6&gt;DN6,DN6,DI6))*$DT$1))</f>
        <v>0</v>
      </c>
      <c r="DW6">
        <f>IF(AO6="",0,IF($CO$69="og",SUM(DV6),SUM(DS6+DT6+DU6+DV6)))</f>
        <v>0</v>
      </c>
      <c r="DX6">
        <f>IF($CO$69="og",,C6*(DS6+DT6+DU6))</f>
        <v>0</v>
      </c>
      <c r="DY6">
        <f>DG6+DW6</f>
        <v>0</v>
      </c>
      <c r="DZ6">
        <f>SUM(DY6+DY6*$DZ$1)</f>
        <v>0</v>
      </c>
      <c r="EA6">
        <f>SUM(DZ6+DZ6*$EA$1)</f>
        <v>0</v>
      </c>
      <c r="EB6">
        <f>SUM(EA6+EA6*$EB$1)</f>
        <v>0</v>
      </c>
      <c r="EC6">
        <f>SUM(EB6+EB6*$EC$1)</f>
        <v>0</v>
      </c>
      <c r="ED6">
        <f>(EC6*$ED$1)</f>
        <v>0</v>
      </c>
      <c r="EE6">
        <f>(ED6+U6)</f>
        <v>0</v>
      </c>
      <c r="EF6">
        <f>ROUND(EE6,0)+EG6</f>
        <v>0</v>
      </c>
      <c r="EG6">
        <f>ROUND(((SUM(BX6:CA6))*($CC$1)*(1+$DE$3)*(1+$DZ$1)*(1+$EA$1)*(1+$EB$1)*(1+$EC$1)*$ED$1),0)</f>
        <v>0</v>
      </c>
      <c r="EH6">
        <f t="shared" ref="EH6:EH45" si="28">IFERROR(ROUND(((SUM(BX6:CA6))*($CB$1)*(1+$DE$3)*(1+$DZ$1)*(1+$EA$1)*(1+$EB$1)*(1+$EC$1)*$ED$1),0)-EG6,)</f>
        <v>0</v>
      </c>
      <c r="EI6">
        <f>AS6-(N6*$EK$3+O6*$EJ$3)</f>
        <v>-70</v>
      </c>
      <c r="EJ6">
        <f>IF(X6=0,0,
IF(AM6&gt;0,VALUE(AM6),
IF(Y6=0,EI6/X6,
IF(EI6/Z6&lt;EY6,EI6/Z6,
EY6))))</f>
        <v>0</v>
      </c>
      <c r="EK6">
        <f>IFERROR(IF(Y6="",0,
IF(X6=0,EI6/Y6,(EI6-EJ6*X6)/Y6)),)</f>
        <v>0</v>
      </c>
      <c r="EL6">
        <f>IFERROR(EY6*X6+EZ6*Y6,)</f>
        <v>0</v>
      </c>
      <c r="EM6" t="e">
        <f>IF(DO166*1000000/AQ6&lt;EY6,DO166*1000000/AQ6,EY6)</f>
        <v>#DIV/0!</v>
      </c>
      <c r="EN6">
        <f>IF(EO6="qf",EX6,IF(EO6="hf",EU6,ER6))</f>
        <v>0</v>
      </c>
      <c r="EO6" t="str">
        <f>IF(EW6&gt;AQ6,"qf",IF(ET6&gt;AQ6,"hf","üh"))</f>
        <v>üh</v>
      </c>
      <c r="EP6">
        <f>IFERROR(HLOOKUP($DG166,$CV$49:$DH$103,53,FALSE),)</f>
        <v>0</v>
      </c>
      <c r="EQ6">
        <f>IFERROR(HLOOKUP($DG166,$CV$49:$DH$103,54,FALSE),)</f>
        <v>0</v>
      </c>
      <c r="ER6">
        <f>IFERROR(HLOOKUP($DG166,$CV$49:$DH$103,55,FALSE),)</f>
        <v>0</v>
      </c>
      <c r="ES6">
        <f>IFERROR(HLOOKUP($DG166,$CV$49:$DH$103,43,FALSE),)</f>
        <v>0</v>
      </c>
      <c r="ET6">
        <f>IFERROR(HLOOKUP($DG166,$CV$49:$DH$103,44,FALSE),)</f>
        <v>0</v>
      </c>
      <c r="EU6">
        <f>IFERROR(HLOOKUP($DG166,$CV$49:$DH$103,45,FALSE),)</f>
        <v>0</v>
      </c>
      <c r="EV6">
        <f>IFERROR(HLOOKUP($DG166,$CV$49:$DH$103,48,FALSE),)</f>
        <v>0</v>
      </c>
      <c r="EW6">
        <f>IFERROR(HLOOKUP($DG166,$CV$49:$DH$103,49,FALSE),)</f>
        <v>0</v>
      </c>
      <c r="EX6">
        <f>IFERROR(HLOOKUP($DG166,$CV$49:$DH$103,50,FALSE),)</f>
        <v>0</v>
      </c>
      <c r="EY6">
        <f>IF(EO6="hf",EU6,
IF(EO6="qf",EX6,ER6))</f>
        <v>0</v>
      </c>
      <c r="EZ6">
        <f>IF(EO6="hf",ES6,
IF(EO6="qf",EV6,EP6))</f>
        <v>0</v>
      </c>
      <c r="FA6">
        <f>IF(EO6="hf",ET6,
IF(EO6="qf",EW6,EQ6))</f>
        <v>0</v>
      </c>
      <c r="FB6" t="str">
        <f>IF(AY6&gt;0,"",IF(AO6="","",IF(EJ6&gt;EN6,$FB$4,IF(EK6&gt;EZ6,$FB$4,""))))</f>
        <v/>
      </c>
      <c r="FC6" t="str">
        <f>IF(AO6="","",
IF(AQ6&lt;400,$FC$4,
IF(AQ6&gt;FA6,$FC$4,"")))</f>
        <v/>
      </c>
      <c r="FD6" t="str">
        <f>IF(AS6+E6=0,"",IF(SUM(L6:M6)=2,IF(SUM(N6+O6+BC6+BD6)=2,"",Sprache!$B$107),Sprache!$B$107))</f>
        <v/>
      </c>
      <c r="FE6" t="str">
        <f>IF(G6=$CV$107,IF($CV$108&gt;AQ6,"",$FE$4),
IF(G6=$CW$107,IF($CW$108&gt;AQ6,"",$FE$4),
IF(G6=$CX$107,IF($CX$108&gt;AQ6,"",$FE$4),)))</f>
        <v/>
      </c>
      <c r="FF6" t="str">
        <f>IFERROR("",IF(AO6=0,"",
IF(Q6="F","",
IF(EJ6=0,"",
IF(AQ6&lt;1500,IF(400&lt;EJ6,"",$FF$4),IF(700&lt;EJ6,"",$FF$4))))))</f>
        <v/>
      </c>
      <c r="FG6" t="str">
        <f>IF(N6&lt;0,$FG$4,"")</f>
        <v/>
      </c>
      <c r="FH6" t="str">
        <f ca="1">IF($A$3=TODAY(),"",
IF(BA121=1,IF(DN166=0,"",$FH$4),""))</f>
        <v/>
      </c>
      <c r="FI6" t="str">
        <f>IFERROR(IF(MID(V6,1,2)="fx","",
IF(AO6="","",
IF(OR(
AQ6*EJ6/1000000&gt;DO166,
AQ6*EK6/1000000&gt;DP166),
$FI$4,""))),"")</f>
        <v/>
      </c>
      <c r="FJ6" t="str">
        <f>IF(O6&lt;BA6,$FJ$4,"")</f>
        <v/>
      </c>
      <c r="FK6" t="str">
        <f>IF(R6&lt;BA6,$FK$4,"")</f>
        <v/>
      </c>
      <c r="FL6" t="str">
        <f>IF(MID(I6,1,1)="I",IF(AQ6&gt;4500,$FL$4,""),"")</f>
        <v/>
      </c>
      <c r="FM6" t="str">
        <f>IF(AO6&lt;&gt;1,"",
IF(F6="","",
IF(OR(F6=$CJ$52,F6=$CK$52,F6=$CL$52),"",$FM$4)))</f>
        <v/>
      </c>
      <c r="FN6" t="str">
        <f>IF(DX166="NEIN",IF(EA166="NEIN",$FN$4,""),"")</f>
        <v/>
      </c>
      <c r="FO6" t="str">
        <f>IF(AP6=2,
IF(EB166=0,"",$FO$4),"")</f>
        <v/>
      </c>
      <c r="FP6" t="str">
        <f>IF(P6="R",IF(AT6-AT7=0,"",$FP$4),
IF(P6=2,IF(AT6-AT7=0,"",$FP$4),""))</f>
        <v/>
      </c>
      <c r="FQ6" t="str">
        <f>IF(AO6="","",IF(DK166=0,Sprache!$B$65&amp;" ?",IF(CH166="?",$FQ$4,"")))</f>
        <v/>
      </c>
      <c r="FR6" t="str">
        <f>IF(DH166=$DI$51,"",
IF(DH166=$DI$56,"",
IF(DH166=$DI$61,"",
IF(DH166=$DI$66,"",
IF(DH166=$DI$71,"",
IF(DH166=$DI$76,"",
IF(DH166=$DI$81,"",$FR$4)))))))</f>
        <v/>
      </c>
      <c r="FS6" t="str">
        <f>IF((BA6+BB6)&gt;R6,$FS$4,"")</f>
        <v/>
      </c>
      <c r="FT6" t="str">
        <f>IF(AND(Y6=0,AM6&gt;0),$FT$4,"")</f>
        <v/>
      </c>
      <c r="FU6"/>
      <c r="FV6" t="str">
        <f ca="1">IF(TODAY()=$A$3,"",IF(TODAY()&gt;DATE(2018,7,1),CONCATENATE(Sprache!$B$89),""))</f>
        <v>outdated version</v>
      </c>
      <c r="FW6" t="str">
        <f ca="1">CONCATENATE(FV6,FU6,FT6,FS6,FR6,FP6,FQ6,FK6,FL6,FN6,FO6,FJ6,FI6,FH6,FG6,FF6,FE6,FD6,FC6,FB6,FM6,$BQ$98)</f>
        <v>outdated version</v>
      </c>
      <c r="FX6" t="str">
        <f ca="1">CONCATENATE(FV6,FU6,FT6,FS6,FR6,FP6,FQ6,FK6,FN6,FO6,FJ6,FG6,FF6,FE6,FD6,FL6,FM6,$BQ$98)</f>
        <v>outdated version</v>
      </c>
      <c r="FY6" t="str">
        <f ca="1">IF(AN6=1,"",
IF(AO6="","",
IF($FW$1=1,"",
IF(AND($A$3=TODAY(),FX6=""),"",
IF(FW6="","",
CONCATENATE(FW6))))))</f>
        <v/>
      </c>
      <c r="FZ6"/>
      <c r="GA6" s="407">
        <f>ROUND(CONVERT(GB6,"ft","m")*1000
+CONVERT(GC6,"in","m")*1000
+CONVERT(GD6,"in","m")*1000,1)</f>
        <v>0</v>
      </c>
      <c r="GB6" s="405"/>
      <c r="GC6" s="405"/>
      <c r="GD6" s="406"/>
      <c r="GE6" s="407">
        <f>ROUND(CONVERT(GF6,"ft","m")*1000
+CONVERT(GG6,"in","m")*1000
+CONVERT(GH6,"in","m")*1000,1)</f>
        <v>0</v>
      </c>
      <c r="GF6" s="405"/>
      <c r="GG6" s="404"/>
      <c r="GH6" s="406"/>
    </row>
    <row r="7" spans="1:190" s="243" customFormat="1" ht="14.25" customHeight="1" x14ac:dyDescent="0.2">
      <c r="A7" s="220"/>
      <c r="B7" s="221"/>
      <c r="C7" s="222"/>
      <c r="D7" s="223">
        <f t="shared" si="20"/>
        <v>0</v>
      </c>
      <c r="E7" s="223">
        <f t="shared" si="21"/>
        <v>0</v>
      </c>
      <c r="F7" s="224"/>
      <c r="G7" s="225"/>
      <c r="H7" s="225"/>
      <c r="I7" s="272"/>
      <c r="J7" s="264"/>
      <c r="K7" s="226"/>
      <c r="L7" s="227">
        <v>1</v>
      </c>
      <c r="M7" s="228">
        <f t="shared" si="4"/>
        <v>1</v>
      </c>
      <c r="N7" s="229">
        <f t="shared" si="5"/>
        <v>2</v>
      </c>
      <c r="O7" s="230"/>
      <c r="P7" s="231"/>
      <c r="Q7" s="232"/>
      <c r="R7" s="233">
        <f t="shared" si="6"/>
        <v>0</v>
      </c>
      <c r="S7" s="233">
        <f t="shared" si="7"/>
        <v>0</v>
      </c>
      <c r="T7" s="245">
        <f t="shared" si="8"/>
        <v>0</v>
      </c>
      <c r="U7" s="234"/>
      <c r="V7" s="270"/>
      <c r="W7" s="267"/>
      <c r="X7" s="235">
        <f t="shared" si="9"/>
        <v>0</v>
      </c>
      <c r="Y7" s="236" t="str">
        <f t="shared" si="10"/>
        <v/>
      </c>
      <c r="Z7" s="237">
        <f t="shared" si="11"/>
        <v>0</v>
      </c>
      <c r="AA7" s="238">
        <f t="shared" si="12"/>
        <v>0</v>
      </c>
      <c r="AB7" s="239" t="str">
        <f t="shared" si="13"/>
        <v/>
      </c>
      <c r="AC7" s="240" t="str">
        <f t="shared" ca="1" si="14"/>
        <v/>
      </c>
      <c r="AD7" s="394" t="str">
        <f t="shared" ca="1" si="15"/>
        <v/>
      </c>
      <c r="AE7" s="241" t="str">
        <f>IF(AO7="","",IFERROR(IF(ELEMENT!$CH$78=ELEMENT!$CM$63,(AC7/AA7/10.75),(AC7/AA7)),""))</f>
        <v/>
      </c>
      <c r="AF7" s="241" t="str">
        <f t="shared" si="16"/>
        <v/>
      </c>
      <c r="AG7" s="238" t="str">
        <f t="shared" si="17"/>
        <v/>
      </c>
      <c r="AH7" s="242" t="str">
        <f t="shared" si="18"/>
        <v/>
      </c>
      <c r="AI7" s="192"/>
      <c r="AJ7" s="274"/>
      <c r="AK7"/>
      <c r="AL7"/>
      <c r="AM7">
        <f>IF(MID(V7,1,2)="sb",(MID(V7,3,30)),)</f>
        <v>0</v>
      </c>
      <c r="AN7" t="str">
        <f>IF(U7="","",IF(V7="","",IF(AO7="",1,"")))</f>
        <v/>
      </c>
      <c r="AO7" t="str">
        <f>IF(E7&gt;0,IF(D7&gt;0,IF(Q7="","",1),""),"")</f>
        <v/>
      </c>
      <c r="AP7" t="str">
        <f>IF(W7="RC2",2,
IF(W7="RCOG",1,""))</f>
        <v/>
      </c>
      <c r="AQ7">
        <f t="shared" si="22"/>
        <v>0</v>
      </c>
      <c r="AR7">
        <f>IF(F7="",2,F7)</f>
        <v>2</v>
      </c>
      <c r="AS7">
        <f t="shared" ref="AS7:AS45" si="29">IF(AO7="",,IF($L$47=$CK$55,D7,D7+N7*$BF$34+O7*$BF$35
+BD7*
IF(AR7=2,$BP$46,
IF(AR7=3,$BP$43,
IF(AR7=4,$BP$40,$BP$37)))))</f>
        <v>0</v>
      </c>
      <c r="AT7">
        <f t="shared" si="23"/>
        <v>0</v>
      </c>
      <c r="AU7">
        <f>AS7</f>
        <v>0</v>
      </c>
      <c r="AV7">
        <f>IF(AW7=$CK$73,R7+S7+CC330,)</f>
        <v>0</v>
      </c>
      <c r="AW7">
        <f>H7</f>
        <v>0</v>
      </c>
      <c r="AX7" t="str">
        <f t="shared" si="24"/>
        <v/>
      </c>
      <c r="AY7">
        <f>IF(MID(V7,1,2)="fx",(MID(V7,3,30)),0)</f>
        <v>0</v>
      </c>
      <c r="AZ7">
        <f>TRUNC(BE7/6400,0)</f>
        <v>0</v>
      </c>
      <c r="BA7">
        <f>IF(I7=$CM$67,1,
IF(I7=$CN$67,1,
IF(I7=$CO$67,2,)))</f>
        <v>0</v>
      </c>
      <c r="BB7">
        <f>IF(I7=$CK$67,1,
IF(I7=$CM$67,1,
IF(I7=$CL$67,2,)))</f>
        <v>0</v>
      </c>
      <c r="BC7">
        <f>SUM(BD122:BE122)</f>
        <v>0</v>
      </c>
      <c r="BD7">
        <f>IF(P7="R",1,IF(P7="L",1,IF(P7=2,2,0)))</f>
        <v>0</v>
      </c>
      <c r="BE7">
        <f>IF(AO7="",0,AS7+$BF$56*BC7)</f>
        <v>0</v>
      </c>
      <c r="BF7">
        <f t="shared" si="25"/>
        <v>0</v>
      </c>
      <c r="BG7">
        <f>IF($AH$4=$CK$75,'S2'!T7,
IF($AH$4=$CL$75,'S3'!T7,
IF($AH$4=$CJ$75,'S1'!T7,
IF($AH$4=$CM$75,S3M!T7,))))</f>
        <v>15</v>
      </c>
      <c r="BH7">
        <f>IF($AH$4=$CK$75,'S2'!U7,
IF($AH$4=$CL$75,'S3'!U7,
IF($AH$4=$CJ$75,'S1'!U7,
IF($AH$4=$CM$75,S3M!U7,))))</f>
        <v>20</v>
      </c>
      <c r="BI7">
        <f>IF($AH$4=$CK$75,'S2'!V7,
IF($AH$4=$CL$75,'S3'!V7,
IF($AH$4=$CJ$75,'S1'!V7,
IF($AH$4=$CM$75,S3M!V7,))))</f>
        <v>70</v>
      </c>
      <c r="BJ7">
        <f>IF($AH$4=$CK$75,'S2'!W7,
IF($AH$4=$CL$75,'S3'!W7,
IF($AH$4=$CJ$75,'S1'!W7,
IF($AH$4=$CM$75,S3M!W7,))))</f>
        <v>5.5</v>
      </c>
      <c r="BK7">
        <f>IF($AH$4=$CK$75,'S2'!X7,
IF($AH$4=$CL$75,'S3'!X7,
IF($AH$4=$CJ$75,'S1'!X7,
IF($AH$4=$CM$75,S3M!X7,))))</f>
        <v>69.300000000000011</v>
      </c>
      <c r="BL7">
        <f>IF($AH$4=$CK$75,'S2'!Y7,
IF($AH$4=$CL$75,'S3'!Y7,
IF($AH$4=$CJ$75,'S1'!Y7,
IF($AH$4=$CM$75,S3M!Y7,))))</f>
        <v>170</v>
      </c>
      <c r="BM7">
        <f>IF($AH$4=$CK$75,'S2'!Z7,
IF($AH$4=$CL$75,'S3'!Z7,
IF($AH$4=$CJ$75,'S1'!Z7,
IF($AH$4=$CM$75,S3M!Z7,))))</f>
        <v>58</v>
      </c>
      <c r="BN7">
        <f>IF($AH$4=$CK$75,'S2'!AA7,
IF($AH$4=$CL$75,'S3'!AA7,
IF($AH$4=$CJ$75,'S1'!AA7,
IF($AH$4=$CM$75,S3M!AA7,))))</f>
        <v>0.622</v>
      </c>
      <c r="BO7">
        <f>IF($AH$4=$CK$75,'S2'!AB7,
IF($AH$4=$CL$75,'S3'!AB7,
IF($AH$4=$CJ$75,'S1'!AB7,
IF($AH$4=$CM$75,S3M!AB7,))))</f>
        <v>4.0999999999999996</v>
      </c>
      <c r="BP7">
        <v>0.4</v>
      </c>
      <c r="BQ7">
        <f>IF($AR7=2,($BM$46*$L7+$M7*$BM$47+$BM$45)*$BE7/1000+$L7*$BL$46+$M7*$BL$47+$BL$45,
IF($AR7=3,($BM$43*$L7+$M7*$BM$44+$BM$42)*$BE7/1000+$L7*$BL$43+$M7*$BL$44+$BL$42,
IF($AR7=4,($BM$40*$L7+$M7*$BM$41+$BM$39)*$BE7/1000+$L7*$BL$40+$M7*$BL$41+$BL$39,
IF($AR7=5,($BM$37*$L7+$M7*$BM$38+$BM$36)*$BE7/1000+$L7*$BL$37+$M7*$BL$38+$BL$36,))))</f>
        <v>58</v>
      </c>
      <c r="BR7">
        <f>IF($AR7=2,($BM$46*$N7+$O7*$BM$47)*$AT7/1000+$N7*$BL$46+$O7*$BL$47,
IF($AR7=3,($BM$43*$N7+$O7*$BM$44)*$AT7/1000+$N7*$BL$43+$O7*$BL$44,
IF($AR7=4,($BM$40*$N7+$O7*$BM$41)*$AT7/1000+$N7*$BL$40+$O7*$BL$41,
IF($AR7=5,($BM$37*$N7+$O7*$BM$38)*$AT7/1000+$N7*$BL$37+$O7*$BL$38,))))</f>
        <v>32</v>
      </c>
      <c r="BS7">
        <f>IF($G7=$CJ$59,
($BD7*$BL$7+$BD7*$BM$7*$AT7/1000)+($R7*$BL$8+$R7*$BM$8*$AT7/1000)+($S7*$BL$9+$S7*$BM$9*$AT7/1000)+($T7*$BL$11+$T7*$BM$11*$AT7/1000),
IF($G7=$CK$59,
($BD7*$BL$15+$BD7*$BM$15*$AT7/1000)+($R7*$BL$16+$R7*$BM$16*$AT7/1000)+($S7*$BL$17+$S7*$BM$17*$AT7/1000)+($T7*$BL$19+$T7*$BM$19*$AT7/1000),
($BD7*$BL$23+$BD7*$BM$23*$AT7/1000)+($R7*$BL$24+$R7*$BM$24*$AT7/1000)+($S7*$BL$25+$S7*$BM$25*$AT7/1000)+($T7*$BL$27+$T7*$BM$27*$AT7/1000)))</f>
        <v>0</v>
      </c>
      <c r="BT7">
        <f>X7*$BL$58
+
IF(OR(AP7=2,AP7=1),
$BL$61*R7+$BL$62*S7+$BL$65*T7+$BL$64*Y7+$BL$63*X7,)</f>
        <v>0</v>
      </c>
      <c r="BU7">
        <f>IF(AW7=$CK$73,AV7*$BL$71,
IF(AW7=$CL$73,(R7-AZ122)*$BL$67+S7*($BL$68+$BL$71),
IF(AW7=$CM$73,X7*$BL$69+Y7*$BL$70,
IF(AW7=$CN$73,(R7-AZ122)*$BL$67+S7*$BL$68+X7*$BL$69+Y7*$BL$70,))))</f>
        <v>0</v>
      </c>
      <c r="BV7">
        <f>IF(AR7&lt;3.5,$BL$52*AZ7,$BL$53*AZ7)
+
BA7*$BL$54
+
BC7*$BL$55
+
BB7*$BL$57+$BM$57*AT7/1000
+
IF(AQ7&gt;2900,BB7*220,)</f>
        <v>0</v>
      </c>
      <c r="BW7">
        <f>SUM(BQ7:BV7)</f>
        <v>90</v>
      </c>
      <c r="BX7">
        <f>IF($AR7=2,($BN$46*$L7+$M7*$BN$47+$BN$45)*$BE7/1000,
IF($AR7=3,($BN$43*$L7+$M7*$BN$44+$BN$42)*$BE7/1000,
IF($AR7=4,($BN$40*$L7+$M7*$BN$41+$BN$39)*$BE7/1000,
IF($AR7=5,($BN$37*$L7+$M7*$BN$38+$BN$36)*$BE7/1000,))))</f>
        <v>0</v>
      </c>
      <c r="BY7">
        <f>IF($AR7=2,($BN$46*$N7+$O7*$BN$47+$BN$45)*$AT7/1000,
IF($AR7=3,($BN$43*$N7+$O7*$BN$44+$BN$42)*$AT7/1000,
IF($AR7=4,($BN$40*$N7+$O7*$BN$41+$BN$39)*$AT7/1000,
IF($AR7=5,($BN$37*$N7+$O7*$BN$38+$BN$36)*$AT7/1000,))))</f>
        <v>0</v>
      </c>
      <c r="BZ7">
        <f>IF($G7=$CJ$59,
($BD7*$BN$7*$AT7/1000)+($R7*$BN$8*$AT7/1000)+($S7*$BN$9*$AT7/1000)+($T7*$BN$11*$AT7/1000),
IF($G7=$CK$59,
($BD7*$BN$15*$AT7/1000)+($R7*$BN$16*$AT7/1000)+($S7*$BN$17*$AT7/1000)+($T7*$BN$19*$AT7/1000),
($BD7*$BN$23*$AT7/1000)+($R7*$BN$24*$AT7/1000)+($S7*$BN$25*$AT7/1000)+($T7*$BN$27*$AT7/1000)))</f>
        <v>0</v>
      </c>
      <c r="CA7">
        <f>BB7*$BN$57*E7/1000</f>
        <v>0</v>
      </c>
      <c r="CB7">
        <f>SUM(BX7:CA7)*C7</f>
        <v>0</v>
      </c>
      <c r="CC7">
        <f>SUM(BX7:CA7)*$CC$1</f>
        <v>0</v>
      </c>
      <c r="CD7">
        <f>IF(G7=$CJ$59,
$BG$7*BD7+$BG$8*R7+S7*$BG$9+T7*$BG$11,
IF(G7=$CK$59,
$BG$15*BD7+$BG$16*R7+S7*$BG$17+T7*$BG$19,
$BG$23*BD7+$BG$24*R7+S7*$BG$25+T7*$BG$27))+
IF(AR7=2,$BG$45+$BG$46*L7+$BG$47*M7+N7*$BG$46+O7*$BG$47,
IF(AR7=3,L7*$BG$43+M7*$BG$44+$BG$42+N7*$BG$43+O7*$BG$44,
L7*$BG$40+M7*$BG$41+$BG$39+N7*$BG$40+O7*$BG$41))
+
$BG$55*BC7
+
$BG$57*BB7
+
$BG$54*BA7
+
IF(AR7&lt;3.5,$BG$52*AZ7,$BG$53*AZ7)</f>
        <v>80</v>
      </c>
      <c r="CE7">
        <f>IF(AW7=$CK$73,AV7*$BG$71,
IF(AW7=$CL$73,(R7-AZ122)*$BG$67+S7*($BG$68+$BG$71),
IF(AW7=$CM$73,X7*$BG$69+Y7*$BG$70,
IF(AW7=$CN$73,(R7-AZ122)*$BG$67+S7*$BG$68+X7*$BG$69+Y7*$BG$70,))))</f>
        <v>0</v>
      </c>
      <c r="CF7">
        <f>IF(OR(AP7=2,AP7=1),
$BG$61*R7+$BG$62*S7+$BG$65*T7+$BG$64*Y7+$BG$63*X7,)</f>
        <v>0</v>
      </c>
      <c r="CG7">
        <f>IF($AR7=2,($BJ$46*$L7+$M7*$BJ$47+$BJ$45)*$BE7/1000+$L7*$BK$46+$M7*$BK$47+$BK$45,
IF($AR7=3,($BJ$43*$L7+$M7*$BJ$44+$BJ$42)*$BE7/1000+$L7*$BK$43+$M7*$BK$44+$BK$42,
IF($AR7=4,($BJ$40*$L7+$M7*$BJ$41+$BJ$39)*$BE7/1000+$L7*$BK$40+$M7*$BK$41+$BK$39,
IF($AR7=5,($BJ$37*$L7+$M7*$BJ$38+$BJ$36)*$BE7/1000+$L7*$BK$37+$M7*$BK$38+$BK$36,))))</f>
        <v>46.2</v>
      </c>
      <c r="CH7">
        <f>IF($AR7=2,($BJ$46*$N7+$O7*$BJ$47)*$AT7/1000+$N7*$BK$46+$O7*$BK$47,
IF($AR7=3,($BJ$43*$N7+$O7*$BJ$44)*$AT7/1000+$N7*$BK$43+$O7*$BK$44,
IF($AR7=4,($BJ$40*$N7+$O7*$BJ$41)*$AT7/1000+$N7*$BK$40+$O7*$BK$41,
IF($AR7=5,($BJ$37*$N7+$O7*$BJ$38)*$AT7/1000+$N7*$BK$37+$O7*$BK$38,))))</f>
        <v>17.600000000000001</v>
      </c>
      <c r="CI7">
        <f>IF($G7=$CJ$59,
($BD7*$BK$7+$BD7*$BJ$7*$AT7/1000)*(1-$BP$7)+($R7*$BK$8+$R7*$BJ$8*$AT7/1000)*(1-$BP$8)+($S7*$BK$9+$S7*$BJ$9*$AT7/1000)*(1-$BP$9),
IF($G7=$CK$59,
($BD7*$BK$15+$BD7*$BJ$15*$AT7/1000)*(1-$BP$15)+($R7*$BK$16+$R7*$BJ$16*$AT7/1000)*(1-$BP$16)+($S7*$BK$17+$S7*$BJ$17*$AT7/1000)*(1-$BP$17),
($BD7*$BK$23+$BD7*$BJ$23*$AT7/1000)*(1-$BP$23)+($R7*$BK$24+$R7*$BJ$24*$AT7/1000)*(1-$BP$24)+($S7*$BK$25+$S7*$BJ$25*$AT7/1000)*(1-$BP$25)))</f>
        <v>0</v>
      </c>
      <c r="CJ7">
        <f>IF(AW7=$CK$73,AV7*$BJ$71,
IF(AW7=$CL$73,(R7-AZ122)*$BJ$67+S7*($BJ$68+$BJ$71),
IF(AW7=$CM$73,X7*$BJ$69+Y7*$BJ$70,
IF(AW7=$CN$73,(R7-AZ122)*$BJ$67+S7*$BJ$68+X7*$BJ$69+Y7*$BJ$70,))))</f>
        <v>0</v>
      </c>
      <c r="CK7">
        <f>IF($G7=$CJ$59,
($T7*$BK$11+$T7*$BJ$11*$AT7/1000),
IF($G7=$CK$59,
($T7*$BK$19+$T7*$BJ$19*$AT7/1000),
($T7*$BK$27+$T7*$BJ$27*$AT7/1000)))
+
IF(OR(AP7=2,AP7=1),
$BK$65*T7,)</f>
        <v>0</v>
      </c>
      <c r="CL7">
        <f>IF($G7=$CJ$59,
($BD7*$BK$7+$BD7*$BJ$7*$AT7/1000)*$BP$7+($R7*$BK$8+$R7*$BJ$8*$AT7/1000)*$BP$8+($S7*$BK$9+$S7*$BJ$9*$AT7/1000)*$BP$9,
IF($G7=$CK$59,
($BD7*$BK$15+$BD7*$BJ$15*$AT7/1000)*$BP$15+($R7*$BK$16+$R7*$BJ$16*$AT7/1000)*$BP$16+($S7*$BK$17+$S7*$BJ$17*$AT7/1000)*$BP$17,
($BD7*$BK$23+$BD7*$BJ$23*$AT7/1000)*$BP$23+($R7*$BK$24+$R7*$BJ$24*$AT7/1000)*$BP$24+($S7*$BK$25+$S7*$BJ$25*$AT7/1000)*$BP$25))</f>
        <v>0</v>
      </c>
      <c r="CM7">
        <f>IF(AR7&lt;3.5,$BK$52*AZ7,$BK$53*AZ7)
+
BA7*$BK$54
+
BC7*$BK$55
+
BB7*($BK$57+$BJ$57*E7/1000)</f>
        <v>0</v>
      </c>
      <c r="CN7">
        <f>IF(AW7=$CK$73,AV7*$BK$71,
IF(AW7=$CL$73,(R7-AZ122)*$BK$67+S7*($BK$68+$BK$71),
IF(AW7=$CM$73,X7*$BK$69+Y7*$BK$70,
IF(AW7=$CN$73,(R7-AZ122)*$BK$67+S7*$BK$68+X7*$BK$69+Y7*$BK$70,))))</f>
        <v>0</v>
      </c>
      <c r="CO7">
        <f>IF(OR(AP7=2,AP7=1),
$BK$61*R7+$BK$62*S7+$BK$64*Y7+$BK$63*X7,)</f>
        <v>0</v>
      </c>
      <c r="CP7" t="str">
        <f t="shared" si="19"/>
        <v/>
      </c>
      <c r="CQ7">
        <f>SUM(CD7:CF7)*C7</f>
        <v>0</v>
      </c>
      <c r="CR7" t="str">
        <f>IF(AO7="","",CP7*C7)</f>
        <v/>
      </c>
      <c r="CS7">
        <f>SUM(CK7)*C7</f>
        <v>0</v>
      </c>
      <c r="CT7">
        <f>SUM(CL7:CO7)*C7</f>
        <v>0</v>
      </c>
      <c r="CU7">
        <f>SUM(CG7:CJ7)*C7</f>
        <v>0</v>
      </c>
      <c r="CV7">
        <f>IF($CO$69="og",SUM(CD7:CO7)*$CU$1/60,SUM(CD7:CP7)*$CU$1/60)</f>
        <v>203.7166666666667</v>
      </c>
      <c r="CW7">
        <f>IF($AR7=2,($BH$46*$L7+$M7*$BH$47+$BH$45)*$BE7/1000+$L7*$BI$46+$M7*$BI$47+$BI$45,
IF($AR7=3,($BH$43*$L7+$M7*$BH$44+$BH$42)*$BE7/1000+$L7*$BI$43+$M7*$BI$44+$BI$42,
IF($AR7=4,($BH$40*$L7+$M7*$BH$41+$BH$39)*$BE7/1000+$L7*$BI$40+$M7*$BI$41+$BI$39,
IF($AR7=5,($BH$37*$L7+$M7*$BH$38+$BH$36)*$BE7/1000+$L7*$BI$37+$M7*$BI$38+$BI$36,))))</f>
        <v>210</v>
      </c>
      <c r="CX7">
        <f>IF($AR7=2,($BH$46*$N7+$O7*$BH$47)*$AT7/1000+$N7*$BI$46+$O7*$BI$47,
IF($AR7=3,($BH$43*$N7+$O7*$BH$44)*$AT7/1000+$N7*$BI$43+$O7*$BI$44,
IF($AR7=4,($BH$40*$N7+$O7*$BH$41)*$AT7/1000+$N7*$BI$40+$O7*$BI$41,
IF($AR7=5,($BH$37*$N7+$O7*$BH$38)*$AT7/1000+$N7*$BI$37+$O7*$BI$38,))))</f>
        <v>120</v>
      </c>
      <c r="CY7">
        <f>IF($G7=$CJ$59,
($BD7*$BI$7+$BD7*$BH$7*$AT7/1000)+($R7*$BI$8+$R7*$BH$8*$AT7/1000)+($S7*$BI$9+$S7*$BH$9*$AT7/1000)+($T7*$BI$11+$T7*$BH$11*$AT7/1000),
IF($G7=$CK$59,
($BD7*$BI$15+$BD7*$BH$15*$AT7/1000)+($R7*$BI$16+$R7*$BH$16*$AT7/1000)+($S7*$BI$17+$S7*$BH$17*$AT7/1000)+($T7*$BI$19+$T7*$BH$19*$AT7/1000),
($BD7*$BI$23+$BD7*$BH$23*$AT7/1000)+($R7*$BI$24+$R7*$BH$24*$AT7/1000)+($S7*$BI$25+$S7*$BH$25*$AT7/1000)+($T7*$BI$27+$T7*$BH$27*$AT7/1000)))</f>
        <v>0</v>
      </c>
      <c r="CZ7">
        <f>IF(AR7&lt;3.5,$BI$52*AZ7,$BI$53*AZ7)
+
BC7*$BI$55
+
BB7*$BI$57+BB7*$BH$57*E7/1000
+BA7*$BI$54</f>
        <v>0</v>
      </c>
      <c r="DA7">
        <f>IF(AW7=$CK$73,(R7+(S7*2))*$BI$71,
IF(AW7=$CL$73,(R7-AZ122)*$BI$67+S7*($BI$68+$BI$71),
IF(AW7=$CM$73,X7*$BI$69+Y7*$BI$70,
IF(AW7=$CN$73,(R7-AZ122)*$BI$67+S7*$BI$68+X7*$BI$68+Y7*$BI$70,))))</f>
        <v>0</v>
      </c>
      <c r="DB7">
        <f>IF(OR(AP7=2,AP7=1),
$BI$61*R7+$BI$62*S7+$BI$65*T7+$BI$64*Y7+$BI$63*X7,)</f>
        <v>0</v>
      </c>
      <c r="DC7" t="str">
        <f>IF(AO7="","",Z7*$BI$49+AA7*$BH$49)</f>
        <v/>
      </c>
      <c r="DD7">
        <f>SUM(CW7:DC7)*C7/60</f>
        <v>0</v>
      </c>
      <c r="DE7">
        <f>IF(AO7="",0,
SUM(CW7:DC7)/60)</f>
        <v>0</v>
      </c>
      <c r="DF7">
        <f>(BQ7+BR7+BS7+BV7)*$DE$3</f>
        <v>12.15</v>
      </c>
      <c r="DG7">
        <f>IF(AO7="",0,BW7+CV7+DF7)</f>
        <v>0</v>
      </c>
      <c r="DH7">
        <f>(BW7+IF(B$47=BH$74,CC7,0))*C7*(1+DE$3)</f>
        <v>0</v>
      </c>
      <c r="DI7">
        <f t="shared" si="26"/>
        <v>0</v>
      </c>
      <c r="DJ7"/>
      <c r="DK7"/>
      <c r="DL7">
        <f>DT7*C7</f>
        <v>0</v>
      </c>
      <c r="DM7">
        <f>DN7*C7</f>
        <v>0</v>
      </c>
      <c r="DN7">
        <f>IF(AO7="",0,SUM(($AS7-AY7)*$AT7/1000000))</f>
        <v>0</v>
      </c>
      <c r="DO7" t="e">
        <f>DK167</f>
        <v>#N/A</v>
      </c>
      <c r="DP7">
        <f>IFERROR(HLOOKUP(DG167,$CV$49:$DH$50,2,FALSE),)</f>
        <v>0</v>
      </c>
      <c r="DQ7" t="e">
        <f>DJ167</f>
        <v>#N/A</v>
      </c>
      <c r="DR7" t="e">
        <f>DI167</f>
        <v>#N/A</v>
      </c>
      <c r="DS7">
        <f>IF(AO7="",0,DN7*DL167)</f>
        <v>0</v>
      </c>
      <c r="DT7">
        <f>IF(AO7="",0,DU167)</f>
        <v>0</v>
      </c>
      <c r="DU7">
        <f>IF(AO7="",0,SUM(DN7*$DS$1))</f>
        <v>0</v>
      </c>
      <c r="DV7">
        <f t="shared" si="27"/>
        <v>0</v>
      </c>
      <c r="DW7">
        <f>IF(AO7="",0,IF($CO$69="og",SUM(DV7),SUM(DS7+DT7+DU7+DV7)))</f>
        <v>0</v>
      </c>
      <c r="DX7">
        <f>IF($CO$69="og",,C7*(DS7+DT7+DU7))</f>
        <v>0</v>
      </c>
      <c r="DY7">
        <f>DG7+DW7</f>
        <v>0</v>
      </c>
      <c r="DZ7">
        <f>SUM(DY7+DY7*$DZ$1)</f>
        <v>0</v>
      </c>
      <c r="EA7">
        <f>SUM(DZ7+DZ7*$EA$1)</f>
        <v>0</v>
      </c>
      <c r="EB7">
        <f>SUM(EA7+EA7*$EB$1)</f>
        <v>0</v>
      </c>
      <c r="EC7">
        <f>SUM(EB7+EB7*$EC$1)</f>
        <v>0</v>
      </c>
      <c r="ED7">
        <f>(EC7*$ED$1)</f>
        <v>0</v>
      </c>
      <c r="EE7">
        <f>(ED7+U7)</f>
        <v>0</v>
      </c>
      <c r="EF7">
        <f>ROUND(EE7,0)+EG7</f>
        <v>0</v>
      </c>
      <c r="EG7">
        <f>ROUND(((SUM(BX7:CA7))*($CC$1)*(1+$DE$3)*(1+$DZ$1)*(1+$EA$1)*(1+$EB$1)*(1+$EC$1)*$ED$1),0)</f>
        <v>0</v>
      </c>
      <c r="EH7">
        <f t="shared" si="28"/>
        <v>0</v>
      </c>
      <c r="EI7">
        <f>AS7-(N7*$EK$3+O7*$EJ$3)</f>
        <v>-70</v>
      </c>
      <c r="EJ7">
        <f>IF(X7=0,0,
IF(AM7&gt;0,VALUE(AM7),
IF(Y7=0,EI7/X7,
IF(EI7/Z7&lt;EY7,EI7/Z7,
EY7))))</f>
        <v>0</v>
      </c>
      <c r="EK7">
        <f>IFERROR(IF(Y7="",0,
IF(X7=0,EI7/Y7,(EI7-EJ7*X7)/Y7)),)</f>
        <v>0</v>
      </c>
      <c r="EL7">
        <f>IFERROR(EY7*X7+EZ7*Y7,)</f>
        <v>0</v>
      </c>
      <c r="EM7" t="e">
        <f>IF(DO167*1000000/AQ7&lt;EY7,DO167*1000000/AQ7,EY7)</f>
        <v>#DIV/0!</v>
      </c>
      <c r="EN7">
        <f>IF(EO7="qf",EX7,IF(EO7="hf",EU7,ER7))</f>
        <v>0</v>
      </c>
      <c r="EO7" t="str">
        <f>IF(EW7&gt;AQ7,"qf",IF(ET7&gt;AQ7,"hf","üh"))</f>
        <v>üh</v>
      </c>
      <c r="EP7">
        <f>IFERROR(HLOOKUP($DG167,$CV$49:$DH$103,53,FALSE),)</f>
        <v>0</v>
      </c>
      <c r="EQ7">
        <f>IFERROR(HLOOKUP($DG167,$CV$49:$DH$103,54,FALSE),)</f>
        <v>0</v>
      </c>
      <c r="ER7">
        <f>IFERROR(HLOOKUP($DG167,$CV$49:$DH$103,55,FALSE),)</f>
        <v>0</v>
      </c>
      <c r="ES7">
        <f>IFERROR(HLOOKUP($DG167,$CV$49:$DH$103,43,FALSE),)</f>
        <v>0</v>
      </c>
      <c r="ET7">
        <f>IFERROR(HLOOKUP($DG167,$CV$49:$DH$103,44,FALSE),)</f>
        <v>0</v>
      </c>
      <c r="EU7">
        <f>IFERROR(HLOOKUP($DG167,$CV$49:$DH$103,45,FALSE),)</f>
        <v>0</v>
      </c>
      <c r="EV7">
        <f>IFERROR(HLOOKUP($DG167,$CV$49:$DH$103,48,FALSE),)</f>
        <v>0</v>
      </c>
      <c r="EW7">
        <f>IFERROR(HLOOKUP($DG167,$CV$49:$DH$103,49,FALSE),)</f>
        <v>0</v>
      </c>
      <c r="EX7">
        <f>IFERROR(HLOOKUP($DG167,$CV$49:$DH$103,50,FALSE),)</f>
        <v>0</v>
      </c>
      <c r="EY7">
        <f>IF(EO7="hf",EU7,
IF(EO7="qf",EX7,ER7))</f>
        <v>0</v>
      </c>
      <c r="EZ7">
        <f>IF(EO7="hf",ES7,
IF(EO7="qf",EV7,EP7))</f>
        <v>0</v>
      </c>
      <c r="FA7">
        <f>IF(EO7="hf",ET7,
IF(EO7="qf",EW7,EQ7))</f>
        <v>0</v>
      </c>
      <c r="FB7" t="str">
        <f>IF(AY7&gt;0,"",IF(AO7="","",IF(EJ7&gt;EN7,$FB$4,IF(EK7&gt;EZ7,$FB$4,""))))</f>
        <v/>
      </c>
      <c r="FC7" t="str">
        <f>IF(AO7="","",
IF(AQ7&lt;400,$FC$4,
IF(AQ7&gt;FA7,$FC$4,"")))</f>
        <v/>
      </c>
      <c r="FD7" t="str">
        <f>IF(AS7+E7=0,"",IF(SUM(L7:M7)=2,IF(SUM(N7+O7+BC7+BD7)=2,"",Sprache!$B$107),Sprache!$B$107))</f>
        <v/>
      </c>
      <c r="FE7" t="str">
        <f>IF(G7=$CV$107,IF($CV$108&gt;AQ7,"",$FE$4),
IF(G7=$CW$107,IF($CW$108&gt;AQ7,"",$FE$4),
IF(G7=$CX$107,IF($CX$108&gt;AQ7,"",$FE$4),)))</f>
        <v/>
      </c>
      <c r="FF7" t="str">
        <f>IFERROR("",IF(AO7=0,"",
IF(Q7="F","",
IF(EJ7=0,"",
IF(AQ7&lt;1500,IF(400&lt;EJ7,"",$FF$4),IF(700&lt;EJ7,"",$FF$4))))))</f>
        <v/>
      </c>
      <c r="FG7" t="str">
        <f>IF(N7&lt;0,$FG$4,"")</f>
        <v/>
      </c>
      <c r="FH7" t="str">
        <f ca="1">IF($A$3=TODAY(),"",
IF(BA122=1,IF(DN167=0,"",$FH$4),""))</f>
        <v/>
      </c>
      <c r="FI7" t="str">
        <f>IFERROR(IF(MID(V7,1,2)="fx","",
IF(AO7="","",
IF(OR(
AQ7*EJ7/1000000&gt;DO167,
AQ7*EK7/1000000&gt;DP167),
$FI$4,""))),"")</f>
        <v/>
      </c>
      <c r="FJ7" t="str">
        <f>IF(O7&lt;BA7,$FJ$4,"")</f>
        <v/>
      </c>
      <c r="FK7" t="str">
        <f>IF(R7&lt;BA7,$FK$4,"")</f>
        <v/>
      </c>
      <c r="FL7" t="str">
        <f>IF(MID(I7,1,1)="I",IF(AQ7&gt;4500,$FL$4,""),"")</f>
        <v/>
      </c>
      <c r="FM7" t="str">
        <f>IF(AO7&lt;&gt;1,"",
IF(F7="","",
IF(OR(F7=$CJ$52,F7=$CK$52,F7=$CL$52),"",$FM$4)))</f>
        <v/>
      </c>
      <c r="FN7" t="str">
        <f>IF(DX167="NEIN",IF(EA167="NEIN",$FN$4,""),"")</f>
        <v/>
      </c>
      <c r="FO7" t="str">
        <f>IF(AP7=2,
IF(EB167=0,"",$FO$4),"")</f>
        <v/>
      </c>
      <c r="FP7" t="str">
        <f>IF(P7="R",IF(AT7-AT8=0,"",$FP$4),
IF(P7=2,IF(AT7-AT8=0,"",$FP$4),""))</f>
        <v/>
      </c>
      <c r="FQ7" t="str">
        <f>IF(AO7="","",IF(DK167=0,Sprache!$B$65&amp;" ?",IF(CH167="?",$FQ$4,"")))</f>
        <v/>
      </c>
      <c r="FR7" t="str">
        <f>IF(DH167=$DI$51,"",
IF(DH167=$DI$56,"",
IF(DH167=$DI$61,"",
IF(DH167=$DI$66,"",
IF(DH167=$DI$71,"",
IF(DH167=$DI$76,"",
IF(DH167=$DI$81,"",$FR$4)))))))</f>
        <v/>
      </c>
      <c r="FS7" t="str">
        <f>IF((BA7+BB7)&gt;R7,$FS$4,"")</f>
        <v/>
      </c>
      <c r="FT7" t="str">
        <f>IF(AND(Y7=0,AM7&gt;0),$FT$4,"")</f>
        <v/>
      </c>
      <c r="FU7"/>
      <c r="FV7" t="str">
        <f ca="1">IF(TODAY()=$A$3,"",IF(TODAY()&gt;DATE(2018,7,1),CONCATENATE(Sprache!$B$89),""))</f>
        <v>outdated version</v>
      </c>
      <c r="FW7" t="str">
        <f ca="1">CONCATENATE(FV7,FU7,FT7,FS7,FR7,FP7,FQ7,FK7,FL7,FN7,FO7,FJ7,FI7,FH7,FG7,FF7,FE7,FD7,FC7,FB7,FM7,$BQ$98)</f>
        <v>outdated version</v>
      </c>
      <c r="FX7" t="str">
        <f ca="1">CONCATENATE(FV7,FU7,FT7,FS7,FR7,FP7,FQ7,FK7,FN7,FO7,FJ7,FG7,FF7,FE7,FD7,FL7,FM7,$BQ$98)</f>
        <v>outdated version</v>
      </c>
      <c r="FY7" t="str">
        <f ca="1">IF(AN7=1,"",
IF(AO7="","",
IF($FW$1=1,"",
IF(AND($A$3=TODAY(),FX7=""),"",
IF(FW7="","",
CONCATENATE(FW7))))))</f>
        <v/>
      </c>
      <c r="FZ7"/>
      <c r="GA7" s="407">
        <f>ROUND(CONVERT(GB7,"ft","m")*1000
+CONVERT(GC7,"in","m")*1000
+CONVERT(GD7,"in","m")*1000,1)</f>
        <v>0</v>
      </c>
      <c r="GB7" s="405"/>
      <c r="GC7" s="405"/>
      <c r="GD7" s="406"/>
      <c r="GE7" s="407">
        <f>ROUND(CONVERT(GF7,"ft","m")*1000
+CONVERT(GG7,"in","m")*1000
+CONVERT(GH7,"in","m")*1000,1)</f>
        <v>0</v>
      </c>
      <c r="GF7" s="405"/>
      <c r="GG7" s="404"/>
      <c r="GH7" s="406"/>
    </row>
    <row r="8" spans="1:190" s="243" customFormat="1" ht="14.25" customHeight="1" x14ac:dyDescent="0.2">
      <c r="A8" s="220"/>
      <c r="B8" s="221"/>
      <c r="C8" s="222"/>
      <c r="D8" s="223">
        <f t="shared" si="20"/>
        <v>0</v>
      </c>
      <c r="E8" s="223">
        <f t="shared" si="21"/>
        <v>0</v>
      </c>
      <c r="F8" s="224"/>
      <c r="G8" s="225"/>
      <c r="H8" s="225"/>
      <c r="I8" s="272"/>
      <c r="J8" s="264"/>
      <c r="K8" s="226"/>
      <c r="L8" s="227">
        <v>1</v>
      </c>
      <c r="M8" s="228">
        <f t="shared" si="4"/>
        <v>1</v>
      </c>
      <c r="N8" s="229">
        <f t="shared" si="5"/>
        <v>2</v>
      </c>
      <c r="O8" s="230"/>
      <c r="P8" s="231"/>
      <c r="Q8" s="232"/>
      <c r="R8" s="233">
        <f t="shared" si="6"/>
        <v>0</v>
      </c>
      <c r="S8" s="233">
        <f t="shared" si="7"/>
        <v>0</v>
      </c>
      <c r="T8" s="245">
        <f t="shared" si="8"/>
        <v>0</v>
      </c>
      <c r="U8" s="234"/>
      <c r="V8" s="270"/>
      <c r="W8" s="267"/>
      <c r="X8" s="235">
        <f t="shared" si="9"/>
        <v>0</v>
      </c>
      <c r="Y8" s="236" t="str">
        <f t="shared" si="10"/>
        <v/>
      </c>
      <c r="Z8" s="237">
        <f t="shared" si="11"/>
        <v>0</v>
      </c>
      <c r="AA8" s="238">
        <f t="shared" si="12"/>
        <v>0</v>
      </c>
      <c r="AB8" s="239" t="str">
        <f t="shared" si="13"/>
        <v/>
      </c>
      <c r="AC8" s="240" t="str">
        <f t="shared" ca="1" si="14"/>
        <v/>
      </c>
      <c r="AD8" s="394" t="str">
        <f t="shared" ca="1" si="15"/>
        <v/>
      </c>
      <c r="AE8" s="241" t="str">
        <f>IF(AO8="","",IFERROR(IF(ELEMENT!$CH$78=ELEMENT!$CM$63,(AC8/AA8/10.75),(AC8/AA8)),""))</f>
        <v/>
      </c>
      <c r="AF8" s="241" t="str">
        <f t="shared" si="16"/>
        <v/>
      </c>
      <c r="AG8" s="238" t="str">
        <f t="shared" si="17"/>
        <v/>
      </c>
      <c r="AH8" s="242" t="str">
        <f t="shared" si="18"/>
        <v/>
      </c>
      <c r="AI8" s="192"/>
      <c r="AJ8" s="274"/>
      <c r="AK8"/>
      <c r="AL8"/>
      <c r="AM8">
        <f>IF(MID(V8,1,2)="sb",(MID(V8,3,30)),)</f>
        <v>0</v>
      </c>
      <c r="AN8" t="str">
        <f>IF(U8="","",IF(V8="","",IF(AO8="",1,"")))</f>
        <v/>
      </c>
      <c r="AO8" t="str">
        <f>IF(E8&gt;0,IF(D8&gt;0,IF(Q8="","",1),""),"")</f>
        <v/>
      </c>
      <c r="AP8" t="str">
        <f>IF(W8="RC2",2,
IF(W8="RCOG",1,""))</f>
        <v/>
      </c>
      <c r="AQ8">
        <f t="shared" si="22"/>
        <v>0</v>
      </c>
      <c r="AR8">
        <f>IF(F8="",2,F8)</f>
        <v>2</v>
      </c>
      <c r="AS8">
        <f t="shared" si="29"/>
        <v>0</v>
      </c>
      <c r="AT8">
        <f t="shared" si="23"/>
        <v>0</v>
      </c>
      <c r="AU8">
        <f>AS8</f>
        <v>0</v>
      </c>
      <c r="AV8">
        <f>IF(AW8=$CK$73,R8+S8+CC331,)</f>
        <v>0</v>
      </c>
      <c r="AW8">
        <f>H8</f>
        <v>0</v>
      </c>
      <c r="AX8" t="str">
        <f t="shared" si="24"/>
        <v/>
      </c>
      <c r="AY8">
        <f>IF(MID(V8,1,2)="fx",(MID(V8,3,30)),0)</f>
        <v>0</v>
      </c>
      <c r="AZ8">
        <f>TRUNC(BE8/6400,0)</f>
        <v>0</v>
      </c>
      <c r="BA8">
        <f>IF(I8=$CM$67,1,
IF(I8=$CN$67,1,
IF(I8=$CO$67,2,)))</f>
        <v>0</v>
      </c>
      <c r="BB8">
        <f>IF(I8=$CK$67,1,
IF(I8=$CM$67,1,
IF(I8=$CL$67,2,)))</f>
        <v>0</v>
      </c>
      <c r="BC8">
        <f>SUM(BD123:BE123)</f>
        <v>0</v>
      </c>
      <c r="BD8">
        <f>IF(P8="R",1,IF(P8="L",1,IF(P8=2,2,0)))</f>
        <v>0</v>
      </c>
      <c r="BE8">
        <f>IF(AO8="",0,AS8+$BF$56*BC8)</f>
        <v>0</v>
      </c>
      <c r="BF8">
        <f t="shared" si="25"/>
        <v>0</v>
      </c>
      <c r="BG8">
        <f>IF($AH$4=$CK$75,'S2'!T8,
IF($AH$4=$CL$75,'S3'!T8,
IF($AH$4=$CJ$75,'S1'!T8,
IF($AH$4=$CM$75,S3M!T8,))))</f>
        <v>15</v>
      </c>
      <c r="BH8">
        <f>IF($AH$4=$CK$75,'S2'!U8,
IF($AH$4=$CL$75,'S3'!U8,
IF($AH$4=$CJ$75,'S1'!U8,
IF($AH$4=$CM$75,S3M!U8,))))</f>
        <v>5</v>
      </c>
      <c r="BI8">
        <f>IF($AH$4=$CK$75,'S2'!V8,
IF($AH$4=$CL$75,'S3'!V8,
IF($AH$4=$CJ$75,'S1'!V8,
IF($AH$4=$CM$75,S3M!V8,))))</f>
        <v>15</v>
      </c>
      <c r="BJ8">
        <f>IF($AH$4=$CK$75,'S2'!W8,
IF($AH$4=$CL$75,'S3'!W8,
IF($AH$4=$CJ$75,'S1'!W8,
IF($AH$4=$CM$75,S3M!W8,))))</f>
        <v>5.5</v>
      </c>
      <c r="BK8">
        <f>IF($AH$4=$CK$75,'S2'!X8,
IF($AH$4=$CL$75,'S3'!X8,
IF($AH$4=$CJ$75,'S1'!X8,
IF($AH$4=$CM$75,S3M!X8,))))</f>
        <v>36.300000000000004</v>
      </c>
      <c r="BL8">
        <f>IF($AH$4=$CK$75,'S2'!Y8,
IF($AH$4=$CL$75,'S3'!Y8,
IF($AH$4=$CJ$75,'S1'!Y8,
IF($AH$4=$CM$75,S3M!Y8,))))</f>
        <v>131</v>
      </c>
      <c r="BM8">
        <f>IF($AH$4=$CK$75,'S2'!Z8,
IF($AH$4=$CL$75,'S3'!Z8,
IF($AH$4=$CJ$75,'S1'!Z8,
IF($AH$4=$CM$75,S3M!Z8,))))</f>
        <v>21</v>
      </c>
      <c r="BN8">
        <f>IF($AH$4=$CK$75,'S2'!AA8,
IF($AH$4=$CL$75,'S3'!AA8,
IF($AH$4=$CJ$75,'S1'!AA8,
IF($AH$4=$CM$75,S3M!AA8,))))</f>
        <v>0.29699999999999999</v>
      </c>
      <c r="BO8">
        <f>IF($AH$4=$CK$75,'S2'!AB8,
IF($AH$4=$CL$75,'S3'!AB8,
IF($AH$4=$CJ$75,'S1'!AB8,
IF($AH$4=$CM$75,S3M!AB8,))))</f>
        <v>1.2869999999999999</v>
      </c>
      <c r="BP8">
        <v>0.9</v>
      </c>
      <c r="BQ8">
        <f>IF($AR8=2,($BM$46*$L8+$M8*$BM$47+$BM$45)*$BE8/1000+$L8*$BL$46+$M8*$BL$47+$BL$45,
IF($AR8=3,($BM$43*$L8+$M8*$BM$44+$BM$42)*$BE8/1000+$L8*$BL$43+$M8*$BL$44+$BL$42,
IF($AR8=4,($BM$40*$L8+$M8*$BM$41+$BM$39)*$BE8/1000+$L8*$BL$40+$M8*$BL$41+$BL$39,
IF($AR8=5,($BM$37*$L8+$M8*$BM$38+$BM$36)*$BE8/1000+$L8*$BL$37+$M8*$BL$38+$BL$36,))))</f>
        <v>58</v>
      </c>
      <c r="BR8">
        <f>IF($AR8=2,($BM$46*$N8+$O8*$BM$47)*$AT8/1000+$N8*$BL$46+$O8*$BL$47,
IF($AR8=3,($BM$43*$N8+$O8*$BM$44)*$AT8/1000+$N8*$BL$43+$O8*$BL$44,
IF($AR8=4,($BM$40*$N8+$O8*$BM$41)*$AT8/1000+$N8*$BL$40+$O8*$BL$41,
IF($AR8=5,($BM$37*$N8+$O8*$BM$38)*$AT8/1000+$N8*$BL$37+$O8*$BL$38,))))</f>
        <v>32</v>
      </c>
      <c r="BS8">
        <f>IF($G8=$CJ$59,
($BD8*$BL$7+$BD8*$BM$7*$AT8/1000)+($R8*$BL$8+$R8*$BM$8*$AT8/1000)+($S8*$BL$9+$S8*$BM$9*$AT8/1000)+($T8*$BL$11+$T8*$BM$11*$AT8/1000),
IF($G8=$CK$59,
($BD8*$BL$15+$BD8*$BM$15*$AT8/1000)+($R8*$BL$16+$R8*$BM$16*$AT8/1000)+($S8*$BL$17+$S8*$BM$17*$AT8/1000)+($T8*$BL$19+$T8*$BM$19*$AT8/1000),
($BD8*$BL$23+$BD8*$BM$23*$AT8/1000)+($R8*$BL$24+$R8*$BM$24*$AT8/1000)+($S8*$BL$25+$S8*$BM$25*$AT8/1000)+($T8*$BL$27+$T8*$BM$27*$AT8/1000)))</f>
        <v>0</v>
      </c>
      <c r="BT8">
        <f>X8*$BL$58
+
IF(OR(AP8=2,AP8=1),
$BL$61*R8+$BL$62*S8+$BL$65*T8+$BL$64*Y8+$BL$63*X8,)</f>
        <v>0</v>
      </c>
      <c r="BU8">
        <f>IF(AW8=$CK$73,AV8*$BL$71,
IF(AW8=$CL$73,(R8-AZ123)*$BL$67+S8*($BL$68+$BL$71),
IF(AW8=$CM$73,X8*$BL$69+Y8*$BL$70,
IF(AW8=$CN$73,(R8-AZ123)*$BL$67+S8*$BL$68+X8*$BL$69+Y8*$BL$70,))))</f>
        <v>0</v>
      </c>
      <c r="BV8">
        <f>IF(AR8&lt;3.5,$BL$52*AZ8,$BL$53*AZ8)
+
BA8*$BL$54
+
BC8*$BL$55
+
BB8*$BL$57+$BM$57*AT8/1000
+
IF(AQ8&gt;2900,BB8*220,)</f>
        <v>0</v>
      </c>
      <c r="BW8">
        <f>SUM(BQ8:BV8)</f>
        <v>90</v>
      </c>
      <c r="BX8">
        <f>IF($AR8=2,($BN$46*$L8+$M8*$BN$47+$BN$45)*$BE8/1000,
IF($AR8=3,($BN$43*$L8+$M8*$BN$44+$BN$42)*$BE8/1000,
IF($AR8=4,($BN$40*$L8+$M8*$BN$41+$BN$39)*$BE8/1000,
IF($AR8=5,($BN$37*$L8+$M8*$BN$38+$BN$36)*$BE8/1000,))))</f>
        <v>0</v>
      </c>
      <c r="BY8">
        <f>IF($AR8=2,($BN$46*$N8+$O8*$BN$47+$BN$45)*$AT8/1000,
IF($AR8=3,($BN$43*$N8+$O8*$BN$44+$BN$42)*$AT8/1000,
IF($AR8=4,($BN$40*$N8+$O8*$BN$41+$BN$39)*$AT8/1000,
IF($AR8=5,($BN$37*$N8+$O8*$BN$38+$BN$36)*$AT8/1000,))))</f>
        <v>0</v>
      </c>
      <c r="BZ8">
        <f>IF($G8=$CJ$59,
($BD8*$BN$7*$AT8/1000)+($R8*$BN$8*$AT8/1000)+($S8*$BN$9*$AT8/1000)+($T8*$BN$11*$AT8/1000),
IF($G8=$CK$59,
($BD8*$BN$15*$AT8/1000)+($R8*$BN$16*$AT8/1000)+($S8*$BN$17*$AT8/1000)+($T8*$BN$19*$AT8/1000),
($BD8*$BN$23*$AT8/1000)+($R8*$BN$24*$AT8/1000)+($S8*$BN$25*$AT8/1000)+($T8*$BN$27*$AT8/1000)))</f>
        <v>0</v>
      </c>
      <c r="CA8">
        <f>BB8*$BN$57*E8/1000</f>
        <v>0</v>
      </c>
      <c r="CB8">
        <f>SUM(BX8:CA8)*C8</f>
        <v>0</v>
      </c>
      <c r="CC8">
        <f>SUM(BX8:CA8)*$CC$1</f>
        <v>0</v>
      </c>
      <c r="CD8">
        <f>IF(G8=$CJ$59,
$BG$7*BD8+$BG$8*R8+S8*$BG$9+T8*$BG$11,
IF(G8=$CK$59,
$BG$15*BD8+$BG$16*R8+S8*$BG$17+T8*$BG$19,
$BG$23*BD8+$BG$24*R8+S8*$BG$25+T8*$BG$27))+
IF(AR8=2,$BG$45+$BG$46*L8+$BG$47*M8+N8*$BG$46+O8*$BG$47,
IF(AR8=3,L8*$BG$43+M8*$BG$44+$BG$42+N8*$BG$43+O8*$BG$44,
L8*$BG$40+M8*$BG$41+$BG$39+N8*$BG$40+O8*$BG$41))
+
$BG$55*BC8
+
$BG$57*BB8
+
$BG$54*BA8
+
IF(AR8&lt;3.5,$BG$52*AZ8,$BG$53*AZ8)</f>
        <v>80</v>
      </c>
      <c r="CE8">
        <f>IF(AW8=$CK$73,AV8*$BG$71,
IF(AW8=$CL$73,(R8-AZ123)*$BG$67+S8*($BG$68+$BG$71),
IF(AW8=$CM$73,X8*$BG$69+Y8*$BG$70,
IF(AW8=$CN$73,(R8-AZ123)*$BG$67+S8*$BG$68+X8*$BG$69+Y8*$BG$70,))))</f>
        <v>0</v>
      </c>
      <c r="CF8">
        <f>IF(OR(AP8=2,AP8=1),
$BG$61*R8+$BG$62*S8+$BG$65*T8+$BG$64*Y8+$BG$63*X8,)</f>
        <v>0</v>
      </c>
      <c r="CG8">
        <f>IF($AR8=2,($BJ$46*$L8+$M8*$BJ$47+$BJ$45)*$BE8/1000+$L8*$BK$46+$M8*$BK$47+$BK$45,
IF($AR8=3,($BJ$43*$L8+$M8*$BJ$44+$BJ$42)*$BE8/1000+$L8*$BK$43+$M8*$BK$44+$BK$42,
IF($AR8=4,($BJ$40*$L8+$M8*$BJ$41+$BJ$39)*$BE8/1000+$L8*$BK$40+$M8*$BK$41+$BK$39,
IF($AR8=5,($BJ$37*$L8+$M8*$BJ$38+$BJ$36)*$BE8/1000+$L8*$BK$37+$M8*$BK$38+$BK$36,))))</f>
        <v>46.2</v>
      </c>
      <c r="CH8">
        <f>IF($AR8=2,($BJ$46*$N8+$O8*$BJ$47)*$AT8/1000+$N8*$BK$46+$O8*$BK$47,
IF($AR8=3,($BJ$43*$N8+$O8*$BJ$44)*$AT8/1000+$N8*$BK$43+$O8*$BK$44,
IF($AR8=4,($BJ$40*$N8+$O8*$BJ$41)*$AT8/1000+$N8*$BK$40+$O8*$BK$41,
IF($AR8=5,($BJ$37*$N8+$O8*$BJ$38)*$AT8/1000+$N8*$BK$37+$O8*$BK$38,))))</f>
        <v>17.600000000000001</v>
      </c>
      <c r="CI8">
        <f>IF($G8=$CJ$59,
($BD8*$BK$7+$BD8*$BJ$7*$AT8/1000)*(1-$BP$7)+($R8*$BK$8+$R8*$BJ$8*$AT8/1000)*(1-$BP$8)+($S8*$BK$9+$S8*$BJ$9*$AT8/1000)*(1-$BP$9),
IF($G8=$CK$59,
($BD8*$BK$15+$BD8*$BJ$15*$AT8/1000)*(1-$BP$15)+($R8*$BK$16+$R8*$BJ$16*$AT8/1000)*(1-$BP$16)+($S8*$BK$17+$S8*$BJ$17*$AT8/1000)*(1-$BP$17),
($BD8*$BK$23+$BD8*$BJ$23*$AT8/1000)*(1-$BP$23)+($R8*$BK$24+$R8*$BJ$24*$AT8/1000)*(1-$BP$24)+($S8*$BK$25+$S8*$BJ$25*$AT8/1000)*(1-$BP$25)))</f>
        <v>0</v>
      </c>
      <c r="CJ8">
        <f>IF(AW8=$CK$73,AV8*$BJ$71,
IF(AW8=$CL$73,(R8-AZ123)*$BJ$67+S8*($BJ$68+$BJ$71),
IF(AW8=$CM$73,X8*$BJ$69+Y8*$BJ$70,
IF(AW8=$CN$73,(R8-AZ123)*$BJ$67+S8*$BJ$68+X8*$BJ$69+Y8*$BJ$70,))))</f>
        <v>0</v>
      </c>
      <c r="CK8">
        <f>IF($G8=$CJ$59,
($T8*$BK$11+$T8*$BJ$11*$AT8/1000),
IF($G8=$CK$59,
($T8*$BK$19+$T8*$BJ$19*$AT8/1000),
($T8*$BK$27+$T8*$BJ$27*$AT8/1000)))
+
IF(OR(AP8=2,AP8=1),
$BK$65*T8,)</f>
        <v>0</v>
      </c>
      <c r="CL8">
        <f>IF($G8=$CJ$59,
($BD8*$BK$7+$BD8*$BJ$7*$AT8/1000)*$BP$7+($R8*$BK$8+$R8*$BJ$8*$AT8/1000)*$BP$8+($S8*$BK$9+$S8*$BJ$9*$AT8/1000)*$BP$9,
IF($G8=$CK$59,
($BD8*$BK$15+$BD8*$BJ$15*$AT8/1000)*$BP$15+($R8*$BK$16+$R8*$BJ$16*$AT8/1000)*$BP$16+($S8*$BK$17+$S8*$BJ$17*$AT8/1000)*$BP$17,
($BD8*$BK$23+$BD8*$BJ$23*$AT8/1000)*$BP$23+($R8*$BK$24+$R8*$BJ$24*$AT8/1000)*$BP$24+($S8*$BK$25+$S8*$BJ$25*$AT8/1000)*$BP$25))</f>
        <v>0</v>
      </c>
      <c r="CM8">
        <f>IF(AR8&lt;3.5,$BK$52*AZ8,$BK$53*AZ8)
+
BA8*$BK$54
+
BC8*$BK$55
+
BB8*($BK$57+$BJ$57*E8/1000)</f>
        <v>0</v>
      </c>
      <c r="CN8">
        <f>IF(AW8=$CK$73,AV8*$BK$71,
IF(AW8=$CL$73,(R8-AZ123)*$BK$67+S8*($BK$68+$BK$71),
IF(AW8=$CM$73,X8*$BK$69+Y8*$BK$70,
IF(AW8=$CN$73,(R8-AZ123)*$BK$67+S8*$BK$68+X8*$BK$69+Y8*$BK$70,))))</f>
        <v>0</v>
      </c>
      <c r="CO8">
        <f>IF(OR(AP8=2,AP8=1),
$BK$61*R8+$BK$62*S8+$BK$64*Y8+$BK$63*X8,)</f>
        <v>0</v>
      </c>
      <c r="CP8" t="str">
        <f t="shared" si="19"/>
        <v/>
      </c>
      <c r="CQ8">
        <f>SUM(CD8:CF8)*C8</f>
        <v>0</v>
      </c>
      <c r="CR8" t="str">
        <f>IF(AO8="","",CP8*C8)</f>
        <v/>
      </c>
      <c r="CS8">
        <f>SUM(CK8)*C8</f>
        <v>0</v>
      </c>
      <c r="CT8">
        <f>SUM(CL8:CO8)*C8</f>
        <v>0</v>
      </c>
      <c r="CU8">
        <f>SUM(CG8:CJ8)*C8</f>
        <v>0</v>
      </c>
      <c r="CV8">
        <f>IF($CO$69="og",SUM(CD8:CO8)*$CU$1/60,SUM(CD8:CP8)*$CU$1/60)</f>
        <v>203.7166666666667</v>
      </c>
      <c r="CW8">
        <f>IF($AR8=2,($BH$46*$L8+$M8*$BH$47+$BH$45)*$BE8/1000+$L8*$BI$46+$M8*$BI$47+$BI$45,
IF($AR8=3,($BH$43*$L8+$M8*$BH$44+$BH$42)*$BE8/1000+$L8*$BI$43+$M8*$BI$44+$BI$42,
IF($AR8=4,($BH$40*$L8+$M8*$BH$41+$BH$39)*$BE8/1000+$L8*$BI$40+$M8*$BI$41+$BI$39,
IF($AR8=5,($BH$37*$L8+$M8*$BH$38+$BH$36)*$BE8/1000+$L8*$BI$37+$M8*$BI$38+$BI$36,))))</f>
        <v>210</v>
      </c>
      <c r="CX8">
        <f>IF($AR8=2,($BH$46*$N8+$O8*$BH$47)*$AT8/1000+$N8*$BI$46+$O8*$BI$47,
IF($AR8=3,($BH$43*$N8+$O8*$BH$44)*$AT8/1000+$N8*$BI$43+$O8*$BI$44,
IF($AR8=4,($BH$40*$N8+$O8*$BH$41)*$AT8/1000+$N8*$BI$40+$O8*$BI$41,
IF($AR8=5,($BH$37*$N8+$O8*$BH$38)*$AT8/1000+$N8*$BI$37+$O8*$BI$38,))))</f>
        <v>120</v>
      </c>
      <c r="CY8">
        <f>IF($G8=$CJ$59,
($BD8*$BI$7+$BD8*$BH$7*$AT8/1000)+($R8*$BI$8+$R8*$BH$8*$AT8/1000)+($S8*$BI$9+$S8*$BH$9*$AT8/1000)+($T8*$BI$11+$T8*$BH$11*$AT8/1000),
IF($G8=$CK$59,
($BD8*$BI$15+$BD8*$BH$15*$AT8/1000)+($R8*$BI$16+$R8*$BH$16*$AT8/1000)+($S8*$BI$17+$S8*$BH$17*$AT8/1000)+($T8*$BI$19+$T8*$BH$19*$AT8/1000),
($BD8*$BI$23+$BD8*$BH$23*$AT8/1000)+($R8*$BI$24+$R8*$BH$24*$AT8/1000)+($S8*$BI$25+$S8*$BH$25*$AT8/1000)+($T8*$BI$27+$T8*$BH$27*$AT8/1000)))</f>
        <v>0</v>
      </c>
      <c r="CZ8">
        <f>IF(AR8&lt;3.5,$BI$52*AZ8,$BI$53*AZ8)
+
BC8*$BI$55
+
BB8*$BI$57+BB8*$BH$57*E8/1000
+BA8*$BI$54</f>
        <v>0</v>
      </c>
      <c r="DA8">
        <f>IF(AW8=$CK$73,(R8+(S8*2))*$BI$71,
IF(AW8=$CL$73,(R8-AZ123)*$BI$67+S8*($BI$68+$BI$71),
IF(AW8=$CM$73,X8*$BI$69+Y8*$BI$70,
IF(AW8=$CN$73,(R8-AZ123)*$BI$67+S8*$BI$68+X8*$BI$68+Y8*$BI$70,))))</f>
        <v>0</v>
      </c>
      <c r="DB8">
        <f>IF(OR(AP8=2,AP8=1),
$BI$61*R8+$BI$62*S8+$BI$65*T8+$BI$64*Y8+$BI$63*X8,)</f>
        <v>0</v>
      </c>
      <c r="DC8" t="str">
        <f>IF(AO8="","",Z8*$BI$49+AA8*$BH$49)</f>
        <v/>
      </c>
      <c r="DD8">
        <f>SUM(CW8:DC8)*C8/60</f>
        <v>0</v>
      </c>
      <c r="DE8">
        <f>IF(AO8="",0,
SUM(CW8:DC8)/60)</f>
        <v>0</v>
      </c>
      <c r="DF8">
        <f>(BQ8+BR8+BS8+BV8)*$DE$3</f>
        <v>12.15</v>
      </c>
      <c r="DG8">
        <f>IF(AO8="",0,BW8+CV8+DF8)</f>
        <v>0</v>
      </c>
      <c r="DH8">
        <f>(BW8+IF(B$47=BH$74,CC8,0))*C8*(1+DE$3)</f>
        <v>0</v>
      </c>
      <c r="DI8">
        <f t="shared" si="26"/>
        <v>0</v>
      </c>
      <c r="DJ8"/>
      <c r="DK8"/>
      <c r="DL8">
        <f>DT8*C8</f>
        <v>0</v>
      </c>
      <c r="DM8">
        <f>DN8*C8</f>
        <v>0</v>
      </c>
      <c r="DN8">
        <f>IF(AO8="",0,SUM(($AS8-AY8)*$AT8/1000000))</f>
        <v>0</v>
      </c>
      <c r="DO8" t="e">
        <f>DK168</f>
        <v>#N/A</v>
      </c>
      <c r="DP8">
        <f>IFERROR(HLOOKUP(DG168,$CV$49:$DH$50,2,FALSE),)</f>
        <v>0</v>
      </c>
      <c r="DQ8" t="e">
        <f>DJ168</f>
        <v>#N/A</v>
      </c>
      <c r="DR8" t="e">
        <f>DI168</f>
        <v>#N/A</v>
      </c>
      <c r="DS8">
        <f>IF(AO8="",0,DN8*DL168)</f>
        <v>0</v>
      </c>
      <c r="DT8">
        <f>IF(AO8="",0,DU168)</f>
        <v>0</v>
      </c>
      <c r="DU8">
        <f>IF(AO8="",0,SUM(DN8*$DS$1))</f>
        <v>0</v>
      </c>
      <c r="DV8">
        <f t="shared" si="27"/>
        <v>0</v>
      </c>
      <c r="DW8">
        <f>IF(AO8="",0,IF($CO$69="og",SUM(DV8),SUM(DS8+DT8+DU8+DV8)))</f>
        <v>0</v>
      </c>
      <c r="DX8">
        <f>IF($CO$69="og",,C8*(DS8+DT8+DU8))</f>
        <v>0</v>
      </c>
      <c r="DY8">
        <f>DG8+DW8</f>
        <v>0</v>
      </c>
      <c r="DZ8">
        <f>SUM(DY8+DY8*$DZ$1)</f>
        <v>0</v>
      </c>
      <c r="EA8">
        <f>SUM(DZ8+DZ8*$EA$1)</f>
        <v>0</v>
      </c>
      <c r="EB8">
        <f>SUM(EA8+EA8*$EB$1)</f>
        <v>0</v>
      </c>
      <c r="EC8">
        <f>SUM(EB8+EB8*$EC$1)</f>
        <v>0</v>
      </c>
      <c r="ED8">
        <f>(EC8*$ED$1)</f>
        <v>0</v>
      </c>
      <c r="EE8">
        <f>(ED8+U8)</f>
        <v>0</v>
      </c>
      <c r="EF8">
        <f>ROUND(EE8,0)+EG8</f>
        <v>0</v>
      </c>
      <c r="EG8">
        <f>ROUND(((SUM(BX8:CA8))*($CC$1)*(1+$DE$3)*(1+$DZ$1)*(1+$EA$1)*(1+$EB$1)*(1+$EC$1)*$ED$1),0)</f>
        <v>0</v>
      </c>
      <c r="EH8">
        <f t="shared" si="28"/>
        <v>0</v>
      </c>
      <c r="EI8">
        <f>AS8-(N8*$EK$3+O8*$EJ$3)</f>
        <v>-70</v>
      </c>
      <c r="EJ8">
        <f>IF(X8=0,0,
IF(AM8&gt;0,VALUE(AM8),
IF(Y8=0,EI8/X8,
IF(EI8/Z8&lt;EY8,EI8/Z8,
EY8))))</f>
        <v>0</v>
      </c>
      <c r="EK8">
        <f>IFERROR(IF(Y8="",0,
IF(X8=0,EI8/Y8,(EI8-EJ8*X8)/Y8)),)</f>
        <v>0</v>
      </c>
      <c r="EL8">
        <f>IFERROR(EY8*X8+EZ8*Y8,)</f>
        <v>0</v>
      </c>
      <c r="EM8" t="e">
        <f>IF(DO168*1000000/AQ8&lt;EY8,DO168*1000000/AQ8,EY8)</f>
        <v>#DIV/0!</v>
      </c>
      <c r="EN8">
        <f>IF(EO8="qf",EX8,IF(EO8="hf",EU8,ER8))</f>
        <v>0</v>
      </c>
      <c r="EO8" t="str">
        <f>IF(EW8&gt;AQ8,"qf",IF(ET8&gt;AQ8,"hf","üh"))</f>
        <v>üh</v>
      </c>
      <c r="EP8">
        <f>IFERROR(HLOOKUP($DG168,$CV$49:$DH$103,53,FALSE),)</f>
        <v>0</v>
      </c>
      <c r="EQ8">
        <f>IFERROR(HLOOKUP($DG168,$CV$49:$DH$103,54,FALSE),)</f>
        <v>0</v>
      </c>
      <c r="ER8">
        <f>IFERROR(HLOOKUP($DG168,$CV$49:$DH$103,55,FALSE),)</f>
        <v>0</v>
      </c>
      <c r="ES8">
        <f>IFERROR(HLOOKUP($DG168,$CV$49:$DH$103,43,FALSE),)</f>
        <v>0</v>
      </c>
      <c r="ET8">
        <f>IFERROR(HLOOKUP($DG168,$CV$49:$DH$103,44,FALSE),)</f>
        <v>0</v>
      </c>
      <c r="EU8">
        <f>IFERROR(HLOOKUP($DG168,$CV$49:$DH$103,45,FALSE),)</f>
        <v>0</v>
      </c>
      <c r="EV8">
        <f>IFERROR(HLOOKUP($DG168,$CV$49:$DH$103,48,FALSE),)</f>
        <v>0</v>
      </c>
      <c r="EW8">
        <f>IFERROR(HLOOKUP($DG168,$CV$49:$DH$103,49,FALSE),)</f>
        <v>0</v>
      </c>
      <c r="EX8">
        <f>IFERROR(HLOOKUP($DG168,$CV$49:$DH$103,50,FALSE),)</f>
        <v>0</v>
      </c>
      <c r="EY8">
        <f>IF(EO8="hf",EU8,
IF(EO8="qf",EX8,ER8))</f>
        <v>0</v>
      </c>
      <c r="EZ8">
        <f>IF(EO8="hf",ES8,
IF(EO8="qf",EV8,EP8))</f>
        <v>0</v>
      </c>
      <c r="FA8">
        <f>IF(EO8="hf",ET8,
IF(EO8="qf",EW8,EQ8))</f>
        <v>0</v>
      </c>
      <c r="FB8" t="str">
        <f>IF(AY8&gt;0,"",IF(AO8="","",IF(EJ8&gt;EN8,$FB$4,IF(EK8&gt;EZ8,$FB$4,""))))</f>
        <v/>
      </c>
      <c r="FC8" t="str">
        <f>IF(AO8="","",
IF(AQ8&lt;400,$FC$4,
IF(AQ8&gt;FA8,$FC$4,"")))</f>
        <v/>
      </c>
      <c r="FD8" t="str">
        <f>IF(AS8+E8=0,"",IF(SUM(L8:M8)=2,IF(SUM(N8+O8+BC8+BD8)=2,"",Sprache!$B$107),Sprache!$B$107))</f>
        <v/>
      </c>
      <c r="FE8" t="str">
        <f>IF(G8=$CV$107,IF($CV$108&gt;AQ8,"",$FE$4),
IF(G8=$CW$107,IF($CW$108&gt;AQ8,"",$FE$4),
IF(G8=$CX$107,IF($CX$108&gt;AQ8,"",$FE$4),)))</f>
        <v/>
      </c>
      <c r="FF8" t="str">
        <f>IFERROR("",IF(AO8=0,"",
IF(Q8="F","",
IF(EJ8=0,"",
IF(AQ8&lt;1500,IF(400&lt;EJ8,"",$FF$4),IF(700&lt;EJ8,"",$FF$4))))))</f>
        <v/>
      </c>
      <c r="FG8" t="str">
        <f>IF(N8&lt;0,$FG$4,"")</f>
        <v/>
      </c>
      <c r="FH8" t="str">
        <f ca="1">IF($A$3=TODAY(),"",
IF(BA123=1,IF(DN168=0,"",$FH$4),""))</f>
        <v/>
      </c>
      <c r="FI8" t="str">
        <f>IFERROR(IF(MID(V8,1,2)="fx","",
IF(AO8="","",
IF(OR(
AQ8*EJ8/1000000&gt;DO168,
AQ8*EK8/1000000&gt;DP168),
$FI$4,""))),"")</f>
        <v/>
      </c>
      <c r="FJ8" t="str">
        <f>IF(O8&lt;BA8,$FJ$4,"")</f>
        <v/>
      </c>
      <c r="FK8" t="str">
        <f>IF(R8&lt;BA8,$FK$4,"")</f>
        <v/>
      </c>
      <c r="FL8" t="str">
        <f>IF(MID(I8,1,1)="I",IF(AQ8&gt;4500,$FL$4,""),"")</f>
        <v/>
      </c>
      <c r="FM8" t="str">
        <f>IF(AO8&lt;&gt;1,"",
IF(F8="","",
IF(OR(F8=$CJ$52,F8=$CK$52,F8=$CL$52),"",$FM$4)))</f>
        <v/>
      </c>
      <c r="FN8" t="str">
        <f>IF(DX168="NEIN",IF(EA168="NEIN",$FN$4,""),"")</f>
        <v/>
      </c>
      <c r="FO8" t="str">
        <f>IF(AP8=2,
IF(EB168=0,"",$FO$4),"")</f>
        <v/>
      </c>
      <c r="FP8" t="str">
        <f>IF(P8="R",IF(AT8-AT9=0,"",$FP$4),
IF(P8=2,IF(AT8-AT9=0,"",$FP$4),""))</f>
        <v/>
      </c>
      <c r="FQ8" t="str">
        <f>IF(AO8="","",IF(DK168=0,Sprache!$B$65&amp;" ?",IF(CH168="?",$FQ$4,"")))</f>
        <v/>
      </c>
      <c r="FR8" t="str">
        <f>IF(DH168=$DI$51,"",
IF(DH168=$DI$56,"",
IF(DH168=$DI$61,"",
IF(DH168=$DI$66,"",
IF(DH168=$DI$71,"",
IF(DH168=$DI$76,"",
IF(DH168=$DI$81,"",$FR$4)))))))</f>
        <v/>
      </c>
      <c r="FS8" t="str">
        <f>IF((BA8+BB8)&gt;R8,$FS$4,"")</f>
        <v/>
      </c>
      <c r="FT8" t="str">
        <f>IF(AND(Y8=0,AM8&gt;0),$FT$4,"")</f>
        <v/>
      </c>
      <c r="FU8"/>
      <c r="FV8" t="str">
        <f ca="1">IF(TODAY()=$A$3,"",IF(TODAY()&gt;DATE(2018,7,1),CONCATENATE(Sprache!$B$89),""))</f>
        <v>outdated version</v>
      </c>
      <c r="FW8" t="str">
        <f ca="1">CONCATENATE(FV8,FU8,FT8,FS8,FR8,FP8,FQ8,FK8,FL8,FN8,FO8,FJ8,FI8,FH8,FG8,FF8,FE8,FD8,FC8,FB8,FM8,$BQ$98)</f>
        <v>outdated version</v>
      </c>
      <c r="FX8" t="str">
        <f ca="1">CONCATENATE(FV8,FU8,FT8,FS8,FR8,FP8,FQ8,FK8,FN8,FO8,FJ8,FG8,FF8,FE8,FD8,FL8,FM8,$BQ$98)</f>
        <v>outdated version</v>
      </c>
      <c r="FY8" t="str">
        <f ca="1">IF(AN8=1,"",
IF(AO8="","",
IF($FW$1=1,"",
IF(AND($A$3=TODAY(),FX8=""),"",
IF(FW8="","",
CONCATENATE(FW8))))))</f>
        <v/>
      </c>
      <c r="FZ8"/>
      <c r="GA8" s="407">
        <f>ROUND(CONVERT(GB8,"ft","m")*1000
+CONVERT(GC8,"in","m")*1000
+CONVERT(GD8,"in","m")*1000,1)</f>
        <v>0</v>
      </c>
      <c r="GB8" s="405"/>
      <c r="GC8" s="405"/>
      <c r="GD8" s="406"/>
      <c r="GE8" s="407">
        <f>ROUND(CONVERT(GF8,"ft","m")*1000
+CONVERT(GG8,"in","m")*1000
+CONVERT(GH8,"in","m")*1000,1)</f>
        <v>0</v>
      </c>
      <c r="GF8" s="405"/>
      <c r="GG8" s="404"/>
      <c r="GH8" s="406"/>
    </row>
    <row r="9" spans="1:190" s="243" customFormat="1" ht="14.25" customHeight="1" x14ac:dyDescent="0.2">
      <c r="A9" s="220"/>
      <c r="B9" s="221"/>
      <c r="C9" s="222"/>
      <c r="D9" s="223">
        <f t="shared" si="20"/>
        <v>0</v>
      </c>
      <c r="E9" s="223">
        <f t="shared" si="21"/>
        <v>0</v>
      </c>
      <c r="F9" s="224"/>
      <c r="G9" s="225"/>
      <c r="H9" s="225"/>
      <c r="I9" s="272"/>
      <c r="J9" s="264"/>
      <c r="K9" s="226"/>
      <c r="L9" s="227">
        <v>1</v>
      </c>
      <c r="M9" s="228">
        <f t="shared" si="4"/>
        <v>1</v>
      </c>
      <c r="N9" s="229">
        <f t="shared" si="5"/>
        <v>2</v>
      </c>
      <c r="O9" s="230"/>
      <c r="P9" s="231"/>
      <c r="Q9" s="232"/>
      <c r="R9" s="233">
        <f t="shared" si="6"/>
        <v>0</v>
      </c>
      <c r="S9" s="233">
        <f t="shared" si="7"/>
        <v>0</v>
      </c>
      <c r="T9" s="245">
        <f t="shared" si="8"/>
        <v>0</v>
      </c>
      <c r="U9" s="234"/>
      <c r="V9" s="270"/>
      <c r="W9" s="267"/>
      <c r="X9" s="235">
        <f t="shared" si="9"/>
        <v>0</v>
      </c>
      <c r="Y9" s="236" t="str">
        <f t="shared" si="10"/>
        <v/>
      </c>
      <c r="Z9" s="237">
        <f t="shared" si="11"/>
        <v>0</v>
      </c>
      <c r="AA9" s="238">
        <f t="shared" si="12"/>
        <v>0</v>
      </c>
      <c r="AB9" s="239" t="str">
        <f t="shared" si="13"/>
        <v/>
      </c>
      <c r="AC9" s="240" t="str">
        <f t="shared" ca="1" si="14"/>
        <v/>
      </c>
      <c r="AD9" s="394" t="str">
        <f t="shared" ca="1" si="15"/>
        <v/>
      </c>
      <c r="AE9" s="241" t="str">
        <f>IF(AO9="","",IFERROR(IF(ELEMENT!$CH$78=ELEMENT!$CM$63,(AC9/AA9/10.75),(AC9/AA9)),""))</f>
        <v/>
      </c>
      <c r="AF9" s="241" t="str">
        <f t="shared" si="16"/>
        <v/>
      </c>
      <c r="AG9" s="238" t="str">
        <f t="shared" si="17"/>
        <v/>
      </c>
      <c r="AH9" s="242" t="str">
        <f t="shared" si="18"/>
        <v/>
      </c>
      <c r="AI9" s="192"/>
      <c r="AJ9" s="274"/>
      <c r="AK9"/>
      <c r="AL9"/>
      <c r="AM9">
        <f>IF(MID(V9,1,2)="sb",(MID(V9,3,30)),)</f>
        <v>0</v>
      </c>
      <c r="AN9" t="str">
        <f>IF(U9="","",IF(V9="","",IF(AO9="",1,"")))</f>
        <v/>
      </c>
      <c r="AO9" t="str">
        <f>IF(E9&gt;0,IF(D9&gt;0,IF(Q9="","",1),""),"")</f>
        <v/>
      </c>
      <c r="AP9" t="str">
        <f>IF(W9="RC2",2,
IF(W9="RCOG",1,""))</f>
        <v/>
      </c>
      <c r="AQ9">
        <f t="shared" si="22"/>
        <v>0</v>
      </c>
      <c r="AR9">
        <f>IF(F9="",2,F9)</f>
        <v>2</v>
      </c>
      <c r="AS9">
        <f t="shared" si="29"/>
        <v>0</v>
      </c>
      <c r="AT9">
        <f t="shared" si="23"/>
        <v>0</v>
      </c>
      <c r="AU9">
        <f>AS9</f>
        <v>0</v>
      </c>
      <c r="AV9">
        <f>IF(AW9=$CK$73,R9+S9+CC332,)</f>
        <v>0</v>
      </c>
      <c r="AW9">
        <f>H9</f>
        <v>0</v>
      </c>
      <c r="AX9" t="str">
        <f t="shared" si="24"/>
        <v/>
      </c>
      <c r="AY9">
        <f>IF(MID(V9,1,2)="fx",(MID(V9,3,30)),0)</f>
        <v>0</v>
      </c>
      <c r="AZ9">
        <f>TRUNC(BE9/6400,0)</f>
        <v>0</v>
      </c>
      <c r="BA9">
        <f>IF(I9=$CM$67,1,
IF(I9=$CN$67,1,
IF(I9=$CO$67,2,)))</f>
        <v>0</v>
      </c>
      <c r="BB9">
        <f>IF(I9=$CK$67,1,
IF(I9=$CM$67,1,
IF(I9=$CL$67,2,)))</f>
        <v>0</v>
      </c>
      <c r="BC9">
        <f>SUM(BD124:BE124)</f>
        <v>0</v>
      </c>
      <c r="BD9">
        <f>IF(P9="R",1,IF(P9="L",1,IF(P9=2,2,0)))</f>
        <v>0</v>
      </c>
      <c r="BE9">
        <f>IF(AO9="",0,AS9+$BF$56*BC9)</f>
        <v>0</v>
      </c>
      <c r="BF9">
        <f t="shared" si="25"/>
        <v>0</v>
      </c>
      <c r="BG9">
        <f>IF($AH$4=$CK$75,'S2'!T9,
IF($AH$4=$CL$75,'S3'!T9,
IF($AH$4=$CJ$75,'S1'!T9,
IF($AH$4=$CM$75,S3M!T9,))))</f>
        <v>15</v>
      </c>
      <c r="BH9">
        <f>IF($AH$4=$CK$75,'S2'!U9,
IF($AH$4=$CL$75,'S3'!U9,
IF($AH$4=$CJ$75,'S1'!U9,
IF($AH$4=$CM$75,S3M!U9,))))</f>
        <v>5</v>
      </c>
      <c r="BI9">
        <f>IF($AH$4=$CK$75,'S2'!V9,
IF($AH$4=$CL$75,'S3'!V9,
IF($AH$4=$CJ$75,'S1'!V9,
IF($AH$4=$CM$75,S3M!V9,))))</f>
        <v>25</v>
      </c>
      <c r="BJ9">
        <f>IF($AH$4=$CK$75,'S2'!W9,
IF($AH$4=$CL$75,'S3'!W9,
IF($AH$4=$CJ$75,'S1'!W9,
IF($AH$4=$CM$75,S3M!W9,))))</f>
        <v>6.6000000000000005</v>
      </c>
      <c r="BK9">
        <f>IF($AH$4=$CK$75,'S2'!X9,
IF($AH$4=$CL$75,'S3'!X9,
IF($AH$4=$CJ$75,'S1'!X9,
IF($AH$4=$CM$75,S3M!X9,))))</f>
        <v>68</v>
      </c>
      <c r="BL9">
        <f>IF($AH$4=$CK$75,'S2'!Y9,
IF($AH$4=$CL$75,'S3'!Y9,
IF($AH$4=$CJ$75,'S1'!Y9,
IF($AH$4=$CM$75,S3M!Y9,))))</f>
        <v>151</v>
      </c>
      <c r="BM9">
        <f>IF($AH$4=$CK$75,'S2'!Z9,
IF($AH$4=$CL$75,'S3'!Z9,
IF($AH$4=$CJ$75,'S1'!Z9,
IF($AH$4=$CM$75,S3M!Z9,))))</f>
        <v>60</v>
      </c>
      <c r="BN9">
        <f>IF($AH$4=$CK$75,'S2'!AA9,
IF($AH$4=$CL$75,'S3'!AA9,
IF($AH$4=$CJ$75,'S1'!AA9,
IF($AH$4=$CM$75,S3M!AA9,))))</f>
        <v>0.61299999999999999</v>
      </c>
      <c r="BO9">
        <f>IF($AH$4=$CK$75,'S2'!AB9,
IF($AH$4=$CL$75,'S3'!AB9,
IF($AH$4=$CJ$75,'S1'!AB9,
IF($AH$4=$CM$75,S3M!AB9,))))</f>
        <v>3.032</v>
      </c>
      <c r="BP9">
        <v>1</v>
      </c>
      <c r="BQ9">
        <f t="shared" ref="BQ9:BQ45" si="30">IF($AR9=2,($BM$46*$L9+$M9*$BM$47+$BM$45)*$BE9/1000+$L9*$BL$46+$M9*$BL$47+$BL$45,
IF($AR9=3,($BM$43*$L9+$M9*$BM$44+$BM$42)*$BE9/1000+$L9*$BL$43+$M9*$BL$44+$BL$42,
IF($AR9=4,($BM$40*$L9+$M9*$BM$41+$BM$39)*$BE9/1000+$L9*$BL$40+$M9*$BL$41+$BL$39,
IF($AR9=5,($BM$37*$L9+$M9*$BM$38+$BM$36)*$BE9/1000+$L9*$BL$37+$M9*$BL$38+$BL$36,))))</f>
        <v>58</v>
      </c>
      <c r="BR9">
        <f t="shared" ref="BR9:BR45" si="31">IF($AR9=2,($BM$46*$N9+$O9*$BM$47)*$AT9/1000+$N9*$BL$46+$O9*$BL$47,
IF($AR9=3,($BM$43*$N9+$O9*$BM$44)*$AT9/1000+$N9*$BL$43+$O9*$BL$44,
IF($AR9=4,($BM$40*$N9+$O9*$BM$41)*$AT9/1000+$N9*$BL$40+$O9*$BL$41,
IF($AR9=5,($BM$37*$N9+$O9*$BM$38)*$AT9/1000+$N9*$BL$37+$O9*$BL$38,))))</f>
        <v>32</v>
      </c>
      <c r="BS9">
        <f t="shared" ref="BS9:BS45" si="32">IF($G9=$CJ$59,
($BD9*$BL$7+$BD9*$BM$7*$AT9/1000)+($R9*$BL$8+$R9*$BM$8*$AT9/1000)+($S9*$BL$9+$S9*$BM$9*$AT9/1000)+($T9*$BL$11+$T9*$BM$11*$AT9/1000),
IF($G9=$CK$59,
($BD9*$BL$15+$BD9*$BM$15*$AT9/1000)+($R9*$BL$16+$R9*$BM$16*$AT9/1000)+($S9*$BL$17+$S9*$BM$17*$AT9/1000)+($T9*$BL$19+$T9*$BM$19*$AT9/1000),
($BD9*$BL$23+$BD9*$BM$23*$AT9/1000)+($R9*$BL$24+$R9*$BM$24*$AT9/1000)+($S9*$BL$25+$S9*$BM$25*$AT9/1000)+($T9*$BL$27+$T9*$BM$27*$AT9/1000)))</f>
        <v>0</v>
      </c>
      <c r="BT9">
        <f t="shared" ref="BT9:BT45" si="33">X9*$BL$58
+
IF(OR(AP9=2,AP9=1),
$BL$61*R9+$BL$62*S9+$BL$65*T9+$BL$64*Y9+$BL$63*X9,)</f>
        <v>0</v>
      </c>
      <c r="BU9">
        <f t="shared" ref="BU9:BU45" si="34">IF(AW9=$CK$73,AV9*$BL$71,
IF(AW9=$CL$73,(R9-AZ124)*$BL$67+S9*($BL$68+$BL$71),
IF(AW9=$CM$73,X9*$BL$69+Y9*$BL$70,
IF(AW9=$CN$73,(R9-AZ124)*$BL$67+S9*$BL$68+X9*$BL$69+Y9*$BL$70,))))</f>
        <v>0</v>
      </c>
      <c r="BV9">
        <f t="shared" ref="BV9:BV45" si="35">IF(AR9&lt;3.5,$BL$52*AZ9,$BL$53*AZ9)
+
BA9*$BL$54
+
BC9*$BL$55
+
BB9*$BL$57+$BM$57*AT9/1000
+
IF(AQ9&gt;2900,BB9*220,)</f>
        <v>0</v>
      </c>
      <c r="BW9">
        <f t="shared" ref="BW9:BW45" si="36">SUM(BQ9:BV9)</f>
        <v>90</v>
      </c>
      <c r="BX9">
        <f t="shared" ref="BX9:BX45" si="37">IF($AR9=2,($BN$46*$L9+$M9*$BN$47+$BN$45)*$BE9/1000,
IF($AR9=3,($BN$43*$L9+$M9*$BN$44+$BN$42)*$BE9/1000,
IF($AR9=4,($BN$40*$L9+$M9*$BN$41+$BN$39)*$BE9/1000,
IF($AR9=5,($BN$37*$L9+$M9*$BN$38+$BN$36)*$BE9/1000,))))</f>
        <v>0</v>
      </c>
      <c r="BY9">
        <f t="shared" ref="BY9:BY45" si="38">IF($AR9=2,($BN$46*$N9+$O9*$BN$47+$BN$45)*$AT9/1000,
IF($AR9=3,($BN$43*$N9+$O9*$BN$44+$BN$42)*$AT9/1000,
IF($AR9=4,($BN$40*$N9+$O9*$BN$41+$BN$39)*$AT9/1000,
IF($AR9=5,($BN$37*$N9+$O9*$BN$38+$BN$36)*$AT9/1000,))))</f>
        <v>0</v>
      </c>
      <c r="BZ9">
        <f t="shared" ref="BZ9:BZ45" si="39">IF($G9=$CJ$59,
($BD9*$BN$7*$AT9/1000)+($R9*$BN$8*$AT9/1000)+($S9*$BN$9*$AT9/1000)+($T9*$BN$11*$AT9/1000),
IF($G9=$CK$59,
($BD9*$BN$15*$AT9/1000)+($R9*$BN$16*$AT9/1000)+($S9*$BN$17*$AT9/1000)+($T9*$BN$19*$AT9/1000),
($BD9*$BN$23*$AT9/1000)+($R9*$BN$24*$AT9/1000)+($S9*$BN$25*$AT9/1000)+($T9*$BN$27*$AT9/1000)))</f>
        <v>0</v>
      </c>
      <c r="CA9">
        <f t="shared" ref="CA9:CA45" si="40">BB9*$BN$57*E9/1000</f>
        <v>0</v>
      </c>
      <c r="CB9">
        <f t="shared" ref="CB9:CB45" si="41">SUM(BX9:CA9)*C9</f>
        <v>0</v>
      </c>
      <c r="CC9">
        <f t="shared" ref="CC9:CC45" si="42">SUM(BX9:CA9)*$CC$1</f>
        <v>0</v>
      </c>
      <c r="CD9">
        <f t="shared" ref="CD9:CD45" si="43">IF(G9=$CJ$59,
$BG$7*BD9+$BG$8*R9+S9*$BG$9+T9*$BG$11,
IF(G9=$CK$59,
$BG$15*BD9+$BG$16*R9+S9*$BG$17+T9*$BG$19,
$BG$23*BD9+$BG$24*R9+S9*$BG$25+T9*$BG$27))+
IF(AR9=2,$BG$45+$BG$46*L9+$BG$47*M9+N9*$BG$46+O9*$BG$47,
IF(AR9=3,L9*$BG$43+M9*$BG$44+$BG$42+N9*$BG$43+O9*$BG$44,
L9*$BG$40+M9*$BG$41+$BG$39+N9*$BG$40+O9*$BG$41))
+
$BG$55*BC9
+
$BG$57*BB9
+
$BG$54*BA9
+
IF(AR9&lt;3.5,$BG$52*AZ9,$BG$53*AZ9)</f>
        <v>80</v>
      </c>
      <c r="CE9">
        <f t="shared" ref="CE9:CE45" si="44">IF(AW9=$CK$73,AV9*$BG$71,
IF(AW9=$CL$73,(R9-AZ124)*$BG$67+S9*($BG$68+$BG$71),
IF(AW9=$CM$73,X9*$BG$69+Y9*$BG$70,
IF(AW9=$CN$73,(R9-AZ124)*$BG$67+S9*$BG$68+X9*$BG$69+Y9*$BG$70,))))</f>
        <v>0</v>
      </c>
      <c r="CF9">
        <f t="shared" ref="CF9:CF45" si="45">IF(OR(AP9=2,AP9=1),
$BG$61*R9+$BG$62*S9+$BG$65*T9+$BG$64*Y9+$BG$63*X9,)</f>
        <v>0</v>
      </c>
      <c r="CG9">
        <f t="shared" ref="CG9:CG45" si="46">IF($AR9=2,($BJ$46*$L9+$M9*$BJ$47+$BJ$45)*$BE9/1000+$L9*$BK$46+$M9*$BK$47+$BK$45,
IF($AR9=3,($BJ$43*$L9+$M9*$BJ$44+$BJ$42)*$BE9/1000+$L9*$BK$43+$M9*$BK$44+$BK$42,
IF($AR9=4,($BJ$40*$L9+$M9*$BJ$41+$BJ$39)*$BE9/1000+$L9*$BK$40+$M9*$BK$41+$BK$39,
IF($AR9=5,($BJ$37*$L9+$M9*$BJ$38+$BJ$36)*$BE9/1000+$L9*$BK$37+$M9*$BK$38+$BK$36,))))</f>
        <v>46.2</v>
      </c>
      <c r="CH9">
        <f t="shared" ref="CH9:CH45" si="47">IF($AR9=2,($BJ$46*$N9+$O9*$BJ$47)*$AT9/1000+$N9*$BK$46+$O9*$BK$47,
IF($AR9=3,($BJ$43*$N9+$O9*$BJ$44)*$AT9/1000+$N9*$BK$43+$O9*$BK$44,
IF($AR9=4,($BJ$40*$N9+$O9*$BJ$41)*$AT9/1000+$N9*$BK$40+$O9*$BK$41,
IF($AR9=5,($BJ$37*$N9+$O9*$BJ$38)*$AT9/1000+$N9*$BK$37+$O9*$BK$38,))))</f>
        <v>17.600000000000001</v>
      </c>
      <c r="CI9">
        <f t="shared" ref="CI9:CI45" si="48">IF($G9=$CJ$59,
($BD9*$BK$7+$BD9*$BJ$7*$AT9/1000)*(1-$BP$7)+($R9*$BK$8+$R9*$BJ$8*$AT9/1000)*(1-$BP$8)+($S9*$BK$9+$S9*$BJ$9*$AT9/1000)*(1-$BP$9),
IF($G9=$CK$59,
($BD9*$BK$15+$BD9*$BJ$15*$AT9/1000)*(1-$BP$15)+($R9*$BK$16+$R9*$BJ$16*$AT9/1000)*(1-$BP$16)+($S9*$BK$17+$S9*$BJ$17*$AT9/1000)*(1-$BP$17),
($BD9*$BK$23+$BD9*$BJ$23*$AT9/1000)*(1-$BP$23)+($R9*$BK$24+$R9*$BJ$24*$AT9/1000)*(1-$BP$24)+($S9*$BK$25+$S9*$BJ$25*$AT9/1000)*(1-$BP$25)))</f>
        <v>0</v>
      </c>
      <c r="CJ9">
        <f t="shared" ref="CJ9:CJ45" si="49">IF(AW9=$CK$73,AV9*$BJ$71,
IF(AW9=$CL$73,(R9-AZ124)*$BJ$67+S9*($BJ$68+$BJ$71),
IF(AW9=$CM$73,X9*$BJ$69+Y9*$BJ$70,
IF(AW9=$CN$73,(R9-AZ124)*$BJ$67+S9*$BJ$68+X9*$BJ$69+Y9*$BJ$70,))))</f>
        <v>0</v>
      </c>
      <c r="CK9">
        <f t="shared" ref="CK9:CK45" si="50">IF($G9=$CJ$59,
($T9*$BK$11+$T9*$BJ$11*$AT9/1000),
IF($G9=$CK$59,
($T9*$BK$19+$T9*$BJ$19*$AT9/1000),
($T9*$BK$27+$T9*$BJ$27*$AT9/1000)))
+
IF(OR(AP9=2,AP9=1),
$BK$65*T9,)</f>
        <v>0</v>
      </c>
      <c r="CL9">
        <f t="shared" ref="CL9:CL45" si="51">IF($G9=$CJ$59,
($BD9*$BK$7+$BD9*$BJ$7*$AT9/1000)*$BP$7+($R9*$BK$8+$R9*$BJ$8*$AT9/1000)*$BP$8+($S9*$BK$9+$S9*$BJ$9*$AT9/1000)*$BP$9,
IF($G9=$CK$59,
($BD9*$BK$15+$BD9*$BJ$15*$AT9/1000)*$BP$15+($R9*$BK$16+$R9*$BJ$16*$AT9/1000)*$BP$16+($S9*$BK$17+$S9*$BJ$17*$AT9/1000)*$BP$17,
($BD9*$BK$23+$BD9*$BJ$23*$AT9/1000)*$BP$23+($R9*$BK$24+$R9*$BJ$24*$AT9/1000)*$BP$24+($S9*$BK$25+$S9*$BJ$25*$AT9/1000)*$BP$25))</f>
        <v>0</v>
      </c>
      <c r="CM9">
        <f t="shared" ref="CM9:CM45" si="52">IF(AR9&lt;3.5,$BK$52*AZ9,$BK$53*AZ9)
+
BA9*$BK$54
+
BC9*$BK$55
+
BB9*($BK$57+$BJ$57*E9/1000)</f>
        <v>0</v>
      </c>
      <c r="CN9">
        <f t="shared" ref="CN9:CN45" si="53">IF(AW9=$CK$73,AV9*$BK$71,
IF(AW9=$CL$73,(R9-AZ124)*$BK$67+S9*($BK$68+$BK$71),
IF(AW9=$CM$73,X9*$BK$69+Y9*$BK$70,
IF(AW9=$CN$73,(R9-AZ124)*$BK$67+S9*$BK$68+X9*$BK$69+Y9*$BK$70,))))</f>
        <v>0</v>
      </c>
      <c r="CO9">
        <f t="shared" ref="CO9:CO45" si="54">IF(OR(AP9=2,AP9=1),
$BK$61*R9+$BK$62*S9+$BK$64*Y9+$BK$63*X9,)</f>
        <v>0</v>
      </c>
      <c r="CP9" t="str">
        <f t="shared" si="19"/>
        <v/>
      </c>
      <c r="CQ9">
        <f t="shared" ref="CQ9:CQ45" si="55">SUM(CD9:CF9)*C9</f>
        <v>0</v>
      </c>
      <c r="CR9" t="str">
        <f t="shared" ref="CR9:CR45" si="56">IF(AO9="","",CP9*C9)</f>
        <v/>
      </c>
      <c r="CS9">
        <f t="shared" ref="CS9:CS45" si="57">SUM(CK9)*C9</f>
        <v>0</v>
      </c>
      <c r="CT9">
        <f t="shared" ref="CT9:CT45" si="58">SUM(CL9:CO9)*C9</f>
        <v>0</v>
      </c>
      <c r="CU9">
        <f t="shared" ref="CU9:CU45" si="59">SUM(CG9:CJ9)*C9</f>
        <v>0</v>
      </c>
      <c r="CV9">
        <f t="shared" ref="CV9:CV45" si="60">IF($CO$69="og",SUM(CD9:CO9)*$CU$1/60,SUM(CD9:CP9)*$CU$1/60)</f>
        <v>203.7166666666667</v>
      </c>
      <c r="CW9">
        <f t="shared" ref="CW9:CW45" si="61">IF($AR9=2,($BH$46*$L9+$M9*$BH$47+$BH$45)*$BE9/1000+$L9*$BI$46+$M9*$BI$47+$BI$45,
IF($AR9=3,($BH$43*$L9+$M9*$BH$44+$BH$42)*$BE9/1000+$L9*$BI$43+$M9*$BI$44+$BI$42,
IF($AR9=4,($BH$40*$L9+$M9*$BH$41+$BH$39)*$BE9/1000+$L9*$BI$40+$M9*$BI$41+$BI$39,
IF($AR9=5,($BH$37*$L9+$M9*$BH$38+$BH$36)*$BE9/1000+$L9*$BI$37+$M9*$BI$38+$BI$36,))))</f>
        <v>210</v>
      </c>
      <c r="CX9">
        <f t="shared" ref="CX9:CX45" si="62">IF($AR9=2,($BH$46*$N9+$O9*$BH$47)*$AT9/1000+$N9*$BI$46+$O9*$BI$47,
IF($AR9=3,($BH$43*$N9+$O9*$BH$44)*$AT9/1000+$N9*$BI$43+$O9*$BI$44,
IF($AR9=4,($BH$40*$N9+$O9*$BH$41)*$AT9/1000+$N9*$BI$40+$O9*$BI$41,
IF($AR9=5,($BH$37*$N9+$O9*$BH$38)*$AT9/1000+$N9*$BI$37+$O9*$BI$38,))))</f>
        <v>120</v>
      </c>
      <c r="CY9">
        <f t="shared" ref="CY9:CY45" si="63">IF($G9=$CJ$59,
($BD9*$BI$7+$BD9*$BH$7*$AT9/1000)+($R9*$BI$8+$R9*$BH$8*$AT9/1000)+($S9*$BI$9+$S9*$BH$9*$AT9/1000)+($T9*$BI$11+$T9*$BH$11*$AT9/1000),
IF($G9=$CK$59,
($BD9*$BI$15+$BD9*$BH$15*$AT9/1000)+($R9*$BI$16+$R9*$BH$16*$AT9/1000)+($S9*$BI$17+$S9*$BH$17*$AT9/1000)+($T9*$BI$19+$T9*$BH$19*$AT9/1000),
($BD9*$BI$23+$BD9*$BH$23*$AT9/1000)+($R9*$BI$24+$R9*$BH$24*$AT9/1000)+($S9*$BI$25+$S9*$BH$25*$AT9/1000)+($T9*$BI$27+$T9*$BH$27*$AT9/1000)))</f>
        <v>0</v>
      </c>
      <c r="CZ9">
        <f t="shared" ref="CZ9:CZ45" si="64">IF(AR9&lt;3.5,$BI$52*AZ9,$BI$53*AZ9)
+
BC9*$BI$55
+
BB9*$BI$57+BB9*$BH$57*E9/1000
+BA9*$BI$54</f>
        <v>0</v>
      </c>
      <c r="DA9">
        <f t="shared" ref="DA9:DA45" si="65">IF(AW9=$CK$73,(R9+(S9*2))*$BI$71,
IF(AW9=$CL$73,(R9-AZ124)*$BI$67+S9*($BI$68+$BI$71),
IF(AW9=$CM$73,X9*$BI$69+Y9*$BI$70,
IF(AW9=$CN$73,(R9-AZ124)*$BI$67+S9*$BI$68+X9*$BI$68+Y9*$BI$70,))))</f>
        <v>0</v>
      </c>
      <c r="DB9">
        <f t="shared" ref="DB9:DB45" si="66">IF(OR(AP9=2,AP9=1),
$BI$61*R9+$BI$62*S9+$BI$65*T9+$BI$64*Y9+$BI$63*X9,)</f>
        <v>0</v>
      </c>
      <c r="DC9" t="str">
        <f t="shared" ref="DC9:DC45" si="67">IF(AO9="","",Z9*$BI$49+AA9*$BH$49)</f>
        <v/>
      </c>
      <c r="DD9">
        <f t="shared" ref="DD9:DD45" si="68">SUM(CW9:DC9)*C9/60</f>
        <v>0</v>
      </c>
      <c r="DE9">
        <f t="shared" ref="DE9:DE45" si="69">IF(AO9="",0,
SUM(CW9:DC9)/60)</f>
        <v>0</v>
      </c>
      <c r="DF9">
        <f t="shared" ref="DF9:DF45" si="70">(BQ9+BR9+BS9+BV9)*$DE$3</f>
        <v>12.15</v>
      </c>
      <c r="DG9">
        <f t="shared" ref="DG9:DG45" si="71">IF(AO9="",0,BW9+CV9+DF9)</f>
        <v>0</v>
      </c>
      <c r="DH9">
        <f t="shared" ref="DH9:DH45" si="72">(BW9+IF(B$47=BH$74,CC9,0))*C9*(1+DE$3)</f>
        <v>0</v>
      </c>
      <c r="DI9">
        <f t="shared" si="26"/>
        <v>0</v>
      </c>
      <c r="DJ9"/>
      <c r="DK9"/>
      <c r="DL9">
        <f t="shared" ref="DL9:DL45" si="73">DT9*C9</f>
        <v>0</v>
      </c>
      <c r="DM9">
        <f t="shared" ref="DM9:DM45" si="74">DN9*C9</f>
        <v>0</v>
      </c>
      <c r="DN9">
        <f t="shared" ref="DN9:DN45" si="75">IF(AO9="",0,SUM(($AS9-AY9)*$AT9/1000000))</f>
        <v>0</v>
      </c>
      <c r="DO9" t="e">
        <f t="shared" ref="DO9:DO45" si="76">DK169</f>
        <v>#N/A</v>
      </c>
      <c r="DP9">
        <f t="shared" ref="DP9:DP45" si="77">IFERROR(HLOOKUP(DG169,$CV$49:$DH$50,2,FALSE),)</f>
        <v>0</v>
      </c>
      <c r="DQ9" t="e">
        <f t="shared" ref="DQ9:DQ45" si="78">DJ169</f>
        <v>#N/A</v>
      </c>
      <c r="DR9" t="e">
        <f t="shared" ref="DR9:DR45" si="79">DI169</f>
        <v>#N/A</v>
      </c>
      <c r="DS9">
        <f t="shared" ref="DS9:DS45" si="80">IF(AO9="",0,DN9*DL169)</f>
        <v>0</v>
      </c>
      <c r="DT9">
        <f t="shared" ref="DT9:DT45" si="81">IF(AO9="",0,DU169)</f>
        <v>0</v>
      </c>
      <c r="DU9">
        <f t="shared" ref="DU9:DU45" si="82">IF(AO9="",0,SUM(DN9*$DS$1))</f>
        <v>0</v>
      </c>
      <c r="DV9">
        <f t="shared" si="27"/>
        <v>0</v>
      </c>
      <c r="DW9">
        <f t="shared" ref="DW9:DW45" si="83">IF(AO9="",0,IF($CO$69="og",SUM(DV9),SUM(DS9+DT9+DU9+DV9)))</f>
        <v>0</v>
      </c>
      <c r="DX9">
        <f t="shared" ref="DX9:DX45" si="84">IF($CO$69="og",,C9*(DS9+DT9+DU9))</f>
        <v>0</v>
      </c>
      <c r="DY9">
        <f t="shared" ref="DY9:DY45" si="85">DG9+DW9</f>
        <v>0</v>
      </c>
      <c r="DZ9">
        <f t="shared" ref="DZ9:DZ45" si="86">SUM(DY9+DY9*$DZ$1)</f>
        <v>0</v>
      </c>
      <c r="EA9">
        <f t="shared" ref="EA9:EA45" si="87">SUM(DZ9+DZ9*$EA$1)</f>
        <v>0</v>
      </c>
      <c r="EB9">
        <f t="shared" ref="EB9:EB45" si="88">SUM(EA9+EA9*$EB$1)</f>
        <v>0</v>
      </c>
      <c r="EC9">
        <f t="shared" ref="EC9:EC45" si="89">SUM(EB9+EB9*$EC$1)</f>
        <v>0</v>
      </c>
      <c r="ED9">
        <f t="shared" ref="ED9:ED45" si="90">(EC9*$ED$1)</f>
        <v>0</v>
      </c>
      <c r="EE9">
        <f t="shared" ref="EE9:EE45" si="91">(ED9+U9)</f>
        <v>0</v>
      </c>
      <c r="EF9">
        <f t="shared" ref="EF9:EF45" si="92">ROUND(EE9,0)+EG9</f>
        <v>0</v>
      </c>
      <c r="EG9">
        <f t="shared" ref="EG9:EG45" si="93">ROUND(((SUM(BX9:CA9))*($CC$1)*(1+$DE$3)*(1+$DZ$1)*(1+$EA$1)*(1+$EB$1)*(1+$EC$1)*$ED$1),0)</f>
        <v>0</v>
      </c>
      <c r="EH9">
        <f t="shared" si="28"/>
        <v>0</v>
      </c>
      <c r="EI9">
        <f t="shared" ref="EI9:EI45" si="94">AS9-(N9*$EK$3+O9*$EJ$3)</f>
        <v>-70</v>
      </c>
      <c r="EJ9">
        <f t="shared" ref="EJ9:EJ45" si="95">IF(X9=0,0,
IF(AM9&gt;0,VALUE(AM9),
IF(Y9=0,EI9/X9,
IF(EI9/Z9&lt;EY9,EI9/Z9,
EY9))))</f>
        <v>0</v>
      </c>
      <c r="EK9">
        <f t="shared" ref="EK9:EK45" si="96">IFERROR(IF(Y9="",0,
IF(X9=0,EI9/Y9,(EI9-EJ9*X9)/Y9)),)</f>
        <v>0</v>
      </c>
      <c r="EL9">
        <f t="shared" ref="EL9:EL45" si="97">IFERROR(EY9*X9+EZ9*Y9,)</f>
        <v>0</v>
      </c>
      <c r="EM9" t="e">
        <f t="shared" ref="EM9:EM45" si="98">IF(DO169*1000000/AQ9&lt;EY9,DO169*1000000/AQ9,EY9)</f>
        <v>#DIV/0!</v>
      </c>
      <c r="EN9">
        <f t="shared" ref="EN9:EN45" si="99">IF(EO9="qf",EX9,IF(EO9="hf",EU9,ER9))</f>
        <v>0</v>
      </c>
      <c r="EO9" t="str">
        <f t="shared" ref="EO9:EO45" si="100">IF(EW9&gt;AQ9,"qf",IF(ET9&gt;AQ9,"hf","üh"))</f>
        <v>üh</v>
      </c>
      <c r="EP9">
        <f t="shared" ref="EP9:EP45" si="101">IFERROR(HLOOKUP($DG169,$CV$49:$DH$103,53,FALSE),)</f>
        <v>0</v>
      </c>
      <c r="EQ9">
        <f t="shared" ref="EQ9:EQ45" si="102">IFERROR(HLOOKUP($DG169,$CV$49:$DH$103,54,FALSE),)</f>
        <v>0</v>
      </c>
      <c r="ER9">
        <f t="shared" ref="ER9:ER45" si="103">IFERROR(HLOOKUP($DG169,$CV$49:$DH$103,55,FALSE),)</f>
        <v>0</v>
      </c>
      <c r="ES9">
        <f t="shared" ref="ES9:ES45" si="104">IFERROR(HLOOKUP($DG169,$CV$49:$DH$103,43,FALSE),)</f>
        <v>0</v>
      </c>
      <c r="ET9">
        <f t="shared" ref="ET9:ET45" si="105">IFERROR(HLOOKUP($DG169,$CV$49:$DH$103,44,FALSE),)</f>
        <v>0</v>
      </c>
      <c r="EU9">
        <f t="shared" ref="EU9:EU45" si="106">IFERROR(HLOOKUP($DG169,$CV$49:$DH$103,45,FALSE),)</f>
        <v>0</v>
      </c>
      <c r="EV9">
        <f t="shared" ref="EV9:EV45" si="107">IFERROR(HLOOKUP($DG169,$CV$49:$DH$103,48,FALSE),)</f>
        <v>0</v>
      </c>
      <c r="EW9">
        <f t="shared" ref="EW9:EW45" si="108">IFERROR(HLOOKUP($DG169,$CV$49:$DH$103,49,FALSE),)</f>
        <v>0</v>
      </c>
      <c r="EX9">
        <f t="shared" ref="EX9:EX45" si="109">IFERROR(HLOOKUP($DG169,$CV$49:$DH$103,50,FALSE),)</f>
        <v>0</v>
      </c>
      <c r="EY9">
        <f t="shared" ref="EY9:EY45" si="110">IF(EO9="hf",EU9,
IF(EO9="qf",EX9,ER9))</f>
        <v>0</v>
      </c>
      <c r="EZ9">
        <f t="shared" ref="EZ9:EZ45" si="111">IF(EO9="hf",ES9,
IF(EO9="qf",EV9,EP9))</f>
        <v>0</v>
      </c>
      <c r="FA9">
        <f t="shared" ref="FA9:FA45" si="112">IF(EO9="hf",ET9,
IF(EO9="qf",EW9,EQ9))</f>
        <v>0</v>
      </c>
      <c r="FB9" t="str">
        <f t="shared" ref="FB9:FB45" si="113">IF(AY9&gt;0,"",IF(AO9="","",IF(EJ9&gt;EN9,$FB$4,IF(EK9&gt;EZ9,$FB$4,""))))</f>
        <v/>
      </c>
      <c r="FC9" t="str">
        <f t="shared" ref="FC9:FC45" si="114">IF(AO9="","",
IF(AQ9&lt;400,$FC$4,
IF(AQ9&gt;FA9,$FC$4,"")))</f>
        <v/>
      </c>
      <c r="FD9" t="str">
        <f>IF(AS9+E9=0,"",IF(SUM(L9:M9)=2,IF(SUM(N9+O9+BC9+BD9)=2,"",Sprache!$B$107),Sprache!$B$107))</f>
        <v/>
      </c>
      <c r="FE9" t="str">
        <f t="shared" ref="FE9:FE45" si="115">IF(G9=$CV$107,IF($CV$108&gt;AQ9,"",$FE$4),
IF(G9=$CW$107,IF($CW$108&gt;AQ9,"",$FE$4),
IF(G9=$CX$107,IF($CX$108&gt;AQ9,"",$FE$4),)))</f>
        <v/>
      </c>
      <c r="FF9" t="str">
        <f t="shared" ref="FF9:FF45" si="116">IFERROR("",IF(AO9=0,"",
IF(Q9="F","",
IF(EJ9=0,"",
IF(AQ9&lt;1500,IF(400&lt;EJ9,"",$FF$4),IF(700&lt;EJ9,"",$FF$4))))))</f>
        <v/>
      </c>
      <c r="FG9" t="str">
        <f t="shared" ref="FG9:FG45" si="117">IF(N9&lt;0,$FG$4,"")</f>
        <v/>
      </c>
      <c r="FH9" t="str">
        <f t="shared" ref="FH9:FH45" ca="1" si="118">IF($A$3=TODAY(),"",
IF(BA124=1,IF(DN169=0,"",$FH$4),""))</f>
        <v/>
      </c>
      <c r="FI9" t="str">
        <f t="shared" ref="FI9:FI45" si="119">IFERROR(IF(MID(V9,1,2)="fx","",
IF(AO9="","",
IF(OR(
AQ9*EJ9/1000000&gt;DO169,
AQ9*EK9/1000000&gt;DP169),
$FI$4,""))),"")</f>
        <v/>
      </c>
      <c r="FJ9" t="str">
        <f t="shared" ref="FJ9:FJ45" si="120">IF(O9&lt;BA9,$FJ$4,"")</f>
        <v/>
      </c>
      <c r="FK9" t="str">
        <f t="shared" ref="FK9:FK45" si="121">IF(R9&lt;BA9,$FK$4,"")</f>
        <v/>
      </c>
      <c r="FL9" t="str">
        <f t="shared" ref="FL9:FL45" si="122">IF(MID(I9,1,1)="I",IF(AQ9&gt;4500,$FL$4,""),"")</f>
        <v/>
      </c>
      <c r="FM9" t="str">
        <f t="shared" ref="FM9:FM45" si="123">IF(AO9&lt;&gt;1,"",
IF(F9="","",
IF(OR(F9=$CJ$52,F9=$CK$52,F9=$CL$52),"",$FM$4)))</f>
        <v/>
      </c>
      <c r="FN9" t="str">
        <f t="shared" ref="FN9:FN45" si="124">IF(DX169="NEIN",IF(EA169="NEIN",$FN$4,""),"")</f>
        <v/>
      </c>
      <c r="FO9" t="str">
        <f t="shared" ref="FO9:FO45" si="125">IF(AP9=2,
IF(EB169=0,"",$FO$4),"")</f>
        <v/>
      </c>
      <c r="FP9" t="str">
        <f t="shared" ref="FP9:FP45" si="126">IF(P9="R",IF(AT9-AT10=0,"",$FP$4),
IF(P9=2,IF(AT9-AT10=0,"",$FP$4),""))</f>
        <v/>
      </c>
      <c r="FQ9" t="str">
        <f>IF(AO9="","",IF(DK169=0,Sprache!$B$65&amp;" ?",IF(CH169="?",$FQ$4,"")))</f>
        <v/>
      </c>
      <c r="FR9" t="str">
        <f t="shared" ref="FR9:FR45" si="127">IF(DH169=$DI$51,"",
IF(DH169=$DI$56,"",
IF(DH169=$DI$61,"",
IF(DH169=$DI$66,"",
IF(DH169=$DI$71,"",
IF(DH169=$DI$76,"",
IF(DH169=$DI$81,"",$FR$4)))))))</f>
        <v/>
      </c>
      <c r="FS9" t="str">
        <f t="shared" ref="FS9:FS45" si="128">IF((BA9+BB9)&gt;R9,$FS$4,"")</f>
        <v/>
      </c>
      <c r="FT9" t="str">
        <f t="shared" ref="FT9:FT45" si="129">IF(AND(Y9=0,AM9&gt;0),$FT$4,"")</f>
        <v/>
      </c>
      <c r="FU9"/>
      <c r="FV9" t="str">
        <f ca="1">IF(TODAY()=$A$3,"",IF(TODAY()&gt;DATE(2018,7,1),CONCATENATE(Sprache!$B$89),""))</f>
        <v>outdated version</v>
      </c>
      <c r="FW9" t="str">
        <f t="shared" ref="FW9:FW45" ca="1" si="130">CONCATENATE(FV9,FU9,FT9,FS9,FR9,FP9,FQ9,FK9,FL9,FN9,FO9,FJ9,FI9,FH9,FG9,FF9,FE9,FD9,FC9,FB9,FM9,$BQ$98)</f>
        <v>outdated version</v>
      </c>
      <c r="FX9" t="str">
        <f t="shared" ref="FX9:FX45" ca="1" si="131">CONCATENATE(FV9,FU9,FT9,FS9,FR9,FP9,FQ9,FK9,FN9,FO9,FJ9,FG9,FF9,FE9,FD9,FL9,FM9,$BQ$98)</f>
        <v>outdated version</v>
      </c>
      <c r="FY9" t="str">
        <f t="shared" ref="FY9:FY45" ca="1" si="132">IF(AN9=1,"",
IF(AO9="","",
IF($FW$1=1,"",
IF(AND($A$3=TODAY(),FX9=""),"",
IF(FW9="","",
CONCATENATE(FW9))))))</f>
        <v/>
      </c>
      <c r="FZ9"/>
      <c r="GA9" s="407">
        <f t="shared" ref="GA9:GA45" si="133">ROUND(CONVERT(GB9,"ft","m")*1000
+CONVERT(GC9,"in","m")*1000
+CONVERT(GD9,"in","m")*1000,1)</f>
        <v>0</v>
      </c>
      <c r="GB9" s="405"/>
      <c r="GC9" s="405"/>
      <c r="GD9" s="406"/>
      <c r="GE9" s="407">
        <f t="shared" ref="GE9:GE45" si="134">ROUND(CONVERT(GF9,"ft","m")*1000
+CONVERT(GG9,"in","m")*1000
+CONVERT(GH9,"in","m")*1000,1)</f>
        <v>0</v>
      </c>
      <c r="GF9" s="405"/>
      <c r="GG9" s="404"/>
      <c r="GH9" s="406"/>
    </row>
    <row r="10" spans="1:190" s="243" customFormat="1" ht="14.25" customHeight="1" x14ac:dyDescent="0.2">
      <c r="A10" s="220"/>
      <c r="B10" s="221"/>
      <c r="C10" s="222"/>
      <c r="D10" s="223">
        <f t="shared" si="20"/>
        <v>0</v>
      </c>
      <c r="E10" s="223">
        <f t="shared" si="21"/>
        <v>0</v>
      </c>
      <c r="F10" s="224"/>
      <c r="G10" s="225"/>
      <c r="H10" s="225"/>
      <c r="I10" s="272"/>
      <c r="J10" s="264">
        <v>0</v>
      </c>
      <c r="K10" s="226"/>
      <c r="L10" s="227">
        <v>1</v>
      </c>
      <c r="M10" s="228">
        <f t="shared" si="4"/>
        <v>1</v>
      </c>
      <c r="N10" s="229">
        <f t="shared" si="5"/>
        <v>2</v>
      </c>
      <c r="O10" s="230"/>
      <c r="P10" s="231"/>
      <c r="Q10" s="232"/>
      <c r="R10" s="233">
        <f t="shared" si="6"/>
        <v>0</v>
      </c>
      <c r="S10" s="233">
        <f t="shared" si="7"/>
        <v>0</v>
      </c>
      <c r="T10" s="245">
        <f t="shared" si="8"/>
        <v>0</v>
      </c>
      <c r="U10" s="234"/>
      <c r="V10" s="416"/>
      <c r="W10" s="267"/>
      <c r="X10" s="235">
        <f t="shared" si="9"/>
        <v>0</v>
      </c>
      <c r="Y10" s="236" t="str">
        <f t="shared" si="10"/>
        <v/>
      </c>
      <c r="Z10" s="237">
        <f t="shared" si="11"/>
        <v>0</v>
      </c>
      <c r="AA10" s="238">
        <f t="shared" si="12"/>
        <v>0</v>
      </c>
      <c r="AB10" s="239" t="str">
        <f t="shared" si="13"/>
        <v/>
      </c>
      <c r="AC10" s="240" t="str">
        <f t="shared" ca="1" si="14"/>
        <v/>
      </c>
      <c r="AD10" s="394" t="str">
        <f t="shared" ca="1" si="15"/>
        <v/>
      </c>
      <c r="AE10" s="241" t="str">
        <f>IF(AO10="","",IFERROR(IF(ELEMENT!$CH$78=ELEMENT!$CM$63,(AC10/AA10/10.75),(AC10/AA10)),""))</f>
        <v/>
      </c>
      <c r="AF10" s="241" t="str">
        <f t="shared" si="16"/>
        <v/>
      </c>
      <c r="AG10" s="238" t="str">
        <f t="shared" si="17"/>
        <v/>
      </c>
      <c r="AH10" s="242" t="str">
        <f t="shared" si="18"/>
        <v/>
      </c>
      <c r="AI10" s="192"/>
      <c r="AJ10" s="274"/>
      <c r="AK10"/>
      <c r="AL10"/>
      <c r="AM10">
        <f t="shared" ref="AM10:AM45" si="135">IF(MID(V10,1,2)="sb",(MID(V10,3,30)),)</f>
        <v>0</v>
      </c>
      <c r="AN10" t="str">
        <f t="shared" ref="AN10:AN45" si="136">IF(U10="","",IF(V10="","",IF(AO10="",1,"")))</f>
        <v/>
      </c>
      <c r="AO10" t="str">
        <f t="shared" ref="AO10:AO45" si="137">IF(E10&gt;0,IF(D10&gt;0,IF(Q10="","",1),""),"")</f>
        <v/>
      </c>
      <c r="AP10" t="str">
        <f t="shared" ref="AP10:AP45" si="138">IF(W10="RC2",2,
IF(W10="RCOG",1,""))</f>
        <v/>
      </c>
      <c r="AQ10">
        <f t="shared" si="22"/>
        <v>0</v>
      </c>
      <c r="AR10">
        <f t="shared" ref="AR10:AR45" si="139">IF(F10="",2,F10)</f>
        <v>2</v>
      </c>
      <c r="AS10">
        <f t="shared" si="29"/>
        <v>0</v>
      </c>
      <c r="AT10">
        <f t="shared" si="23"/>
        <v>0</v>
      </c>
      <c r="AU10">
        <f t="shared" ref="AU10:AU45" si="140">AS10</f>
        <v>0</v>
      </c>
      <c r="AV10">
        <f t="shared" ref="AV10:AV45" si="141">IF(AW10=$CK$73,R10+S10+CC333,)</f>
        <v>0</v>
      </c>
      <c r="AW10">
        <f t="shared" ref="AW10:AW45" si="142">H10</f>
        <v>0</v>
      </c>
      <c r="AX10" t="str">
        <f t="shared" si="24"/>
        <v/>
      </c>
      <c r="AY10">
        <f t="shared" ref="AY10:AY45" si="143">IF(MID(V10,1,2)="fx",(MID(V10,3,30)),0)</f>
        <v>0</v>
      </c>
      <c r="AZ10">
        <f t="shared" ref="AZ10:AZ45" si="144">TRUNC(BE10/6400,0)</f>
        <v>0</v>
      </c>
      <c r="BA10">
        <f t="shared" ref="BA10:BA45" si="145">IF(I10=$CM$67,1,
IF(I10=$CN$67,1,
IF(I10=$CO$67,2,)))</f>
        <v>0</v>
      </c>
      <c r="BB10">
        <f t="shared" ref="BB10:BB45" si="146">IF(I10=$CK$67,1,
IF(I10=$CM$67,1,
IF(I10=$CL$67,2,)))</f>
        <v>0</v>
      </c>
      <c r="BC10">
        <f t="shared" ref="BC10:BC45" si="147">SUM(BD125:BE125)</f>
        <v>0</v>
      </c>
      <c r="BD10">
        <f t="shared" ref="BD10:BD45" si="148">IF(P10="R",1,IF(P10="L",1,IF(P10=2,2,0)))</f>
        <v>0</v>
      </c>
      <c r="BE10">
        <f t="shared" ref="BE10:BE45" si="149">IF(AO10="",0,AS10+$BF$56*BC10)</f>
        <v>0</v>
      </c>
      <c r="BF10">
        <f t="shared" si="25"/>
        <v>0</v>
      </c>
      <c r="BG10">
        <f>IF($AH$4=$CK$75,'S2'!T10,
IF($AH$4=$CL$75,'S3'!T10,
IF($AH$4=$CJ$75,'S1'!T10,
IF($AH$4=$CM$75,S3M!T10,))))</f>
        <v>0</v>
      </c>
      <c r="BH10">
        <f>IF($AH$4=$CK$75,'S2'!U10,
IF($AH$4=$CL$75,'S3'!U10,
IF($AH$4=$CJ$75,'S1'!U10,
IF($AH$4=$CM$75,S3M!U10,))))</f>
        <v>0</v>
      </c>
      <c r="BI10">
        <f>IF($AH$4=$CK$75,'S2'!V10,
IF($AH$4=$CL$75,'S3'!V10,
IF($AH$4=$CJ$75,'S1'!V10,
IF($AH$4=$CM$75,S3M!V10,))))</f>
        <v>0</v>
      </c>
      <c r="BJ10">
        <f>IF($AH$4=$CK$75,'S2'!W10,
IF($AH$4=$CL$75,'S3'!W10,
IF($AH$4=$CJ$75,'S1'!W10,
IF($AH$4=$CM$75,S3M!W10,))))</f>
        <v>0</v>
      </c>
      <c r="BK10">
        <f>IF($AH$4=$CK$75,'S2'!X10,
IF($AH$4=$CL$75,'S3'!X10,
IF($AH$4=$CJ$75,'S1'!X10,
IF($AH$4=$CM$75,S3M!X10,))))</f>
        <v>0</v>
      </c>
      <c r="BL10">
        <f>IF($AH$4=$CK$75,'S2'!Y10,
IF($AH$4=$CL$75,'S3'!Y10,
IF($AH$4=$CJ$75,'S1'!Y10,
IF($AH$4=$CM$75,S3M!Y10,))))</f>
        <v>0</v>
      </c>
      <c r="BM10">
        <f>IF($AH$4=$CK$75,'S2'!Z10,
IF($AH$4=$CL$75,'S3'!Z10,
IF($AH$4=$CJ$75,'S1'!Z10,
IF($AH$4=$CM$75,S3M!Z10,))))</f>
        <v>0</v>
      </c>
      <c r="BN10">
        <f>IF($AH$4=$CK$75,'S2'!AA10,
IF($AH$4=$CL$75,'S3'!AA10,
IF($AH$4=$CJ$75,'S1'!AA10,
IF($AH$4=$CM$75,S3M!AA10,))))</f>
        <v>0</v>
      </c>
      <c r="BO10">
        <f>IF($AH$4=$CK$75,'S2'!AB10,
IF($AH$4=$CL$75,'S3'!AB10,
IF($AH$4=$CJ$75,'S1'!AB10,
IF($AH$4=$CM$75,S3M!AB10,))))</f>
        <v>0</v>
      </c>
      <c r="BP10"/>
      <c r="BQ10">
        <f t="shared" si="30"/>
        <v>58</v>
      </c>
      <c r="BR10">
        <f t="shared" si="31"/>
        <v>32</v>
      </c>
      <c r="BS10">
        <f t="shared" si="32"/>
        <v>0</v>
      </c>
      <c r="BT10">
        <f t="shared" si="33"/>
        <v>0</v>
      </c>
      <c r="BU10">
        <f t="shared" si="34"/>
        <v>0</v>
      </c>
      <c r="BV10">
        <f t="shared" si="35"/>
        <v>0</v>
      </c>
      <c r="BW10">
        <f t="shared" si="36"/>
        <v>90</v>
      </c>
      <c r="BX10">
        <f t="shared" si="37"/>
        <v>0</v>
      </c>
      <c r="BY10">
        <f t="shared" si="38"/>
        <v>0</v>
      </c>
      <c r="BZ10">
        <f t="shared" si="39"/>
        <v>0</v>
      </c>
      <c r="CA10">
        <f t="shared" si="40"/>
        <v>0</v>
      </c>
      <c r="CB10">
        <f t="shared" si="41"/>
        <v>0</v>
      </c>
      <c r="CC10">
        <f t="shared" si="42"/>
        <v>0</v>
      </c>
      <c r="CD10">
        <f t="shared" si="43"/>
        <v>80</v>
      </c>
      <c r="CE10">
        <f t="shared" si="44"/>
        <v>0</v>
      </c>
      <c r="CF10">
        <f t="shared" si="45"/>
        <v>0</v>
      </c>
      <c r="CG10">
        <f t="shared" si="46"/>
        <v>46.2</v>
      </c>
      <c r="CH10">
        <f t="shared" si="47"/>
        <v>17.600000000000001</v>
      </c>
      <c r="CI10">
        <f t="shared" si="48"/>
        <v>0</v>
      </c>
      <c r="CJ10">
        <f t="shared" si="49"/>
        <v>0</v>
      </c>
      <c r="CK10">
        <f t="shared" si="50"/>
        <v>0</v>
      </c>
      <c r="CL10">
        <f t="shared" si="51"/>
        <v>0</v>
      </c>
      <c r="CM10">
        <f t="shared" si="52"/>
        <v>0</v>
      </c>
      <c r="CN10">
        <f t="shared" si="53"/>
        <v>0</v>
      </c>
      <c r="CO10">
        <f t="shared" si="54"/>
        <v>0</v>
      </c>
      <c r="CP10" t="str">
        <f t="shared" si="19"/>
        <v/>
      </c>
      <c r="CQ10">
        <f t="shared" si="55"/>
        <v>0</v>
      </c>
      <c r="CR10" t="str">
        <f t="shared" si="56"/>
        <v/>
      </c>
      <c r="CS10">
        <f t="shared" si="57"/>
        <v>0</v>
      </c>
      <c r="CT10">
        <f t="shared" si="58"/>
        <v>0</v>
      </c>
      <c r="CU10">
        <f t="shared" si="59"/>
        <v>0</v>
      </c>
      <c r="CV10">
        <f t="shared" si="60"/>
        <v>203.7166666666667</v>
      </c>
      <c r="CW10">
        <f t="shared" si="61"/>
        <v>210</v>
      </c>
      <c r="CX10">
        <f t="shared" si="62"/>
        <v>120</v>
      </c>
      <c r="CY10">
        <f t="shared" si="63"/>
        <v>0</v>
      </c>
      <c r="CZ10">
        <f t="shared" si="64"/>
        <v>0</v>
      </c>
      <c r="DA10">
        <f t="shared" si="65"/>
        <v>0</v>
      </c>
      <c r="DB10">
        <f t="shared" si="66"/>
        <v>0</v>
      </c>
      <c r="DC10" t="str">
        <f t="shared" si="67"/>
        <v/>
      </c>
      <c r="DD10">
        <f t="shared" si="68"/>
        <v>0</v>
      </c>
      <c r="DE10">
        <f t="shared" si="69"/>
        <v>0</v>
      </c>
      <c r="DF10">
        <f t="shared" si="70"/>
        <v>12.15</v>
      </c>
      <c r="DG10">
        <f t="shared" si="71"/>
        <v>0</v>
      </c>
      <c r="DH10">
        <f t="shared" si="72"/>
        <v>0</v>
      </c>
      <c r="DI10">
        <f t="shared" si="26"/>
        <v>0</v>
      </c>
      <c r="DJ10"/>
      <c r="DK10"/>
      <c r="DL10">
        <f t="shared" si="73"/>
        <v>0</v>
      </c>
      <c r="DM10">
        <f t="shared" si="74"/>
        <v>0</v>
      </c>
      <c r="DN10">
        <f t="shared" si="75"/>
        <v>0</v>
      </c>
      <c r="DO10" t="e">
        <f t="shared" si="76"/>
        <v>#N/A</v>
      </c>
      <c r="DP10">
        <f t="shared" si="77"/>
        <v>0</v>
      </c>
      <c r="DQ10" t="e">
        <f t="shared" si="78"/>
        <v>#N/A</v>
      </c>
      <c r="DR10" t="e">
        <f t="shared" si="79"/>
        <v>#N/A</v>
      </c>
      <c r="DS10">
        <f t="shared" si="80"/>
        <v>0</v>
      </c>
      <c r="DT10">
        <f t="shared" si="81"/>
        <v>0</v>
      </c>
      <c r="DU10">
        <f t="shared" si="82"/>
        <v>0</v>
      </c>
      <c r="DV10">
        <f t="shared" si="27"/>
        <v>0</v>
      </c>
      <c r="DW10">
        <f t="shared" si="83"/>
        <v>0</v>
      </c>
      <c r="DX10">
        <f t="shared" si="84"/>
        <v>0</v>
      </c>
      <c r="DY10">
        <f t="shared" si="85"/>
        <v>0</v>
      </c>
      <c r="DZ10">
        <f t="shared" si="86"/>
        <v>0</v>
      </c>
      <c r="EA10">
        <f t="shared" si="87"/>
        <v>0</v>
      </c>
      <c r="EB10">
        <f t="shared" si="88"/>
        <v>0</v>
      </c>
      <c r="EC10">
        <f t="shared" si="89"/>
        <v>0</v>
      </c>
      <c r="ED10">
        <f t="shared" si="90"/>
        <v>0</v>
      </c>
      <c r="EE10">
        <f t="shared" si="91"/>
        <v>0</v>
      </c>
      <c r="EF10">
        <f t="shared" si="92"/>
        <v>0</v>
      </c>
      <c r="EG10">
        <f t="shared" si="93"/>
        <v>0</v>
      </c>
      <c r="EH10">
        <f t="shared" si="28"/>
        <v>0</v>
      </c>
      <c r="EI10">
        <f t="shared" si="94"/>
        <v>-70</v>
      </c>
      <c r="EJ10">
        <f t="shared" si="95"/>
        <v>0</v>
      </c>
      <c r="EK10">
        <f t="shared" si="96"/>
        <v>0</v>
      </c>
      <c r="EL10">
        <f t="shared" si="97"/>
        <v>0</v>
      </c>
      <c r="EM10" t="e">
        <f t="shared" si="98"/>
        <v>#DIV/0!</v>
      </c>
      <c r="EN10">
        <f t="shared" si="99"/>
        <v>0</v>
      </c>
      <c r="EO10" t="str">
        <f t="shared" si="100"/>
        <v>üh</v>
      </c>
      <c r="EP10">
        <f t="shared" si="101"/>
        <v>0</v>
      </c>
      <c r="EQ10">
        <f t="shared" si="102"/>
        <v>0</v>
      </c>
      <c r="ER10">
        <f t="shared" si="103"/>
        <v>0</v>
      </c>
      <c r="ES10">
        <f t="shared" si="104"/>
        <v>0</v>
      </c>
      <c r="ET10">
        <f t="shared" si="105"/>
        <v>0</v>
      </c>
      <c r="EU10">
        <f t="shared" si="106"/>
        <v>0</v>
      </c>
      <c r="EV10">
        <f t="shared" si="107"/>
        <v>0</v>
      </c>
      <c r="EW10">
        <f t="shared" si="108"/>
        <v>0</v>
      </c>
      <c r="EX10">
        <f t="shared" si="109"/>
        <v>0</v>
      </c>
      <c r="EY10">
        <f t="shared" si="110"/>
        <v>0</v>
      </c>
      <c r="EZ10">
        <f t="shared" si="111"/>
        <v>0</v>
      </c>
      <c r="FA10">
        <f t="shared" si="112"/>
        <v>0</v>
      </c>
      <c r="FB10" t="str">
        <f t="shared" si="113"/>
        <v/>
      </c>
      <c r="FC10" t="str">
        <f t="shared" si="114"/>
        <v/>
      </c>
      <c r="FD10" t="str">
        <f>IF(AS10+E10=0,"",IF(SUM(L10:M10)=2,IF(SUM(N10+O10+BC10+BD10)=2,"",Sprache!$B$107),Sprache!$B$107))</f>
        <v/>
      </c>
      <c r="FE10" t="str">
        <f t="shared" si="115"/>
        <v/>
      </c>
      <c r="FF10" t="str">
        <f t="shared" si="116"/>
        <v/>
      </c>
      <c r="FG10" t="str">
        <f t="shared" si="117"/>
        <v/>
      </c>
      <c r="FH10" t="str">
        <f t="shared" ca="1" si="118"/>
        <v/>
      </c>
      <c r="FI10" t="str">
        <f t="shared" si="119"/>
        <v/>
      </c>
      <c r="FJ10" t="str">
        <f t="shared" si="120"/>
        <v/>
      </c>
      <c r="FK10" t="str">
        <f t="shared" si="121"/>
        <v/>
      </c>
      <c r="FL10" t="str">
        <f t="shared" si="122"/>
        <v/>
      </c>
      <c r="FM10" t="str">
        <f t="shared" si="123"/>
        <v/>
      </c>
      <c r="FN10" t="str">
        <f t="shared" si="124"/>
        <v/>
      </c>
      <c r="FO10" t="str">
        <f t="shared" si="125"/>
        <v/>
      </c>
      <c r="FP10" t="str">
        <f t="shared" si="126"/>
        <v/>
      </c>
      <c r="FQ10" t="str">
        <f>IF(AO10="","",IF(DK170=0,Sprache!$B$65&amp;" ?",IF(CH170="?",$FQ$4,"")))</f>
        <v/>
      </c>
      <c r="FR10" t="str">
        <f t="shared" si="127"/>
        <v/>
      </c>
      <c r="FS10" t="str">
        <f t="shared" si="128"/>
        <v/>
      </c>
      <c r="FT10" t="str">
        <f t="shared" si="129"/>
        <v/>
      </c>
      <c r="FU10"/>
      <c r="FV10" t="str">
        <f ca="1">IF(TODAY()=$A$3,"",IF(TODAY()&gt;DATE(2018,7,1),CONCATENATE(Sprache!$B$89),""))</f>
        <v>outdated version</v>
      </c>
      <c r="FW10" t="str">
        <f t="shared" ca="1" si="130"/>
        <v>outdated version</v>
      </c>
      <c r="FX10" t="str">
        <f t="shared" ca="1" si="131"/>
        <v>outdated version</v>
      </c>
      <c r="FY10" t="str">
        <f t="shared" ca="1" si="132"/>
        <v/>
      </c>
      <c r="FZ10"/>
      <c r="GA10" s="407">
        <f t="shared" si="133"/>
        <v>0</v>
      </c>
      <c r="GB10" s="405"/>
      <c r="GC10" s="405"/>
      <c r="GD10" s="406"/>
      <c r="GE10" s="407">
        <f t="shared" si="134"/>
        <v>0</v>
      </c>
      <c r="GF10" s="405"/>
      <c r="GG10" s="404"/>
      <c r="GH10" s="406"/>
    </row>
    <row r="11" spans="1:190" s="243" customFormat="1" ht="14.25" customHeight="1" x14ac:dyDescent="0.2">
      <c r="A11" s="220"/>
      <c r="B11" s="221"/>
      <c r="C11" s="222"/>
      <c r="D11" s="223">
        <f t="shared" si="20"/>
        <v>0</v>
      </c>
      <c r="E11" s="223">
        <f t="shared" si="21"/>
        <v>0</v>
      </c>
      <c r="F11" s="224"/>
      <c r="G11" s="225"/>
      <c r="H11" s="225"/>
      <c r="I11" s="272"/>
      <c r="J11" s="264"/>
      <c r="K11" s="226"/>
      <c r="L11" s="227">
        <v>1</v>
      </c>
      <c r="M11" s="228">
        <f t="shared" si="4"/>
        <v>1</v>
      </c>
      <c r="N11" s="229">
        <f t="shared" si="5"/>
        <v>2</v>
      </c>
      <c r="O11" s="230"/>
      <c r="P11" s="231"/>
      <c r="Q11" s="232"/>
      <c r="R11" s="233">
        <f t="shared" si="6"/>
        <v>0</v>
      </c>
      <c r="S11" s="233">
        <f t="shared" si="7"/>
        <v>0</v>
      </c>
      <c r="T11" s="245">
        <f t="shared" si="8"/>
        <v>0</v>
      </c>
      <c r="U11" s="234"/>
      <c r="V11" s="416"/>
      <c r="W11" s="267"/>
      <c r="X11" s="235">
        <f t="shared" si="9"/>
        <v>0</v>
      </c>
      <c r="Y11" s="236" t="str">
        <f t="shared" si="10"/>
        <v/>
      </c>
      <c r="Z11" s="237">
        <f t="shared" si="11"/>
        <v>0</v>
      </c>
      <c r="AA11" s="238">
        <f t="shared" si="12"/>
        <v>0</v>
      </c>
      <c r="AB11" s="239" t="str">
        <f t="shared" si="13"/>
        <v/>
      </c>
      <c r="AC11" s="240" t="str">
        <f t="shared" ca="1" si="14"/>
        <v/>
      </c>
      <c r="AD11" s="394" t="str">
        <f t="shared" ca="1" si="15"/>
        <v/>
      </c>
      <c r="AE11" s="241" t="str">
        <f>IF(AO11="","",IFERROR(IF(ELEMENT!$CH$78=ELEMENT!$CM$63,(AC11/AA11/10.75),(AC11/AA11)),""))</f>
        <v/>
      </c>
      <c r="AF11" s="241" t="str">
        <f t="shared" si="16"/>
        <v/>
      </c>
      <c r="AG11" s="238" t="str">
        <f t="shared" si="17"/>
        <v/>
      </c>
      <c r="AH11" s="242" t="str">
        <f t="shared" si="18"/>
        <v/>
      </c>
      <c r="AI11" s="192"/>
      <c r="AJ11" s="274"/>
      <c r="AK11"/>
      <c r="AL11"/>
      <c r="AM11">
        <f t="shared" si="135"/>
        <v>0</v>
      </c>
      <c r="AN11" t="str">
        <f t="shared" si="136"/>
        <v/>
      </c>
      <c r="AO11" t="str">
        <f t="shared" si="137"/>
        <v/>
      </c>
      <c r="AP11" t="str">
        <f t="shared" si="138"/>
        <v/>
      </c>
      <c r="AQ11">
        <f t="shared" si="22"/>
        <v>0</v>
      </c>
      <c r="AR11">
        <f t="shared" si="139"/>
        <v>2</v>
      </c>
      <c r="AS11">
        <f t="shared" si="29"/>
        <v>0</v>
      </c>
      <c r="AT11">
        <f t="shared" si="23"/>
        <v>0</v>
      </c>
      <c r="AU11">
        <f t="shared" si="140"/>
        <v>0</v>
      </c>
      <c r="AV11">
        <f t="shared" si="141"/>
        <v>0</v>
      </c>
      <c r="AW11">
        <f t="shared" si="142"/>
        <v>0</v>
      </c>
      <c r="AX11" t="str">
        <f t="shared" si="24"/>
        <v/>
      </c>
      <c r="AY11">
        <f t="shared" si="143"/>
        <v>0</v>
      </c>
      <c r="AZ11">
        <f t="shared" si="144"/>
        <v>0</v>
      </c>
      <c r="BA11">
        <f t="shared" si="145"/>
        <v>0</v>
      </c>
      <c r="BB11">
        <f t="shared" si="146"/>
        <v>0</v>
      </c>
      <c r="BC11">
        <f t="shared" si="147"/>
        <v>0</v>
      </c>
      <c r="BD11">
        <f t="shared" si="148"/>
        <v>0</v>
      </c>
      <c r="BE11">
        <f t="shared" si="149"/>
        <v>0</v>
      </c>
      <c r="BF11">
        <f t="shared" si="25"/>
        <v>0</v>
      </c>
      <c r="BG11">
        <f>IF($AH$4=$CK$75,'S2'!T11,
IF($AH$4=$CL$75,'S3'!T11,
IF($AH$4=$CJ$75,'S1'!T11,
IF($AH$4=$CM$75,S3M!T11,))))</f>
        <v>15</v>
      </c>
      <c r="BH11">
        <f>IF($AH$4=$CK$75,'S2'!U11,
IF($AH$4=$CL$75,'S3'!U11,
IF($AH$4=$CJ$75,'S1'!U11,
IF($AH$4=$CM$75,S3M!U11,))))</f>
        <v>5</v>
      </c>
      <c r="BI11">
        <f>IF($AH$4=$CK$75,'S2'!V11,
IF($AH$4=$CL$75,'S3'!V11,
IF($AH$4=$CJ$75,'S1'!V11,
IF($AH$4=$CM$75,S3M!V11,))))</f>
        <v>20</v>
      </c>
      <c r="BJ11">
        <f>IF($AH$4=$CK$75,'S2'!W11,
IF($AH$4=$CL$75,'S3'!W11,
IF($AH$4=$CJ$75,'S1'!W11,
IF($AH$4=$CM$75,S3M!W11,))))</f>
        <v>11</v>
      </c>
      <c r="BK11">
        <f>IF($AH$4=$CK$75,'S2'!X11,
IF($AH$4=$CL$75,'S3'!X11,
IF($AH$4=$CJ$75,'S1'!X11,
IF($AH$4=$CM$75,S3M!X11,))))</f>
        <v>24.750000000000004</v>
      </c>
      <c r="BL11">
        <f>IF($AH$4=$CK$75,'S2'!Y11,
IF($AH$4=$CL$75,'S3'!Y11,
IF($AH$4=$CJ$75,'S1'!Y11,
IF($AH$4=$CM$75,S3M!Y11,))))</f>
        <v>17</v>
      </c>
      <c r="BM11">
        <f>IF($AH$4=$CK$75,'S2'!Z11,
IF($AH$4=$CL$75,'S3'!Z11,
IF($AH$4=$CJ$75,'S1'!Z11,
IF($AH$4=$CM$75,S3M!Z11,))))</f>
        <v>22</v>
      </c>
      <c r="BN11">
        <f>IF($AH$4=$CK$75,'S2'!AA11,
IF($AH$4=$CL$75,'S3'!AA11,
IF($AH$4=$CJ$75,'S1'!AA11,
IF($AH$4=$CM$75,S3M!AA11,))))</f>
        <v>0.42599999999999999</v>
      </c>
      <c r="BO11">
        <f>IF($AH$4=$CK$75,'S2'!AB11,
IF($AH$4=$CL$75,'S3'!AB11,
IF($AH$4=$CJ$75,'S1'!AB11,
IF($AH$4=$CM$75,S3M!AB11,))))</f>
        <v>1.87</v>
      </c>
      <c r="BP11">
        <v>0</v>
      </c>
      <c r="BQ11">
        <f t="shared" si="30"/>
        <v>58</v>
      </c>
      <c r="BR11">
        <f t="shared" si="31"/>
        <v>32</v>
      </c>
      <c r="BS11">
        <f t="shared" si="32"/>
        <v>0</v>
      </c>
      <c r="BT11">
        <f t="shared" si="33"/>
        <v>0</v>
      </c>
      <c r="BU11">
        <f t="shared" si="34"/>
        <v>0</v>
      </c>
      <c r="BV11">
        <f t="shared" si="35"/>
        <v>0</v>
      </c>
      <c r="BW11">
        <f t="shared" si="36"/>
        <v>90</v>
      </c>
      <c r="BX11">
        <f t="shared" si="37"/>
        <v>0</v>
      </c>
      <c r="BY11">
        <f t="shared" si="38"/>
        <v>0</v>
      </c>
      <c r="BZ11">
        <f t="shared" si="39"/>
        <v>0</v>
      </c>
      <c r="CA11">
        <f t="shared" si="40"/>
        <v>0</v>
      </c>
      <c r="CB11">
        <f t="shared" si="41"/>
        <v>0</v>
      </c>
      <c r="CC11">
        <f t="shared" si="42"/>
        <v>0</v>
      </c>
      <c r="CD11">
        <f t="shared" si="43"/>
        <v>80</v>
      </c>
      <c r="CE11">
        <f t="shared" si="44"/>
        <v>0</v>
      </c>
      <c r="CF11">
        <f t="shared" si="45"/>
        <v>0</v>
      </c>
      <c r="CG11">
        <f t="shared" si="46"/>
        <v>46.2</v>
      </c>
      <c r="CH11">
        <f t="shared" si="47"/>
        <v>17.600000000000001</v>
      </c>
      <c r="CI11">
        <f t="shared" si="48"/>
        <v>0</v>
      </c>
      <c r="CJ11">
        <f t="shared" si="49"/>
        <v>0</v>
      </c>
      <c r="CK11">
        <f t="shared" si="50"/>
        <v>0</v>
      </c>
      <c r="CL11">
        <f t="shared" si="51"/>
        <v>0</v>
      </c>
      <c r="CM11">
        <f t="shared" si="52"/>
        <v>0</v>
      </c>
      <c r="CN11">
        <f t="shared" si="53"/>
        <v>0</v>
      </c>
      <c r="CO11">
        <f t="shared" si="54"/>
        <v>0</v>
      </c>
      <c r="CP11" t="str">
        <f t="shared" si="19"/>
        <v/>
      </c>
      <c r="CQ11">
        <f t="shared" si="55"/>
        <v>0</v>
      </c>
      <c r="CR11" t="str">
        <f t="shared" si="56"/>
        <v/>
      </c>
      <c r="CS11">
        <f t="shared" si="57"/>
        <v>0</v>
      </c>
      <c r="CT11">
        <f t="shared" si="58"/>
        <v>0</v>
      </c>
      <c r="CU11">
        <f t="shared" si="59"/>
        <v>0</v>
      </c>
      <c r="CV11">
        <f t="shared" si="60"/>
        <v>203.7166666666667</v>
      </c>
      <c r="CW11">
        <f t="shared" si="61"/>
        <v>210</v>
      </c>
      <c r="CX11">
        <f t="shared" si="62"/>
        <v>120</v>
      </c>
      <c r="CY11">
        <f t="shared" si="63"/>
        <v>0</v>
      </c>
      <c r="CZ11">
        <f t="shared" si="64"/>
        <v>0</v>
      </c>
      <c r="DA11">
        <f t="shared" si="65"/>
        <v>0</v>
      </c>
      <c r="DB11">
        <f t="shared" si="66"/>
        <v>0</v>
      </c>
      <c r="DC11" t="str">
        <f t="shared" si="67"/>
        <v/>
      </c>
      <c r="DD11">
        <f t="shared" si="68"/>
        <v>0</v>
      </c>
      <c r="DE11">
        <f t="shared" si="69"/>
        <v>0</v>
      </c>
      <c r="DF11">
        <f t="shared" si="70"/>
        <v>12.15</v>
      </c>
      <c r="DG11">
        <f t="shared" si="71"/>
        <v>0</v>
      </c>
      <c r="DH11">
        <f t="shared" si="72"/>
        <v>0</v>
      </c>
      <c r="DI11">
        <f t="shared" si="26"/>
        <v>0</v>
      </c>
      <c r="DJ11"/>
      <c r="DK11"/>
      <c r="DL11">
        <f t="shared" si="73"/>
        <v>0</v>
      </c>
      <c r="DM11">
        <f t="shared" si="74"/>
        <v>0</v>
      </c>
      <c r="DN11">
        <f t="shared" si="75"/>
        <v>0</v>
      </c>
      <c r="DO11" t="e">
        <f t="shared" si="76"/>
        <v>#N/A</v>
      </c>
      <c r="DP11">
        <f t="shared" si="77"/>
        <v>0</v>
      </c>
      <c r="DQ11" t="e">
        <f t="shared" si="78"/>
        <v>#N/A</v>
      </c>
      <c r="DR11" t="e">
        <f t="shared" si="79"/>
        <v>#N/A</v>
      </c>
      <c r="DS11">
        <f t="shared" si="80"/>
        <v>0</v>
      </c>
      <c r="DT11">
        <f t="shared" si="81"/>
        <v>0</v>
      </c>
      <c r="DU11">
        <f t="shared" si="82"/>
        <v>0</v>
      </c>
      <c r="DV11">
        <f t="shared" si="27"/>
        <v>0</v>
      </c>
      <c r="DW11">
        <f t="shared" si="83"/>
        <v>0</v>
      </c>
      <c r="DX11">
        <f t="shared" si="84"/>
        <v>0</v>
      </c>
      <c r="DY11">
        <f t="shared" si="85"/>
        <v>0</v>
      </c>
      <c r="DZ11">
        <f t="shared" si="86"/>
        <v>0</v>
      </c>
      <c r="EA11">
        <f t="shared" si="87"/>
        <v>0</v>
      </c>
      <c r="EB11">
        <f t="shared" si="88"/>
        <v>0</v>
      </c>
      <c r="EC11">
        <f t="shared" si="89"/>
        <v>0</v>
      </c>
      <c r="ED11">
        <f t="shared" si="90"/>
        <v>0</v>
      </c>
      <c r="EE11">
        <f t="shared" si="91"/>
        <v>0</v>
      </c>
      <c r="EF11">
        <f t="shared" si="92"/>
        <v>0</v>
      </c>
      <c r="EG11">
        <f t="shared" si="93"/>
        <v>0</v>
      </c>
      <c r="EH11">
        <f t="shared" si="28"/>
        <v>0</v>
      </c>
      <c r="EI11">
        <f t="shared" si="94"/>
        <v>-70</v>
      </c>
      <c r="EJ11">
        <f t="shared" si="95"/>
        <v>0</v>
      </c>
      <c r="EK11">
        <f t="shared" si="96"/>
        <v>0</v>
      </c>
      <c r="EL11">
        <f t="shared" si="97"/>
        <v>0</v>
      </c>
      <c r="EM11" t="e">
        <f t="shared" si="98"/>
        <v>#DIV/0!</v>
      </c>
      <c r="EN11">
        <f t="shared" si="99"/>
        <v>0</v>
      </c>
      <c r="EO11" t="str">
        <f t="shared" si="100"/>
        <v>üh</v>
      </c>
      <c r="EP11">
        <f t="shared" si="101"/>
        <v>0</v>
      </c>
      <c r="EQ11">
        <f t="shared" si="102"/>
        <v>0</v>
      </c>
      <c r="ER11">
        <f t="shared" si="103"/>
        <v>0</v>
      </c>
      <c r="ES11">
        <f t="shared" si="104"/>
        <v>0</v>
      </c>
      <c r="ET11">
        <f t="shared" si="105"/>
        <v>0</v>
      </c>
      <c r="EU11">
        <f t="shared" si="106"/>
        <v>0</v>
      </c>
      <c r="EV11">
        <f t="shared" si="107"/>
        <v>0</v>
      </c>
      <c r="EW11">
        <f t="shared" si="108"/>
        <v>0</v>
      </c>
      <c r="EX11">
        <f t="shared" si="109"/>
        <v>0</v>
      </c>
      <c r="EY11">
        <f t="shared" si="110"/>
        <v>0</v>
      </c>
      <c r="EZ11">
        <f t="shared" si="111"/>
        <v>0</v>
      </c>
      <c r="FA11">
        <f t="shared" si="112"/>
        <v>0</v>
      </c>
      <c r="FB11" t="str">
        <f t="shared" si="113"/>
        <v/>
      </c>
      <c r="FC11" t="str">
        <f t="shared" si="114"/>
        <v/>
      </c>
      <c r="FD11" t="str">
        <f>IF(AS11+E11=0,"",IF(SUM(L11:M11)=2,IF(SUM(N11+O11+BC11+BD11)=2,"",Sprache!$B$107),Sprache!$B$107))</f>
        <v/>
      </c>
      <c r="FE11" t="str">
        <f t="shared" si="115"/>
        <v/>
      </c>
      <c r="FF11" t="str">
        <f t="shared" si="116"/>
        <v/>
      </c>
      <c r="FG11" t="str">
        <f t="shared" si="117"/>
        <v/>
      </c>
      <c r="FH11" t="str">
        <f t="shared" ca="1" si="118"/>
        <v/>
      </c>
      <c r="FI11" t="str">
        <f t="shared" si="119"/>
        <v/>
      </c>
      <c r="FJ11" t="str">
        <f t="shared" si="120"/>
        <v/>
      </c>
      <c r="FK11" t="str">
        <f t="shared" si="121"/>
        <v/>
      </c>
      <c r="FL11" t="str">
        <f t="shared" si="122"/>
        <v/>
      </c>
      <c r="FM11" t="str">
        <f t="shared" si="123"/>
        <v/>
      </c>
      <c r="FN11" t="str">
        <f t="shared" si="124"/>
        <v/>
      </c>
      <c r="FO11" t="str">
        <f t="shared" si="125"/>
        <v/>
      </c>
      <c r="FP11" t="str">
        <f t="shared" si="126"/>
        <v/>
      </c>
      <c r="FQ11" t="str">
        <f>IF(AO11="","",IF(DK171=0,Sprache!$B$65&amp;" ?",IF(CH171="?",$FQ$4,"")))</f>
        <v/>
      </c>
      <c r="FR11" t="str">
        <f t="shared" si="127"/>
        <v/>
      </c>
      <c r="FS11" t="str">
        <f t="shared" si="128"/>
        <v/>
      </c>
      <c r="FT11" t="str">
        <f t="shared" si="129"/>
        <v/>
      </c>
      <c r="FU11"/>
      <c r="FV11" t="str">
        <f ca="1">IF(TODAY()=$A$3,"",IF(TODAY()&gt;DATE(2018,7,1),CONCATENATE(Sprache!$B$89),""))</f>
        <v>outdated version</v>
      </c>
      <c r="FW11" t="str">
        <f t="shared" ca="1" si="130"/>
        <v>outdated version</v>
      </c>
      <c r="FX11" t="str">
        <f t="shared" ca="1" si="131"/>
        <v>outdated version</v>
      </c>
      <c r="FY11" t="str">
        <f t="shared" ca="1" si="132"/>
        <v/>
      </c>
      <c r="FZ11"/>
      <c r="GA11" s="407">
        <f t="shared" si="133"/>
        <v>0</v>
      </c>
      <c r="GB11" s="405"/>
      <c r="GC11" s="405"/>
      <c r="GD11" s="406"/>
      <c r="GE11" s="407">
        <f t="shared" si="134"/>
        <v>0</v>
      </c>
      <c r="GF11" s="405"/>
      <c r="GG11" s="404"/>
      <c r="GH11" s="406"/>
    </row>
    <row r="12" spans="1:190" s="243" customFormat="1" ht="14.25" customHeight="1" x14ac:dyDescent="0.2">
      <c r="A12" s="220"/>
      <c r="B12" s="221"/>
      <c r="C12" s="222"/>
      <c r="D12" s="223">
        <f t="shared" si="20"/>
        <v>0</v>
      </c>
      <c r="E12" s="223">
        <f t="shared" si="21"/>
        <v>0</v>
      </c>
      <c r="F12" s="224"/>
      <c r="G12" s="225"/>
      <c r="H12" s="225"/>
      <c r="I12" s="272"/>
      <c r="J12" s="264"/>
      <c r="K12" s="226"/>
      <c r="L12" s="227">
        <v>1</v>
      </c>
      <c r="M12" s="228">
        <f t="shared" ref="M12:M45" si="150">2-L12</f>
        <v>1</v>
      </c>
      <c r="N12" s="229">
        <f t="shared" ref="N12:N45" si="151">2-O12-BC12-BD12</f>
        <v>2</v>
      </c>
      <c r="O12" s="230"/>
      <c r="P12" s="231"/>
      <c r="Q12" s="232"/>
      <c r="R12" s="233">
        <f t="shared" ref="R12:R45" si="152">CC250</f>
        <v>0</v>
      </c>
      <c r="S12" s="233">
        <f t="shared" ref="S12:S45" si="153">CC209</f>
        <v>0</v>
      </c>
      <c r="T12" s="245">
        <f t="shared" ref="T12:T45" si="154">CC168</f>
        <v>0</v>
      </c>
      <c r="U12" s="234"/>
      <c r="V12" s="270"/>
      <c r="W12" s="267"/>
      <c r="X12" s="235">
        <f t="shared" ref="X12:X45" si="155">IF(CC291=0,0,CC291)</f>
        <v>0</v>
      </c>
      <c r="Y12" s="236" t="str">
        <f t="shared" ref="Y12:Y45" si="156">IF(AO12="","",(Z12-X12))</f>
        <v/>
      </c>
      <c r="Z12" s="237">
        <f t="shared" ref="Z12:Z45" si="157">IF(AO12="",0,(S12+T12+1-BC12))</f>
        <v>0</v>
      </c>
      <c r="AA12" s="238">
        <f t="shared" ref="AA12:AA45" si="158">IF(AO12="",0,SUM($AS12*$AT12/1000000))</f>
        <v>0</v>
      </c>
      <c r="AB12" s="239" t="str">
        <f t="shared" ref="AB12:AB45" si="159">IF(AO12="","",SUM($AT12*$AS12*$C12/1000000))</f>
        <v/>
      </c>
      <c r="AC12" s="240" t="str">
        <f t="shared" ref="AC12:AC45" ca="1" si="160">IF(AN12=1,EF12,
IF(AO12="","",
IF($FW$1=1,$EF12,
IF(AND($A$3=TODAY(),FX12=""),$EF12,
IF(FW12="",$EF12,
CONCATENATE(FW12))))))</f>
        <v/>
      </c>
      <c r="AD12" s="394" t="str">
        <f t="shared" ref="AD12:AD45" ca="1" si="161">IF(AC12="","",SUM($C12*AC12))</f>
        <v/>
      </c>
      <c r="AE12" s="241" t="str">
        <f>IF(AO12="","",IFERROR(IF(ELEMENT!$CH$78=ELEMENT!$CM$63,(AC12/AA12/10.75),(AC12/AA12)),""))</f>
        <v/>
      </c>
      <c r="AF12" s="241" t="str">
        <f t="shared" ref="AF12:AF45" si="162">IF(AO12="","",EK12)</f>
        <v/>
      </c>
      <c r="AG12" s="238" t="str">
        <f t="shared" ref="AG12:AG45" si="163">IF(AO12="","",SUM(EK12*AT12/1000000))</f>
        <v/>
      </c>
      <c r="AH12" s="242" t="str">
        <f t="shared" ref="AH12:AH45" si="164">IF(AND(AN12=1,AO12=""),"  ",IF(CY127=1,,IF(CY127&gt;1,,AR127)))</f>
        <v/>
      </c>
      <c r="AI12" s="192"/>
      <c r="AJ12" s="274"/>
      <c r="AK12"/>
      <c r="AL12"/>
      <c r="AM12">
        <f t="shared" si="135"/>
        <v>0</v>
      </c>
      <c r="AN12" t="str">
        <f t="shared" si="136"/>
        <v/>
      </c>
      <c r="AO12" t="str">
        <f t="shared" si="137"/>
        <v/>
      </c>
      <c r="AP12" t="str">
        <f t="shared" si="138"/>
        <v/>
      </c>
      <c r="AQ12">
        <f t="shared" si="22"/>
        <v>0</v>
      </c>
      <c r="AR12">
        <f t="shared" si="139"/>
        <v>2</v>
      </c>
      <c r="AS12">
        <f t="shared" si="29"/>
        <v>0</v>
      </c>
      <c r="AT12">
        <f t="shared" si="23"/>
        <v>0</v>
      </c>
      <c r="AU12">
        <f t="shared" si="140"/>
        <v>0</v>
      </c>
      <c r="AV12">
        <f t="shared" si="141"/>
        <v>0</v>
      </c>
      <c r="AW12">
        <f t="shared" si="142"/>
        <v>0</v>
      </c>
      <c r="AX12" t="str">
        <f t="shared" si="24"/>
        <v/>
      </c>
      <c r="AY12">
        <f t="shared" si="143"/>
        <v>0</v>
      </c>
      <c r="AZ12">
        <f t="shared" si="144"/>
        <v>0</v>
      </c>
      <c r="BA12">
        <f t="shared" si="145"/>
        <v>0</v>
      </c>
      <c r="BB12">
        <f t="shared" si="146"/>
        <v>0</v>
      </c>
      <c r="BC12">
        <f t="shared" si="147"/>
        <v>0</v>
      </c>
      <c r="BD12">
        <f t="shared" si="148"/>
        <v>0</v>
      </c>
      <c r="BE12">
        <f t="shared" si="149"/>
        <v>0</v>
      </c>
      <c r="BF12">
        <f t="shared" si="25"/>
        <v>0</v>
      </c>
      <c r="BG12">
        <f>IF($AH$4=$CK$75,'S2'!T12,
IF($AH$4=$CL$75,'S3'!T12,
IF($AH$4=$CJ$75,'S1'!T12,
IF($AH$4=$CM$75,S3M!T12,))))</f>
        <v>0</v>
      </c>
      <c r="BH12">
        <f>IF($AH$4=$CK$75,'S2'!U12,
IF($AH$4=$CL$75,'S3'!U12,
IF($AH$4=$CJ$75,'S1'!U12,
IF($AH$4=$CM$75,S3M!U12,))))</f>
        <v>0</v>
      </c>
      <c r="BI12">
        <f>IF($AH$4=$CK$75,'S2'!V12,
IF($AH$4=$CL$75,'S3'!V12,
IF($AH$4=$CJ$75,'S1'!V12,
IF($AH$4=$CM$75,S3M!V12,))))</f>
        <v>0</v>
      </c>
      <c r="BJ12">
        <f>IF($AH$4=$CK$75,'S2'!W12,
IF($AH$4=$CL$75,'S3'!W12,
IF($AH$4=$CJ$75,'S1'!W12,
IF($AH$4=$CM$75,S3M!W12,))))</f>
        <v>0</v>
      </c>
      <c r="BK12">
        <f>IF($AH$4=$CK$75,'S2'!X12,
IF($AH$4=$CL$75,'S3'!X12,
IF($AH$4=$CJ$75,'S1'!X12,
IF($AH$4=$CM$75,S3M!X12,))))</f>
        <v>0</v>
      </c>
      <c r="BL12">
        <f>IF($AH$4=$CK$75,'S2'!Y12,
IF($AH$4=$CL$75,'S3'!Y12,
IF($AH$4=$CJ$75,'S1'!Y12,
IF($AH$4=$CM$75,S3M!Y12,))))</f>
        <v>0</v>
      </c>
      <c r="BM12">
        <f>IF($AH$4=$CK$75,'S2'!Z12,
IF($AH$4=$CL$75,'S3'!Z12,
IF($AH$4=$CJ$75,'S1'!Z12,
IF($AH$4=$CM$75,S3M!Z12,))))</f>
        <v>0</v>
      </c>
      <c r="BN12">
        <f>IF($AH$4=$CK$75,'S2'!AA12,
IF($AH$4=$CL$75,'S3'!AA12,
IF($AH$4=$CJ$75,'S1'!AA12,
IF($AH$4=$CM$75,S3M!AA12,))))</f>
        <v>0</v>
      </c>
      <c r="BO12">
        <f>IF($AH$4=$CK$75,'S2'!AB12,
IF($AH$4=$CL$75,'S3'!AB12,
IF($AH$4=$CJ$75,'S1'!AB12,
IF($AH$4=$CM$75,S3M!AB12,))))</f>
        <v>0</v>
      </c>
      <c r="BP12"/>
      <c r="BQ12">
        <f t="shared" si="30"/>
        <v>58</v>
      </c>
      <c r="BR12">
        <f t="shared" si="31"/>
        <v>32</v>
      </c>
      <c r="BS12">
        <f t="shared" si="32"/>
        <v>0</v>
      </c>
      <c r="BT12">
        <f t="shared" si="33"/>
        <v>0</v>
      </c>
      <c r="BU12">
        <f t="shared" si="34"/>
        <v>0</v>
      </c>
      <c r="BV12">
        <f t="shared" si="35"/>
        <v>0</v>
      </c>
      <c r="BW12">
        <f t="shared" si="36"/>
        <v>90</v>
      </c>
      <c r="BX12">
        <f t="shared" si="37"/>
        <v>0</v>
      </c>
      <c r="BY12">
        <f t="shared" si="38"/>
        <v>0</v>
      </c>
      <c r="BZ12">
        <f t="shared" si="39"/>
        <v>0</v>
      </c>
      <c r="CA12">
        <f t="shared" si="40"/>
        <v>0</v>
      </c>
      <c r="CB12">
        <f t="shared" si="41"/>
        <v>0</v>
      </c>
      <c r="CC12">
        <f t="shared" si="42"/>
        <v>0</v>
      </c>
      <c r="CD12">
        <f t="shared" si="43"/>
        <v>80</v>
      </c>
      <c r="CE12">
        <f t="shared" si="44"/>
        <v>0</v>
      </c>
      <c r="CF12">
        <f t="shared" si="45"/>
        <v>0</v>
      </c>
      <c r="CG12">
        <f t="shared" si="46"/>
        <v>46.2</v>
      </c>
      <c r="CH12">
        <f t="shared" si="47"/>
        <v>17.600000000000001</v>
      </c>
      <c r="CI12">
        <f t="shared" si="48"/>
        <v>0</v>
      </c>
      <c r="CJ12">
        <f t="shared" si="49"/>
        <v>0</v>
      </c>
      <c r="CK12">
        <f t="shared" si="50"/>
        <v>0</v>
      </c>
      <c r="CL12">
        <f t="shared" si="51"/>
        <v>0</v>
      </c>
      <c r="CM12">
        <f t="shared" si="52"/>
        <v>0</v>
      </c>
      <c r="CN12">
        <f t="shared" si="53"/>
        <v>0</v>
      </c>
      <c r="CO12">
        <f t="shared" si="54"/>
        <v>0</v>
      </c>
      <c r="CP12" t="str">
        <f t="shared" si="19"/>
        <v/>
      </c>
      <c r="CQ12">
        <f t="shared" si="55"/>
        <v>0</v>
      </c>
      <c r="CR12" t="str">
        <f t="shared" si="56"/>
        <v/>
      </c>
      <c r="CS12">
        <f t="shared" si="57"/>
        <v>0</v>
      </c>
      <c r="CT12">
        <f t="shared" si="58"/>
        <v>0</v>
      </c>
      <c r="CU12">
        <f t="shared" si="59"/>
        <v>0</v>
      </c>
      <c r="CV12">
        <f t="shared" si="60"/>
        <v>203.7166666666667</v>
      </c>
      <c r="CW12">
        <f t="shared" si="61"/>
        <v>210</v>
      </c>
      <c r="CX12">
        <f t="shared" si="62"/>
        <v>120</v>
      </c>
      <c r="CY12">
        <f t="shared" si="63"/>
        <v>0</v>
      </c>
      <c r="CZ12">
        <f t="shared" si="64"/>
        <v>0</v>
      </c>
      <c r="DA12">
        <f t="shared" si="65"/>
        <v>0</v>
      </c>
      <c r="DB12">
        <f t="shared" si="66"/>
        <v>0</v>
      </c>
      <c r="DC12" t="str">
        <f t="shared" si="67"/>
        <v/>
      </c>
      <c r="DD12">
        <f t="shared" si="68"/>
        <v>0</v>
      </c>
      <c r="DE12">
        <f t="shared" si="69"/>
        <v>0</v>
      </c>
      <c r="DF12">
        <f t="shared" si="70"/>
        <v>12.15</v>
      </c>
      <c r="DG12">
        <f t="shared" si="71"/>
        <v>0</v>
      </c>
      <c r="DH12">
        <f t="shared" si="72"/>
        <v>0</v>
      </c>
      <c r="DI12">
        <f t="shared" si="26"/>
        <v>0</v>
      </c>
      <c r="DJ12"/>
      <c r="DK12"/>
      <c r="DL12">
        <f t="shared" si="73"/>
        <v>0</v>
      </c>
      <c r="DM12">
        <f t="shared" si="74"/>
        <v>0</v>
      </c>
      <c r="DN12">
        <f t="shared" si="75"/>
        <v>0</v>
      </c>
      <c r="DO12" t="e">
        <f t="shared" si="76"/>
        <v>#N/A</v>
      </c>
      <c r="DP12">
        <f t="shared" si="77"/>
        <v>0</v>
      </c>
      <c r="DQ12" t="e">
        <f t="shared" si="78"/>
        <v>#N/A</v>
      </c>
      <c r="DR12" t="e">
        <f t="shared" si="79"/>
        <v>#N/A</v>
      </c>
      <c r="DS12">
        <f t="shared" si="80"/>
        <v>0</v>
      </c>
      <c r="DT12">
        <f t="shared" si="81"/>
        <v>0</v>
      </c>
      <c r="DU12">
        <f t="shared" si="82"/>
        <v>0</v>
      </c>
      <c r="DV12">
        <f t="shared" si="27"/>
        <v>0</v>
      </c>
      <c r="DW12">
        <f t="shared" si="83"/>
        <v>0</v>
      </c>
      <c r="DX12">
        <f t="shared" si="84"/>
        <v>0</v>
      </c>
      <c r="DY12">
        <f t="shared" si="85"/>
        <v>0</v>
      </c>
      <c r="DZ12">
        <f t="shared" si="86"/>
        <v>0</v>
      </c>
      <c r="EA12">
        <f t="shared" si="87"/>
        <v>0</v>
      </c>
      <c r="EB12">
        <f t="shared" si="88"/>
        <v>0</v>
      </c>
      <c r="EC12">
        <f t="shared" si="89"/>
        <v>0</v>
      </c>
      <c r="ED12">
        <f t="shared" si="90"/>
        <v>0</v>
      </c>
      <c r="EE12">
        <f t="shared" si="91"/>
        <v>0</v>
      </c>
      <c r="EF12">
        <f t="shared" si="92"/>
        <v>0</v>
      </c>
      <c r="EG12">
        <f t="shared" si="93"/>
        <v>0</v>
      </c>
      <c r="EH12">
        <f t="shared" si="28"/>
        <v>0</v>
      </c>
      <c r="EI12">
        <f t="shared" si="94"/>
        <v>-70</v>
      </c>
      <c r="EJ12">
        <f t="shared" si="95"/>
        <v>0</v>
      </c>
      <c r="EK12">
        <f t="shared" si="96"/>
        <v>0</v>
      </c>
      <c r="EL12">
        <f t="shared" si="97"/>
        <v>0</v>
      </c>
      <c r="EM12" t="e">
        <f t="shared" si="98"/>
        <v>#DIV/0!</v>
      </c>
      <c r="EN12">
        <f t="shared" si="99"/>
        <v>0</v>
      </c>
      <c r="EO12" t="str">
        <f t="shared" si="100"/>
        <v>üh</v>
      </c>
      <c r="EP12">
        <f t="shared" si="101"/>
        <v>0</v>
      </c>
      <c r="EQ12">
        <f t="shared" si="102"/>
        <v>0</v>
      </c>
      <c r="ER12">
        <f t="shared" si="103"/>
        <v>0</v>
      </c>
      <c r="ES12">
        <f t="shared" si="104"/>
        <v>0</v>
      </c>
      <c r="ET12">
        <f t="shared" si="105"/>
        <v>0</v>
      </c>
      <c r="EU12">
        <f t="shared" si="106"/>
        <v>0</v>
      </c>
      <c r="EV12">
        <f t="shared" si="107"/>
        <v>0</v>
      </c>
      <c r="EW12">
        <f t="shared" si="108"/>
        <v>0</v>
      </c>
      <c r="EX12">
        <f t="shared" si="109"/>
        <v>0</v>
      </c>
      <c r="EY12">
        <f t="shared" si="110"/>
        <v>0</v>
      </c>
      <c r="EZ12">
        <f t="shared" si="111"/>
        <v>0</v>
      </c>
      <c r="FA12">
        <f t="shared" si="112"/>
        <v>0</v>
      </c>
      <c r="FB12" t="str">
        <f t="shared" si="113"/>
        <v/>
      </c>
      <c r="FC12" t="str">
        <f t="shared" si="114"/>
        <v/>
      </c>
      <c r="FD12" t="str">
        <f>IF(AS12+E12=0,"",IF(SUM(L12:M12)=2,IF(SUM(N12+O12+BC12+BD12)=2,"",Sprache!$B$107),Sprache!$B$107))</f>
        <v/>
      </c>
      <c r="FE12" t="str">
        <f t="shared" si="115"/>
        <v/>
      </c>
      <c r="FF12" t="str">
        <f t="shared" si="116"/>
        <v/>
      </c>
      <c r="FG12" t="str">
        <f t="shared" si="117"/>
        <v/>
      </c>
      <c r="FH12" t="str">
        <f t="shared" ca="1" si="118"/>
        <v/>
      </c>
      <c r="FI12" t="str">
        <f t="shared" si="119"/>
        <v/>
      </c>
      <c r="FJ12" t="str">
        <f t="shared" si="120"/>
        <v/>
      </c>
      <c r="FK12" t="str">
        <f t="shared" si="121"/>
        <v/>
      </c>
      <c r="FL12" t="str">
        <f t="shared" si="122"/>
        <v/>
      </c>
      <c r="FM12" t="str">
        <f t="shared" si="123"/>
        <v/>
      </c>
      <c r="FN12" t="str">
        <f t="shared" si="124"/>
        <v/>
      </c>
      <c r="FO12" t="str">
        <f t="shared" si="125"/>
        <v/>
      </c>
      <c r="FP12" t="str">
        <f t="shared" si="126"/>
        <v/>
      </c>
      <c r="FQ12" t="str">
        <f>IF(AO12="","",IF(DK172=0,Sprache!$B$65&amp;" ?",IF(CH172="?",$FQ$4,"")))</f>
        <v/>
      </c>
      <c r="FR12" t="str">
        <f t="shared" si="127"/>
        <v/>
      </c>
      <c r="FS12" t="str">
        <f t="shared" si="128"/>
        <v/>
      </c>
      <c r="FT12" t="str">
        <f t="shared" si="129"/>
        <v/>
      </c>
      <c r="FU12"/>
      <c r="FV12" t="str">
        <f ca="1">IF(TODAY()=$A$3,"",IF(TODAY()&gt;DATE(2018,7,1),CONCATENATE(Sprache!$B$89),""))</f>
        <v>outdated version</v>
      </c>
      <c r="FW12" t="str">
        <f t="shared" ca="1" si="130"/>
        <v>outdated version</v>
      </c>
      <c r="FX12" t="str">
        <f t="shared" ca="1" si="131"/>
        <v>outdated version</v>
      </c>
      <c r="FY12" t="str">
        <f t="shared" ca="1" si="132"/>
        <v/>
      </c>
      <c r="FZ12"/>
      <c r="GA12" s="407">
        <f t="shared" si="133"/>
        <v>0</v>
      </c>
      <c r="GB12" s="405"/>
      <c r="GC12" s="405"/>
      <c r="GD12" s="406"/>
      <c r="GE12" s="407">
        <f t="shared" si="134"/>
        <v>0</v>
      </c>
      <c r="GF12" s="405"/>
      <c r="GG12" s="404"/>
      <c r="GH12" s="406"/>
    </row>
    <row r="13" spans="1:190" s="243" customFormat="1" ht="14.25" customHeight="1" x14ac:dyDescent="0.2">
      <c r="A13" s="220"/>
      <c r="B13" s="221"/>
      <c r="C13" s="222"/>
      <c r="D13" s="223">
        <f t="shared" si="20"/>
        <v>0</v>
      </c>
      <c r="E13" s="223">
        <f t="shared" si="21"/>
        <v>0</v>
      </c>
      <c r="F13" s="224"/>
      <c r="G13" s="225"/>
      <c r="H13" s="225"/>
      <c r="I13" s="272"/>
      <c r="J13" s="264"/>
      <c r="K13" s="226"/>
      <c r="L13" s="227">
        <v>1</v>
      </c>
      <c r="M13" s="228">
        <f t="shared" si="150"/>
        <v>1</v>
      </c>
      <c r="N13" s="229">
        <f t="shared" si="151"/>
        <v>2</v>
      </c>
      <c r="O13" s="230"/>
      <c r="P13" s="231"/>
      <c r="Q13" s="232"/>
      <c r="R13" s="233">
        <f t="shared" si="152"/>
        <v>0</v>
      </c>
      <c r="S13" s="233">
        <f t="shared" si="153"/>
        <v>0</v>
      </c>
      <c r="T13" s="245">
        <f t="shared" si="154"/>
        <v>0</v>
      </c>
      <c r="U13" s="234"/>
      <c r="V13" s="270"/>
      <c r="W13" s="267"/>
      <c r="X13" s="235">
        <f t="shared" si="155"/>
        <v>0</v>
      </c>
      <c r="Y13" s="236" t="str">
        <f t="shared" si="156"/>
        <v/>
      </c>
      <c r="Z13" s="237">
        <f t="shared" si="157"/>
        <v>0</v>
      </c>
      <c r="AA13" s="238">
        <f t="shared" si="158"/>
        <v>0</v>
      </c>
      <c r="AB13" s="239" t="str">
        <f t="shared" si="159"/>
        <v/>
      </c>
      <c r="AC13" s="240" t="str">
        <f t="shared" ca="1" si="160"/>
        <v/>
      </c>
      <c r="AD13" s="394" t="str">
        <f t="shared" ca="1" si="161"/>
        <v/>
      </c>
      <c r="AE13" s="241" t="str">
        <f>IF(AO13="","",IFERROR(IF(ELEMENT!$CH$78=ELEMENT!$CM$63,(AC13/AA13/10.75),(AC13/AA13)),""))</f>
        <v/>
      </c>
      <c r="AF13" s="241" t="str">
        <f t="shared" si="162"/>
        <v/>
      </c>
      <c r="AG13" s="238" t="str">
        <f t="shared" si="163"/>
        <v/>
      </c>
      <c r="AH13" s="242" t="str">
        <f t="shared" si="164"/>
        <v/>
      </c>
      <c r="AI13" s="192"/>
      <c r="AJ13" s="274"/>
      <c r="AK13"/>
      <c r="AL13"/>
      <c r="AM13">
        <f t="shared" si="135"/>
        <v>0</v>
      </c>
      <c r="AN13" t="str">
        <f t="shared" si="136"/>
        <v/>
      </c>
      <c r="AO13" t="str">
        <f t="shared" si="137"/>
        <v/>
      </c>
      <c r="AP13" t="str">
        <f t="shared" si="138"/>
        <v/>
      </c>
      <c r="AQ13">
        <f t="shared" si="22"/>
        <v>0</v>
      </c>
      <c r="AR13">
        <f t="shared" si="139"/>
        <v>2</v>
      </c>
      <c r="AS13">
        <f t="shared" si="29"/>
        <v>0</v>
      </c>
      <c r="AT13">
        <f t="shared" si="23"/>
        <v>0</v>
      </c>
      <c r="AU13">
        <f t="shared" si="140"/>
        <v>0</v>
      </c>
      <c r="AV13">
        <f t="shared" si="141"/>
        <v>0</v>
      </c>
      <c r="AW13">
        <f t="shared" si="142"/>
        <v>0</v>
      </c>
      <c r="AX13" t="str">
        <f t="shared" si="24"/>
        <v/>
      </c>
      <c r="AY13">
        <f t="shared" si="143"/>
        <v>0</v>
      </c>
      <c r="AZ13">
        <f t="shared" si="144"/>
        <v>0</v>
      </c>
      <c r="BA13">
        <f t="shared" si="145"/>
        <v>0</v>
      </c>
      <c r="BB13">
        <f t="shared" si="146"/>
        <v>0</v>
      </c>
      <c r="BC13">
        <f t="shared" si="147"/>
        <v>0</v>
      </c>
      <c r="BD13">
        <f t="shared" si="148"/>
        <v>0</v>
      </c>
      <c r="BE13">
        <f t="shared" si="149"/>
        <v>0</v>
      </c>
      <c r="BF13">
        <f t="shared" si="25"/>
        <v>0</v>
      </c>
      <c r="BG13">
        <f>IF($AH$4=$CK$75,'S2'!T13,
IF($AH$4=$CL$75,'S3'!T13,
IF($AH$4=$CJ$75,'S1'!T13,
IF($AH$4=$CM$75,S3M!T13,))))</f>
        <v>0</v>
      </c>
      <c r="BH13">
        <f>IF($AH$4=$CK$75,'S2'!U13,
IF($AH$4=$CL$75,'S3'!U13,
IF($AH$4=$CJ$75,'S1'!U13,
IF($AH$4=$CM$75,S3M!U13,))))</f>
        <v>0</v>
      </c>
      <c r="BI13">
        <f>IF($AH$4=$CK$75,'S2'!V13,
IF($AH$4=$CL$75,'S3'!V13,
IF($AH$4=$CJ$75,'S1'!V13,
IF($AH$4=$CM$75,S3M!V13,))))</f>
        <v>0</v>
      </c>
      <c r="BJ13">
        <f>IF($AH$4=$CK$75,'S2'!W13,
IF($AH$4=$CL$75,'S3'!W13,
IF($AH$4=$CJ$75,'S1'!W13,
IF($AH$4=$CM$75,S3M!W13,))))</f>
        <v>0</v>
      </c>
      <c r="BK13">
        <f>IF($AH$4=$CK$75,'S2'!X13,
IF($AH$4=$CL$75,'S3'!X13,
IF($AH$4=$CJ$75,'S1'!X13,
IF($AH$4=$CM$75,S3M!X13,))))</f>
        <v>0</v>
      </c>
      <c r="BL13">
        <f>IF($AH$4=$CK$75,'S2'!Y13,
IF($AH$4=$CL$75,'S3'!Y13,
IF($AH$4=$CJ$75,'S1'!Y13,
IF($AH$4=$CM$75,S3M!Y13,))))</f>
        <v>0</v>
      </c>
      <c r="BM13">
        <f>IF($AH$4=$CK$75,'S2'!Z13,
IF($AH$4=$CL$75,'S3'!Z13,
IF($AH$4=$CJ$75,'S1'!Z13,
IF($AH$4=$CM$75,S3M!Z13,))))</f>
        <v>0</v>
      </c>
      <c r="BN13">
        <f>IF($AH$4=$CK$75,'S2'!AA13,
IF($AH$4=$CL$75,'S3'!AA13,
IF($AH$4=$CJ$75,'S1'!AA13,
IF($AH$4=$CM$75,S3M!AA13,))))</f>
        <v>0</v>
      </c>
      <c r="BO13">
        <f>IF($AH$4=$CK$75,'S2'!AB13,
IF($AH$4=$CL$75,'S3'!AB13,
IF($AH$4=$CJ$75,'S1'!AB13,
IF($AH$4=$CM$75,S3M!AB13,))))</f>
        <v>0</v>
      </c>
      <c r="BP13"/>
      <c r="BQ13">
        <f t="shared" si="30"/>
        <v>58</v>
      </c>
      <c r="BR13">
        <f t="shared" si="31"/>
        <v>32</v>
      </c>
      <c r="BS13">
        <f t="shared" si="32"/>
        <v>0</v>
      </c>
      <c r="BT13">
        <f t="shared" si="33"/>
        <v>0</v>
      </c>
      <c r="BU13">
        <f t="shared" si="34"/>
        <v>0</v>
      </c>
      <c r="BV13">
        <f t="shared" si="35"/>
        <v>0</v>
      </c>
      <c r="BW13">
        <f t="shared" si="36"/>
        <v>90</v>
      </c>
      <c r="BX13">
        <f t="shared" si="37"/>
        <v>0</v>
      </c>
      <c r="BY13">
        <f t="shared" si="38"/>
        <v>0</v>
      </c>
      <c r="BZ13">
        <f t="shared" si="39"/>
        <v>0</v>
      </c>
      <c r="CA13">
        <f t="shared" si="40"/>
        <v>0</v>
      </c>
      <c r="CB13">
        <f t="shared" si="41"/>
        <v>0</v>
      </c>
      <c r="CC13">
        <f t="shared" si="42"/>
        <v>0</v>
      </c>
      <c r="CD13">
        <f t="shared" si="43"/>
        <v>80</v>
      </c>
      <c r="CE13">
        <f t="shared" si="44"/>
        <v>0</v>
      </c>
      <c r="CF13">
        <f t="shared" si="45"/>
        <v>0</v>
      </c>
      <c r="CG13">
        <f t="shared" si="46"/>
        <v>46.2</v>
      </c>
      <c r="CH13">
        <f t="shared" si="47"/>
        <v>17.600000000000001</v>
      </c>
      <c r="CI13">
        <f t="shared" si="48"/>
        <v>0</v>
      </c>
      <c r="CJ13">
        <f t="shared" si="49"/>
        <v>0</v>
      </c>
      <c r="CK13">
        <f t="shared" si="50"/>
        <v>0</v>
      </c>
      <c r="CL13">
        <f t="shared" si="51"/>
        <v>0</v>
      </c>
      <c r="CM13">
        <f t="shared" si="52"/>
        <v>0</v>
      </c>
      <c r="CN13">
        <f t="shared" si="53"/>
        <v>0</v>
      </c>
      <c r="CO13">
        <f t="shared" si="54"/>
        <v>0</v>
      </c>
      <c r="CP13" t="str">
        <f t="shared" si="19"/>
        <v/>
      </c>
      <c r="CQ13">
        <f t="shared" si="55"/>
        <v>0</v>
      </c>
      <c r="CR13" t="str">
        <f t="shared" si="56"/>
        <v/>
      </c>
      <c r="CS13">
        <f t="shared" si="57"/>
        <v>0</v>
      </c>
      <c r="CT13">
        <f t="shared" si="58"/>
        <v>0</v>
      </c>
      <c r="CU13">
        <f t="shared" si="59"/>
        <v>0</v>
      </c>
      <c r="CV13">
        <f t="shared" si="60"/>
        <v>203.7166666666667</v>
      </c>
      <c r="CW13">
        <f t="shared" si="61"/>
        <v>210</v>
      </c>
      <c r="CX13">
        <f t="shared" si="62"/>
        <v>120</v>
      </c>
      <c r="CY13">
        <f t="shared" si="63"/>
        <v>0</v>
      </c>
      <c r="CZ13">
        <f t="shared" si="64"/>
        <v>0</v>
      </c>
      <c r="DA13">
        <f t="shared" si="65"/>
        <v>0</v>
      </c>
      <c r="DB13">
        <f t="shared" si="66"/>
        <v>0</v>
      </c>
      <c r="DC13" t="str">
        <f t="shared" si="67"/>
        <v/>
      </c>
      <c r="DD13">
        <f t="shared" si="68"/>
        <v>0</v>
      </c>
      <c r="DE13">
        <f t="shared" si="69"/>
        <v>0</v>
      </c>
      <c r="DF13">
        <f t="shared" si="70"/>
        <v>12.15</v>
      </c>
      <c r="DG13">
        <f t="shared" si="71"/>
        <v>0</v>
      </c>
      <c r="DH13">
        <f t="shared" si="72"/>
        <v>0</v>
      </c>
      <c r="DI13">
        <f t="shared" si="26"/>
        <v>0</v>
      </c>
      <c r="DJ13"/>
      <c r="DK13"/>
      <c r="DL13">
        <f t="shared" si="73"/>
        <v>0</v>
      </c>
      <c r="DM13">
        <f t="shared" si="74"/>
        <v>0</v>
      </c>
      <c r="DN13">
        <f t="shared" si="75"/>
        <v>0</v>
      </c>
      <c r="DO13" t="e">
        <f t="shared" si="76"/>
        <v>#N/A</v>
      </c>
      <c r="DP13">
        <f t="shared" si="77"/>
        <v>0</v>
      </c>
      <c r="DQ13" t="e">
        <f t="shared" si="78"/>
        <v>#N/A</v>
      </c>
      <c r="DR13" t="e">
        <f t="shared" si="79"/>
        <v>#N/A</v>
      </c>
      <c r="DS13">
        <f t="shared" si="80"/>
        <v>0</v>
      </c>
      <c r="DT13">
        <f t="shared" si="81"/>
        <v>0</v>
      </c>
      <c r="DU13">
        <f t="shared" si="82"/>
        <v>0</v>
      </c>
      <c r="DV13">
        <f t="shared" si="27"/>
        <v>0</v>
      </c>
      <c r="DW13">
        <f t="shared" si="83"/>
        <v>0</v>
      </c>
      <c r="DX13">
        <f t="shared" si="84"/>
        <v>0</v>
      </c>
      <c r="DY13">
        <f t="shared" si="85"/>
        <v>0</v>
      </c>
      <c r="DZ13">
        <f t="shared" si="86"/>
        <v>0</v>
      </c>
      <c r="EA13">
        <f t="shared" si="87"/>
        <v>0</v>
      </c>
      <c r="EB13">
        <f t="shared" si="88"/>
        <v>0</v>
      </c>
      <c r="EC13">
        <f t="shared" si="89"/>
        <v>0</v>
      </c>
      <c r="ED13">
        <f t="shared" si="90"/>
        <v>0</v>
      </c>
      <c r="EE13">
        <f t="shared" si="91"/>
        <v>0</v>
      </c>
      <c r="EF13">
        <f t="shared" si="92"/>
        <v>0</v>
      </c>
      <c r="EG13">
        <f t="shared" si="93"/>
        <v>0</v>
      </c>
      <c r="EH13">
        <f t="shared" si="28"/>
        <v>0</v>
      </c>
      <c r="EI13">
        <f t="shared" si="94"/>
        <v>-70</v>
      </c>
      <c r="EJ13">
        <f t="shared" si="95"/>
        <v>0</v>
      </c>
      <c r="EK13">
        <f t="shared" si="96"/>
        <v>0</v>
      </c>
      <c r="EL13">
        <f t="shared" si="97"/>
        <v>0</v>
      </c>
      <c r="EM13" t="e">
        <f t="shared" si="98"/>
        <v>#DIV/0!</v>
      </c>
      <c r="EN13">
        <f t="shared" si="99"/>
        <v>0</v>
      </c>
      <c r="EO13" t="str">
        <f t="shared" si="100"/>
        <v>üh</v>
      </c>
      <c r="EP13">
        <f t="shared" si="101"/>
        <v>0</v>
      </c>
      <c r="EQ13">
        <f t="shared" si="102"/>
        <v>0</v>
      </c>
      <c r="ER13">
        <f t="shared" si="103"/>
        <v>0</v>
      </c>
      <c r="ES13">
        <f t="shared" si="104"/>
        <v>0</v>
      </c>
      <c r="ET13">
        <f t="shared" si="105"/>
        <v>0</v>
      </c>
      <c r="EU13">
        <f t="shared" si="106"/>
        <v>0</v>
      </c>
      <c r="EV13">
        <f t="shared" si="107"/>
        <v>0</v>
      </c>
      <c r="EW13">
        <f t="shared" si="108"/>
        <v>0</v>
      </c>
      <c r="EX13">
        <f t="shared" si="109"/>
        <v>0</v>
      </c>
      <c r="EY13">
        <f t="shared" si="110"/>
        <v>0</v>
      </c>
      <c r="EZ13">
        <f t="shared" si="111"/>
        <v>0</v>
      </c>
      <c r="FA13">
        <f t="shared" si="112"/>
        <v>0</v>
      </c>
      <c r="FB13" t="str">
        <f t="shared" si="113"/>
        <v/>
      </c>
      <c r="FC13" t="str">
        <f t="shared" si="114"/>
        <v/>
      </c>
      <c r="FD13" t="str">
        <f>IF(AS13+E13=0,"",IF(SUM(L13:M13)=2,IF(SUM(N13+O13+BC13+BD13)=2,"",Sprache!$B$107),Sprache!$B$107))</f>
        <v/>
      </c>
      <c r="FE13" t="str">
        <f t="shared" si="115"/>
        <v/>
      </c>
      <c r="FF13" t="str">
        <f t="shared" si="116"/>
        <v/>
      </c>
      <c r="FG13" t="str">
        <f t="shared" si="117"/>
        <v/>
      </c>
      <c r="FH13" t="str">
        <f t="shared" ca="1" si="118"/>
        <v/>
      </c>
      <c r="FI13" t="str">
        <f t="shared" si="119"/>
        <v/>
      </c>
      <c r="FJ13" t="str">
        <f t="shared" si="120"/>
        <v/>
      </c>
      <c r="FK13" t="str">
        <f t="shared" si="121"/>
        <v/>
      </c>
      <c r="FL13" t="str">
        <f t="shared" si="122"/>
        <v/>
      </c>
      <c r="FM13" t="str">
        <f t="shared" si="123"/>
        <v/>
      </c>
      <c r="FN13" t="str">
        <f t="shared" si="124"/>
        <v/>
      </c>
      <c r="FO13" t="str">
        <f t="shared" si="125"/>
        <v/>
      </c>
      <c r="FP13" t="str">
        <f t="shared" si="126"/>
        <v/>
      </c>
      <c r="FQ13" t="str">
        <f>IF(AO13="","",IF(DK173=0,Sprache!$B$65&amp;" ?",IF(CH173="?",$FQ$4,"")))</f>
        <v/>
      </c>
      <c r="FR13" t="str">
        <f t="shared" si="127"/>
        <v/>
      </c>
      <c r="FS13" t="str">
        <f t="shared" si="128"/>
        <v/>
      </c>
      <c r="FT13" t="str">
        <f t="shared" si="129"/>
        <v/>
      </c>
      <c r="FU13"/>
      <c r="FV13" t="str">
        <f ca="1">IF(TODAY()=$A$3,"",IF(TODAY()&gt;DATE(2018,7,1),CONCATENATE(Sprache!$B$89),""))</f>
        <v>outdated version</v>
      </c>
      <c r="FW13" t="str">
        <f t="shared" ca="1" si="130"/>
        <v>outdated version</v>
      </c>
      <c r="FX13" t="str">
        <f t="shared" ca="1" si="131"/>
        <v>outdated version</v>
      </c>
      <c r="FY13" t="str">
        <f t="shared" ca="1" si="132"/>
        <v/>
      </c>
      <c r="FZ13"/>
      <c r="GA13" s="407">
        <f t="shared" si="133"/>
        <v>0</v>
      </c>
      <c r="GB13" s="405"/>
      <c r="GC13" s="405"/>
      <c r="GD13" s="406"/>
      <c r="GE13" s="407">
        <f t="shared" si="134"/>
        <v>0</v>
      </c>
      <c r="GF13" s="405"/>
      <c r="GG13" s="404"/>
      <c r="GH13" s="406"/>
    </row>
    <row r="14" spans="1:190" s="243" customFormat="1" ht="14.25" customHeight="1" x14ac:dyDescent="0.2">
      <c r="A14" s="220"/>
      <c r="B14" s="221"/>
      <c r="C14" s="222"/>
      <c r="D14" s="223">
        <f t="shared" si="20"/>
        <v>0</v>
      </c>
      <c r="E14" s="223">
        <f t="shared" si="21"/>
        <v>0</v>
      </c>
      <c r="F14" s="224"/>
      <c r="G14" s="225"/>
      <c r="H14" s="225"/>
      <c r="I14" s="272"/>
      <c r="J14" s="264"/>
      <c r="K14" s="226"/>
      <c r="L14" s="227">
        <v>1</v>
      </c>
      <c r="M14" s="228">
        <f t="shared" si="150"/>
        <v>1</v>
      </c>
      <c r="N14" s="229">
        <f t="shared" si="151"/>
        <v>2</v>
      </c>
      <c r="O14" s="230"/>
      <c r="P14" s="231"/>
      <c r="Q14" s="232"/>
      <c r="R14" s="233">
        <f t="shared" si="152"/>
        <v>0</v>
      </c>
      <c r="S14" s="233">
        <f t="shared" si="153"/>
        <v>0</v>
      </c>
      <c r="T14" s="245">
        <f t="shared" si="154"/>
        <v>0</v>
      </c>
      <c r="U14" s="234"/>
      <c r="V14" s="270"/>
      <c r="W14" s="267"/>
      <c r="X14" s="235">
        <f t="shared" si="155"/>
        <v>0</v>
      </c>
      <c r="Y14" s="236" t="str">
        <f t="shared" si="156"/>
        <v/>
      </c>
      <c r="Z14" s="237">
        <f t="shared" si="157"/>
        <v>0</v>
      </c>
      <c r="AA14" s="238">
        <f t="shared" si="158"/>
        <v>0</v>
      </c>
      <c r="AB14" s="239" t="str">
        <f t="shared" si="159"/>
        <v/>
      </c>
      <c r="AC14" s="240" t="str">
        <f t="shared" ca="1" si="160"/>
        <v/>
      </c>
      <c r="AD14" s="394" t="str">
        <f t="shared" ca="1" si="161"/>
        <v/>
      </c>
      <c r="AE14" s="241" t="str">
        <f>IF(AO14="","",IFERROR(IF(ELEMENT!$CH$78=ELEMENT!$CM$63,(AC14/AA14/10.75),(AC14/AA14)),""))</f>
        <v/>
      </c>
      <c r="AF14" s="241" t="str">
        <f t="shared" si="162"/>
        <v/>
      </c>
      <c r="AG14" s="238" t="str">
        <f t="shared" si="163"/>
        <v/>
      </c>
      <c r="AH14" s="242" t="str">
        <f t="shared" si="164"/>
        <v/>
      </c>
      <c r="AI14" s="192"/>
      <c r="AJ14" s="274"/>
      <c r="AK14"/>
      <c r="AL14"/>
      <c r="AM14">
        <f t="shared" si="135"/>
        <v>0</v>
      </c>
      <c r="AN14" t="str">
        <f t="shared" si="136"/>
        <v/>
      </c>
      <c r="AO14" t="str">
        <f t="shared" si="137"/>
        <v/>
      </c>
      <c r="AP14" t="str">
        <f t="shared" si="138"/>
        <v/>
      </c>
      <c r="AQ14">
        <f t="shared" si="22"/>
        <v>0</v>
      </c>
      <c r="AR14">
        <f t="shared" si="139"/>
        <v>2</v>
      </c>
      <c r="AS14">
        <f t="shared" si="29"/>
        <v>0</v>
      </c>
      <c r="AT14">
        <f t="shared" si="23"/>
        <v>0</v>
      </c>
      <c r="AU14">
        <f t="shared" si="140"/>
        <v>0</v>
      </c>
      <c r="AV14">
        <f t="shared" si="141"/>
        <v>0</v>
      </c>
      <c r="AW14">
        <f t="shared" si="142"/>
        <v>0</v>
      </c>
      <c r="AX14" t="str">
        <f t="shared" si="24"/>
        <v/>
      </c>
      <c r="AY14">
        <f t="shared" si="143"/>
        <v>0</v>
      </c>
      <c r="AZ14">
        <f t="shared" si="144"/>
        <v>0</v>
      </c>
      <c r="BA14">
        <f t="shared" si="145"/>
        <v>0</v>
      </c>
      <c r="BB14">
        <f t="shared" si="146"/>
        <v>0</v>
      </c>
      <c r="BC14">
        <f t="shared" si="147"/>
        <v>0</v>
      </c>
      <c r="BD14">
        <f t="shared" si="148"/>
        <v>0</v>
      </c>
      <c r="BE14">
        <f t="shared" si="149"/>
        <v>0</v>
      </c>
      <c r="BF14">
        <f t="shared" si="25"/>
        <v>0</v>
      </c>
      <c r="BG14">
        <f>IF($AH$4=$CK$75,'S2'!T14,
IF($AH$4=$CL$75,'S3'!T14,
IF($AH$4=$CJ$75,'S1'!T14,
IF($AH$4=$CM$75,S3M!T14,))))</f>
        <v>0</v>
      </c>
      <c r="BH14">
        <f>IF($AH$4=$CK$75,'S2'!U14,
IF($AH$4=$CL$75,'S3'!U14,
IF($AH$4=$CJ$75,'S1'!U14,
IF($AH$4=$CM$75,S3M!U14,))))</f>
        <v>0</v>
      </c>
      <c r="BI14">
        <f>IF($AH$4=$CK$75,'S2'!V14,
IF($AH$4=$CL$75,'S3'!V14,
IF($AH$4=$CJ$75,'S1'!V14,
IF($AH$4=$CM$75,S3M!V14,))))</f>
        <v>0</v>
      </c>
      <c r="BJ14">
        <f>IF($AH$4=$CK$75,'S2'!W14,
IF($AH$4=$CL$75,'S3'!W14,
IF($AH$4=$CJ$75,'S1'!W14,
IF($AH$4=$CM$75,S3M!W14,))))</f>
        <v>0</v>
      </c>
      <c r="BK14">
        <f>IF($AH$4=$CK$75,'S2'!X14,
IF($AH$4=$CL$75,'S3'!X14,
IF($AH$4=$CJ$75,'S1'!X14,
IF($AH$4=$CM$75,S3M!X14,))))</f>
        <v>0</v>
      </c>
      <c r="BL14">
        <f>IF($AH$4=$CK$75,'S2'!Y14,
IF($AH$4=$CL$75,'S3'!Y14,
IF($AH$4=$CJ$75,'S1'!Y14,
IF($AH$4=$CM$75,S3M!Y14,))))</f>
        <v>0</v>
      </c>
      <c r="BM14">
        <f>IF($AH$4=$CK$75,'S2'!Z14,
IF($AH$4=$CL$75,'S3'!Z14,
IF($AH$4=$CJ$75,'S1'!Z14,
IF($AH$4=$CM$75,S3M!Z14,))))</f>
        <v>0</v>
      </c>
      <c r="BN14">
        <f>IF($AH$4=$CK$75,'S2'!AA14,
IF($AH$4=$CL$75,'S3'!AA14,
IF($AH$4=$CJ$75,'S1'!AA14,
IF($AH$4=$CM$75,S3M!AA14,))))</f>
        <v>0</v>
      </c>
      <c r="BO14">
        <f>IF($AH$4=$CK$75,'S2'!AB14,
IF($AH$4=$CL$75,'S3'!AB14,
IF($AH$4=$CJ$75,'S1'!AB14,
IF($AH$4=$CM$75,S3M!AB14,))))</f>
        <v>0</v>
      </c>
      <c r="BP14"/>
      <c r="BQ14">
        <f t="shared" si="30"/>
        <v>58</v>
      </c>
      <c r="BR14">
        <f t="shared" si="31"/>
        <v>32</v>
      </c>
      <c r="BS14">
        <f t="shared" si="32"/>
        <v>0</v>
      </c>
      <c r="BT14">
        <f t="shared" si="33"/>
        <v>0</v>
      </c>
      <c r="BU14">
        <f t="shared" si="34"/>
        <v>0</v>
      </c>
      <c r="BV14">
        <f t="shared" si="35"/>
        <v>0</v>
      </c>
      <c r="BW14">
        <f t="shared" si="36"/>
        <v>90</v>
      </c>
      <c r="BX14">
        <f t="shared" si="37"/>
        <v>0</v>
      </c>
      <c r="BY14">
        <f t="shared" si="38"/>
        <v>0</v>
      </c>
      <c r="BZ14">
        <f t="shared" si="39"/>
        <v>0</v>
      </c>
      <c r="CA14">
        <f t="shared" si="40"/>
        <v>0</v>
      </c>
      <c r="CB14">
        <f t="shared" si="41"/>
        <v>0</v>
      </c>
      <c r="CC14">
        <f t="shared" si="42"/>
        <v>0</v>
      </c>
      <c r="CD14">
        <f t="shared" si="43"/>
        <v>80</v>
      </c>
      <c r="CE14">
        <f t="shared" si="44"/>
        <v>0</v>
      </c>
      <c r="CF14">
        <f t="shared" si="45"/>
        <v>0</v>
      </c>
      <c r="CG14">
        <f t="shared" si="46"/>
        <v>46.2</v>
      </c>
      <c r="CH14">
        <f t="shared" si="47"/>
        <v>17.600000000000001</v>
      </c>
      <c r="CI14">
        <f t="shared" si="48"/>
        <v>0</v>
      </c>
      <c r="CJ14">
        <f t="shared" si="49"/>
        <v>0</v>
      </c>
      <c r="CK14">
        <f t="shared" si="50"/>
        <v>0</v>
      </c>
      <c r="CL14">
        <f t="shared" si="51"/>
        <v>0</v>
      </c>
      <c r="CM14">
        <f t="shared" si="52"/>
        <v>0</v>
      </c>
      <c r="CN14">
        <f t="shared" si="53"/>
        <v>0</v>
      </c>
      <c r="CO14">
        <f t="shared" si="54"/>
        <v>0</v>
      </c>
      <c r="CP14" t="str">
        <f t="shared" si="19"/>
        <v/>
      </c>
      <c r="CQ14">
        <f t="shared" si="55"/>
        <v>0</v>
      </c>
      <c r="CR14" t="str">
        <f t="shared" si="56"/>
        <v/>
      </c>
      <c r="CS14">
        <f t="shared" si="57"/>
        <v>0</v>
      </c>
      <c r="CT14">
        <f t="shared" si="58"/>
        <v>0</v>
      </c>
      <c r="CU14">
        <f t="shared" si="59"/>
        <v>0</v>
      </c>
      <c r="CV14">
        <f t="shared" si="60"/>
        <v>203.7166666666667</v>
      </c>
      <c r="CW14">
        <f t="shared" si="61"/>
        <v>210</v>
      </c>
      <c r="CX14">
        <f t="shared" si="62"/>
        <v>120</v>
      </c>
      <c r="CY14">
        <f t="shared" si="63"/>
        <v>0</v>
      </c>
      <c r="CZ14">
        <f t="shared" si="64"/>
        <v>0</v>
      </c>
      <c r="DA14">
        <f t="shared" si="65"/>
        <v>0</v>
      </c>
      <c r="DB14">
        <f t="shared" si="66"/>
        <v>0</v>
      </c>
      <c r="DC14" t="str">
        <f t="shared" si="67"/>
        <v/>
      </c>
      <c r="DD14">
        <f t="shared" si="68"/>
        <v>0</v>
      </c>
      <c r="DE14">
        <f t="shared" si="69"/>
        <v>0</v>
      </c>
      <c r="DF14">
        <f t="shared" si="70"/>
        <v>12.15</v>
      </c>
      <c r="DG14">
        <f t="shared" si="71"/>
        <v>0</v>
      </c>
      <c r="DH14">
        <f t="shared" si="72"/>
        <v>0</v>
      </c>
      <c r="DI14">
        <f t="shared" si="26"/>
        <v>0</v>
      </c>
      <c r="DJ14"/>
      <c r="DK14"/>
      <c r="DL14">
        <f t="shared" si="73"/>
        <v>0</v>
      </c>
      <c r="DM14">
        <f t="shared" si="74"/>
        <v>0</v>
      </c>
      <c r="DN14">
        <f t="shared" si="75"/>
        <v>0</v>
      </c>
      <c r="DO14" t="e">
        <f t="shared" si="76"/>
        <v>#N/A</v>
      </c>
      <c r="DP14">
        <f t="shared" si="77"/>
        <v>0</v>
      </c>
      <c r="DQ14" t="e">
        <f t="shared" si="78"/>
        <v>#N/A</v>
      </c>
      <c r="DR14" t="e">
        <f t="shared" si="79"/>
        <v>#N/A</v>
      </c>
      <c r="DS14">
        <f t="shared" si="80"/>
        <v>0</v>
      </c>
      <c r="DT14">
        <f t="shared" si="81"/>
        <v>0</v>
      </c>
      <c r="DU14">
        <f t="shared" si="82"/>
        <v>0</v>
      </c>
      <c r="DV14">
        <f t="shared" si="27"/>
        <v>0</v>
      </c>
      <c r="DW14">
        <f t="shared" si="83"/>
        <v>0</v>
      </c>
      <c r="DX14">
        <f t="shared" si="84"/>
        <v>0</v>
      </c>
      <c r="DY14">
        <f t="shared" si="85"/>
        <v>0</v>
      </c>
      <c r="DZ14">
        <f t="shared" si="86"/>
        <v>0</v>
      </c>
      <c r="EA14">
        <f t="shared" si="87"/>
        <v>0</v>
      </c>
      <c r="EB14">
        <f t="shared" si="88"/>
        <v>0</v>
      </c>
      <c r="EC14">
        <f t="shared" si="89"/>
        <v>0</v>
      </c>
      <c r="ED14">
        <f t="shared" si="90"/>
        <v>0</v>
      </c>
      <c r="EE14">
        <f t="shared" si="91"/>
        <v>0</v>
      </c>
      <c r="EF14">
        <f t="shared" si="92"/>
        <v>0</v>
      </c>
      <c r="EG14">
        <f t="shared" si="93"/>
        <v>0</v>
      </c>
      <c r="EH14">
        <f t="shared" si="28"/>
        <v>0</v>
      </c>
      <c r="EI14">
        <f t="shared" si="94"/>
        <v>-70</v>
      </c>
      <c r="EJ14">
        <f t="shared" si="95"/>
        <v>0</v>
      </c>
      <c r="EK14">
        <f t="shared" si="96"/>
        <v>0</v>
      </c>
      <c r="EL14">
        <f t="shared" si="97"/>
        <v>0</v>
      </c>
      <c r="EM14" t="e">
        <f t="shared" si="98"/>
        <v>#DIV/0!</v>
      </c>
      <c r="EN14">
        <f t="shared" si="99"/>
        <v>0</v>
      </c>
      <c r="EO14" t="str">
        <f t="shared" si="100"/>
        <v>üh</v>
      </c>
      <c r="EP14">
        <f t="shared" si="101"/>
        <v>0</v>
      </c>
      <c r="EQ14">
        <f t="shared" si="102"/>
        <v>0</v>
      </c>
      <c r="ER14">
        <f t="shared" si="103"/>
        <v>0</v>
      </c>
      <c r="ES14">
        <f t="shared" si="104"/>
        <v>0</v>
      </c>
      <c r="ET14">
        <f t="shared" si="105"/>
        <v>0</v>
      </c>
      <c r="EU14">
        <f t="shared" si="106"/>
        <v>0</v>
      </c>
      <c r="EV14">
        <f t="shared" si="107"/>
        <v>0</v>
      </c>
      <c r="EW14">
        <f t="shared" si="108"/>
        <v>0</v>
      </c>
      <c r="EX14">
        <f t="shared" si="109"/>
        <v>0</v>
      </c>
      <c r="EY14">
        <f t="shared" si="110"/>
        <v>0</v>
      </c>
      <c r="EZ14">
        <f t="shared" si="111"/>
        <v>0</v>
      </c>
      <c r="FA14">
        <f t="shared" si="112"/>
        <v>0</v>
      </c>
      <c r="FB14" t="str">
        <f t="shared" si="113"/>
        <v/>
      </c>
      <c r="FC14" t="str">
        <f t="shared" si="114"/>
        <v/>
      </c>
      <c r="FD14" t="str">
        <f>IF(AS14+E14=0,"",IF(SUM(L14:M14)=2,IF(SUM(N14+O14+BC14+BD14)=2,"",Sprache!$B$107),Sprache!$B$107))</f>
        <v/>
      </c>
      <c r="FE14" t="str">
        <f t="shared" si="115"/>
        <v/>
      </c>
      <c r="FF14" t="str">
        <f t="shared" si="116"/>
        <v/>
      </c>
      <c r="FG14" t="str">
        <f t="shared" si="117"/>
        <v/>
      </c>
      <c r="FH14" t="str">
        <f t="shared" ca="1" si="118"/>
        <v/>
      </c>
      <c r="FI14" t="str">
        <f t="shared" si="119"/>
        <v/>
      </c>
      <c r="FJ14" t="str">
        <f t="shared" si="120"/>
        <v/>
      </c>
      <c r="FK14" t="str">
        <f t="shared" si="121"/>
        <v/>
      </c>
      <c r="FL14" t="str">
        <f t="shared" si="122"/>
        <v/>
      </c>
      <c r="FM14" t="str">
        <f t="shared" si="123"/>
        <v/>
      </c>
      <c r="FN14" t="str">
        <f t="shared" si="124"/>
        <v/>
      </c>
      <c r="FO14" t="str">
        <f t="shared" si="125"/>
        <v/>
      </c>
      <c r="FP14" t="str">
        <f t="shared" si="126"/>
        <v/>
      </c>
      <c r="FQ14" t="str">
        <f>IF(AO14="","",IF(DK174=0,Sprache!$B$65&amp;" ?",IF(CH174="?",$FQ$4,"")))</f>
        <v/>
      </c>
      <c r="FR14" t="str">
        <f t="shared" si="127"/>
        <v/>
      </c>
      <c r="FS14" t="str">
        <f t="shared" si="128"/>
        <v/>
      </c>
      <c r="FT14" t="str">
        <f t="shared" si="129"/>
        <v/>
      </c>
      <c r="FU14"/>
      <c r="FV14" t="str">
        <f ca="1">IF(TODAY()=$A$3,"",IF(TODAY()&gt;DATE(2018,7,1),CONCATENATE(Sprache!$B$89),""))</f>
        <v>outdated version</v>
      </c>
      <c r="FW14" t="str">
        <f t="shared" ca="1" si="130"/>
        <v>outdated version</v>
      </c>
      <c r="FX14" t="str">
        <f t="shared" ca="1" si="131"/>
        <v>outdated version</v>
      </c>
      <c r="FY14" t="str">
        <f t="shared" ca="1" si="132"/>
        <v/>
      </c>
      <c r="FZ14"/>
      <c r="GA14" s="407">
        <f t="shared" si="133"/>
        <v>0</v>
      </c>
      <c r="GB14" s="405"/>
      <c r="GC14" s="405"/>
      <c r="GD14" s="406"/>
      <c r="GE14" s="407">
        <f t="shared" si="134"/>
        <v>0</v>
      </c>
      <c r="GF14" s="405"/>
      <c r="GG14" s="404"/>
      <c r="GH14" s="406"/>
    </row>
    <row r="15" spans="1:190" s="243" customFormat="1" ht="14.25" customHeight="1" x14ac:dyDescent="0.2">
      <c r="A15" s="220"/>
      <c r="B15" s="221"/>
      <c r="C15" s="222"/>
      <c r="D15" s="223">
        <f t="shared" si="20"/>
        <v>0</v>
      </c>
      <c r="E15" s="223">
        <f t="shared" si="21"/>
        <v>0</v>
      </c>
      <c r="F15" s="224"/>
      <c r="G15" s="225"/>
      <c r="H15" s="225"/>
      <c r="I15" s="272"/>
      <c r="J15" s="264"/>
      <c r="K15" s="226"/>
      <c r="L15" s="227">
        <v>1</v>
      </c>
      <c r="M15" s="228">
        <f>2-L15</f>
        <v>1</v>
      </c>
      <c r="N15" s="229">
        <f>2-O15-BC15-BD15</f>
        <v>2</v>
      </c>
      <c r="O15" s="230"/>
      <c r="P15" s="231"/>
      <c r="Q15" s="232"/>
      <c r="R15" s="233">
        <f>CC253</f>
        <v>0</v>
      </c>
      <c r="S15" s="233">
        <f>CC212</f>
        <v>0</v>
      </c>
      <c r="T15" s="245">
        <f>CC171</f>
        <v>0</v>
      </c>
      <c r="U15" s="234"/>
      <c r="V15" s="270"/>
      <c r="W15" s="267"/>
      <c r="X15" s="235">
        <f t="shared" si="155"/>
        <v>0</v>
      </c>
      <c r="Y15" s="236" t="str">
        <f t="shared" si="156"/>
        <v/>
      </c>
      <c r="Z15" s="237">
        <f t="shared" si="157"/>
        <v>0</v>
      </c>
      <c r="AA15" s="238">
        <f t="shared" si="158"/>
        <v>0</v>
      </c>
      <c r="AB15" s="239" t="str">
        <f t="shared" si="159"/>
        <v/>
      </c>
      <c r="AC15" s="240" t="str">
        <f t="shared" ca="1" si="160"/>
        <v/>
      </c>
      <c r="AD15" s="394" t="str">
        <f t="shared" ca="1" si="161"/>
        <v/>
      </c>
      <c r="AE15" s="241" t="str">
        <f>IF(AO15="","",IFERROR(IF(ELEMENT!$CH$78=ELEMENT!$CM$63,(AC15/AA15/10.75),(AC15/AA15)),""))</f>
        <v/>
      </c>
      <c r="AF15" s="241" t="str">
        <f t="shared" si="162"/>
        <v/>
      </c>
      <c r="AG15" s="238" t="str">
        <f t="shared" si="163"/>
        <v/>
      </c>
      <c r="AH15" s="242" t="str">
        <f t="shared" si="164"/>
        <v/>
      </c>
      <c r="AI15" s="192"/>
      <c r="AJ15" s="274"/>
      <c r="AK15"/>
      <c r="AL15"/>
      <c r="AM15">
        <f t="shared" si="135"/>
        <v>0</v>
      </c>
      <c r="AN15" t="str">
        <f t="shared" si="136"/>
        <v/>
      </c>
      <c r="AO15" t="str">
        <f t="shared" si="137"/>
        <v/>
      </c>
      <c r="AP15" t="str">
        <f t="shared" si="138"/>
        <v/>
      </c>
      <c r="AQ15">
        <f t="shared" si="22"/>
        <v>0</v>
      </c>
      <c r="AR15">
        <f t="shared" si="139"/>
        <v>2</v>
      </c>
      <c r="AS15">
        <f t="shared" si="29"/>
        <v>0</v>
      </c>
      <c r="AT15">
        <f t="shared" si="23"/>
        <v>0</v>
      </c>
      <c r="AU15">
        <f t="shared" si="140"/>
        <v>0</v>
      </c>
      <c r="AV15">
        <f t="shared" si="141"/>
        <v>0</v>
      </c>
      <c r="AW15">
        <f t="shared" si="142"/>
        <v>0</v>
      </c>
      <c r="AX15" t="str">
        <f t="shared" si="24"/>
        <v/>
      </c>
      <c r="AY15">
        <f t="shared" si="143"/>
        <v>0</v>
      </c>
      <c r="AZ15">
        <f t="shared" si="144"/>
        <v>0</v>
      </c>
      <c r="BA15">
        <f t="shared" si="145"/>
        <v>0</v>
      </c>
      <c r="BB15">
        <f t="shared" si="146"/>
        <v>0</v>
      </c>
      <c r="BC15">
        <f t="shared" si="147"/>
        <v>0</v>
      </c>
      <c r="BD15">
        <f t="shared" si="148"/>
        <v>0</v>
      </c>
      <c r="BE15">
        <f t="shared" si="149"/>
        <v>0</v>
      </c>
      <c r="BF15">
        <f t="shared" si="25"/>
        <v>0</v>
      </c>
      <c r="BG15">
        <f>IF($AH$4=$CK$75,'S2'!T15,
IF($AH$4=$CL$75,'S3'!T15,
IF($AH$4=$CJ$75,'S1'!T15,
IF($AH$4=$CM$75,S3M!T15,))))</f>
        <v>15</v>
      </c>
      <c r="BH15">
        <f>IF($AH$4=$CK$75,'S2'!U15,
IF($AH$4=$CL$75,'S3'!U15,
IF($AH$4=$CJ$75,'S1'!U15,
IF($AH$4=$CM$75,S3M!U15,))))</f>
        <v>20</v>
      </c>
      <c r="BI15">
        <f>IF($AH$4=$CK$75,'S2'!V15,
IF($AH$4=$CL$75,'S3'!V15,
IF($AH$4=$CJ$75,'S1'!V15,
IF($AH$4=$CM$75,S3M!V15,))))</f>
        <v>80</v>
      </c>
      <c r="BJ15">
        <f>IF($AH$4=$CK$75,'S2'!W15,
IF($AH$4=$CL$75,'S3'!W15,
IF($AH$4=$CJ$75,'S1'!W15,
IF($AH$4=$CM$75,S3M!W15,))))</f>
        <v>5.5</v>
      </c>
      <c r="BK15">
        <f>IF($AH$4=$CK$75,'S2'!X15,
IF($AH$4=$CL$75,'S3'!X15,
IF($AH$4=$CJ$75,'S1'!X15,
IF($AH$4=$CM$75,S3M!X15,))))</f>
        <v>69.300000000000011</v>
      </c>
      <c r="BL15">
        <f>IF($AH$4=$CK$75,'S2'!Y15,
IF($AH$4=$CL$75,'S3'!Y15,
IF($AH$4=$CJ$75,'S1'!Y15,
IF($AH$4=$CM$75,S3M!Y15,))))</f>
        <v>170</v>
      </c>
      <c r="BM15">
        <f>IF($AH$4=$CK$75,'S2'!Z15,
IF($AH$4=$CL$75,'S3'!Z15,
IF($AH$4=$CJ$75,'S1'!Z15,
IF($AH$4=$CM$75,S3M!Z15,))))</f>
        <v>58</v>
      </c>
      <c r="BN15">
        <f>IF($AH$4=$CK$75,'S2'!AA15,
IF($AH$4=$CL$75,'S3'!AA15,
IF($AH$4=$CJ$75,'S1'!AA15,
IF($AH$4=$CM$75,S3M!AA15,))))</f>
        <v>0.622</v>
      </c>
      <c r="BO15">
        <f>IF($AH$4=$CK$75,'S2'!AB15,
IF($AH$4=$CL$75,'S3'!AB15,
IF($AH$4=$CJ$75,'S1'!AB15,
IF($AH$4=$CM$75,S3M!AB15,))))</f>
        <v>4.0999999999999996</v>
      </c>
      <c r="BP15">
        <v>0.4</v>
      </c>
      <c r="BQ15">
        <f t="shared" si="30"/>
        <v>58</v>
      </c>
      <c r="BR15">
        <f t="shared" si="31"/>
        <v>32</v>
      </c>
      <c r="BS15">
        <f t="shared" si="32"/>
        <v>0</v>
      </c>
      <c r="BT15">
        <f t="shared" si="33"/>
        <v>0</v>
      </c>
      <c r="BU15">
        <f t="shared" si="34"/>
        <v>0</v>
      </c>
      <c r="BV15">
        <f t="shared" si="35"/>
        <v>0</v>
      </c>
      <c r="BW15">
        <f t="shared" si="36"/>
        <v>90</v>
      </c>
      <c r="BX15">
        <f t="shared" si="37"/>
        <v>0</v>
      </c>
      <c r="BY15">
        <f t="shared" si="38"/>
        <v>0</v>
      </c>
      <c r="BZ15">
        <f t="shared" si="39"/>
        <v>0</v>
      </c>
      <c r="CA15">
        <f t="shared" si="40"/>
        <v>0</v>
      </c>
      <c r="CB15">
        <f t="shared" si="41"/>
        <v>0</v>
      </c>
      <c r="CC15">
        <f t="shared" si="42"/>
        <v>0</v>
      </c>
      <c r="CD15">
        <f t="shared" si="43"/>
        <v>80</v>
      </c>
      <c r="CE15">
        <f t="shared" si="44"/>
        <v>0</v>
      </c>
      <c r="CF15">
        <f t="shared" si="45"/>
        <v>0</v>
      </c>
      <c r="CG15">
        <f t="shared" si="46"/>
        <v>46.2</v>
      </c>
      <c r="CH15">
        <f t="shared" si="47"/>
        <v>17.600000000000001</v>
      </c>
      <c r="CI15">
        <f t="shared" si="48"/>
        <v>0</v>
      </c>
      <c r="CJ15">
        <f t="shared" si="49"/>
        <v>0</v>
      </c>
      <c r="CK15">
        <f t="shared" si="50"/>
        <v>0</v>
      </c>
      <c r="CL15">
        <f t="shared" si="51"/>
        <v>0</v>
      </c>
      <c r="CM15">
        <f t="shared" si="52"/>
        <v>0</v>
      </c>
      <c r="CN15">
        <f t="shared" si="53"/>
        <v>0</v>
      </c>
      <c r="CO15">
        <f t="shared" si="54"/>
        <v>0</v>
      </c>
      <c r="CP15" t="str">
        <f t="shared" si="19"/>
        <v/>
      </c>
      <c r="CQ15">
        <f t="shared" si="55"/>
        <v>0</v>
      </c>
      <c r="CR15" t="str">
        <f t="shared" si="56"/>
        <v/>
      </c>
      <c r="CS15">
        <f t="shared" si="57"/>
        <v>0</v>
      </c>
      <c r="CT15">
        <f t="shared" si="58"/>
        <v>0</v>
      </c>
      <c r="CU15">
        <f t="shared" si="59"/>
        <v>0</v>
      </c>
      <c r="CV15">
        <f t="shared" si="60"/>
        <v>203.7166666666667</v>
      </c>
      <c r="CW15">
        <f t="shared" si="61"/>
        <v>210</v>
      </c>
      <c r="CX15">
        <f t="shared" si="62"/>
        <v>120</v>
      </c>
      <c r="CY15">
        <f t="shared" si="63"/>
        <v>0</v>
      </c>
      <c r="CZ15">
        <f t="shared" si="64"/>
        <v>0</v>
      </c>
      <c r="DA15">
        <f t="shared" si="65"/>
        <v>0</v>
      </c>
      <c r="DB15">
        <f t="shared" si="66"/>
        <v>0</v>
      </c>
      <c r="DC15" t="str">
        <f t="shared" si="67"/>
        <v/>
      </c>
      <c r="DD15">
        <f t="shared" si="68"/>
        <v>0</v>
      </c>
      <c r="DE15">
        <f t="shared" si="69"/>
        <v>0</v>
      </c>
      <c r="DF15">
        <f t="shared" si="70"/>
        <v>12.15</v>
      </c>
      <c r="DG15">
        <f t="shared" si="71"/>
        <v>0</v>
      </c>
      <c r="DH15">
        <f t="shared" si="72"/>
        <v>0</v>
      </c>
      <c r="DI15">
        <f t="shared" si="26"/>
        <v>0</v>
      </c>
      <c r="DJ15"/>
      <c r="DK15"/>
      <c r="DL15">
        <f t="shared" si="73"/>
        <v>0</v>
      </c>
      <c r="DM15">
        <f t="shared" si="74"/>
        <v>0</v>
      </c>
      <c r="DN15">
        <f t="shared" si="75"/>
        <v>0</v>
      </c>
      <c r="DO15" t="e">
        <f t="shared" si="76"/>
        <v>#N/A</v>
      </c>
      <c r="DP15">
        <f t="shared" si="77"/>
        <v>0</v>
      </c>
      <c r="DQ15" t="e">
        <f t="shared" si="78"/>
        <v>#N/A</v>
      </c>
      <c r="DR15" t="e">
        <f t="shared" si="79"/>
        <v>#N/A</v>
      </c>
      <c r="DS15">
        <f t="shared" si="80"/>
        <v>0</v>
      </c>
      <c r="DT15">
        <f t="shared" si="81"/>
        <v>0</v>
      </c>
      <c r="DU15">
        <f t="shared" si="82"/>
        <v>0</v>
      </c>
      <c r="DV15">
        <f t="shared" si="27"/>
        <v>0</v>
      </c>
      <c r="DW15">
        <f t="shared" si="83"/>
        <v>0</v>
      </c>
      <c r="DX15">
        <f t="shared" si="84"/>
        <v>0</v>
      </c>
      <c r="DY15">
        <f t="shared" si="85"/>
        <v>0</v>
      </c>
      <c r="DZ15">
        <f t="shared" si="86"/>
        <v>0</v>
      </c>
      <c r="EA15">
        <f t="shared" si="87"/>
        <v>0</v>
      </c>
      <c r="EB15">
        <f t="shared" si="88"/>
        <v>0</v>
      </c>
      <c r="EC15">
        <f t="shared" si="89"/>
        <v>0</v>
      </c>
      <c r="ED15">
        <f t="shared" si="90"/>
        <v>0</v>
      </c>
      <c r="EE15">
        <f t="shared" si="91"/>
        <v>0</v>
      </c>
      <c r="EF15">
        <f t="shared" si="92"/>
        <v>0</v>
      </c>
      <c r="EG15">
        <f t="shared" si="93"/>
        <v>0</v>
      </c>
      <c r="EH15">
        <f t="shared" si="28"/>
        <v>0</v>
      </c>
      <c r="EI15">
        <f t="shared" si="94"/>
        <v>-70</v>
      </c>
      <c r="EJ15">
        <f t="shared" si="95"/>
        <v>0</v>
      </c>
      <c r="EK15">
        <f t="shared" si="96"/>
        <v>0</v>
      </c>
      <c r="EL15">
        <f t="shared" si="97"/>
        <v>0</v>
      </c>
      <c r="EM15" t="e">
        <f t="shared" si="98"/>
        <v>#DIV/0!</v>
      </c>
      <c r="EN15">
        <f t="shared" si="99"/>
        <v>0</v>
      </c>
      <c r="EO15" t="str">
        <f t="shared" si="100"/>
        <v>üh</v>
      </c>
      <c r="EP15">
        <f t="shared" si="101"/>
        <v>0</v>
      </c>
      <c r="EQ15">
        <f t="shared" si="102"/>
        <v>0</v>
      </c>
      <c r="ER15">
        <f t="shared" si="103"/>
        <v>0</v>
      </c>
      <c r="ES15">
        <f t="shared" si="104"/>
        <v>0</v>
      </c>
      <c r="ET15">
        <f t="shared" si="105"/>
        <v>0</v>
      </c>
      <c r="EU15">
        <f t="shared" si="106"/>
        <v>0</v>
      </c>
      <c r="EV15">
        <f t="shared" si="107"/>
        <v>0</v>
      </c>
      <c r="EW15">
        <f t="shared" si="108"/>
        <v>0</v>
      </c>
      <c r="EX15">
        <f t="shared" si="109"/>
        <v>0</v>
      </c>
      <c r="EY15">
        <f t="shared" si="110"/>
        <v>0</v>
      </c>
      <c r="EZ15">
        <f t="shared" si="111"/>
        <v>0</v>
      </c>
      <c r="FA15">
        <f t="shared" si="112"/>
        <v>0</v>
      </c>
      <c r="FB15" t="str">
        <f t="shared" si="113"/>
        <v/>
      </c>
      <c r="FC15" t="str">
        <f t="shared" si="114"/>
        <v/>
      </c>
      <c r="FD15" t="str">
        <f>IF(AS15+E15=0,"",IF(SUM(L15:M15)=2,IF(SUM(N15+O15+BC15+BD15)=2,"",Sprache!$B$107),Sprache!$B$107))</f>
        <v/>
      </c>
      <c r="FE15" t="str">
        <f t="shared" si="115"/>
        <v/>
      </c>
      <c r="FF15" t="str">
        <f t="shared" si="116"/>
        <v/>
      </c>
      <c r="FG15" t="str">
        <f t="shared" si="117"/>
        <v/>
      </c>
      <c r="FH15" t="str">
        <f t="shared" ca="1" si="118"/>
        <v/>
      </c>
      <c r="FI15" t="str">
        <f t="shared" si="119"/>
        <v/>
      </c>
      <c r="FJ15" t="str">
        <f t="shared" si="120"/>
        <v/>
      </c>
      <c r="FK15" t="str">
        <f t="shared" si="121"/>
        <v/>
      </c>
      <c r="FL15" t="str">
        <f t="shared" si="122"/>
        <v/>
      </c>
      <c r="FM15" t="str">
        <f t="shared" si="123"/>
        <v/>
      </c>
      <c r="FN15" t="str">
        <f t="shared" si="124"/>
        <v/>
      </c>
      <c r="FO15" t="str">
        <f t="shared" si="125"/>
        <v/>
      </c>
      <c r="FP15" t="str">
        <f t="shared" si="126"/>
        <v/>
      </c>
      <c r="FQ15" t="str">
        <f>IF(AO15="","",IF(DK175=0,Sprache!$B$65&amp;" ?",IF(CH175="?",$FQ$4,"")))</f>
        <v/>
      </c>
      <c r="FR15" t="str">
        <f t="shared" si="127"/>
        <v/>
      </c>
      <c r="FS15" t="str">
        <f t="shared" si="128"/>
        <v/>
      </c>
      <c r="FT15" t="str">
        <f t="shared" si="129"/>
        <v/>
      </c>
      <c r="FU15"/>
      <c r="FV15" t="str">
        <f ca="1">IF(TODAY()=$A$3,"",IF(TODAY()&gt;DATE(2018,7,1),CONCATENATE(Sprache!$B$89),""))</f>
        <v>outdated version</v>
      </c>
      <c r="FW15" t="str">
        <f t="shared" ca="1" si="130"/>
        <v>outdated version</v>
      </c>
      <c r="FX15" t="str">
        <f t="shared" ca="1" si="131"/>
        <v>outdated version</v>
      </c>
      <c r="FY15" t="str">
        <f t="shared" ca="1" si="132"/>
        <v/>
      </c>
      <c r="FZ15"/>
      <c r="GA15" s="407">
        <f t="shared" si="133"/>
        <v>0</v>
      </c>
      <c r="GB15" s="405"/>
      <c r="GC15" s="405"/>
      <c r="GD15" s="406"/>
      <c r="GE15" s="407">
        <f t="shared" si="134"/>
        <v>0</v>
      </c>
      <c r="GF15" s="405"/>
      <c r="GG15" s="404"/>
      <c r="GH15" s="406"/>
    </row>
    <row r="16" spans="1:190" s="243" customFormat="1" ht="14.25" customHeight="1" x14ac:dyDescent="0.2">
      <c r="A16" s="220"/>
      <c r="B16" s="221"/>
      <c r="C16" s="222"/>
      <c r="D16" s="223">
        <f t="shared" si="20"/>
        <v>0</v>
      </c>
      <c r="E16" s="223">
        <f t="shared" si="21"/>
        <v>0</v>
      </c>
      <c r="F16" s="224"/>
      <c r="G16" s="225"/>
      <c r="H16" s="225"/>
      <c r="I16" s="272"/>
      <c r="J16" s="264"/>
      <c r="K16" s="226"/>
      <c r="L16" s="227">
        <v>1</v>
      </c>
      <c r="M16" s="228">
        <f>2-L16</f>
        <v>1</v>
      </c>
      <c r="N16" s="229">
        <f>2-O16-BC16-BD16</f>
        <v>2</v>
      </c>
      <c r="O16" s="230"/>
      <c r="P16" s="231"/>
      <c r="Q16" s="232"/>
      <c r="R16" s="233">
        <f>CC254</f>
        <v>0</v>
      </c>
      <c r="S16" s="233">
        <f>CC213</f>
        <v>0</v>
      </c>
      <c r="T16" s="245">
        <f>CC172</f>
        <v>0</v>
      </c>
      <c r="U16" s="234"/>
      <c r="V16" s="270"/>
      <c r="W16" s="267"/>
      <c r="X16" s="235">
        <f t="shared" si="155"/>
        <v>0</v>
      </c>
      <c r="Y16" s="236" t="str">
        <f t="shared" si="156"/>
        <v/>
      </c>
      <c r="Z16" s="237">
        <f t="shared" si="157"/>
        <v>0</v>
      </c>
      <c r="AA16" s="238">
        <f t="shared" si="158"/>
        <v>0</v>
      </c>
      <c r="AB16" s="239" t="str">
        <f t="shared" si="159"/>
        <v/>
      </c>
      <c r="AC16" s="240" t="str">
        <f t="shared" ca="1" si="160"/>
        <v/>
      </c>
      <c r="AD16" s="394" t="str">
        <f t="shared" ca="1" si="161"/>
        <v/>
      </c>
      <c r="AE16" s="241" t="str">
        <f>IF(AO16="","",IFERROR(IF(ELEMENT!$CH$78=ELEMENT!$CM$63,(AC16/AA16/10.75),(AC16/AA16)),""))</f>
        <v/>
      </c>
      <c r="AF16" s="241" t="str">
        <f t="shared" si="162"/>
        <v/>
      </c>
      <c r="AG16" s="238" t="str">
        <f t="shared" si="163"/>
        <v/>
      </c>
      <c r="AH16" s="242" t="str">
        <f t="shared" si="164"/>
        <v/>
      </c>
      <c r="AI16" s="192"/>
      <c r="AJ16" s="274"/>
      <c r="AK16"/>
      <c r="AL16"/>
      <c r="AM16">
        <f t="shared" si="135"/>
        <v>0</v>
      </c>
      <c r="AN16" t="str">
        <f t="shared" si="136"/>
        <v/>
      </c>
      <c r="AO16" t="str">
        <f t="shared" si="137"/>
        <v/>
      </c>
      <c r="AP16" t="str">
        <f t="shared" si="138"/>
        <v/>
      </c>
      <c r="AQ16">
        <f t="shared" si="22"/>
        <v>0</v>
      </c>
      <c r="AR16">
        <f t="shared" si="139"/>
        <v>2</v>
      </c>
      <c r="AS16">
        <f t="shared" si="29"/>
        <v>0</v>
      </c>
      <c r="AT16">
        <f t="shared" si="23"/>
        <v>0</v>
      </c>
      <c r="AU16">
        <f t="shared" si="140"/>
        <v>0</v>
      </c>
      <c r="AV16">
        <f t="shared" si="141"/>
        <v>0</v>
      </c>
      <c r="AW16">
        <f t="shared" si="142"/>
        <v>0</v>
      </c>
      <c r="AX16" t="str">
        <f t="shared" si="24"/>
        <v/>
      </c>
      <c r="AY16">
        <f t="shared" si="143"/>
        <v>0</v>
      </c>
      <c r="AZ16">
        <f t="shared" si="144"/>
        <v>0</v>
      </c>
      <c r="BA16">
        <f t="shared" si="145"/>
        <v>0</v>
      </c>
      <c r="BB16">
        <f t="shared" si="146"/>
        <v>0</v>
      </c>
      <c r="BC16">
        <f t="shared" si="147"/>
        <v>0</v>
      </c>
      <c r="BD16">
        <f t="shared" si="148"/>
        <v>0</v>
      </c>
      <c r="BE16">
        <f t="shared" si="149"/>
        <v>0</v>
      </c>
      <c r="BF16">
        <f t="shared" si="25"/>
        <v>0</v>
      </c>
      <c r="BG16">
        <f>IF($AH$4=$CK$75,'S2'!T16,
IF($AH$4=$CL$75,'S3'!T16,
IF($AH$4=$CJ$75,'S1'!T16,
IF($AH$4=$CM$75,S3M!T16,))))</f>
        <v>15</v>
      </c>
      <c r="BH16">
        <f>IF($AH$4=$CK$75,'S2'!U16,
IF($AH$4=$CL$75,'S3'!U16,
IF($AH$4=$CJ$75,'S1'!U16,
IF($AH$4=$CM$75,S3M!U16,))))</f>
        <v>5</v>
      </c>
      <c r="BI16">
        <f>IF($AH$4=$CK$75,'S2'!V16,
IF($AH$4=$CL$75,'S3'!V16,
IF($AH$4=$CJ$75,'S1'!V16,
IF($AH$4=$CM$75,S3M!V16,))))</f>
        <v>15</v>
      </c>
      <c r="BJ16">
        <f>IF($AH$4=$CK$75,'S2'!W16,
IF($AH$4=$CL$75,'S3'!W16,
IF($AH$4=$CJ$75,'S1'!W16,
IF($AH$4=$CM$75,S3M!W16,))))</f>
        <v>5.5</v>
      </c>
      <c r="BK16">
        <f>IF($AH$4=$CK$75,'S2'!X16,
IF($AH$4=$CL$75,'S3'!X16,
IF($AH$4=$CJ$75,'S1'!X16,
IF($AH$4=$CM$75,S3M!X16,))))</f>
        <v>36.300000000000004</v>
      </c>
      <c r="BL16">
        <f>IF($AH$4=$CK$75,'S2'!Y16,
IF($AH$4=$CL$75,'S3'!Y16,
IF($AH$4=$CJ$75,'S1'!Y16,
IF($AH$4=$CM$75,S3M!Y16,))))</f>
        <v>131</v>
      </c>
      <c r="BM16">
        <f>IF($AH$4=$CK$75,'S2'!Z16,
IF($AH$4=$CL$75,'S3'!Z16,
IF($AH$4=$CJ$75,'S1'!Z16,
IF($AH$4=$CM$75,S3M!Z16,))))</f>
        <v>21</v>
      </c>
      <c r="BN16">
        <f>IF($AH$4=$CK$75,'S2'!AA16,
IF($AH$4=$CL$75,'S3'!AA16,
IF($AH$4=$CJ$75,'S1'!AA16,
IF($AH$4=$CM$75,S3M!AA16,))))</f>
        <v>0.29699999999999999</v>
      </c>
      <c r="BO16">
        <f>IF($AH$4=$CK$75,'S2'!AB16,
IF($AH$4=$CL$75,'S3'!AB16,
IF($AH$4=$CJ$75,'S1'!AB16,
IF($AH$4=$CM$75,S3M!AB16,))))</f>
        <v>1.2869999999999999</v>
      </c>
      <c r="BP16">
        <v>0.9</v>
      </c>
      <c r="BQ16">
        <f t="shared" si="30"/>
        <v>58</v>
      </c>
      <c r="BR16">
        <f t="shared" si="31"/>
        <v>32</v>
      </c>
      <c r="BS16">
        <f t="shared" si="32"/>
        <v>0</v>
      </c>
      <c r="BT16">
        <f t="shared" si="33"/>
        <v>0</v>
      </c>
      <c r="BU16">
        <f t="shared" si="34"/>
        <v>0</v>
      </c>
      <c r="BV16">
        <f t="shared" si="35"/>
        <v>0</v>
      </c>
      <c r="BW16">
        <f t="shared" si="36"/>
        <v>90</v>
      </c>
      <c r="BX16">
        <f t="shared" si="37"/>
        <v>0</v>
      </c>
      <c r="BY16">
        <f t="shared" si="38"/>
        <v>0</v>
      </c>
      <c r="BZ16">
        <f t="shared" si="39"/>
        <v>0</v>
      </c>
      <c r="CA16">
        <f t="shared" si="40"/>
        <v>0</v>
      </c>
      <c r="CB16">
        <f t="shared" si="41"/>
        <v>0</v>
      </c>
      <c r="CC16">
        <f t="shared" si="42"/>
        <v>0</v>
      </c>
      <c r="CD16">
        <f t="shared" si="43"/>
        <v>80</v>
      </c>
      <c r="CE16">
        <f t="shared" si="44"/>
        <v>0</v>
      </c>
      <c r="CF16">
        <f t="shared" si="45"/>
        <v>0</v>
      </c>
      <c r="CG16">
        <f t="shared" si="46"/>
        <v>46.2</v>
      </c>
      <c r="CH16">
        <f t="shared" si="47"/>
        <v>17.600000000000001</v>
      </c>
      <c r="CI16">
        <f t="shared" si="48"/>
        <v>0</v>
      </c>
      <c r="CJ16">
        <f t="shared" si="49"/>
        <v>0</v>
      </c>
      <c r="CK16">
        <f t="shared" si="50"/>
        <v>0</v>
      </c>
      <c r="CL16">
        <f t="shared" si="51"/>
        <v>0</v>
      </c>
      <c r="CM16">
        <f t="shared" si="52"/>
        <v>0</v>
      </c>
      <c r="CN16">
        <f t="shared" si="53"/>
        <v>0</v>
      </c>
      <c r="CO16">
        <f t="shared" si="54"/>
        <v>0</v>
      </c>
      <c r="CP16" t="str">
        <f t="shared" si="19"/>
        <v/>
      </c>
      <c r="CQ16">
        <f t="shared" si="55"/>
        <v>0</v>
      </c>
      <c r="CR16" t="str">
        <f t="shared" si="56"/>
        <v/>
      </c>
      <c r="CS16">
        <f t="shared" si="57"/>
        <v>0</v>
      </c>
      <c r="CT16">
        <f t="shared" si="58"/>
        <v>0</v>
      </c>
      <c r="CU16">
        <f t="shared" si="59"/>
        <v>0</v>
      </c>
      <c r="CV16">
        <f t="shared" si="60"/>
        <v>203.7166666666667</v>
      </c>
      <c r="CW16">
        <f t="shared" si="61"/>
        <v>210</v>
      </c>
      <c r="CX16">
        <f t="shared" si="62"/>
        <v>120</v>
      </c>
      <c r="CY16">
        <f t="shared" si="63"/>
        <v>0</v>
      </c>
      <c r="CZ16">
        <f t="shared" si="64"/>
        <v>0</v>
      </c>
      <c r="DA16">
        <f t="shared" si="65"/>
        <v>0</v>
      </c>
      <c r="DB16">
        <f t="shared" si="66"/>
        <v>0</v>
      </c>
      <c r="DC16" t="str">
        <f t="shared" si="67"/>
        <v/>
      </c>
      <c r="DD16">
        <f t="shared" si="68"/>
        <v>0</v>
      </c>
      <c r="DE16">
        <f t="shared" si="69"/>
        <v>0</v>
      </c>
      <c r="DF16">
        <f t="shared" si="70"/>
        <v>12.15</v>
      </c>
      <c r="DG16">
        <f t="shared" si="71"/>
        <v>0</v>
      </c>
      <c r="DH16">
        <f t="shared" si="72"/>
        <v>0</v>
      </c>
      <c r="DI16">
        <f t="shared" si="26"/>
        <v>0</v>
      </c>
      <c r="DJ16"/>
      <c r="DK16"/>
      <c r="DL16">
        <f t="shared" si="73"/>
        <v>0</v>
      </c>
      <c r="DM16">
        <f t="shared" si="74"/>
        <v>0</v>
      </c>
      <c r="DN16">
        <f t="shared" si="75"/>
        <v>0</v>
      </c>
      <c r="DO16" t="e">
        <f t="shared" si="76"/>
        <v>#N/A</v>
      </c>
      <c r="DP16">
        <f t="shared" si="77"/>
        <v>0</v>
      </c>
      <c r="DQ16" t="e">
        <f t="shared" si="78"/>
        <v>#N/A</v>
      </c>
      <c r="DR16" t="e">
        <f t="shared" si="79"/>
        <v>#N/A</v>
      </c>
      <c r="DS16">
        <f t="shared" si="80"/>
        <v>0</v>
      </c>
      <c r="DT16">
        <f t="shared" si="81"/>
        <v>0</v>
      </c>
      <c r="DU16">
        <f t="shared" si="82"/>
        <v>0</v>
      </c>
      <c r="DV16">
        <f t="shared" si="27"/>
        <v>0</v>
      </c>
      <c r="DW16">
        <f t="shared" si="83"/>
        <v>0</v>
      </c>
      <c r="DX16">
        <f t="shared" si="84"/>
        <v>0</v>
      </c>
      <c r="DY16">
        <f t="shared" si="85"/>
        <v>0</v>
      </c>
      <c r="DZ16">
        <f t="shared" si="86"/>
        <v>0</v>
      </c>
      <c r="EA16">
        <f t="shared" si="87"/>
        <v>0</v>
      </c>
      <c r="EB16">
        <f t="shared" si="88"/>
        <v>0</v>
      </c>
      <c r="EC16">
        <f t="shared" si="89"/>
        <v>0</v>
      </c>
      <c r="ED16">
        <f t="shared" si="90"/>
        <v>0</v>
      </c>
      <c r="EE16">
        <f t="shared" si="91"/>
        <v>0</v>
      </c>
      <c r="EF16">
        <f t="shared" si="92"/>
        <v>0</v>
      </c>
      <c r="EG16">
        <f t="shared" si="93"/>
        <v>0</v>
      </c>
      <c r="EH16">
        <f t="shared" si="28"/>
        <v>0</v>
      </c>
      <c r="EI16">
        <f t="shared" si="94"/>
        <v>-70</v>
      </c>
      <c r="EJ16">
        <f t="shared" si="95"/>
        <v>0</v>
      </c>
      <c r="EK16">
        <f t="shared" si="96"/>
        <v>0</v>
      </c>
      <c r="EL16">
        <f t="shared" si="97"/>
        <v>0</v>
      </c>
      <c r="EM16" t="e">
        <f t="shared" si="98"/>
        <v>#DIV/0!</v>
      </c>
      <c r="EN16">
        <f t="shared" si="99"/>
        <v>0</v>
      </c>
      <c r="EO16" t="str">
        <f t="shared" si="100"/>
        <v>üh</v>
      </c>
      <c r="EP16">
        <f t="shared" si="101"/>
        <v>0</v>
      </c>
      <c r="EQ16">
        <f t="shared" si="102"/>
        <v>0</v>
      </c>
      <c r="ER16">
        <f t="shared" si="103"/>
        <v>0</v>
      </c>
      <c r="ES16">
        <f t="shared" si="104"/>
        <v>0</v>
      </c>
      <c r="ET16">
        <f t="shared" si="105"/>
        <v>0</v>
      </c>
      <c r="EU16">
        <f t="shared" si="106"/>
        <v>0</v>
      </c>
      <c r="EV16">
        <f t="shared" si="107"/>
        <v>0</v>
      </c>
      <c r="EW16">
        <f t="shared" si="108"/>
        <v>0</v>
      </c>
      <c r="EX16">
        <f t="shared" si="109"/>
        <v>0</v>
      </c>
      <c r="EY16">
        <f t="shared" si="110"/>
        <v>0</v>
      </c>
      <c r="EZ16">
        <f t="shared" si="111"/>
        <v>0</v>
      </c>
      <c r="FA16">
        <f t="shared" si="112"/>
        <v>0</v>
      </c>
      <c r="FB16" t="str">
        <f t="shared" si="113"/>
        <v/>
      </c>
      <c r="FC16" t="str">
        <f t="shared" si="114"/>
        <v/>
      </c>
      <c r="FD16" t="str">
        <f>IF(AS16+E16=0,"",IF(SUM(L16:M16)=2,IF(SUM(N16+O16+BC16+BD16)=2,"",Sprache!$B$107),Sprache!$B$107))</f>
        <v/>
      </c>
      <c r="FE16" t="str">
        <f t="shared" si="115"/>
        <v/>
      </c>
      <c r="FF16" t="str">
        <f t="shared" si="116"/>
        <v/>
      </c>
      <c r="FG16" t="str">
        <f t="shared" si="117"/>
        <v/>
      </c>
      <c r="FH16" t="str">
        <f t="shared" ca="1" si="118"/>
        <v/>
      </c>
      <c r="FI16" t="str">
        <f t="shared" si="119"/>
        <v/>
      </c>
      <c r="FJ16" t="str">
        <f t="shared" si="120"/>
        <v/>
      </c>
      <c r="FK16" t="str">
        <f t="shared" si="121"/>
        <v/>
      </c>
      <c r="FL16" t="str">
        <f t="shared" si="122"/>
        <v/>
      </c>
      <c r="FM16" t="str">
        <f t="shared" si="123"/>
        <v/>
      </c>
      <c r="FN16" t="str">
        <f t="shared" si="124"/>
        <v/>
      </c>
      <c r="FO16" t="str">
        <f t="shared" si="125"/>
        <v/>
      </c>
      <c r="FP16" t="str">
        <f t="shared" si="126"/>
        <v/>
      </c>
      <c r="FQ16" t="str">
        <f>IF(AO16="","",IF(DK176=0,Sprache!$B$65&amp;" ?",IF(CH176="?",$FQ$4,"")))</f>
        <v/>
      </c>
      <c r="FR16" t="str">
        <f t="shared" si="127"/>
        <v/>
      </c>
      <c r="FS16" t="str">
        <f t="shared" si="128"/>
        <v/>
      </c>
      <c r="FT16" t="str">
        <f t="shared" si="129"/>
        <v/>
      </c>
      <c r="FU16"/>
      <c r="FV16" t="str">
        <f ca="1">IF(TODAY()=$A$3,"",IF(TODAY()&gt;DATE(2018,7,1),CONCATENATE(Sprache!$B$89),""))</f>
        <v>outdated version</v>
      </c>
      <c r="FW16" t="str">
        <f t="shared" ca="1" si="130"/>
        <v>outdated version</v>
      </c>
      <c r="FX16" t="str">
        <f t="shared" ca="1" si="131"/>
        <v>outdated version</v>
      </c>
      <c r="FY16" t="str">
        <f t="shared" ca="1" si="132"/>
        <v/>
      </c>
      <c r="FZ16"/>
      <c r="GA16" s="407">
        <f t="shared" si="133"/>
        <v>0</v>
      </c>
      <c r="GB16" s="405"/>
      <c r="GC16" s="405"/>
      <c r="GD16" s="406"/>
      <c r="GE16" s="407">
        <f t="shared" si="134"/>
        <v>0</v>
      </c>
      <c r="GF16" s="405"/>
      <c r="GG16" s="404"/>
      <c r="GH16" s="406"/>
    </row>
    <row r="17" spans="1:190" s="243" customFormat="1" ht="14.25" customHeight="1" x14ac:dyDescent="0.2">
      <c r="A17" s="220"/>
      <c r="B17" s="221"/>
      <c r="C17" s="222"/>
      <c r="D17" s="223">
        <f t="shared" si="20"/>
        <v>0</v>
      </c>
      <c r="E17" s="223">
        <f t="shared" si="21"/>
        <v>0</v>
      </c>
      <c r="F17" s="224"/>
      <c r="G17" s="225"/>
      <c r="H17" s="225"/>
      <c r="I17" s="272"/>
      <c r="J17" s="264"/>
      <c r="K17" s="226"/>
      <c r="L17" s="227">
        <v>1</v>
      </c>
      <c r="M17" s="228">
        <f t="shared" si="150"/>
        <v>1</v>
      </c>
      <c r="N17" s="229">
        <f t="shared" si="151"/>
        <v>2</v>
      </c>
      <c r="O17" s="230"/>
      <c r="P17" s="231"/>
      <c r="Q17" s="232"/>
      <c r="R17" s="233">
        <f t="shared" si="152"/>
        <v>0</v>
      </c>
      <c r="S17" s="233">
        <f t="shared" si="153"/>
        <v>0</v>
      </c>
      <c r="T17" s="245">
        <f t="shared" si="154"/>
        <v>0</v>
      </c>
      <c r="U17" s="234"/>
      <c r="V17" s="270"/>
      <c r="W17" s="267"/>
      <c r="X17" s="235">
        <f t="shared" si="155"/>
        <v>0</v>
      </c>
      <c r="Y17" s="236" t="str">
        <f t="shared" si="156"/>
        <v/>
      </c>
      <c r="Z17" s="237">
        <f t="shared" si="157"/>
        <v>0</v>
      </c>
      <c r="AA17" s="238">
        <f t="shared" si="158"/>
        <v>0</v>
      </c>
      <c r="AB17" s="239" t="str">
        <f t="shared" si="159"/>
        <v/>
      </c>
      <c r="AC17" s="240" t="str">
        <f t="shared" ca="1" si="160"/>
        <v/>
      </c>
      <c r="AD17" s="394" t="str">
        <f t="shared" ca="1" si="161"/>
        <v/>
      </c>
      <c r="AE17" s="241" t="str">
        <f>IF(AO17="","",IFERROR(IF(ELEMENT!$CH$78=ELEMENT!$CM$63,(AC17/AA17/10.75),(AC17/AA17)),""))</f>
        <v/>
      </c>
      <c r="AF17" s="241" t="str">
        <f t="shared" si="162"/>
        <v/>
      </c>
      <c r="AG17" s="238" t="str">
        <f t="shared" si="163"/>
        <v/>
      </c>
      <c r="AH17" s="242" t="str">
        <f t="shared" si="164"/>
        <v/>
      </c>
      <c r="AI17" s="192"/>
      <c r="AJ17" s="274"/>
      <c r="AK17"/>
      <c r="AL17"/>
      <c r="AM17">
        <f t="shared" si="135"/>
        <v>0</v>
      </c>
      <c r="AN17" t="str">
        <f t="shared" si="136"/>
        <v/>
      </c>
      <c r="AO17" t="str">
        <f t="shared" si="137"/>
        <v/>
      </c>
      <c r="AP17" t="str">
        <f t="shared" si="138"/>
        <v/>
      </c>
      <c r="AQ17">
        <f t="shared" si="22"/>
        <v>0</v>
      </c>
      <c r="AR17">
        <f t="shared" si="139"/>
        <v>2</v>
      </c>
      <c r="AS17">
        <f t="shared" si="29"/>
        <v>0</v>
      </c>
      <c r="AT17">
        <f t="shared" si="23"/>
        <v>0</v>
      </c>
      <c r="AU17">
        <f t="shared" si="140"/>
        <v>0</v>
      </c>
      <c r="AV17">
        <f t="shared" si="141"/>
        <v>0</v>
      </c>
      <c r="AW17">
        <f t="shared" si="142"/>
        <v>0</v>
      </c>
      <c r="AX17" t="str">
        <f t="shared" si="24"/>
        <v/>
      </c>
      <c r="AY17">
        <f t="shared" si="143"/>
        <v>0</v>
      </c>
      <c r="AZ17">
        <f t="shared" si="144"/>
        <v>0</v>
      </c>
      <c r="BA17">
        <f t="shared" si="145"/>
        <v>0</v>
      </c>
      <c r="BB17">
        <f t="shared" si="146"/>
        <v>0</v>
      </c>
      <c r="BC17">
        <f t="shared" si="147"/>
        <v>0</v>
      </c>
      <c r="BD17">
        <f t="shared" si="148"/>
        <v>0</v>
      </c>
      <c r="BE17">
        <f t="shared" si="149"/>
        <v>0</v>
      </c>
      <c r="BF17">
        <f t="shared" si="25"/>
        <v>0</v>
      </c>
      <c r="BG17">
        <f>IF($AH$4=$CK$75,'S2'!T17,
IF($AH$4=$CL$75,'S3'!T17,
IF($AH$4=$CJ$75,'S1'!T17,
IF($AH$4=$CM$75,S3M!T17,))))</f>
        <v>15</v>
      </c>
      <c r="BH17">
        <f>IF($AH$4=$CK$75,'S2'!U17,
IF($AH$4=$CL$75,'S3'!U17,
IF($AH$4=$CJ$75,'S1'!U17,
IF($AH$4=$CM$75,S3M!U17,))))</f>
        <v>5</v>
      </c>
      <c r="BI17">
        <f>IF($AH$4=$CK$75,'S2'!V17,
IF($AH$4=$CL$75,'S3'!V17,
IF($AH$4=$CJ$75,'S1'!V17,
IF($AH$4=$CM$75,S3M!V17,))))</f>
        <v>25</v>
      </c>
      <c r="BJ17">
        <f>IF($AH$4=$CK$75,'S2'!W17,
IF($AH$4=$CL$75,'S3'!W17,
IF($AH$4=$CJ$75,'S1'!W17,
IF($AH$4=$CM$75,S3M!W17,))))</f>
        <v>6.6000000000000005</v>
      </c>
      <c r="BK17">
        <f>IF($AH$4=$CK$75,'S2'!X17,
IF($AH$4=$CL$75,'S3'!X17,
IF($AH$4=$CJ$75,'S1'!X17,
IF($AH$4=$CM$75,S3M!X17,))))</f>
        <v>76</v>
      </c>
      <c r="BL17">
        <f>IF($AH$4=$CK$75,'S2'!Y17,
IF($AH$4=$CL$75,'S3'!Y17,
IF($AH$4=$CJ$75,'S1'!Y17,
IF($AH$4=$CM$75,S3M!Y17,))))</f>
        <v>151</v>
      </c>
      <c r="BM17">
        <f>IF($AH$4=$CK$75,'S2'!Z17,
IF($AH$4=$CL$75,'S3'!Z17,
IF($AH$4=$CJ$75,'S1'!Z17,
IF($AH$4=$CM$75,S3M!Z17,))))</f>
        <v>73</v>
      </c>
      <c r="BN17">
        <f>IF($AH$4=$CK$75,'S2'!AA17,
IF($AH$4=$CL$75,'S3'!AA17,
IF($AH$4=$CJ$75,'S1'!AA17,
IF($AH$4=$CM$75,S3M!AA17,))))</f>
        <v>0.82</v>
      </c>
      <c r="BO17">
        <f>IF($AH$4=$CK$75,'S2'!AB17,
IF($AH$4=$CL$75,'S3'!AB17,
IF($AH$4=$CJ$75,'S1'!AB17,
IF($AH$4=$CM$75,S3M!AB17,))))</f>
        <v>4.1779999999999999</v>
      </c>
      <c r="BP17">
        <v>1</v>
      </c>
      <c r="BQ17">
        <f t="shared" si="30"/>
        <v>58</v>
      </c>
      <c r="BR17">
        <f t="shared" si="31"/>
        <v>32</v>
      </c>
      <c r="BS17">
        <f t="shared" si="32"/>
        <v>0</v>
      </c>
      <c r="BT17">
        <f t="shared" si="33"/>
        <v>0</v>
      </c>
      <c r="BU17">
        <f t="shared" si="34"/>
        <v>0</v>
      </c>
      <c r="BV17">
        <f t="shared" si="35"/>
        <v>0</v>
      </c>
      <c r="BW17">
        <f t="shared" si="36"/>
        <v>90</v>
      </c>
      <c r="BX17">
        <f t="shared" si="37"/>
        <v>0</v>
      </c>
      <c r="BY17">
        <f t="shared" si="38"/>
        <v>0</v>
      </c>
      <c r="BZ17">
        <f t="shared" si="39"/>
        <v>0</v>
      </c>
      <c r="CA17">
        <f t="shared" si="40"/>
        <v>0</v>
      </c>
      <c r="CB17">
        <f t="shared" si="41"/>
        <v>0</v>
      </c>
      <c r="CC17">
        <f t="shared" si="42"/>
        <v>0</v>
      </c>
      <c r="CD17">
        <f t="shared" si="43"/>
        <v>80</v>
      </c>
      <c r="CE17">
        <f t="shared" si="44"/>
        <v>0</v>
      </c>
      <c r="CF17">
        <f t="shared" si="45"/>
        <v>0</v>
      </c>
      <c r="CG17">
        <f t="shared" si="46"/>
        <v>46.2</v>
      </c>
      <c r="CH17">
        <f t="shared" si="47"/>
        <v>17.600000000000001</v>
      </c>
      <c r="CI17">
        <f t="shared" si="48"/>
        <v>0</v>
      </c>
      <c r="CJ17">
        <f t="shared" si="49"/>
        <v>0</v>
      </c>
      <c r="CK17">
        <f t="shared" si="50"/>
        <v>0</v>
      </c>
      <c r="CL17">
        <f t="shared" si="51"/>
        <v>0</v>
      </c>
      <c r="CM17">
        <f t="shared" si="52"/>
        <v>0</v>
      </c>
      <c r="CN17">
        <f t="shared" si="53"/>
        <v>0</v>
      </c>
      <c r="CO17">
        <f t="shared" si="54"/>
        <v>0</v>
      </c>
      <c r="CP17" t="str">
        <f t="shared" si="19"/>
        <v/>
      </c>
      <c r="CQ17">
        <f t="shared" si="55"/>
        <v>0</v>
      </c>
      <c r="CR17" t="str">
        <f t="shared" si="56"/>
        <v/>
      </c>
      <c r="CS17">
        <f t="shared" si="57"/>
        <v>0</v>
      </c>
      <c r="CT17">
        <f t="shared" si="58"/>
        <v>0</v>
      </c>
      <c r="CU17">
        <f t="shared" si="59"/>
        <v>0</v>
      </c>
      <c r="CV17">
        <f t="shared" si="60"/>
        <v>203.7166666666667</v>
      </c>
      <c r="CW17">
        <f t="shared" si="61"/>
        <v>210</v>
      </c>
      <c r="CX17">
        <f t="shared" si="62"/>
        <v>120</v>
      </c>
      <c r="CY17">
        <f t="shared" si="63"/>
        <v>0</v>
      </c>
      <c r="CZ17">
        <f t="shared" si="64"/>
        <v>0</v>
      </c>
      <c r="DA17">
        <f t="shared" si="65"/>
        <v>0</v>
      </c>
      <c r="DB17">
        <f t="shared" si="66"/>
        <v>0</v>
      </c>
      <c r="DC17" t="str">
        <f t="shared" si="67"/>
        <v/>
      </c>
      <c r="DD17">
        <f t="shared" si="68"/>
        <v>0</v>
      </c>
      <c r="DE17">
        <f t="shared" si="69"/>
        <v>0</v>
      </c>
      <c r="DF17">
        <f t="shared" si="70"/>
        <v>12.15</v>
      </c>
      <c r="DG17">
        <f t="shared" si="71"/>
        <v>0</v>
      </c>
      <c r="DH17">
        <f t="shared" si="72"/>
        <v>0</v>
      </c>
      <c r="DI17">
        <f t="shared" si="26"/>
        <v>0</v>
      </c>
      <c r="DJ17"/>
      <c r="DK17"/>
      <c r="DL17">
        <f t="shared" si="73"/>
        <v>0</v>
      </c>
      <c r="DM17">
        <f t="shared" si="74"/>
        <v>0</v>
      </c>
      <c r="DN17">
        <f t="shared" si="75"/>
        <v>0</v>
      </c>
      <c r="DO17" t="e">
        <f t="shared" si="76"/>
        <v>#N/A</v>
      </c>
      <c r="DP17">
        <f t="shared" si="77"/>
        <v>0</v>
      </c>
      <c r="DQ17" t="e">
        <f t="shared" si="78"/>
        <v>#N/A</v>
      </c>
      <c r="DR17" t="e">
        <f t="shared" si="79"/>
        <v>#N/A</v>
      </c>
      <c r="DS17">
        <f t="shared" si="80"/>
        <v>0</v>
      </c>
      <c r="DT17">
        <f t="shared" si="81"/>
        <v>0</v>
      </c>
      <c r="DU17">
        <f t="shared" si="82"/>
        <v>0</v>
      </c>
      <c r="DV17">
        <f t="shared" si="27"/>
        <v>0</v>
      </c>
      <c r="DW17">
        <f t="shared" si="83"/>
        <v>0</v>
      </c>
      <c r="DX17">
        <f t="shared" si="84"/>
        <v>0</v>
      </c>
      <c r="DY17">
        <f t="shared" si="85"/>
        <v>0</v>
      </c>
      <c r="DZ17">
        <f t="shared" si="86"/>
        <v>0</v>
      </c>
      <c r="EA17">
        <f t="shared" si="87"/>
        <v>0</v>
      </c>
      <c r="EB17">
        <f t="shared" si="88"/>
        <v>0</v>
      </c>
      <c r="EC17">
        <f t="shared" si="89"/>
        <v>0</v>
      </c>
      <c r="ED17">
        <f t="shared" si="90"/>
        <v>0</v>
      </c>
      <c r="EE17">
        <f t="shared" si="91"/>
        <v>0</v>
      </c>
      <c r="EF17">
        <f t="shared" si="92"/>
        <v>0</v>
      </c>
      <c r="EG17">
        <f t="shared" si="93"/>
        <v>0</v>
      </c>
      <c r="EH17">
        <f t="shared" si="28"/>
        <v>0</v>
      </c>
      <c r="EI17">
        <f t="shared" si="94"/>
        <v>-70</v>
      </c>
      <c r="EJ17">
        <f t="shared" si="95"/>
        <v>0</v>
      </c>
      <c r="EK17">
        <f t="shared" si="96"/>
        <v>0</v>
      </c>
      <c r="EL17">
        <f t="shared" si="97"/>
        <v>0</v>
      </c>
      <c r="EM17" t="e">
        <f t="shared" si="98"/>
        <v>#DIV/0!</v>
      </c>
      <c r="EN17">
        <f t="shared" si="99"/>
        <v>0</v>
      </c>
      <c r="EO17" t="str">
        <f t="shared" si="100"/>
        <v>üh</v>
      </c>
      <c r="EP17">
        <f t="shared" si="101"/>
        <v>0</v>
      </c>
      <c r="EQ17">
        <f t="shared" si="102"/>
        <v>0</v>
      </c>
      <c r="ER17">
        <f t="shared" si="103"/>
        <v>0</v>
      </c>
      <c r="ES17">
        <f t="shared" si="104"/>
        <v>0</v>
      </c>
      <c r="ET17">
        <f t="shared" si="105"/>
        <v>0</v>
      </c>
      <c r="EU17">
        <f t="shared" si="106"/>
        <v>0</v>
      </c>
      <c r="EV17">
        <f t="shared" si="107"/>
        <v>0</v>
      </c>
      <c r="EW17">
        <f t="shared" si="108"/>
        <v>0</v>
      </c>
      <c r="EX17">
        <f t="shared" si="109"/>
        <v>0</v>
      </c>
      <c r="EY17">
        <f t="shared" si="110"/>
        <v>0</v>
      </c>
      <c r="EZ17">
        <f t="shared" si="111"/>
        <v>0</v>
      </c>
      <c r="FA17">
        <f t="shared" si="112"/>
        <v>0</v>
      </c>
      <c r="FB17" t="str">
        <f t="shared" si="113"/>
        <v/>
      </c>
      <c r="FC17" t="str">
        <f t="shared" si="114"/>
        <v/>
      </c>
      <c r="FD17" t="str">
        <f>IF(AS17+E17=0,"",IF(SUM(L17:M17)=2,IF(SUM(N17+O17+BC17+BD17)=2,"",Sprache!$B$107),Sprache!$B$107))</f>
        <v/>
      </c>
      <c r="FE17" t="str">
        <f t="shared" si="115"/>
        <v/>
      </c>
      <c r="FF17" t="str">
        <f t="shared" si="116"/>
        <v/>
      </c>
      <c r="FG17" t="str">
        <f t="shared" si="117"/>
        <v/>
      </c>
      <c r="FH17" t="str">
        <f t="shared" ca="1" si="118"/>
        <v/>
      </c>
      <c r="FI17" t="str">
        <f t="shared" si="119"/>
        <v/>
      </c>
      <c r="FJ17" t="str">
        <f t="shared" si="120"/>
        <v/>
      </c>
      <c r="FK17" t="str">
        <f t="shared" si="121"/>
        <v/>
      </c>
      <c r="FL17" t="str">
        <f t="shared" si="122"/>
        <v/>
      </c>
      <c r="FM17" t="str">
        <f t="shared" si="123"/>
        <v/>
      </c>
      <c r="FN17" t="str">
        <f t="shared" si="124"/>
        <v/>
      </c>
      <c r="FO17" t="str">
        <f t="shared" si="125"/>
        <v/>
      </c>
      <c r="FP17" t="str">
        <f t="shared" si="126"/>
        <v/>
      </c>
      <c r="FQ17" t="str">
        <f>IF(AO17="","",IF(DK177=0,Sprache!$B$65&amp;" ?",IF(CH177="?",$FQ$4,"")))</f>
        <v/>
      </c>
      <c r="FR17" t="str">
        <f t="shared" si="127"/>
        <v/>
      </c>
      <c r="FS17" t="str">
        <f t="shared" si="128"/>
        <v/>
      </c>
      <c r="FT17" t="str">
        <f t="shared" si="129"/>
        <v/>
      </c>
      <c r="FU17"/>
      <c r="FV17" t="str">
        <f ca="1">IF(TODAY()=$A$3,"",IF(TODAY()&gt;DATE(2018,7,1),CONCATENATE(Sprache!$B$89),""))</f>
        <v>outdated version</v>
      </c>
      <c r="FW17" t="str">
        <f t="shared" ca="1" si="130"/>
        <v>outdated version</v>
      </c>
      <c r="FX17" t="str">
        <f t="shared" ca="1" si="131"/>
        <v>outdated version</v>
      </c>
      <c r="FY17" t="str">
        <f t="shared" ca="1" si="132"/>
        <v/>
      </c>
      <c r="FZ17"/>
      <c r="GA17" s="407">
        <f t="shared" si="133"/>
        <v>0</v>
      </c>
      <c r="GB17" s="405"/>
      <c r="GC17" s="405"/>
      <c r="GD17" s="406"/>
      <c r="GE17" s="407">
        <f t="shared" si="134"/>
        <v>0</v>
      </c>
      <c r="GF17" s="405"/>
      <c r="GG17" s="404"/>
      <c r="GH17" s="406"/>
    </row>
    <row r="18" spans="1:190" s="243" customFormat="1" ht="14.25" customHeight="1" x14ac:dyDescent="0.2">
      <c r="A18" s="220"/>
      <c r="B18" s="221"/>
      <c r="C18" s="222"/>
      <c r="D18" s="223">
        <f t="shared" si="20"/>
        <v>0</v>
      </c>
      <c r="E18" s="223">
        <f t="shared" si="21"/>
        <v>0</v>
      </c>
      <c r="F18" s="224"/>
      <c r="G18" s="225"/>
      <c r="H18" s="225"/>
      <c r="I18" s="272"/>
      <c r="J18" s="264"/>
      <c r="K18" s="226"/>
      <c r="L18" s="227">
        <v>1</v>
      </c>
      <c r="M18" s="228">
        <f t="shared" si="150"/>
        <v>1</v>
      </c>
      <c r="N18" s="229">
        <f t="shared" si="151"/>
        <v>2</v>
      </c>
      <c r="O18" s="230"/>
      <c r="P18" s="231"/>
      <c r="Q18" s="232"/>
      <c r="R18" s="233">
        <f t="shared" si="152"/>
        <v>0</v>
      </c>
      <c r="S18" s="233">
        <f t="shared" si="153"/>
        <v>0</v>
      </c>
      <c r="T18" s="245">
        <f t="shared" si="154"/>
        <v>0</v>
      </c>
      <c r="U18" s="234"/>
      <c r="V18" s="270"/>
      <c r="W18" s="267"/>
      <c r="X18" s="235">
        <f t="shared" si="155"/>
        <v>0</v>
      </c>
      <c r="Y18" s="236" t="str">
        <f t="shared" si="156"/>
        <v/>
      </c>
      <c r="Z18" s="237">
        <f t="shared" si="157"/>
        <v>0</v>
      </c>
      <c r="AA18" s="238">
        <f t="shared" si="158"/>
        <v>0</v>
      </c>
      <c r="AB18" s="239" t="str">
        <f t="shared" si="159"/>
        <v/>
      </c>
      <c r="AC18" s="240" t="str">
        <f t="shared" ca="1" si="160"/>
        <v/>
      </c>
      <c r="AD18" s="394" t="str">
        <f t="shared" ca="1" si="161"/>
        <v/>
      </c>
      <c r="AE18" s="241" t="str">
        <f>IF(AO18="","",IFERROR(IF(ELEMENT!$CH$78=ELEMENT!$CM$63,(AC18/AA18/10.75),(AC18/AA18)),""))</f>
        <v/>
      </c>
      <c r="AF18" s="241" t="str">
        <f t="shared" si="162"/>
        <v/>
      </c>
      <c r="AG18" s="238" t="str">
        <f t="shared" si="163"/>
        <v/>
      </c>
      <c r="AH18" s="242" t="str">
        <f t="shared" si="164"/>
        <v/>
      </c>
      <c r="AI18" s="192"/>
      <c r="AJ18" s="274"/>
      <c r="AK18"/>
      <c r="AL18"/>
      <c r="AM18">
        <f t="shared" si="135"/>
        <v>0</v>
      </c>
      <c r="AN18" t="str">
        <f t="shared" si="136"/>
        <v/>
      </c>
      <c r="AO18" t="str">
        <f t="shared" si="137"/>
        <v/>
      </c>
      <c r="AP18" t="str">
        <f t="shared" si="138"/>
        <v/>
      </c>
      <c r="AQ18">
        <f t="shared" si="22"/>
        <v>0</v>
      </c>
      <c r="AR18">
        <f t="shared" si="139"/>
        <v>2</v>
      </c>
      <c r="AS18">
        <f t="shared" si="29"/>
        <v>0</v>
      </c>
      <c r="AT18">
        <f t="shared" si="23"/>
        <v>0</v>
      </c>
      <c r="AU18">
        <f t="shared" si="140"/>
        <v>0</v>
      </c>
      <c r="AV18">
        <f t="shared" si="141"/>
        <v>0</v>
      </c>
      <c r="AW18">
        <f t="shared" si="142"/>
        <v>0</v>
      </c>
      <c r="AX18" t="str">
        <f t="shared" si="24"/>
        <v/>
      </c>
      <c r="AY18">
        <f t="shared" si="143"/>
        <v>0</v>
      </c>
      <c r="AZ18">
        <f t="shared" si="144"/>
        <v>0</v>
      </c>
      <c r="BA18">
        <f t="shared" si="145"/>
        <v>0</v>
      </c>
      <c r="BB18">
        <f t="shared" si="146"/>
        <v>0</v>
      </c>
      <c r="BC18">
        <f t="shared" si="147"/>
        <v>0</v>
      </c>
      <c r="BD18">
        <f t="shared" si="148"/>
        <v>0</v>
      </c>
      <c r="BE18">
        <f t="shared" si="149"/>
        <v>0</v>
      </c>
      <c r="BF18">
        <f t="shared" si="25"/>
        <v>0</v>
      </c>
      <c r="BG18">
        <f>IF($AH$4=$CK$75,'S2'!T18,
IF($AH$4=$CL$75,'S3'!T18,
IF($AH$4=$CJ$75,'S1'!T18,
IF($AH$4=$CM$75,S3M!T18,))))</f>
        <v>0</v>
      </c>
      <c r="BH18">
        <f>IF($AH$4=$CK$75,'S2'!U18,
IF($AH$4=$CL$75,'S3'!U18,
IF($AH$4=$CJ$75,'S1'!U18,
IF($AH$4=$CM$75,S3M!U18,))))</f>
        <v>0</v>
      </c>
      <c r="BI18">
        <f>IF($AH$4=$CK$75,'S2'!V18,
IF($AH$4=$CL$75,'S3'!V18,
IF($AH$4=$CJ$75,'S1'!V18,
IF($AH$4=$CM$75,S3M!V18,))))</f>
        <v>0</v>
      </c>
      <c r="BJ18">
        <f>IF($AH$4=$CK$75,'S2'!W18,
IF($AH$4=$CL$75,'S3'!W18,
IF($AH$4=$CJ$75,'S1'!W18,
IF($AH$4=$CM$75,S3M!W18,))))</f>
        <v>0</v>
      </c>
      <c r="BK18">
        <f>IF($AH$4=$CK$75,'S2'!X18,
IF($AH$4=$CL$75,'S3'!X18,
IF($AH$4=$CJ$75,'S1'!X18,
IF($AH$4=$CM$75,S3M!X18,))))</f>
        <v>0</v>
      </c>
      <c r="BL18">
        <f>IF($AH$4=$CK$75,'S2'!Y18,
IF($AH$4=$CL$75,'S3'!Y18,
IF($AH$4=$CJ$75,'S1'!Y18,
IF($AH$4=$CM$75,S3M!Y18,))))</f>
        <v>0</v>
      </c>
      <c r="BM18">
        <f>IF($AH$4=$CK$75,'S2'!Z18,
IF($AH$4=$CL$75,'S3'!Z18,
IF($AH$4=$CJ$75,'S1'!Z18,
IF($AH$4=$CM$75,S3M!Z18,))))</f>
        <v>0</v>
      </c>
      <c r="BN18">
        <f>IF($AH$4=$CK$75,'S2'!AA18,
IF($AH$4=$CL$75,'S3'!AA18,
IF($AH$4=$CJ$75,'S1'!AA18,
IF($AH$4=$CM$75,S3M!AA18,))))</f>
        <v>0</v>
      </c>
      <c r="BO18">
        <f>IF($AH$4=$CK$75,'S2'!AB18,
IF($AH$4=$CL$75,'S3'!AB18,
IF($AH$4=$CJ$75,'S1'!AB18,
IF($AH$4=$CM$75,S3M!AB18,))))</f>
        <v>0</v>
      </c>
      <c r="BP18"/>
      <c r="BQ18">
        <f t="shared" si="30"/>
        <v>58</v>
      </c>
      <c r="BR18">
        <f t="shared" si="31"/>
        <v>32</v>
      </c>
      <c r="BS18">
        <f t="shared" si="32"/>
        <v>0</v>
      </c>
      <c r="BT18">
        <f t="shared" si="33"/>
        <v>0</v>
      </c>
      <c r="BU18">
        <f t="shared" si="34"/>
        <v>0</v>
      </c>
      <c r="BV18">
        <f t="shared" si="35"/>
        <v>0</v>
      </c>
      <c r="BW18">
        <f t="shared" si="36"/>
        <v>90</v>
      </c>
      <c r="BX18">
        <f t="shared" si="37"/>
        <v>0</v>
      </c>
      <c r="BY18">
        <f t="shared" si="38"/>
        <v>0</v>
      </c>
      <c r="BZ18">
        <f t="shared" si="39"/>
        <v>0</v>
      </c>
      <c r="CA18">
        <f t="shared" si="40"/>
        <v>0</v>
      </c>
      <c r="CB18">
        <f t="shared" si="41"/>
        <v>0</v>
      </c>
      <c r="CC18">
        <f t="shared" si="42"/>
        <v>0</v>
      </c>
      <c r="CD18">
        <f t="shared" si="43"/>
        <v>80</v>
      </c>
      <c r="CE18">
        <f t="shared" si="44"/>
        <v>0</v>
      </c>
      <c r="CF18">
        <f t="shared" si="45"/>
        <v>0</v>
      </c>
      <c r="CG18">
        <f t="shared" si="46"/>
        <v>46.2</v>
      </c>
      <c r="CH18">
        <f t="shared" si="47"/>
        <v>17.600000000000001</v>
      </c>
      <c r="CI18">
        <f t="shared" si="48"/>
        <v>0</v>
      </c>
      <c r="CJ18">
        <f t="shared" si="49"/>
        <v>0</v>
      </c>
      <c r="CK18">
        <f t="shared" si="50"/>
        <v>0</v>
      </c>
      <c r="CL18">
        <f t="shared" si="51"/>
        <v>0</v>
      </c>
      <c r="CM18">
        <f t="shared" si="52"/>
        <v>0</v>
      </c>
      <c r="CN18">
        <f t="shared" si="53"/>
        <v>0</v>
      </c>
      <c r="CO18">
        <f t="shared" si="54"/>
        <v>0</v>
      </c>
      <c r="CP18" t="str">
        <f t="shared" si="19"/>
        <v/>
      </c>
      <c r="CQ18">
        <f t="shared" si="55"/>
        <v>0</v>
      </c>
      <c r="CR18" t="str">
        <f t="shared" si="56"/>
        <v/>
      </c>
      <c r="CS18">
        <f t="shared" si="57"/>
        <v>0</v>
      </c>
      <c r="CT18">
        <f t="shared" si="58"/>
        <v>0</v>
      </c>
      <c r="CU18">
        <f t="shared" si="59"/>
        <v>0</v>
      </c>
      <c r="CV18">
        <f t="shared" si="60"/>
        <v>203.7166666666667</v>
      </c>
      <c r="CW18">
        <f t="shared" si="61"/>
        <v>210</v>
      </c>
      <c r="CX18">
        <f t="shared" si="62"/>
        <v>120</v>
      </c>
      <c r="CY18">
        <f t="shared" si="63"/>
        <v>0</v>
      </c>
      <c r="CZ18">
        <f t="shared" si="64"/>
        <v>0</v>
      </c>
      <c r="DA18">
        <f t="shared" si="65"/>
        <v>0</v>
      </c>
      <c r="DB18">
        <f t="shared" si="66"/>
        <v>0</v>
      </c>
      <c r="DC18" t="str">
        <f t="shared" si="67"/>
        <v/>
      </c>
      <c r="DD18">
        <f t="shared" si="68"/>
        <v>0</v>
      </c>
      <c r="DE18">
        <f t="shared" si="69"/>
        <v>0</v>
      </c>
      <c r="DF18">
        <f t="shared" si="70"/>
        <v>12.15</v>
      </c>
      <c r="DG18">
        <f t="shared" si="71"/>
        <v>0</v>
      </c>
      <c r="DH18">
        <f t="shared" si="72"/>
        <v>0</v>
      </c>
      <c r="DI18">
        <f t="shared" si="26"/>
        <v>0</v>
      </c>
      <c r="DJ18"/>
      <c r="DK18"/>
      <c r="DL18">
        <f t="shared" si="73"/>
        <v>0</v>
      </c>
      <c r="DM18">
        <f t="shared" si="74"/>
        <v>0</v>
      </c>
      <c r="DN18">
        <f t="shared" si="75"/>
        <v>0</v>
      </c>
      <c r="DO18" t="e">
        <f t="shared" si="76"/>
        <v>#N/A</v>
      </c>
      <c r="DP18">
        <f t="shared" si="77"/>
        <v>0</v>
      </c>
      <c r="DQ18" t="e">
        <f t="shared" si="78"/>
        <v>#N/A</v>
      </c>
      <c r="DR18" t="e">
        <f t="shared" si="79"/>
        <v>#N/A</v>
      </c>
      <c r="DS18">
        <f t="shared" si="80"/>
        <v>0</v>
      </c>
      <c r="DT18">
        <f t="shared" si="81"/>
        <v>0</v>
      </c>
      <c r="DU18">
        <f t="shared" si="82"/>
        <v>0</v>
      </c>
      <c r="DV18">
        <f t="shared" si="27"/>
        <v>0</v>
      </c>
      <c r="DW18">
        <f t="shared" si="83"/>
        <v>0</v>
      </c>
      <c r="DX18">
        <f t="shared" si="84"/>
        <v>0</v>
      </c>
      <c r="DY18">
        <f t="shared" si="85"/>
        <v>0</v>
      </c>
      <c r="DZ18">
        <f t="shared" si="86"/>
        <v>0</v>
      </c>
      <c r="EA18">
        <f t="shared" si="87"/>
        <v>0</v>
      </c>
      <c r="EB18">
        <f t="shared" si="88"/>
        <v>0</v>
      </c>
      <c r="EC18">
        <f t="shared" si="89"/>
        <v>0</v>
      </c>
      <c r="ED18">
        <f t="shared" si="90"/>
        <v>0</v>
      </c>
      <c r="EE18">
        <f t="shared" si="91"/>
        <v>0</v>
      </c>
      <c r="EF18">
        <f t="shared" si="92"/>
        <v>0</v>
      </c>
      <c r="EG18">
        <f t="shared" si="93"/>
        <v>0</v>
      </c>
      <c r="EH18">
        <f t="shared" si="28"/>
        <v>0</v>
      </c>
      <c r="EI18">
        <f t="shared" si="94"/>
        <v>-70</v>
      </c>
      <c r="EJ18">
        <f t="shared" si="95"/>
        <v>0</v>
      </c>
      <c r="EK18">
        <f t="shared" si="96"/>
        <v>0</v>
      </c>
      <c r="EL18">
        <f t="shared" si="97"/>
        <v>0</v>
      </c>
      <c r="EM18" t="e">
        <f t="shared" si="98"/>
        <v>#DIV/0!</v>
      </c>
      <c r="EN18">
        <f t="shared" si="99"/>
        <v>0</v>
      </c>
      <c r="EO18" t="str">
        <f t="shared" si="100"/>
        <v>üh</v>
      </c>
      <c r="EP18">
        <f t="shared" si="101"/>
        <v>0</v>
      </c>
      <c r="EQ18">
        <f t="shared" si="102"/>
        <v>0</v>
      </c>
      <c r="ER18">
        <f t="shared" si="103"/>
        <v>0</v>
      </c>
      <c r="ES18">
        <f t="shared" si="104"/>
        <v>0</v>
      </c>
      <c r="ET18">
        <f t="shared" si="105"/>
        <v>0</v>
      </c>
      <c r="EU18">
        <f t="shared" si="106"/>
        <v>0</v>
      </c>
      <c r="EV18">
        <f t="shared" si="107"/>
        <v>0</v>
      </c>
      <c r="EW18">
        <f t="shared" si="108"/>
        <v>0</v>
      </c>
      <c r="EX18">
        <f t="shared" si="109"/>
        <v>0</v>
      </c>
      <c r="EY18">
        <f t="shared" si="110"/>
        <v>0</v>
      </c>
      <c r="EZ18">
        <f t="shared" si="111"/>
        <v>0</v>
      </c>
      <c r="FA18">
        <f t="shared" si="112"/>
        <v>0</v>
      </c>
      <c r="FB18" t="str">
        <f t="shared" si="113"/>
        <v/>
      </c>
      <c r="FC18" t="str">
        <f t="shared" si="114"/>
        <v/>
      </c>
      <c r="FD18" t="str">
        <f>IF(AS18+E18=0,"",IF(SUM(L18:M18)=2,IF(SUM(N18+O18+BC18+BD18)=2,"",Sprache!$B$107),Sprache!$B$107))</f>
        <v/>
      </c>
      <c r="FE18" t="str">
        <f t="shared" si="115"/>
        <v/>
      </c>
      <c r="FF18" t="str">
        <f t="shared" si="116"/>
        <v/>
      </c>
      <c r="FG18" t="str">
        <f t="shared" si="117"/>
        <v/>
      </c>
      <c r="FH18" t="str">
        <f t="shared" ca="1" si="118"/>
        <v/>
      </c>
      <c r="FI18" t="str">
        <f t="shared" si="119"/>
        <v/>
      </c>
      <c r="FJ18" t="str">
        <f t="shared" si="120"/>
        <v/>
      </c>
      <c r="FK18" t="str">
        <f t="shared" si="121"/>
        <v/>
      </c>
      <c r="FL18" t="str">
        <f t="shared" si="122"/>
        <v/>
      </c>
      <c r="FM18" t="str">
        <f t="shared" si="123"/>
        <v/>
      </c>
      <c r="FN18" t="str">
        <f t="shared" si="124"/>
        <v/>
      </c>
      <c r="FO18" t="str">
        <f t="shared" si="125"/>
        <v/>
      </c>
      <c r="FP18" t="str">
        <f t="shared" si="126"/>
        <v/>
      </c>
      <c r="FQ18" t="str">
        <f>IF(AO18="","",IF(DK178=0,Sprache!$B$65&amp;" ?",IF(CH178="?",$FQ$4,"")))</f>
        <v/>
      </c>
      <c r="FR18" t="str">
        <f t="shared" si="127"/>
        <v/>
      </c>
      <c r="FS18" t="str">
        <f t="shared" si="128"/>
        <v/>
      </c>
      <c r="FT18" t="str">
        <f t="shared" si="129"/>
        <v/>
      </c>
      <c r="FU18"/>
      <c r="FV18" t="str">
        <f ca="1">IF(TODAY()=$A$3,"",IF(TODAY()&gt;DATE(2018,7,1),CONCATENATE(Sprache!$B$89),""))</f>
        <v>outdated version</v>
      </c>
      <c r="FW18" t="str">
        <f t="shared" ca="1" si="130"/>
        <v>outdated version</v>
      </c>
      <c r="FX18" t="str">
        <f t="shared" ca="1" si="131"/>
        <v>outdated version</v>
      </c>
      <c r="FY18" t="str">
        <f t="shared" ca="1" si="132"/>
        <v/>
      </c>
      <c r="FZ18"/>
      <c r="GA18" s="407">
        <f t="shared" si="133"/>
        <v>0</v>
      </c>
      <c r="GB18" s="405"/>
      <c r="GC18" s="405"/>
      <c r="GD18" s="406"/>
      <c r="GE18" s="407">
        <f t="shared" si="134"/>
        <v>0</v>
      </c>
      <c r="GF18" s="405"/>
      <c r="GG18" s="404"/>
      <c r="GH18" s="406"/>
    </row>
    <row r="19" spans="1:190" s="243" customFormat="1" ht="14.25" customHeight="1" x14ac:dyDescent="0.2">
      <c r="A19" s="220"/>
      <c r="B19" s="221"/>
      <c r="C19" s="222"/>
      <c r="D19" s="223">
        <f t="shared" si="20"/>
        <v>0</v>
      </c>
      <c r="E19" s="223">
        <f t="shared" si="21"/>
        <v>0</v>
      </c>
      <c r="F19" s="224"/>
      <c r="G19" s="225"/>
      <c r="H19" s="225"/>
      <c r="I19" s="272"/>
      <c r="J19" s="264"/>
      <c r="K19" s="226"/>
      <c r="L19" s="227">
        <v>1</v>
      </c>
      <c r="M19" s="228">
        <f t="shared" si="150"/>
        <v>1</v>
      </c>
      <c r="N19" s="229">
        <f t="shared" si="151"/>
        <v>2</v>
      </c>
      <c r="O19" s="230"/>
      <c r="P19" s="231"/>
      <c r="Q19" s="232"/>
      <c r="R19" s="233">
        <f t="shared" si="152"/>
        <v>0</v>
      </c>
      <c r="S19" s="233">
        <f t="shared" si="153"/>
        <v>0</v>
      </c>
      <c r="T19" s="245">
        <f t="shared" si="154"/>
        <v>0</v>
      </c>
      <c r="U19" s="234"/>
      <c r="V19" s="270"/>
      <c r="W19" s="267"/>
      <c r="X19" s="235">
        <f t="shared" si="155"/>
        <v>0</v>
      </c>
      <c r="Y19" s="236" t="str">
        <f t="shared" si="156"/>
        <v/>
      </c>
      <c r="Z19" s="237">
        <f t="shared" si="157"/>
        <v>0</v>
      </c>
      <c r="AA19" s="238">
        <f t="shared" si="158"/>
        <v>0</v>
      </c>
      <c r="AB19" s="239" t="str">
        <f t="shared" si="159"/>
        <v/>
      </c>
      <c r="AC19" s="240" t="str">
        <f t="shared" ca="1" si="160"/>
        <v/>
      </c>
      <c r="AD19" s="394" t="str">
        <f t="shared" ca="1" si="161"/>
        <v/>
      </c>
      <c r="AE19" s="241" t="str">
        <f>IF(AO19="","",IFERROR(IF(ELEMENT!$CH$78=ELEMENT!$CM$63,(AC19/AA19/10.75),(AC19/AA19)),""))</f>
        <v/>
      </c>
      <c r="AF19" s="241" t="str">
        <f t="shared" si="162"/>
        <v/>
      </c>
      <c r="AG19" s="238" t="str">
        <f t="shared" si="163"/>
        <v/>
      </c>
      <c r="AH19" s="242" t="str">
        <f t="shared" si="164"/>
        <v/>
      </c>
      <c r="AI19" s="192"/>
      <c r="AJ19" s="274"/>
      <c r="AK19"/>
      <c r="AL19"/>
      <c r="AM19">
        <f t="shared" si="135"/>
        <v>0</v>
      </c>
      <c r="AN19" t="str">
        <f t="shared" si="136"/>
        <v/>
      </c>
      <c r="AO19" t="str">
        <f t="shared" si="137"/>
        <v/>
      </c>
      <c r="AP19" t="str">
        <f t="shared" si="138"/>
        <v/>
      </c>
      <c r="AQ19">
        <f t="shared" si="22"/>
        <v>0</v>
      </c>
      <c r="AR19">
        <f t="shared" si="139"/>
        <v>2</v>
      </c>
      <c r="AS19">
        <f t="shared" si="29"/>
        <v>0</v>
      </c>
      <c r="AT19">
        <f t="shared" si="23"/>
        <v>0</v>
      </c>
      <c r="AU19">
        <f t="shared" si="140"/>
        <v>0</v>
      </c>
      <c r="AV19">
        <f t="shared" si="141"/>
        <v>0</v>
      </c>
      <c r="AW19">
        <f t="shared" si="142"/>
        <v>0</v>
      </c>
      <c r="AX19" t="str">
        <f t="shared" si="24"/>
        <v/>
      </c>
      <c r="AY19">
        <f t="shared" si="143"/>
        <v>0</v>
      </c>
      <c r="AZ19">
        <f t="shared" si="144"/>
        <v>0</v>
      </c>
      <c r="BA19">
        <f t="shared" si="145"/>
        <v>0</v>
      </c>
      <c r="BB19">
        <f t="shared" si="146"/>
        <v>0</v>
      </c>
      <c r="BC19">
        <f t="shared" si="147"/>
        <v>0</v>
      </c>
      <c r="BD19">
        <f t="shared" si="148"/>
        <v>0</v>
      </c>
      <c r="BE19">
        <f t="shared" si="149"/>
        <v>0</v>
      </c>
      <c r="BF19">
        <f t="shared" si="25"/>
        <v>0</v>
      </c>
      <c r="BG19">
        <f>IF($AH$4=$CK$75,'S2'!T19,
IF($AH$4=$CL$75,'S3'!T19,
IF($AH$4=$CJ$75,'S1'!T19,
IF($AH$4=$CM$75,S3M!T19,))))</f>
        <v>15</v>
      </c>
      <c r="BH19">
        <f>IF($AH$4=$CK$75,'S2'!U19,
IF($AH$4=$CL$75,'S3'!U19,
IF($AH$4=$CJ$75,'S1'!U19,
IF($AH$4=$CM$75,S3M!U19,))))</f>
        <v>5</v>
      </c>
      <c r="BI19">
        <f>IF($AH$4=$CK$75,'S2'!V19,
IF($AH$4=$CL$75,'S3'!V19,
IF($AH$4=$CJ$75,'S1'!V19,
IF($AH$4=$CM$75,S3M!V19,))))</f>
        <v>25</v>
      </c>
      <c r="BJ19">
        <f>IF($AH$4=$CK$75,'S2'!W19,
IF($AH$4=$CL$75,'S3'!W19,
IF($AH$4=$CJ$75,'S1'!W19,
IF($AH$4=$CM$75,S3M!W19,))))</f>
        <v>11</v>
      </c>
      <c r="BK19">
        <f>IF($AH$4=$CK$75,'S2'!X19,
IF($AH$4=$CL$75,'S3'!X19,
IF($AH$4=$CJ$75,'S1'!X19,
IF($AH$4=$CM$75,S3M!X19,))))</f>
        <v>35.75</v>
      </c>
      <c r="BL19">
        <f>IF($AH$4=$CK$75,'S2'!Y19,
IF($AH$4=$CL$75,'S3'!Y19,
IF($AH$4=$CJ$75,'S1'!Y19,
IF($AH$4=$CM$75,S3M!Y19,))))</f>
        <v>17</v>
      </c>
      <c r="BM19">
        <f>IF($AH$4=$CK$75,'S2'!Z19,
IF($AH$4=$CL$75,'S3'!Z19,
IF($AH$4=$CJ$75,'S1'!Z19,
IF($AH$4=$CM$75,S3M!Z19,))))</f>
        <v>122</v>
      </c>
      <c r="BN19">
        <f>IF($AH$4=$CK$75,'S2'!AA19,
IF($AH$4=$CL$75,'S3'!AA19,
IF($AH$4=$CJ$75,'S1'!AA19,
IF($AH$4=$CM$75,S3M!AA19,))))</f>
        <v>0.42599999999999999</v>
      </c>
      <c r="BO19">
        <f>IF($AH$4=$CK$75,'S2'!AB19,
IF($AH$4=$CL$75,'S3'!AB19,
IF($AH$4=$CJ$75,'S1'!AB19,
IF($AH$4=$CM$75,S3M!AB19,))))</f>
        <v>1.9</v>
      </c>
      <c r="BP19">
        <v>0</v>
      </c>
      <c r="BQ19">
        <f t="shared" si="30"/>
        <v>58</v>
      </c>
      <c r="BR19">
        <f t="shared" si="31"/>
        <v>32</v>
      </c>
      <c r="BS19">
        <f t="shared" si="32"/>
        <v>0</v>
      </c>
      <c r="BT19">
        <f t="shared" si="33"/>
        <v>0</v>
      </c>
      <c r="BU19">
        <f t="shared" si="34"/>
        <v>0</v>
      </c>
      <c r="BV19">
        <f t="shared" si="35"/>
        <v>0</v>
      </c>
      <c r="BW19">
        <f t="shared" si="36"/>
        <v>90</v>
      </c>
      <c r="BX19">
        <f t="shared" si="37"/>
        <v>0</v>
      </c>
      <c r="BY19">
        <f t="shared" si="38"/>
        <v>0</v>
      </c>
      <c r="BZ19">
        <f t="shared" si="39"/>
        <v>0</v>
      </c>
      <c r="CA19">
        <f t="shared" si="40"/>
        <v>0</v>
      </c>
      <c r="CB19">
        <f t="shared" si="41"/>
        <v>0</v>
      </c>
      <c r="CC19">
        <f t="shared" si="42"/>
        <v>0</v>
      </c>
      <c r="CD19">
        <f t="shared" si="43"/>
        <v>80</v>
      </c>
      <c r="CE19">
        <f t="shared" si="44"/>
        <v>0</v>
      </c>
      <c r="CF19">
        <f t="shared" si="45"/>
        <v>0</v>
      </c>
      <c r="CG19">
        <f t="shared" si="46"/>
        <v>46.2</v>
      </c>
      <c r="CH19">
        <f t="shared" si="47"/>
        <v>17.600000000000001</v>
      </c>
      <c r="CI19">
        <f t="shared" si="48"/>
        <v>0</v>
      </c>
      <c r="CJ19">
        <f t="shared" si="49"/>
        <v>0</v>
      </c>
      <c r="CK19">
        <f t="shared" si="50"/>
        <v>0</v>
      </c>
      <c r="CL19">
        <f t="shared" si="51"/>
        <v>0</v>
      </c>
      <c r="CM19">
        <f t="shared" si="52"/>
        <v>0</v>
      </c>
      <c r="CN19">
        <f t="shared" si="53"/>
        <v>0</v>
      </c>
      <c r="CO19">
        <f t="shared" si="54"/>
        <v>0</v>
      </c>
      <c r="CP19" t="str">
        <f t="shared" si="19"/>
        <v/>
      </c>
      <c r="CQ19">
        <f t="shared" si="55"/>
        <v>0</v>
      </c>
      <c r="CR19" t="str">
        <f t="shared" si="56"/>
        <v/>
      </c>
      <c r="CS19">
        <f t="shared" si="57"/>
        <v>0</v>
      </c>
      <c r="CT19">
        <f t="shared" si="58"/>
        <v>0</v>
      </c>
      <c r="CU19">
        <f t="shared" si="59"/>
        <v>0</v>
      </c>
      <c r="CV19">
        <f t="shared" si="60"/>
        <v>203.7166666666667</v>
      </c>
      <c r="CW19">
        <f t="shared" si="61"/>
        <v>210</v>
      </c>
      <c r="CX19">
        <f t="shared" si="62"/>
        <v>120</v>
      </c>
      <c r="CY19">
        <f t="shared" si="63"/>
        <v>0</v>
      </c>
      <c r="CZ19">
        <f t="shared" si="64"/>
        <v>0</v>
      </c>
      <c r="DA19">
        <f t="shared" si="65"/>
        <v>0</v>
      </c>
      <c r="DB19">
        <f t="shared" si="66"/>
        <v>0</v>
      </c>
      <c r="DC19" t="str">
        <f t="shared" si="67"/>
        <v/>
      </c>
      <c r="DD19">
        <f t="shared" si="68"/>
        <v>0</v>
      </c>
      <c r="DE19">
        <f t="shared" si="69"/>
        <v>0</v>
      </c>
      <c r="DF19">
        <f t="shared" si="70"/>
        <v>12.15</v>
      </c>
      <c r="DG19">
        <f t="shared" si="71"/>
        <v>0</v>
      </c>
      <c r="DH19">
        <f t="shared" si="72"/>
        <v>0</v>
      </c>
      <c r="DI19">
        <f t="shared" si="26"/>
        <v>0</v>
      </c>
      <c r="DJ19"/>
      <c r="DK19"/>
      <c r="DL19">
        <f t="shared" si="73"/>
        <v>0</v>
      </c>
      <c r="DM19">
        <f t="shared" si="74"/>
        <v>0</v>
      </c>
      <c r="DN19">
        <f t="shared" si="75"/>
        <v>0</v>
      </c>
      <c r="DO19" t="e">
        <f t="shared" si="76"/>
        <v>#N/A</v>
      </c>
      <c r="DP19">
        <f t="shared" si="77"/>
        <v>0</v>
      </c>
      <c r="DQ19" t="e">
        <f t="shared" si="78"/>
        <v>#N/A</v>
      </c>
      <c r="DR19" t="e">
        <f t="shared" si="79"/>
        <v>#N/A</v>
      </c>
      <c r="DS19">
        <f t="shared" si="80"/>
        <v>0</v>
      </c>
      <c r="DT19">
        <f t="shared" si="81"/>
        <v>0</v>
      </c>
      <c r="DU19">
        <f t="shared" si="82"/>
        <v>0</v>
      </c>
      <c r="DV19">
        <f t="shared" si="27"/>
        <v>0</v>
      </c>
      <c r="DW19">
        <f t="shared" si="83"/>
        <v>0</v>
      </c>
      <c r="DX19">
        <f t="shared" si="84"/>
        <v>0</v>
      </c>
      <c r="DY19">
        <f t="shared" si="85"/>
        <v>0</v>
      </c>
      <c r="DZ19">
        <f t="shared" si="86"/>
        <v>0</v>
      </c>
      <c r="EA19">
        <f t="shared" si="87"/>
        <v>0</v>
      </c>
      <c r="EB19">
        <f t="shared" si="88"/>
        <v>0</v>
      </c>
      <c r="EC19">
        <f t="shared" si="89"/>
        <v>0</v>
      </c>
      <c r="ED19">
        <f t="shared" si="90"/>
        <v>0</v>
      </c>
      <c r="EE19">
        <f t="shared" si="91"/>
        <v>0</v>
      </c>
      <c r="EF19">
        <f t="shared" si="92"/>
        <v>0</v>
      </c>
      <c r="EG19">
        <f t="shared" si="93"/>
        <v>0</v>
      </c>
      <c r="EH19">
        <f t="shared" si="28"/>
        <v>0</v>
      </c>
      <c r="EI19">
        <f t="shared" si="94"/>
        <v>-70</v>
      </c>
      <c r="EJ19">
        <f t="shared" si="95"/>
        <v>0</v>
      </c>
      <c r="EK19">
        <f t="shared" si="96"/>
        <v>0</v>
      </c>
      <c r="EL19">
        <f t="shared" si="97"/>
        <v>0</v>
      </c>
      <c r="EM19" t="e">
        <f t="shared" si="98"/>
        <v>#DIV/0!</v>
      </c>
      <c r="EN19">
        <f t="shared" si="99"/>
        <v>0</v>
      </c>
      <c r="EO19" t="str">
        <f t="shared" si="100"/>
        <v>üh</v>
      </c>
      <c r="EP19">
        <f t="shared" si="101"/>
        <v>0</v>
      </c>
      <c r="EQ19">
        <f t="shared" si="102"/>
        <v>0</v>
      </c>
      <c r="ER19">
        <f t="shared" si="103"/>
        <v>0</v>
      </c>
      <c r="ES19">
        <f t="shared" si="104"/>
        <v>0</v>
      </c>
      <c r="ET19">
        <f t="shared" si="105"/>
        <v>0</v>
      </c>
      <c r="EU19">
        <f t="shared" si="106"/>
        <v>0</v>
      </c>
      <c r="EV19">
        <f t="shared" si="107"/>
        <v>0</v>
      </c>
      <c r="EW19">
        <f t="shared" si="108"/>
        <v>0</v>
      </c>
      <c r="EX19">
        <f t="shared" si="109"/>
        <v>0</v>
      </c>
      <c r="EY19">
        <f t="shared" si="110"/>
        <v>0</v>
      </c>
      <c r="EZ19">
        <f t="shared" si="111"/>
        <v>0</v>
      </c>
      <c r="FA19">
        <f t="shared" si="112"/>
        <v>0</v>
      </c>
      <c r="FB19" t="str">
        <f t="shared" si="113"/>
        <v/>
      </c>
      <c r="FC19" t="str">
        <f t="shared" si="114"/>
        <v/>
      </c>
      <c r="FD19" t="str">
        <f>IF(AS19+E19=0,"",IF(SUM(L19:M19)=2,IF(SUM(N19+O19+BC19+BD19)=2,"",Sprache!$B$107),Sprache!$B$107))</f>
        <v/>
      </c>
      <c r="FE19" t="str">
        <f t="shared" si="115"/>
        <v/>
      </c>
      <c r="FF19" t="str">
        <f t="shared" si="116"/>
        <v/>
      </c>
      <c r="FG19" t="str">
        <f t="shared" si="117"/>
        <v/>
      </c>
      <c r="FH19" t="str">
        <f t="shared" ca="1" si="118"/>
        <v/>
      </c>
      <c r="FI19" t="str">
        <f t="shared" si="119"/>
        <v/>
      </c>
      <c r="FJ19" t="str">
        <f t="shared" si="120"/>
        <v/>
      </c>
      <c r="FK19" t="str">
        <f t="shared" si="121"/>
        <v/>
      </c>
      <c r="FL19" t="str">
        <f t="shared" si="122"/>
        <v/>
      </c>
      <c r="FM19" t="str">
        <f t="shared" si="123"/>
        <v/>
      </c>
      <c r="FN19" t="str">
        <f t="shared" si="124"/>
        <v/>
      </c>
      <c r="FO19" t="str">
        <f t="shared" si="125"/>
        <v/>
      </c>
      <c r="FP19" t="str">
        <f t="shared" si="126"/>
        <v/>
      </c>
      <c r="FQ19" t="str">
        <f>IF(AO19="","",IF(DK179=0,Sprache!$B$65&amp;" ?",IF(CH179="?",$FQ$4,"")))</f>
        <v/>
      </c>
      <c r="FR19" t="str">
        <f t="shared" si="127"/>
        <v/>
      </c>
      <c r="FS19" t="str">
        <f t="shared" si="128"/>
        <v/>
      </c>
      <c r="FT19" t="str">
        <f t="shared" si="129"/>
        <v/>
      </c>
      <c r="FU19"/>
      <c r="FV19" t="str">
        <f ca="1">IF(TODAY()=$A$3,"",IF(TODAY()&gt;DATE(2018,7,1),CONCATENATE(Sprache!$B$89),""))</f>
        <v>outdated version</v>
      </c>
      <c r="FW19" t="str">
        <f t="shared" ca="1" si="130"/>
        <v>outdated version</v>
      </c>
      <c r="FX19" t="str">
        <f t="shared" ca="1" si="131"/>
        <v>outdated version</v>
      </c>
      <c r="FY19" t="str">
        <f t="shared" ca="1" si="132"/>
        <v/>
      </c>
      <c r="FZ19"/>
      <c r="GA19" s="407">
        <f t="shared" si="133"/>
        <v>0</v>
      </c>
      <c r="GB19" s="405"/>
      <c r="GC19" s="405"/>
      <c r="GD19" s="406"/>
      <c r="GE19" s="407">
        <f t="shared" si="134"/>
        <v>0</v>
      </c>
      <c r="GF19" s="405"/>
      <c r="GG19" s="404"/>
      <c r="GH19" s="406"/>
    </row>
    <row r="20" spans="1:190" s="243" customFormat="1" ht="14.25" customHeight="1" x14ac:dyDescent="0.2">
      <c r="A20" s="220"/>
      <c r="B20" s="221"/>
      <c r="C20" s="222"/>
      <c r="D20" s="223">
        <f t="shared" si="20"/>
        <v>0</v>
      </c>
      <c r="E20" s="223">
        <f t="shared" si="21"/>
        <v>0</v>
      </c>
      <c r="F20" s="224"/>
      <c r="G20" s="225"/>
      <c r="H20" s="225"/>
      <c r="I20" s="272"/>
      <c r="J20" s="264"/>
      <c r="K20" s="226"/>
      <c r="L20" s="227">
        <v>1</v>
      </c>
      <c r="M20" s="228">
        <f t="shared" si="150"/>
        <v>1</v>
      </c>
      <c r="N20" s="229">
        <f t="shared" si="151"/>
        <v>2</v>
      </c>
      <c r="O20" s="230"/>
      <c r="P20" s="231"/>
      <c r="Q20" s="232"/>
      <c r="R20" s="233">
        <f t="shared" si="152"/>
        <v>0</v>
      </c>
      <c r="S20" s="233">
        <f t="shared" si="153"/>
        <v>0</v>
      </c>
      <c r="T20" s="245">
        <f t="shared" si="154"/>
        <v>0</v>
      </c>
      <c r="U20" s="234"/>
      <c r="V20" s="270"/>
      <c r="W20" s="267"/>
      <c r="X20" s="235">
        <f t="shared" si="155"/>
        <v>0</v>
      </c>
      <c r="Y20" s="236" t="str">
        <f t="shared" si="156"/>
        <v/>
      </c>
      <c r="Z20" s="237">
        <f t="shared" si="157"/>
        <v>0</v>
      </c>
      <c r="AA20" s="238">
        <f t="shared" si="158"/>
        <v>0</v>
      </c>
      <c r="AB20" s="239" t="str">
        <f t="shared" si="159"/>
        <v/>
      </c>
      <c r="AC20" s="240" t="str">
        <f t="shared" ca="1" si="160"/>
        <v/>
      </c>
      <c r="AD20" s="394" t="str">
        <f t="shared" ca="1" si="161"/>
        <v/>
      </c>
      <c r="AE20" s="241" t="str">
        <f>IF(AO20="","",IFERROR(IF(ELEMENT!$CH$78=ELEMENT!$CM$63,(AC20/AA20/10.75),(AC20/AA20)),""))</f>
        <v/>
      </c>
      <c r="AF20" s="241" t="str">
        <f t="shared" si="162"/>
        <v/>
      </c>
      <c r="AG20" s="238" t="str">
        <f t="shared" si="163"/>
        <v/>
      </c>
      <c r="AH20" s="242" t="str">
        <f t="shared" si="164"/>
        <v/>
      </c>
      <c r="AI20" s="192"/>
      <c r="AJ20" s="274"/>
      <c r="AK20"/>
      <c r="AL20"/>
      <c r="AM20">
        <f t="shared" si="135"/>
        <v>0</v>
      </c>
      <c r="AN20" t="str">
        <f t="shared" si="136"/>
        <v/>
      </c>
      <c r="AO20" t="str">
        <f t="shared" si="137"/>
        <v/>
      </c>
      <c r="AP20" t="str">
        <f t="shared" si="138"/>
        <v/>
      </c>
      <c r="AQ20">
        <f t="shared" si="22"/>
        <v>0</v>
      </c>
      <c r="AR20">
        <f t="shared" si="139"/>
        <v>2</v>
      </c>
      <c r="AS20">
        <f t="shared" si="29"/>
        <v>0</v>
      </c>
      <c r="AT20">
        <f t="shared" si="23"/>
        <v>0</v>
      </c>
      <c r="AU20">
        <f t="shared" si="140"/>
        <v>0</v>
      </c>
      <c r="AV20">
        <f t="shared" si="141"/>
        <v>0</v>
      </c>
      <c r="AW20">
        <f t="shared" si="142"/>
        <v>0</v>
      </c>
      <c r="AX20" t="str">
        <f t="shared" si="24"/>
        <v/>
      </c>
      <c r="AY20">
        <f t="shared" si="143"/>
        <v>0</v>
      </c>
      <c r="AZ20">
        <f t="shared" si="144"/>
        <v>0</v>
      </c>
      <c r="BA20">
        <f t="shared" si="145"/>
        <v>0</v>
      </c>
      <c r="BB20">
        <f t="shared" si="146"/>
        <v>0</v>
      </c>
      <c r="BC20">
        <f t="shared" si="147"/>
        <v>0</v>
      </c>
      <c r="BD20">
        <f t="shared" si="148"/>
        <v>0</v>
      </c>
      <c r="BE20">
        <f t="shared" si="149"/>
        <v>0</v>
      </c>
      <c r="BF20">
        <f t="shared" ref="BF20:BF28" si="165">DS88</f>
        <v>0</v>
      </c>
      <c r="BG20">
        <f>IF($AH$4=$CK$75,'S2'!T20,
IF($AH$4=$CL$75,'S3'!T20,
IF($AH$4=$CJ$75,'S1'!T20,
IF($AH$4=$CM$75,S3M!T20,))))</f>
        <v>0</v>
      </c>
      <c r="BH20">
        <f>IF($AH$4=$CK$75,'S2'!U20,
IF($AH$4=$CL$75,'S3'!U20,
IF($AH$4=$CJ$75,'S1'!U20,
IF($AH$4=$CM$75,S3M!U20,))))</f>
        <v>0</v>
      </c>
      <c r="BI20">
        <f>IF($AH$4=$CK$75,'S2'!V20,
IF($AH$4=$CL$75,'S3'!V20,
IF($AH$4=$CJ$75,'S1'!V20,
IF($AH$4=$CM$75,S3M!V20,))))</f>
        <v>0</v>
      </c>
      <c r="BJ20">
        <f>IF($AH$4=$CK$75,'S2'!W20,
IF($AH$4=$CL$75,'S3'!W20,
IF($AH$4=$CJ$75,'S1'!W20,
IF($AH$4=$CM$75,S3M!W20,))))</f>
        <v>0</v>
      </c>
      <c r="BK20">
        <f>IF($AH$4=$CK$75,'S2'!X20,
IF($AH$4=$CL$75,'S3'!X20,
IF($AH$4=$CJ$75,'S1'!X20,
IF($AH$4=$CM$75,S3M!X20,))))</f>
        <v>0</v>
      </c>
      <c r="BL20">
        <f>IF($AH$4=$CK$75,'S2'!Y20,
IF($AH$4=$CL$75,'S3'!Y20,
IF($AH$4=$CJ$75,'S1'!Y20,
IF($AH$4=$CM$75,S3M!Y20,))))</f>
        <v>0</v>
      </c>
      <c r="BM20">
        <f>IF($AH$4=$CK$75,'S2'!Z20,
IF($AH$4=$CL$75,'S3'!Z20,
IF($AH$4=$CJ$75,'S1'!Z20,
IF($AH$4=$CM$75,S3M!Z20,))))</f>
        <v>0</v>
      </c>
      <c r="BN20">
        <f>IF($AH$4=$CK$75,'S2'!AA20,
IF($AH$4=$CL$75,'S3'!AA20,
IF($AH$4=$CJ$75,'S1'!AA20,
IF($AH$4=$CM$75,S3M!AA20,))))</f>
        <v>0</v>
      </c>
      <c r="BO20">
        <f>IF($AH$4=$CK$75,'S2'!AB20,
IF($AH$4=$CL$75,'S3'!AB20,
IF($AH$4=$CJ$75,'S1'!AB20,
IF($AH$4=$CM$75,S3M!AB20,))))</f>
        <v>0</v>
      </c>
      <c r="BP20"/>
      <c r="BQ20">
        <f t="shared" si="30"/>
        <v>58</v>
      </c>
      <c r="BR20">
        <f t="shared" si="31"/>
        <v>32</v>
      </c>
      <c r="BS20">
        <f t="shared" si="32"/>
        <v>0</v>
      </c>
      <c r="BT20">
        <f t="shared" si="33"/>
        <v>0</v>
      </c>
      <c r="BU20">
        <f t="shared" si="34"/>
        <v>0</v>
      </c>
      <c r="BV20">
        <f t="shared" si="35"/>
        <v>0</v>
      </c>
      <c r="BW20">
        <f t="shared" si="36"/>
        <v>90</v>
      </c>
      <c r="BX20">
        <f t="shared" si="37"/>
        <v>0</v>
      </c>
      <c r="BY20">
        <f t="shared" si="38"/>
        <v>0</v>
      </c>
      <c r="BZ20">
        <f t="shared" si="39"/>
        <v>0</v>
      </c>
      <c r="CA20">
        <f t="shared" si="40"/>
        <v>0</v>
      </c>
      <c r="CB20">
        <f t="shared" si="41"/>
        <v>0</v>
      </c>
      <c r="CC20">
        <f t="shared" si="42"/>
        <v>0</v>
      </c>
      <c r="CD20">
        <f t="shared" si="43"/>
        <v>80</v>
      </c>
      <c r="CE20">
        <f t="shared" si="44"/>
        <v>0</v>
      </c>
      <c r="CF20">
        <f t="shared" si="45"/>
        <v>0</v>
      </c>
      <c r="CG20">
        <f t="shared" si="46"/>
        <v>46.2</v>
      </c>
      <c r="CH20">
        <f t="shared" si="47"/>
        <v>17.600000000000001</v>
      </c>
      <c r="CI20">
        <f t="shared" si="48"/>
        <v>0</v>
      </c>
      <c r="CJ20">
        <f t="shared" si="49"/>
        <v>0</v>
      </c>
      <c r="CK20">
        <f t="shared" si="50"/>
        <v>0</v>
      </c>
      <c r="CL20">
        <f t="shared" si="51"/>
        <v>0</v>
      </c>
      <c r="CM20">
        <f t="shared" si="52"/>
        <v>0</v>
      </c>
      <c r="CN20">
        <f t="shared" si="53"/>
        <v>0</v>
      </c>
      <c r="CO20">
        <f t="shared" si="54"/>
        <v>0</v>
      </c>
      <c r="CP20" t="str">
        <f t="shared" si="19"/>
        <v/>
      </c>
      <c r="CQ20">
        <f t="shared" si="55"/>
        <v>0</v>
      </c>
      <c r="CR20" t="str">
        <f t="shared" si="56"/>
        <v/>
      </c>
      <c r="CS20">
        <f t="shared" si="57"/>
        <v>0</v>
      </c>
      <c r="CT20">
        <f t="shared" si="58"/>
        <v>0</v>
      </c>
      <c r="CU20">
        <f t="shared" si="59"/>
        <v>0</v>
      </c>
      <c r="CV20">
        <f t="shared" si="60"/>
        <v>203.7166666666667</v>
      </c>
      <c r="CW20">
        <f t="shared" si="61"/>
        <v>210</v>
      </c>
      <c r="CX20">
        <f t="shared" si="62"/>
        <v>120</v>
      </c>
      <c r="CY20">
        <f t="shared" si="63"/>
        <v>0</v>
      </c>
      <c r="CZ20">
        <f t="shared" si="64"/>
        <v>0</v>
      </c>
      <c r="DA20">
        <f t="shared" si="65"/>
        <v>0</v>
      </c>
      <c r="DB20">
        <f t="shared" si="66"/>
        <v>0</v>
      </c>
      <c r="DC20" t="str">
        <f t="shared" si="67"/>
        <v/>
      </c>
      <c r="DD20">
        <f t="shared" si="68"/>
        <v>0</v>
      </c>
      <c r="DE20">
        <f t="shared" si="69"/>
        <v>0</v>
      </c>
      <c r="DF20">
        <f t="shared" si="70"/>
        <v>12.15</v>
      </c>
      <c r="DG20">
        <f t="shared" si="71"/>
        <v>0</v>
      </c>
      <c r="DH20">
        <f t="shared" si="72"/>
        <v>0</v>
      </c>
      <c r="DI20">
        <f t="shared" si="26"/>
        <v>0</v>
      </c>
      <c r="DJ20"/>
      <c r="DK20"/>
      <c r="DL20">
        <f t="shared" si="73"/>
        <v>0</v>
      </c>
      <c r="DM20">
        <f t="shared" si="74"/>
        <v>0</v>
      </c>
      <c r="DN20">
        <f t="shared" si="75"/>
        <v>0</v>
      </c>
      <c r="DO20" t="e">
        <f t="shared" si="76"/>
        <v>#N/A</v>
      </c>
      <c r="DP20">
        <f t="shared" si="77"/>
        <v>0</v>
      </c>
      <c r="DQ20" t="e">
        <f t="shared" si="78"/>
        <v>#N/A</v>
      </c>
      <c r="DR20" t="e">
        <f t="shared" si="79"/>
        <v>#N/A</v>
      </c>
      <c r="DS20">
        <f t="shared" si="80"/>
        <v>0</v>
      </c>
      <c r="DT20">
        <f t="shared" si="81"/>
        <v>0</v>
      </c>
      <c r="DU20">
        <f t="shared" si="82"/>
        <v>0</v>
      </c>
      <c r="DV20">
        <f t="shared" si="27"/>
        <v>0</v>
      </c>
      <c r="DW20">
        <f t="shared" si="83"/>
        <v>0</v>
      </c>
      <c r="DX20">
        <f t="shared" si="84"/>
        <v>0</v>
      </c>
      <c r="DY20">
        <f t="shared" si="85"/>
        <v>0</v>
      </c>
      <c r="DZ20">
        <f t="shared" si="86"/>
        <v>0</v>
      </c>
      <c r="EA20">
        <f t="shared" si="87"/>
        <v>0</v>
      </c>
      <c r="EB20">
        <f t="shared" si="88"/>
        <v>0</v>
      </c>
      <c r="EC20">
        <f t="shared" si="89"/>
        <v>0</v>
      </c>
      <c r="ED20">
        <f t="shared" si="90"/>
        <v>0</v>
      </c>
      <c r="EE20">
        <f t="shared" si="91"/>
        <v>0</v>
      </c>
      <c r="EF20">
        <f t="shared" si="92"/>
        <v>0</v>
      </c>
      <c r="EG20">
        <f t="shared" si="93"/>
        <v>0</v>
      </c>
      <c r="EH20">
        <f t="shared" si="28"/>
        <v>0</v>
      </c>
      <c r="EI20">
        <f t="shared" si="94"/>
        <v>-70</v>
      </c>
      <c r="EJ20">
        <f t="shared" si="95"/>
        <v>0</v>
      </c>
      <c r="EK20">
        <f t="shared" si="96"/>
        <v>0</v>
      </c>
      <c r="EL20">
        <f t="shared" si="97"/>
        <v>0</v>
      </c>
      <c r="EM20" t="e">
        <f t="shared" si="98"/>
        <v>#DIV/0!</v>
      </c>
      <c r="EN20">
        <f t="shared" si="99"/>
        <v>0</v>
      </c>
      <c r="EO20" t="str">
        <f t="shared" si="100"/>
        <v>üh</v>
      </c>
      <c r="EP20">
        <f t="shared" si="101"/>
        <v>0</v>
      </c>
      <c r="EQ20">
        <f t="shared" si="102"/>
        <v>0</v>
      </c>
      <c r="ER20">
        <f t="shared" si="103"/>
        <v>0</v>
      </c>
      <c r="ES20">
        <f t="shared" si="104"/>
        <v>0</v>
      </c>
      <c r="ET20">
        <f t="shared" si="105"/>
        <v>0</v>
      </c>
      <c r="EU20">
        <f t="shared" si="106"/>
        <v>0</v>
      </c>
      <c r="EV20">
        <f t="shared" si="107"/>
        <v>0</v>
      </c>
      <c r="EW20">
        <f t="shared" si="108"/>
        <v>0</v>
      </c>
      <c r="EX20">
        <f t="shared" si="109"/>
        <v>0</v>
      </c>
      <c r="EY20">
        <f t="shared" si="110"/>
        <v>0</v>
      </c>
      <c r="EZ20">
        <f t="shared" si="111"/>
        <v>0</v>
      </c>
      <c r="FA20">
        <f t="shared" si="112"/>
        <v>0</v>
      </c>
      <c r="FB20" t="str">
        <f t="shared" si="113"/>
        <v/>
      </c>
      <c r="FC20" t="str">
        <f t="shared" si="114"/>
        <v/>
      </c>
      <c r="FD20" t="str">
        <f>IF(AS20+E20=0,"",IF(SUM(L20:M20)=2,IF(SUM(N20+O20+BC20+BD20)=2,"",Sprache!$B$107),Sprache!$B$107))</f>
        <v/>
      </c>
      <c r="FE20" t="str">
        <f t="shared" si="115"/>
        <v/>
      </c>
      <c r="FF20" t="str">
        <f t="shared" si="116"/>
        <v/>
      </c>
      <c r="FG20" t="str">
        <f t="shared" si="117"/>
        <v/>
      </c>
      <c r="FH20" t="str">
        <f t="shared" ca="1" si="118"/>
        <v/>
      </c>
      <c r="FI20" t="str">
        <f t="shared" si="119"/>
        <v/>
      </c>
      <c r="FJ20" t="str">
        <f t="shared" si="120"/>
        <v/>
      </c>
      <c r="FK20" t="str">
        <f t="shared" si="121"/>
        <v/>
      </c>
      <c r="FL20" t="str">
        <f t="shared" si="122"/>
        <v/>
      </c>
      <c r="FM20" t="str">
        <f t="shared" si="123"/>
        <v/>
      </c>
      <c r="FN20" t="str">
        <f t="shared" si="124"/>
        <v/>
      </c>
      <c r="FO20" t="str">
        <f t="shared" si="125"/>
        <v/>
      </c>
      <c r="FP20" t="str">
        <f t="shared" si="126"/>
        <v/>
      </c>
      <c r="FQ20" t="str">
        <f>IF(AO20="","",IF(DK180=0,Sprache!$B$65&amp;" ?",IF(CH180="?",$FQ$4,"")))</f>
        <v/>
      </c>
      <c r="FR20" t="str">
        <f t="shared" si="127"/>
        <v/>
      </c>
      <c r="FS20" t="str">
        <f t="shared" si="128"/>
        <v/>
      </c>
      <c r="FT20" t="str">
        <f t="shared" si="129"/>
        <v/>
      </c>
      <c r="FU20"/>
      <c r="FV20" t="str">
        <f ca="1">IF(TODAY()=$A$3,"",IF(TODAY()&gt;DATE(2018,7,1),CONCATENATE(Sprache!$B$89),""))</f>
        <v>outdated version</v>
      </c>
      <c r="FW20" t="str">
        <f t="shared" ca="1" si="130"/>
        <v>outdated version</v>
      </c>
      <c r="FX20" t="str">
        <f t="shared" ca="1" si="131"/>
        <v>outdated version</v>
      </c>
      <c r="FY20" t="str">
        <f t="shared" ca="1" si="132"/>
        <v/>
      </c>
      <c r="FZ20"/>
      <c r="GA20" s="407">
        <f t="shared" si="133"/>
        <v>0</v>
      </c>
      <c r="GB20" s="405"/>
      <c r="GC20" s="405"/>
      <c r="GD20" s="406"/>
      <c r="GE20" s="407">
        <f t="shared" si="134"/>
        <v>0</v>
      </c>
      <c r="GF20" s="405"/>
      <c r="GG20" s="404"/>
      <c r="GH20" s="406"/>
    </row>
    <row r="21" spans="1:190" s="243" customFormat="1" ht="14.25" customHeight="1" x14ac:dyDescent="0.2">
      <c r="A21" s="220"/>
      <c r="B21" s="221"/>
      <c r="C21" s="222"/>
      <c r="D21" s="223">
        <f t="shared" si="20"/>
        <v>0</v>
      </c>
      <c r="E21" s="223">
        <f t="shared" si="21"/>
        <v>0</v>
      </c>
      <c r="F21" s="224"/>
      <c r="G21" s="225"/>
      <c r="H21" s="225"/>
      <c r="I21" s="272"/>
      <c r="J21" s="264"/>
      <c r="K21" s="226"/>
      <c r="L21" s="227">
        <v>1</v>
      </c>
      <c r="M21" s="228">
        <f t="shared" si="150"/>
        <v>1</v>
      </c>
      <c r="N21" s="229">
        <f t="shared" si="151"/>
        <v>2</v>
      </c>
      <c r="O21" s="230"/>
      <c r="P21" s="231"/>
      <c r="Q21" s="232"/>
      <c r="R21" s="233">
        <f t="shared" si="152"/>
        <v>0</v>
      </c>
      <c r="S21" s="233">
        <f t="shared" si="153"/>
        <v>0</v>
      </c>
      <c r="T21" s="245">
        <f t="shared" si="154"/>
        <v>0</v>
      </c>
      <c r="U21" s="234"/>
      <c r="V21" s="270"/>
      <c r="W21" s="267"/>
      <c r="X21" s="235">
        <f t="shared" si="155"/>
        <v>0</v>
      </c>
      <c r="Y21" s="236" t="str">
        <f t="shared" si="156"/>
        <v/>
      </c>
      <c r="Z21" s="237">
        <f t="shared" si="157"/>
        <v>0</v>
      </c>
      <c r="AA21" s="238">
        <f t="shared" si="158"/>
        <v>0</v>
      </c>
      <c r="AB21" s="239" t="str">
        <f t="shared" si="159"/>
        <v/>
      </c>
      <c r="AC21" s="240" t="str">
        <f t="shared" ca="1" si="160"/>
        <v/>
      </c>
      <c r="AD21" s="394" t="str">
        <f t="shared" ca="1" si="161"/>
        <v/>
      </c>
      <c r="AE21" s="241" t="str">
        <f>IF(AO21="","",IFERROR(IF(ELEMENT!$CH$78=ELEMENT!$CM$63,(AC21/AA21/10.75),(AC21/AA21)),""))</f>
        <v/>
      </c>
      <c r="AF21" s="241" t="str">
        <f t="shared" si="162"/>
        <v/>
      </c>
      <c r="AG21" s="238" t="str">
        <f t="shared" si="163"/>
        <v/>
      </c>
      <c r="AH21" s="242" t="str">
        <f t="shared" si="164"/>
        <v/>
      </c>
      <c r="AI21" s="192"/>
      <c r="AJ21" s="274"/>
      <c r="AK21"/>
      <c r="AL21"/>
      <c r="AM21">
        <f t="shared" si="135"/>
        <v>0</v>
      </c>
      <c r="AN21" t="str">
        <f t="shared" si="136"/>
        <v/>
      </c>
      <c r="AO21" t="str">
        <f t="shared" si="137"/>
        <v/>
      </c>
      <c r="AP21" t="str">
        <f t="shared" si="138"/>
        <v/>
      </c>
      <c r="AQ21">
        <f t="shared" si="22"/>
        <v>0</v>
      </c>
      <c r="AR21">
        <f t="shared" si="139"/>
        <v>2</v>
      </c>
      <c r="AS21">
        <f t="shared" si="29"/>
        <v>0</v>
      </c>
      <c r="AT21">
        <f t="shared" si="23"/>
        <v>0</v>
      </c>
      <c r="AU21">
        <f t="shared" si="140"/>
        <v>0</v>
      </c>
      <c r="AV21">
        <f t="shared" si="141"/>
        <v>0</v>
      </c>
      <c r="AW21">
        <f t="shared" si="142"/>
        <v>0</v>
      </c>
      <c r="AX21" t="str">
        <f t="shared" si="24"/>
        <v/>
      </c>
      <c r="AY21">
        <f t="shared" si="143"/>
        <v>0</v>
      </c>
      <c r="AZ21">
        <f t="shared" si="144"/>
        <v>0</v>
      </c>
      <c r="BA21">
        <f t="shared" si="145"/>
        <v>0</v>
      </c>
      <c r="BB21">
        <f t="shared" si="146"/>
        <v>0</v>
      </c>
      <c r="BC21">
        <f t="shared" si="147"/>
        <v>0</v>
      </c>
      <c r="BD21">
        <f t="shared" si="148"/>
        <v>0</v>
      </c>
      <c r="BE21">
        <f t="shared" si="149"/>
        <v>0</v>
      </c>
      <c r="BF21">
        <f t="shared" si="165"/>
        <v>0</v>
      </c>
      <c r="BG21">
        <f>IF($AH$4=$CK$75,'S2'!T21,
IF($AH$4=$CL$75,'S3'!T21,
IF($AH$4=$CJ$75,'S1'!T21,
IF($AH$4=$CM$75,S3M!T21,))))</f>
        <v>0</v>
      </c>
      <c r="BH21">
        <f>IF($AH$4=$CK$75,'S2'!U21,
IF($AH$4=$CL$75,'S3'!U21,
IF($AH$4=$CJ$75,'S1'!U21,
IF($AH$4=$CM$75,S3M!U21,))))</f>
        <v>0</v>
      </c>
      <c r="BI21">
        <f>IF($AH$4=$CK$75,'S2'!V21,
IF($AH$4=$CL$75,'S3'!V21,
IF($AH$4=$CJ$75,'S1'!V21,
IF($AH$4=$CM$75,S3M!V21,))))</f>
        <v>0</v>
      </c>
      <c r="BJ21">
        <f>IF($AH$4=$CK$75,'S2'!W21,
IF($AH$4=$CL$75,'S3'!W21,
IF($AH$4=$CJ$75,'S1'!W21,
IF($AH$4=$CM$75,S3M!W21,))))</f>
        <v>0</v>
      </c>
      <c r="BK21">
        <f>IF($AH$4=$CK$75,'S2'!X21,
IF($AH$4=$CL$75,'S3'!X21,
IF($AH$4=$CJ$75,'S1'!X21,
IF($AH$4=$CM$75,S3M!X21,))))</f>
        <v>0</v>
      </c>
      <c r="BL21">
        <f>IF($AH$4=$CK$75,'S2'!Y21,
IF($AH$4=$CL$75,'S3'!Y21,
IF($AH$4=$CJ$75,'S1'!Y21,
IF($AH$4=$CM$75,S3M!Y21,))))</f>
        <v>0</v>
      </c>
      <c r="BM21">
        <f>IF($AH$4=$CK$75,'S2'!Z21,
IF($AH$4=$CL$75,'S3'!Z21,
IF($AH$4=$CJ$75,'S1'!Z21,
IF($AH$4=$CM$75,S3M!Z21,))))</f>
        <v>0</v>
      </c>
      <c r="BN21">
        <f>IF($AH$4=$CK$75,'S2'!AA21,
IF($AH$4=$CL$75,'S3'!AA21,
IF($AH$4=$CJ$75,'S1'!AA21,
IF($AH$4=$CM$75,S3M!AA21,))))</f>
        <v>0</v>
      </c>
      <c r="BO21">
        <f>IF($AH$4=$CK$75,'S2'!AB21,
IF($AH$4=$CL$75,'S3'!AB21,
IF($AH$4=$CJ$75,'S1'!AB21,
IF($AH$4=$CM$75,S3M!AB21,))))</f>
        <v>0</v>
      </c>
      <c r="BP21"/>
      <c r="BQ21">
        <f t="shared" si="30"/>
        <v>58</v>
      </c>
      <c r="BR21">
        <f t="shared" si="31"/>
        <v>32</v>
      </c>
      <c r="BS21">
        <f t="shared" si="32"/>
        <v>0</v>
      </c>
      <c r="BT21">
        <f t="shared" si="33"/>
        <v>0</v>
      </c>
      <c r="BU21">
        <f t="shared" si="34"/>
        <v>0</v>
      </c>
      <c r="BV21">
        <f t="shared" si="35"/>
        <v>0</v>
      </c>
      <c r="BW21">
        <f t="shared" si="36"/>
        <v>90</v>
      </c>
      <c r="BX21">
        <f t="shared" si="37"/>
        <v>0</v>
      </c>
      <c r="BY21">
        <f t="shared" si="38"/>
        <v>0</v>
      </c>
      <c r="BZ21">
        <f t="shared" si="39"/>
        <v>0</v>
      </c>
      <c r="CA21">
        <f t="shared" si="40"/>
        <v>0</v>
      </c>
      <c r="CB21">
        <f t="shared" si="41"/>
        <v>0</v>
      </c>
      <c r="CC21">
        <f t="shared" si="42"/>
        <v>0</v>
      </c>
      <c r="CD21">
        <f t="shared" si="43"/>
        <v>80</v>
      </c>
      <c r="CE21">
        <f t="shared" si="44"/>
        <v>0</v>
      </c>
      <c r="CF21">
        <f t="shared" si="45"/>
        <v>0</v>
      </c>
      <c r="CG21">
        <f t="shared" si="46"/>
        <v>46.2</v>
      </c>
      <c r="CH21">
        <f t="shared" si="47"/>
        <v>17.600000000000001</v>
      </c>
      <c r="CI21">
        <f t="shared" si="48"/>
        <v>0</v>
      </c>
      <c r="CJ21">
        <f t="shared" si="49"/>
        <v>0</v>
      </c>
      <c r="CK21">
        <f t="shared" si="50"/>
        <v>0</v>
      </c>
      <c r="CL21">
        <f t="shared" si="51"/>
        <v>0</v>
      </c>
      <c r="CM21">
        <f t="shared" si="52"/>
        <v>0</v>
      </c>
      <c r="CN21">
        <f t="shared" si="53"/>
        <v>0</v>
      </c>
      <c r="CO21">
        <f t="shared" si="54"/>
        <v>0</v>
      </c>
      <c r="CP21" t="str">
        <f t="shared" si="19"/>
        <v/>
      </c>
      <c r="CQ21">
        <f t="shared" si="55"/>
        <v>0</v>
      </c>
      <c r="CR21" t="str">
        <f t="shared" si="56"/>
        <v/>
      </c>
      <c r="CS21">
        <f t="shared" si="57"/>
        <v>0</v>
      </c>
      <c r="CT21">
        <f t="shared" si="58"/>
        <v>0</v>
      </c>
      <c r="CU21">
        <f t="shared" si="59"/>
        <v>0</v>
      </c>
      <c r="CV21">
        <f t="shared" si="60"/>
        <v>203.7166666666667</v>
      </c>
      <c r="CW21">
        <f t="shared" si="61"/>
        <v>210</v>
      </c>
      <c r="CX21">
        <f t="shared" si="62"/>
        <v>120</v>
      </c>
      <c r="CY21">
        <f t="shared" si="63"/>
        <v>0</v>
      </c>
      <c r="CZ21">
        <f t="shared" si="64"/>
        <v>0</v>
      </c>
      <c r="DA21">
        <f t="shared" si="65"/>
        <v>0</v>
      </c>
      <c r="DB21">
        <f t="shared" si="66"/>
        <v>0</v>
      </c>
      <c r="DC21" t="str">
        <f t="shared" si="67"/>
        <v/>
      </c>
      <c r="DD21">
        <f t="shared" si="68"/>
        <v>0</v>
      </c>
      <c r="DE21">
        <f t="shared" si="69"/>
        <v>0</v>
      </c>
      <c r="DF21">
        <f t="shared" si="70"/>
        <v>12.15</v>
      </c>
      <c r="DG21">
        <f t="shared" si="71"/>
        <v>0</v>
      </c>
      <c r="DH21">
        <f t="shared" si="72"/>
        <v>0</v>
      </c>
      <c r="DI21">
        <f t="shared" si="26"/>
        <v>0</v>
      </c>
      <c r="DJ21"/>
      <c r="DK21"/>
      <c r="DL21">
        <f t="shared" si="73"/>
        <v>0</v>
      </c>
      <c r="DM21">
        <f t="shared" si="74"/>
        <v>0</v>
      </c>
      <c r="DN21">
        <f t="shared" si="75"/>
        <v>0</v>
      </c>
      <c r="DO21" t="e">
        <f t="shared" si="76"/>
        <v>#N/A</v>
      </c>
      <c r="DP21">
        <f t="shared" si="77"/>
        <v>0</v>
      </c>
      <c r="DQ21" t="e">
        <f t="shared" si="78"/>
        <v>#N/A</v>
      </c>
      <c r="DR21" t="e">
        <f t="shared" si="79"/>
        <v>#N/A</v>
      </c>
      <c r="DS21">
        <f t="shared" si="80"/>
        <v>0</v>
      </c>
      <c r="DT21">
        <f t="shared" si="81"/>
        <v>0</v>
      </c>
      <c r="DU21">
        <f t="shared" si="82"/>
        <v>0</v>
      </c>
      <c r="DV21">
        <f t="shared" si="27"/>
        <v>0</v>
      </c>
      <c r="DW21">
        <f t="shared" si="83"/>
        <v>0</v>
      </c>
      <c r="DX21">
        <f t="shared" si="84"/>
        <v>0</v>
      </c>
      <c r="DY21">
        <f t="shared" si="85"/>
        <v>0</v>
      </c>
      <c r="DZ21">
        <f t="shared" si="86"/>
        <v>0</v>
      </c>
      <c r="EA21">
        <f t="shared" si="87"/>
        <v>0</v>
      </c>
      <c r="EB21">
        <f t="shared" si="88"/>
        <v>0</v>
      </c>
      <c r="EC21">
        <f t="shared" si="89"/>
        <v>0</v>
      </c>
      <c r="ED21">
        <f t="shared" si="90"/>
        <v>0</v>
      </c>
      <c r="EE21">
        <f t="shared" si="91"/>
        <v>0</v>
      </c>
      <c r="EF21">
        <f t="shared" si="92"/>
        <v>0</v>
      </c>
      <c r="EG21">
        <f t="shared" si="93"/>
        <v>0</v>
      </c>
      <c r="EH21">
        <f t="shared" si="28"/>
        <v>0</v>
      </c>
      <c r="EI21">
        <f t="shared" si="94"/>
        <v>-70</v>
      </c>
      <c r="EJ21">
        <f t="shared" si="95"/>
        <v>0</v>
      </c>
      <c r="EK21">
        <f t="shared" si="96"/>
        <v>0</v>
      </c>
      <c r="EL21">
        <f t="shared" si="97"/>
        <v>0</v>
      </c>
      <c r="EM21" t="e">
        <f t="shared" si="98"/>
        <v>#DIV/0!</v>
      </c>
      <c r="EN21">
        <f t="shared" si="99"/>
        <v>0</v>
      </c>
      <c r="EO21" t="str">
        <f t="shared" si="100"/>
        <v>üh</v>
      </c>
      <c r="EP21">
        <f t="shared" si="101"/>
        <v>0</v>
      </c>
      <c r="EQ21">
        <f t="shared" si="102"/>
        <v>0</v>
      </c>
      <c r="ER21">
        <f t="shared" si="103"/>
        <v>0</v>
      </c>
      <c r="ES21">
        <f t="shared" si="104"/>
        <v>0</v>
      </c>
      <c r="ET21">
        <f t="shared" si="105"/>
        <v>0</v>
      </c>
      <c r="EU21">
        <f t="shared" si="106"/>
        <v>0</v>
      </c>
      <c r="EV21">
        <f t="shared" si="107"/>
        <v>0</v>
      </c>
      <c r="EW21">
        <f t="shared" si="108"/>
        <v>0</v>
      </c>
      <c r="EX21">
        <f t="shared" si="109"/>
        <v>0</v>
      </c>
      <c r="EY21">
        <f t="shared" si="110"/>
        <v>0</v>
      </c>
      <c r="EZ21">
        <f t="shared" si="111"/>
        <v>0</v>
      </c>
      <c r="FA21">
        <f t="shared" si="112"/>
        <v>0</v>
      </c>
      <c r="FB21" t="str">
        <f t="shared" si="113"/>
        <v/>
      </c>
      <c r="FC21" t="str">
        <f t="shared" si="114"/>
        <v/>
      </c>
      <c r="FD21" t="str">
        <f>IF(AS21+E21=0,"",IF(SUM(L21:M21)=2,IF(SUM(N21+O21+BC21+BD21)=2,"",Sprache!$B$107),Sprache!$B$107))</f>
        <v/>
      </c>
      <c r="FE21" t="str">
        <f t="shared" si="115"/>
        <v/>
      </c>
      <c r="FF21" t="str">
        <f t="shared" si="116"/>
        <v/>
      </c>
      <c r="FG21" t="str">
        <f t="shared" si="117"/>
        <v/>
      </c>
      <c r="FH21" t="str">
        <f t="shared" ca="1" si="118"/>
        <v/>
      </c>
      <c r="FI21" t="str">
        <f t="shared" si="119"/>
        <v/>
      </c>
      <c r="FJ21" t="str">
        <f t="shared" si="120"/>
        <v/>
      </c>
      <c r="FK21" t="str">
        <f t="shared" si="121"/>
        <v/>
      </c>
      <c r="FL21" t="str">
        <f t="shared" si="122"/>
        <v/>
      </c>
      <c r="FM21" t="str">
        <f t="shared" si="123"/>
        <v/>
      </c>
      <c r="FN21" t="str">
        <f t="shared" si="124"/>
        <v/>
      </c>
      <c r="FO21" t="str">
        <f t="shared" si="125"/>
        <v/>
      </c>
      <c r="FP21" t="str">
        <f t="shared" si="126"/>
        <v/>
      </c>
      <c r="FQ21" t="str">
        <f>IF(AO21="","",IF(DK181=0,Sprache!$B$65&amp;" ?",IF(CH181="?",$FQ$4,"")))</f>
        <v/>
      </c>
      <c r="FR21" t="str">
        <f t="shared" si="127"/>
        <v/>
      </c>
      <c r="FS21" t="str">
        <f t="shared" si="128"/>
        <v/>
      </c>
      <c r="FT21" t="str">
        <f t="shared" si="129"/>
        <v/>
      </c>
      <c r="FU21"/>
      <c r="FV21" t="str">
        <f ca="1">IF(TODAY()=$A$3,"",IF(TODAY()&gt;DATE(2018,7,1),CONCATENATE(Sprache!$B$89),""))</f>
        <v>outdated version</v>
      </c>
      <c r="FW21" t="str">
        <f t="shared" ca="1" si="130"/>
        <v>outdated version</v>
      </c>
      <c r="FX21" t="str">
        <f t="shared" ca="1" si="131"/>
        <v>outdated version</v>
      </c>
      <c r="FY21" t="str">
        <f t="shared" ca="1" si="132"/>
        <v/>
      </c>
      <c r="FZ21"/>
      <c r="GA21" s="407">
        <f t="shared" si="133"/>
        <v>0</v>
      </c>
      <c r="GB21" s="405"/>
      <c r="GC21" s="405"/>
      <c r="GD21" s="406"/>
      <c r="GE21" s="407">
        <f t="shared" si="134"/>
        <v>0</v>
      </c>
      <c r="GF21" s="405"/>
      <c r="GG21" s="404"/>
      <c r="GH21" s="406"/>
    </row>
    <row r="22" spans="1:190" s="243" customFormat="1" ht="14.25" customHeight="1" x14ac:dyDescent="0.2">
      <c r="A22" s="220"/>
      <c r="B22" s="221"/>
      <c r="C22" s="222"/>
      <c r="D22" s="223">
        <f t="shared" si="20"/>
        <v>0</v>
      </c>
      <c r="E22" s="223">
        <f t="shared" si="21"/>
        <v>0</v>
      </c>
      <c r="F22" s="224"/>
      <c r="G22" s="225"/>
      <c r="H22" s="225"/>
      <c r="I22" s="272"/>
      <c r="J22" s="264"/>
      <c r="K22" s="226"/>
      <c r="L22" s="227">
        <v>1</v>
      </c>
      <c r="M22" s="228">
        <f t="shared" si="150"/>
        <v>1</v>
      </c>
      <c r="N22" s="229">
        <f t="shared" si="151"/>
        <v>2</v>
      </c>
      <c r="O22" s="230"/>
      <c r="P22" s="231"/>
      <c r="Q22" s="232"/>
      <c r="R22" s="233">
        <f t="shared" si="152"/>
        <v>0</v>
      </c>
      <c r="S22" s="233">
        <f t="shared" si="153"/>
        <v>0</v>
      </c>
      <c r="T22" s="245">
        <f t="shared" si="154"/>
        <v>0</v>
      </c>
      <c r="U22" s="234"/>
      <c r="V22" s="270"/>
      <c r="W22" s="267"/>
      <c r="X22" s="235">
        <f t="shared" si="155"/>
        <v>0</v>
      </c>
      <c r="Y22" s="236" t="str">
        <f t="shared" si="156"/>
        <v/>
      </c>
      <c r="Z22" s="237">
        <f t="shared" si="157"/>
        <v>0</v>
      </c>
      <c r="AA22" s="238">
        <f t="shared" si="158"/>
        <v>0</v>
      </c>
      <c r="AB22" s="239" t="str">
        <f t="shared" si="159"/>
        <v/>
      </c>
      <c r="AC22" s="240" t="str">
        <f t="shared" ca="1" si="160"/>
        <v/>
      </c>
      <c r="AD22" s="394" t="str">
        <f t="shared" ca="1" si="161"/>
        <v/>
      </c>
      <c r="AE22" s="241" t="str">
        <f>IF(AO22="","",IFERROR(IF(ELEMENT!$CH$78=ELEMENT!$CM$63,(AC22/AA22/10.75),(AC22/AA22)),""))</f>
        <v/>
      </c>
      <c r="AF22" s="241" t="str">
        <f t="shared" si="162"/>
        <v/>
      </c>
      <c r="AG22" s="238" t="str">
        <f t="shared" si="163"/>
        <v/>
      </c>
      <c r="AH22" s="242" t="str">
        <f t="shared" si="164"/>
        <v/>
      </c>
      <c r="AI22" s="192"/>
      <c r="AJ22" s="274"/>
      <c r="AK22"/>
      <c r="AL22"/>
      <c r="AM22">
        <f t="shared" si="135"/>
        <v>0</v>
      </c>
      <c r="AN22" t="str">
        <f t="shared" si="136"/>
        <v/>
      </c>
      <c r="AO22" t="str">
        <f t="shared" si="137"/>
        <v/>
      </c>
      <c r="AP22" t="str">
        <f t="shared" si="138"/>
        <v/>
      </c>
      <c r="AQ22">
        <f t="shared" si="22"/>
        <v>0</v>
      </c>
      <c r="AR22">
        <f t="shared" si="139"/>
        <v>2</v>
      </c>
      <c r="AS22">
        <f t="shared" si="29"/>
        <v>0</v>
      </c>
      <c r="AT22">
        <f t="shared" si="23"/>
        <v>0</v>
      </c>
      <c r="AU22">
        <f t="shared" si="140"/>
        <v>0</v>
      </c>
      <c r="AV22">
        <f t="shared" si="141"/>
        <v>0</v>
      </c>
      <c r="AW22">
        <f t="shared" si="142"/>
        <v>0</v>
      </c>
      <c r="AX22" t="str">
        <f t="shared" si="24"/>
        <v/>
      </c>
      <c r="AY22">
        <f t="shared" si="143"/>
        <v>0</v>
      </c>
      <c r="AZ22">
        <f t="shared" si="144"/>
        <v>0</v>
      </c>
      <c r="BA22">
        <f t="shared" si="145"/>
        <v>0</v>
      </c>
      <c r="BB22">
        <f t="shared" si="146"/>
        <v>0</v>
      </c>
      <c r="BC22">
        <f t="shared" si="147"/>
        <v>0</v>
      </c>
      <c r="BD22">
        <f t="shared" si="148"/>
        <v>0</v>
      </c>
      <c r="BE22">
        <f t="shared" si="149"/>
        <v>0</v>
      </c>
      <c r="BF22">
        <f t="shared" si="165"/>
        <v>0</v>
      </c>
      <c r="BG22">
        <f>IF($AH$4=$CK$75,'S2'!T22,
IF($AH$4=$CL$75,'S3'!T22,
IF($AH$4=$CJ$75,'S1'!T22,
IF($AH$4=$CM$75,S3M!T22,))))</f>
        <v>0</v>
      </c>
      <c r="BH22">
        <f>IF($AH$4=$CK$75,'S2'!U22,
IF($AH$4=$CL$75,'S3'!U22,
IF($AH$4=$CJ$75,'S1'!U22,
IF($AH$4=$CM$75,S3M!U22,))))</f>
        <v>0</v>
      </c>
      <c r="BI22">
        <f>IF($AH$4=$CK$75,'S2'!V22,
IF($AH$4=$CL$75,'S3'!V22,
IF($AH$4=$CJ$75,'S1'!V22,
IF($AH$4=$CM$75,S3M!V22,))))</f>
        <v>0</v>
      </c>
      <c r="BJ22">
        <f>IF($AH$4=$CK$75,'S2'!W22,
IF($AH$4=$CL$75,'S3'!W22,
IF($AH$4=$CJ$75,'S1'!W22,
IF($AH$4=$CM$75,S3M!W22,))))</f>
        <v>0</v>
      </c>
      <c r="BK22">
        <f>IF($AH$4=$CK$75,'S2'!X22,
IF($AH$4=$CL$75,'S3'!X22,
IF($AH$4=$CJ$75,'S1'!X22,
IF($AH$4=$CM$75,S3M!X22,))))</f>
        <v>0</v>
      </c>
      <c r="BL22">
        <f>IF($AH$4=$CK$75,'S2'!Y22,
IF($AH$4=$CL$75,'S3'!Y22,
IF($AH$4=$CJ$75,'S1'!Y22,
IF($AH$4=$CM$75,S3M!Y22,))))</f>
        <v>0</v>
      </c>
      <c r="BM22">
        <f>IF($AH$4=$CK$75,'S2'!Z22,
IF($AH$4=$CL$75,'S3'!Z22,
IF($AH$4=$CJ$75,'S1'!Z22,
IF($AH$4=$CM$75,S3M!Z22,))))</f>
        <v>0</v>
      </c>
      <c r="BN22">
        <f>IF($AH$4=$CK$75,'S2'!AA22,
IF($AH$4=$CL$75,'S3'!AA22,
IF($AH$4=$CJ$75,'S1'!AA22,
IF($AH$4=$CM$75,S3M!AA22,))))</f>
        <v>0</v>
      </c>
      <c r="BO22">
        <f>IF($AH$4=$CK$75,'S2'!AB22,
IF($AH$4=$CL$75,'S3'!AB22,
IF($AH$4=$CJ$75,'S1'!AB22,
IF($AH$4=$CM$75,S3M!AB22,))))</f>
        <v>0</v>
      </c>
      <c r="BP22"/>
      <c r="BQ22">
        <f t="shared" si="30"/>
        <v>58</v>
      </c>
      <c r="BR22">
        <f t="shared" si="31"/>
        <v>32</v>
      </c>
      <c r="BS22">
        <f t="shared" si="32"/>
        <v>0</v>
      </c>
      <c r="BT22">
        <f t="shared" si="33"/>
        <v>0</v>
      </c>
      <c r="BU22">
        <f t="shared" si="34"/>
        <v>0</v>
      </c>
      <c r="BV22">
        <f t="shared" si="35"/>
        <v>0</v>
      </c>
      <c r="BW22">
        <f t="shared" si="36"/>
        <v>90</v>
      </c>
      <c r="BX22">
        <f t="shared" si="37"/>
        <v>0</v>
      </c>
      <c r="BY22">
        <f t="shared" si="38"/>
        <v>0</v>
      </c>
      <c r="BZ22">
        <f t="shared" si="39"/>
        <v>0</v>
      </c>
      <c r="CA22">
        <f t="shared" si="40"/>
        <v>0</v>
      </c>
      <c r="CB22">
        <f t="shared" si="41"/>
        <v>0</v>
      </c>
      <c r="CC22">
        <f t="shared" si="42"/>
        <v>0</v>
      </c>
      <c r="CD22">
        <f t="shared" si="43"/>
        <v>80</v>
      </c>
      <c r="CE22">
        <f t="shared" si="44"/>
        <v>0</v>
      </c>
      <c r="CF22">
        <f t="shared" si="45"/>
        <v>0</v>
      </c>
      <c r="CG22">
        <f t="shared" si="46"/>
        <v>46.2</v>
      </c>
      <c r="CH22">
        <f t="shared" si="47"/>
        <v>17.600000000000001</v>
      </c>
      <c r="CI22">
        <f t="shared" si="48"/>
        <v>0</v>
      </c>
      <c r="CJ22">
        <f t="shared" si="49"/>
        <v>0</v>
      </c>
      <c r="CK22">
        <f t="shared" si="50"/>
        <v>0</v>
      </c>
      <c r="CL22">
        <f t="shared" si="51"/>
        <v>0</v>
      </c>
      <c r="CM22">
        <f t="shared" si="52"/>
        <v>0</v>
      </c>
      <c r="CN22">
        <f t="shared" si="53"/>
        <v>0</v>
      </c>
      <c r="CO22">
        <f t="shared" si="54"/>
        <v>0</v>
      </c>
      <c r="CP22" t="str">
        <f t="shared" si="19"/>
        <v/>
      </c>
      <c r="CQ22">
        <f t="shared" si="55"/>
        <v>0</v>
      </c>
      <c r="CR22" t="str">
        <f t="shared" si="56"/>
        <v/>
      </c>
      <c r="CS22">
        <f t="shared" si="57"/>
        <v>0</v>
      </c>
      <c r="CT22">
        <f t="shared" si="58"/>
        <v>0</v>
      </c>
      <c r="CU22">
        <f t="shared" si="59"/>
        <v>0</v>
      </c>
      <c r="CV22">
        <f t="shared" si="60"/>
        <v>203.7166666666667</v>
      </c>
      <c r="CW22">
        <f t="shared" si="61"/>
        <v>210</v>
      </c>
      <c r="CX22">
        <f t="shared" si="62"/>
        <v>120</v>
      </c>
      <c r="CY22">
        <f t="shared" si="63"/>
        <v>0</v>
      </c>
      <c r="CZ22">
        <f t="shared" si="64"/>
        <v>0</v>
      </c>
      <c r="DA22">
        <f t="shared" si="65"/>
        <v>0</v>
      </c>
      <c r="DB22">
        <f t="shared" si="66"/>
        <v>0</v>
      </c>
      <c r="DC22" t="str">
        <f t="shared" si="67"/>
        <v/>
      </c>
      <c r="DD22">
        <f t="shared" si="68"/>
        <v>0</v>
      </c>
      <c r="DE22">
        <f t="shared" si="69"/>
        <v>0</v>
      </c>
      <c r="DF22">
        <f t="shared" si="70"/>
        <v>12.15</v>
      </c>
      <c r="DG22">
        <f t="shared" si="71"/>
        <v>0</v>
      </c>
      <c r="DH22">
        <f t="shared" si="72"/>
        <v>0</v>
      </c>
      <c r="DI22">
        <f t="shared" si="26"/>
        <v>0</v>
      </c>
      <c r="DJ22"/>
      <c r="DK22"/>
      <c r="DL22">
        <f t="shared" si="73"/>
        <v>0</v>
      </c>
      <c r="DM22">
        <f t="shared" si="74"/>
        <v>0</v>
      </c>
      <c r="DN22">
        <f t="shared" si="75"/>
        <v>0</v>
      </c>
      <c r="DO22" t="e">
        <f t="shared" si="76"/>
        <v>#N/A</v>
      </c>
      <c r="DP22">
        <f t="shared" si="77"/>
        <v>0</v>
      </c>
      <c r="DQ22" t="e">
        <f t="shared" si="78"/>
        <v>#N/A</v>
      </c>
      <c r="DR22" t="e">
        <f t="shared" si="79"/>
        <v>#N/A</v>
      </c>
      <c r="DS22">
        <f t="shared" si="80"/>
        <v>0</v>
      </c>
      <c r="DT22">
        <f t="shared" si="81"/>
        <v>0</v>
      </c>
      <c r="DU22">
        <f t="shared" si="82"/>
        <v>0</v>
      </c>
      <c r="DV22">
        <f t="shared" si="27"/>
        <v>0</v>
      </c>
      <c r="DW22">
        <f t="shared" si="83"/>
        <v>0</v>
      </c>
      <c r="DX22">
        <f t="shared" si="84"/>
        <v>0</v>
      </c>
      <c r="DY22">
        <f t="shared" si="85"/>
        <v>0</v>
      </c>
      <c r="DZ22">
        <f t="shared" si="86"/>
        <v>0</v>
      </c>
      <c r="EA22">
        <f t="shared" si="87"/>
        <v>0</v>
      </c>
      <c r="EB22">
        <f t="shared" si="88"/>
        <v>0</v>
      </c>
      <c r="EC22">
        <f t="shared" si="89"/>
        <v>0</v>
      </c>
      <c r="ED22">
        <f t="shared" si="90"/>
        <v>0</v>
      </c>
      <c r="EE22">
        <f t="shared" si="91"/>
        <v>0</v>
      </c>
      <c r="EF22">
        <f t="shared" si="92"/>
        <v>0</v>
      </c>
      <c r="EG22">
        <f t="shared" si="93"/>
        <v>0</v>
      </c>
      <c r="EH22">
        <f t="shared" si="28"/>
        <v>0</v>
      </c>
      <c r="EI22">
        <f t="shared" si="94"/>
        <v>-70</v>
      </c>
      <c r="EJ22">
        <f t="shared" si="95"/>
        <v>0</v>
      </c>
      <c r="EK22">
        <f t="shared" si="96"/>
        <v>0</v>
      </c>
      <c r="EL22">
        <f t="shared" si="97"/>
        <v>0</v>
      </c>
      <c r="EM22" t="e">
        <f t="shared" si="98"/>
        <v>#DIV/0!</v>
      </c>
      <c r="EN22">
        <f t="shared" si="99"/>
        <v>0</v>
      </c>
      <c r="EO22" t="str">
        <f t="shared" si="100"/>
        <v>üh</v>
      </c>
      <c r="EP22">
        <f t="shared" si="101"/>
        <v>0</v>
      </c>
      <c r="EQ22">
        <f t="shared" si="102"/>
        <v>0</v>
      </c>
      <c r="ER22">
        <f t="shared" si="103"/>
        <v>0</v>
      </c>
      <c r="ES22">
        <f t="shared" si="104"/>
        <v>0</v>
      </c>
      <c r="ET22">
        <f t="shared" si="105"/>
        <v>0</v>
      </c>
      <c r="EU22">
        <f t="shared" si="106"/>
        <v>0</v>
      </c>
      <c r="EV22">
        <f t="shared" si="107"/>
        <v>0</v>
      </c>
      <c r="EW22">
        <f t="shared" si="108"/>
        <v>0</v>
      </c>
      <c r="EX22">
        <f t="shared" si="109"/>
        <v>0</v>
      </c>
      <c r="EY22">
        <f t="shared" si="110"/>
        <v>0</v>
      </c>
      <c r="EZ22">
        <f t="shared" si="111"/>
        <v>0</v>
      </c>
      <c r="FA22">
        <f t="shared" si="112"/>
        <v>0</v>
      </c>
      <c r="FB22" t="str">
        <f t="shared" si="113"/>
        <v/>
      </c>
      <c r="FC22" t="str">
        <f t="shared" si="114"/>
        <v/>
      </c>
      <c r="FD22" t="str">
        <f>IF(AS22+E22=0,"",IF(SUM(L22:M22)=2,IF(SUM(N22+O22+BC22+BD22)=2,"",Sprache!$B$107),Sprache!$B$107))</f>
        <v/>
      </c>
      <c r="FE22" t="str">
        <f t="shared" si="115"/>
        <v/>
      </c>
      <c r="FF22" t="str">
        <f t="shared" si="116"/>
        <v/>
      </c>
      <c r="FG22" t="str">
        <f t="shared" si="117"/>
        <v/>
      </c>
      <c r="FH22" t="str">
        <f t="shared" ca="1" si="118"/>
        <v/>
      </c>
      <c r="FI22" t="str">
        <f t="shared" si="119"/>
        <v/>
      </c>
      <c r="FJ22" t="str">
        <f t="shared" si="120"/>
        <v/>
      </c>
      <c r="FK22" t="str">
        <f t="shared" si="121"/>
        <v/>
      </c>
      <c r="FL22" t="str">
        <f t="shared" si="122"/>
        <v/>
      </c>
      <c r="FM22" t="str">
        <f t="shared" si="123"/>
        <v/>
      </c>
      <c r="FN22" t="str">
        <f t="shared" si="124"/>
        <v/>
      </c>
      <c r="FO22" t="str">
        <f t="shared" si="125"/>
        <v/>
      </c>
      <c r="FP22" t="str">
        <f t="shared" si="126"/>
        <v/>
      </c>
      <c r="FQ22" t="str">
        <f>IF(AO22="","",IF(DK182=0,Sprache!$B$65&amp;" ?",IF(CH182="?",$FQ$4,"")))</f>
        <v/>
      </c>
      <c r="FR22" t="str">
        <f t="shared" si="127"/>
        <v/>
      </c>
      <c r="FS22" t="str">
        <f t="shared" si="128"/>
        <v/>
      </c>
      <c r="FT22" t="str">
        <f t="shared" si="129"/>
        <v/>
      </c>
      <c r="FU22"/>
      <c r="FV22" t="str">
        <f ca="1">IF(TODAY()=$A$3,"",IF(TODAY()&gt;DATE(2018,7,1),CONCATENATE(Sprache!$B$89),""))</f>
        <v>outdated version</v>
      </c>
      <c r="FW22" t="str">
        <f t="shared" ca="1" si="130"/>
        <v>outdated version</v>
      </c>
      <c r="FX22" t="str">
        <f t="shared" ca="1" si="131"/>
        <v>outdated version</v>
      </c>
      <c r="FY22" t="str">
        <f t="shared" ca="1" si="132"/>
        <v/>
      </c>
      <c r="FZ22"/>
      <c r="GA22" s="407">
        <f t="shared" si="133"/>
        <v>0</v>
      </c>
      <c r="GB22" s="405"/>
      <c r="GC22" s="405"/>
      <c r="GD22" s="406"/>
      <c r="GE22" s="407">
        <f t="shared" si="134"/>
        <v>0</v>
      </c>
      <c r="GF22" s="405"/>
      <c r="GG22" s="404"/>
      <c r="GH22" s="406"/>
    </row>
    <row r="23" spans="1:190" s="243" customFormat="1" ht="14.25" customHeight="1" x14ac:dyDescent="0.2">
      <c r="A23" s="220"/>
      <c r="B23" s="221"/>
      <c r="C23" s="222"/>
      <c r="D23" s="223">
        <f t="shared" si="20"/>
        <v>0</v>
      </c>
      <c r="E23" s="223">
        <f t="shared" si="21"/>
        <v>0</v>
      </c>
      <c r="F23" s="224"/>
      <c r="G23" s="225"/>
      <c r="H23" s="225"/>
      <c r="I23" s="272"/>
      <c r="J23" s="264"/>
      <c r="K23" s="226"/>
      <c r="L23" s="227">
        <v>1</v>
      </c>
      <c r="M23" s="228">
        <f t="shared" si="150"/>
        <v>1</v>
      </c>
      <c r="N23" s="229">
        <f t="shared" si="151"/>
        <v>2</v>
      </c>
      <c r="O23" s="230"/>
      <c r="P23" s="231"/>
      <c r="Q23" s="232"/>
      <c r="R23" s="233">
        <f t="shared" si="152"/>
        <v>0</v>
      </c>
      <c r="S23" s="233">
        <f t="shared" si="153"/>
        <v>0</v>
      </c>
      <c r="T23" s="245">
        <f t="shared" si="154"/>
        <v>0</v>
      </c>
      <c r="U23" s="234"/>
      <c r="V23" s="270"/>
      <c r="W23" s="267"/>
      <c r="X23" s="235">
        <f t="shared" si="155"/>
        <v>0</v>
      </c>
      <c r="Y23" s="236" t="str">
        <f t="shared" si="156"/>
        <v/>
      </c>
      <c r="Z23" s="237">
        <f t="shared" si="157"/>
        <v>0</v>
      </c>
      <c r="AA23" s="238">
        <f t="shared" si="158"/>
        <v>0</v>
      </c>
      <c r="AB23" s="239" t="str">
        <f t="shared" si="159"/>
        <v/>
      </c>
      <c r="AC23" s="240" t="str">
        <f t="shared" ca="1" si="160"/>
        <v/>
      </c>
      <c r="AD23" s="394" t="str">
        <f t="shared" ca="1" si="161"/>
        <v/>
      </c>
      <c r="AE23" s="241" t="str">
        <f>IF(AO23="","",IFERROR(IF(ELEMENT!$CH$78=ELEMENT!$CM$63,(AC23/AA23/10.75),(AC23/AA23)),""))</f>
        <v/>
      </c>
      <c r="AF23" s="241" t="str">
        <f t="shared" si="162"/>
        <v/>
      </c>
      <c r="AG23" s="238" t="str">
        <f t="shared" si="163"/>
        <v/>
      </c>
      <c r="AH23" s="242" t="str">
        <f t="shared" si="164"/>
        <v/>
      </c>
      <c r="AI23" s="192"/>
      <c r="AJ23" s="274"/>
      <c r="AK23"/>
      <c r="AL23"/>
      <c r="AM23">
        <f t="shared" si="135"/>
        <v>0</v>
      </c>
      <c r="AN23" t="str">
        <f t="shared" si="136"/>
        <v/>
      </c>
      <c r="AO23" t="str">
        <f t="shared" si="137"/>
        <v/>
      </c>
      <c r="AP23" t="str">
        <f t="shared" si="138"/>
        <v/>
      </c>
      <c r="AQ23">
        <f t="shared" si="22"/>
        <v>0</v>
      </c>
      <c r="AR23">
        <f t="shared" si="139"/>
        <v>2</v>
      </c>
      <c r="AS23">
        <f t="shared" si="29"/>
        <v>0</v>
      </c>
      <c r="AT23">
        <f t="shared" si="23"/>
        <v>0</v>
      </c>
      <c r="AU23">
        <f t="shared" si="140"/>
        <v>0</v>
      </c>
      <c r="AV23">
        <f t="shared" si="141"/>
        <v>0</v>
      </c>
      <c r="AW23">
        <f t="shared" si="142"/>
        <v>0</v>
      </c>
      <c r="AX23" t="str">
        <f t="shared" si="24"/>
        <v/>
      </c>
      <c r="AY23">
        <f t="shared" si="143"/>
        <v>0</v>
      </c>
      <c r="AZ23">
        <f t="shared" si="144"/>
        <v>0</v>
      </c>
      <c r="BA23">
        <f t="shared" si="145"/>
        <v>0</v>
      </c>
      <c r="BB23">
        <f t="shared" si="146"/>
        <v>0</v>
      </c>
      <c r="BC23">
        <f t="shared" si="147"/>
        <v>0</v>
      </c>
      <c r="BD23">
        <f t="shared" si="148"/>
        <v>0</v>
      </c>
      <c r="BE23">
        <f t="shared" si="149"/>
        <v>0</v>
      </c>
      <c r="BF23">
        <f t="shared" si="165"/>
        <v>0</v>
      </c>
      <c r="BG23">
        <f>IF($AH$4=$CK$75,'S2'!T23,
IF($AH$4=$CL$75,'S3'!T23,
IF($AH$4=$CJ$75,'S1'!T23,
IF($AH$4=$CM$75,S3M!T23,))))</f>
        <v>15</v>
      </c>
      <c r="BH23">
        <f>IF($AH$4=$CK$75,'S2'!U23,
IF($AH$4=$CL$75,'S3'!U23,
IF($AH$4=$CJ$75,'S1'!U23,
IF($AH$4=$CM$75,S3M!U23,))))</f>
        <v>20</v>
      </c>
      <c r="BI23">
        <f>IF($AH$4=$CK$75,'S2'!V23,
IF($AH$4=$CL$75,'S3'!V23,
IF($AH$4=$CJ$75,'S1'!V23,
IF($AH$4=$CM$75,S3M!V23,))))</f>
        <v>90</v>
      </c>
      <c r="BJ23">
        <f>IF($AH$4=$CK$75,'S2'!W23,
IF($AH$4=$CL$75,'S3'!W23,
IF($AH$4=$CJ$75,'S1'!W23,
IF($AH$4=$CM$75,S3M!W23,))))</f>
        <v>5.5</v>
      </c>
      <c r="BK23">
        <f>IF($AH$4=$CK$75,'S2'!X23,
IF($AH$4=$CL$75,'S3'!X23,
IF($AH$4=$CJ$75,'S1'!X23,
IF($AH$4=$CM$75,S3M!X23,))))</f>
        <v>69.300000000000011</v>
      </c>
      <c r="BL23">
        <f>IF($AH$4=$CK$75,'S2'!Y23,
IF($AH$4=$CL$75,'S3'!Y23,
IF($AH$4=$CJ$75,'S1'!Y23,
IF($AH$4=$CM$75,S3M!Y23,))))</f>
        <v>170</v>
      </c>
      <c r="BM23">
        <f>IF($AH$4=$CK$75,'S2'!Z23,
IF($AH$4=$CL$75,'S3'!Z23,
IF($AH$4=$CJ$75,'S1'!Z23,
IF($AH$4=$CM$75,S3M!Z23,))))</f>
        <v>58</v>
      </c>
      <c r="BN23">
        <f>IF($AH$4=$CK$75,'S2'!AA23,
IF($AH$4=$CL$75,'S3'!AA23,
IF($AH$4=$CJ$75,'S1'!AA23,
IF($AH$4=$CM$75,S3M!AA23,))))</f>
        <v>0.622</v>
      </c>
      <c r="BO23">
        <f>IF($AH$4=$CK$75,'S2'!AB23,
IF($AH$4=$CL$75,'S3'!AB23,
IF($AH$4=$CJ$75,'S1'!AB23,
IF($AH$4=$CM$75,S3M!AB23,))))</f>
        <v>4.0999999999999996</v>
      </c>
      <c r="BP23">
        <v>0.4</v>
      </c>
      <c r="BQ23">
        <f t="shared" si="30"/>
        <v>58</v>
      </c>
      <c r="BR23">
        <f t="shared" si="31"/>
        <v>32</v>
      </c>
      <c r="BS23">
        <f t="shared" si="32"/>
        <v>0</v>
      </c>
      <c r="BT23">
        <f t="shared" si="33"/>
        <v>0</v>
      </c>
      <c r="BU23">
        <f t="shared" si="34"/>
        <v>0</v>
      </c>
      <c r="BV23">
        <f t="shared" si="35"/>
        <v>0</v>
      </c>
      <c r="BW23">
        <f t="shared" si="36"/>
        <v>90</v>
      </c>
      <c r="BX23">
        <f t="shared" si="37"/>
        <v>0</v>
      </c>
      <c r="BY23">
        <f t="shared" si="38"/>
        <v>0</v>
      </c>
      <c r="BZ23">
        <f t="shared" si="39"/>
        <v>0</v>
      </c>
      <c r="CA23">
        <f t="shared" si="40"/>
        <v>0</v>
      </c>
      <c r="CB23">
        <f t="shared" si="41"/>
        <v>0</v>
      </c>
      <c r="CC23">
        <f t="shared" si="42"/>
        <v>0</v>
      </c>
      <c r="CD23">
        <f t="shared" si="43"/>
        <v>80</v>
      </c>
      <c r="CE23">
        <f t="shared" si="44"/>
        <v>0</v>
      </c>
      <c r="CF23">
        <f t="shared" si="45"/>
        <v>0</v>
      </c>
      <c r="CG23">
        <f t="shared" si="46"/>
        <v>46.2</v>
      </c>
      <c r="CH23">
        <f t="shared" si="47"/>
        <v>17.600000000000001</v>
      </c>
      <c r="CI23">
        <f t="shared" si="48"/>
        <v>0</v>
      </c>
      <c r="CJ23">
        <f t="shared" si="49"/>
        <v>0</v>
      </c>
      <c r="CK23">
        <f t="shared" si="50"/>
        <v>0</v>
      </c>
      <c r="CL23">
        <f t="shared" si="51"/>
        <v>0</v>
      </c>
      <c r="CM23">
        <f t="shared" si="52"/>
        <v>0</v>
      </c>
      <c r="CN23">
        <f t="shared" si="53"/>
        <v>0</v>
      </c>
      <c r="CO23">
        <f t="shared" si="54"/>
        <v>0</v>
      </c>
      <c r="CP23" t="str">
        <f t="shared" si="19"/>
        <v/>
      </c>
      <c r="CQ23">
        <f t="shared" si="55"/>
        <v>0</v>
      </c>
      <c r="CR23" t="str">
        <f t="shared" si="56"/>
        <v/>
      </c>
      <c r="CS23">
        <f t="shared" si="57"/>
        <v>0</v>
      </c>
      <c r="CT23">
        <f t="shared" si="58"/>
        <v>0</v>
      </c>
      <c r="CU23">
        <f t="shared" si="59"/>
        <v>0</v>
      </c>
      <c r="CV23">
        <f t="shared" si="60"/>
        <v>203.7166666666667</v>
      </c>
      <c r="CW23">
        <f t="shared" si="61"/>
        <v>210</v>
      </c>
      <c r="CX23">
        <f t="shared" si="62"/>
        <v>120</v>
      </c>
      <c r="CY23">
        <f t="shared" si="63"/>
        <v>0</v>
      </c>
      <c r="CZ23">
        <f t="shared" si="64"/>
        <v>0</v>
      </c>
      <c r="DA23">
        <f t="shared" si="65"/>
        <v>0</v>
      </c>
      <c r="DB23">
        <f t="shared" si="66"/>
        <v>0</v>
      </c>
      <c r="DC23" t="str">
        <f t="shared" si="67"/>
        <v/>
      </c>
      <c r="DD23">
        <f t="shared" si="68"/>
        <v>0</v>
      </c>
      <c r="DE23">
        <f t="shared" si="69"/>
        <v>0</v>
      </c>
      <c r="DF23">
        <f t="shared" si="70"/>
        <v>12.15</v>
      </c>
      <c r="DG23">
        <f t="shared" si="71"/>
        <v>0</v>
      </c>
      <c r="DH23">
        <f t="shared" si="72"/>
        <v>0</v>
      </c>
      <c r="DI23">
        <f t="shared" si="26"/>
        <v>0</v>
      </c>
      <c r="DJ23"/>
      <c r="DK23"/>
      <c r="DL23">
        <f t="shared" si="73"/>
        <v>0</v>
      </c>
      <c r="DM23">
        <f t="shared" si="74"/>
        <v>0</v>
      </c>
      <c r="DN23">
        <f t="shared" si="75"/>
        <v>0</v>
      </c>
      <c r="DO23" t="e">
        <f t="shared" si="76"/>
        <v>#N/A</v>
      </c>
      <c r="DP23">
        <f t="shared" si="77"/>
        <v>0</v>
      </c>
      <c r="DQ23" t="e">
        <f t="shared" si="78"/>
        <v>#N/A</v>
      </c>
      <c r="DR23" t="e">
        <f t="shared" si="79"/>
        <v>#N/A</v>
      </c>
      <c r="DS23">
        <f t="shared" si="80"/>
        <v>0</v>
      </c>
      <c r="DT23">
        <f t="shared" si="81"/>
        <v>0</v>
      </c>
      <c r="DU23">
        <f t="shared" si="82"/>
        <v>0</v>
      </c>
      <c r="DV23">
        <f t="shared" si="27"/>
        <v>0</v>
      </c>
      <c r="DW23">
        <f t="shared" si="83"/>
        <v>0</v>
      </c>
      <c r="DX23">
        <f t="shared" si="84"/>
        <v>0</v>
      </c>
      <c r="DY23">
        <f t="shared" si="85"/>
        <v>0</v>
      </c>
      <c r="DZ23">
        <f t="shared" si="86"/>
        <v>0</v>
      </c>
      <c r="EA23">
        <f t="shared" si="87"/>
        <v>0</v>
      </c>
      <c r="EB23">
        <f t="shared" si="88"/>
        <v>0</v>
      </c>
      <c r="EC23">
        <f t="shared" si="89"/>
        <v>0</v>
      </c>
      <c r="ED23">
        <f t="shared" si="90"/>
        <v>0</v>
      </c>
      <c r="EE23">
        <f t="shared" si="91"/>
        <v>0</v>
      </c>
      <c r="EF23">
        <f t="shared" si="92"/>
        <v>0</v>
      </c>
      <c r="EG23">
        <f t="shared" si="93"/>
        <v>0</v>
      </c>
      <c r="EH23">
        <f t="shared" si="28"/>
        <v>0</v>
      </c>
      <c r="EI23">
        <f t="shared" si="94"/>
        <v>-70</v>
      </c>
      <c r="EJ23">
        <f t="shared" si="95"/>
        <v>0</v>
      </c>
      <c r="EK23">
        <f t="shared" si="96"/>
        <v>0</v>
      </c>
      <c r="EL23">
        <f t="shared" si="97"/>
        <v>0</v>
      </c>
      <c r="EM23" t="e">
        <f t="shared" si="98"/>
        <v>#DIV/0!</v>
      </c>
      <c r="EN23">
        <f t="shared" si="99"/>
        <v>0</v>
      </c>
      <c r="EO23" t="str">
        <f t="shared" si="100"/>
        <v>üh</v>
      </c>
      <c r="EP23">
        <f t="shared" si="101"/>
        <v>0</v>
      </c>
      <c r="EQ23">
        <f t="shared" si="102"/>
        <v>0</v>
      </c>
      <c r="ER23">
        <f t="shared" si="103"/>
        <v>0</v>
      </c>
      <c r="ES23">
        <f t="shared" si="104"/>
        <v>0</v>
      </c>
      <c r="ET23">
        <f t="shared" si="105"/>
        <v>0</v>
      </c>
      <c r="EU23">
        <f t="shared" si="106"/>
        <v>0</v>
      </c>
      <c r="EV23">
        <f t="shared" si="107"/>
        <v>0</v>
      </c>
      <c r="EW23">
        <f t="shared" si="108"/>
        <v>0</v>
      </c>
      <c r="EX23">
        <f t="shared" si="109"/>
        <v>0</v>
      </c>
      <c r="EY23">
        <f t="shared" si="110"/>
        <v>0</v>
      </c>
      <c r="EZ23">
        <f t="shared" si="111"/>
        <v>0</v>
      </c>
      <c r="FA23">
        <f t="shared" si="112"/>
        <v>0</v>
      </c>
      <c r="FB23" t="str">
        <f t="shared" si="113"/>
        <v/>
      </c>
      <c r="FC23" t="str">
        <f t="shared" si="114"/>
        <v/>
      </c>
      <c r="FD23" t="str">
        <f>IF(AS23+E23=0,"",IF(SUM(L23:M23)=2,IF(SUM(N23+O23+BC23+BD23)=2,"",Sprache!$B$107),Sprache!$B$107))</f>
        <v/>
      </c>
      <c r="FE23" t="str">
        <f t="shared" si="115"/>
        <v/>
      </c>
      <c r="FF23" t="str">
        <f t="shared" si="116"/>
        <v/>
      </c>
      <c r="FG23" t="str">
        <f t="shared" si="117"/>
        <v/>
      </c>
      <c r="FH23" t="str">
        <f t="shared" ca="1" si="118"/>
        <v/>
      </c>
      <c r="FI23" t="str">
        <f t="shared" si="119"/>
        <v/>
      </c>
      <c r="FJ23" t="str">
        <f t="shared" si="120"/>
        <v/>
      </c>
      <c r="FK23" t="str">
        <f t="shared" si="121"/>
        <v/>
      </c>
      <c r="FL23" t="str">
        <f t="shared" si="122"/>
        <v/>
      </c>
      <c r="FM23" t="str">
        <f t="shared" si="123"/>
        <v/>
      </c>
      <c r="FN23" t="str">
        <f t="shared" si="124"/>
        <v/>
      </c>
      <c r="FO23" t="str">
        <f t="shared" si="125"/>
        <v/>
      </c>
      <c r="FP23" t="str">
        <f t="shared" si="126"/>
        <v/>
      </c>
      <c r="FQ23" t="str">
        <f>IF(AO23="","",IF(DK183=0,Sprache!$B$65&amp;" ?",IF(CH183="?",$FQ$4,"")))</f>
        <v/>
      </c>
      <c r="FR23" t="str">
        <f t="shared" si="127"/>
        <v/>
      </c>
      <c r="FS23" t="str">
        <f t="shared" si="128"/>
        <v/>
      </c>
      <c r="FT23" t="str">
        <f t="shared" si="129"/>
        <v/>
      </c>
      <c r="FU23"/>
      <c r="FV23" t="str">
        <f ca="1">IF(TODAY()=$A$3,"",IF(TODAY()&gt;DATE(2018,7,1),CONCATENATE(Sprache!$B$89),""))</f>
        <v>outdated version</v>
      </c>
      <c r="FW23" t="str">
        <f t="shared" ca="1" si="130"/>
        <v>outdated version</v>
      </c>
      <c r="FX23" t="str">
        <f t="shared" ca="1" si="131"/>
        <v>outdated version</v>
      </c>
      <c r="FY23" t="str">
        <f t="shared" ca="1" si="132"/>
        <v/>
      </c>
      <c r="FZ23"/>
      <c r="GA23" s="407">
        <f t="shared" si="133"/>
        <v>0</v>
      </c>
      <c r="GB23" s="405"/>
      <c r="GC23" s="405"/>
      <c r="GD23" s="406"/>
      <c r="GE23" s="407">
        <f t="shared" si="134"/>
        <v>0</v>
      </c>
      <c r="GF23" s="405"/>
      <c r="GG23" s="404"/>
      <c r="GH23" s="406"/>
    </row>
    <row r="24" spans="1:190" s="243" customFormat="1" ht="14.25" customHeight="1" x14ac:dyDescent="0.2">
      <c r="A24" s="220"/>
      <c r="B24" s="221"/>
      <c r="C24" s="222"/>
      <c r="D24" s="223">
        <f t="shared" si="20"/>
        <v>0</v>
      </c>
      <c r="E24" s="223">
        <f t="shared" si="21"/>
        <v>0</v>
      </c>
      <c r="F24" s="224"/>
      <c r="G24" s="225"/>
      <c r="H24" s="225"/>
      <c r="I24" s="272"/>
      <c r="J24" s="264"/>
      <c r="K24" s="226"/>
      <c r="L24" s="227">
        <v>1</v>
      </c>
      <c r="M24" s="228">
        <f t="shared" si="150"/>
        <v>1</v>
      </c>
      <c r="N24" s="229">
        <f t="shared" si="151"/>
        <v>2</v>
      </c>
      <c r="O24" s="230"/>
      <c r="P24" s="231"/>
      <c r="Q24" s="232"/>
      <c r="R24" s="233">
        <f t="shared" si="152"/>
        <v>0</v>
      </c>
      <c r="S24" s="233">
        <f t="shared" si="153"/>
        <v>0</v>
      </c>
      <c r="T24" s="245">
        <f t="shared" si="154"/>
        <v>0</v>
      </c>
      <c r="U24" s="234"/>
      <c r="V24" s="270"/>
      <c r="W24" s="267"/>
      <c r="X24" s="235">
        <f t="shared" si="155"/>
        <v>0</v>
      </c>
      <c r="Y24" s="236" t="str">
        <f t="shared" si="156"/>
        <v/>
      </c>
      <c r="Z24" s="237">
        <f t="shared" si="157"/>
        <v>0</v>
      </c>
      <c r="AA24" s="238">
        <f t="shared" si="158"/>
        <v>0</v>
      </c>
      <c r="AB24" s="239" t="str">
        <f t="shared" si="159"/>
        <v/>
      </c>
      <c r="AC24" s="240" t="str">
        <f t="shared" ca="1" si="160"/>
        <v/>
      </c>
      <c r="AD24" s="394" t="str">
        <f t="shared" ca="1" si="161"/>
        <v/>
      </c>
      <c r="AE24" s="241" t="str">
        <f>IF(AO24="","",IFERROR(IF(ELEMENT!$CH$78=ELEMENT!$CM$63,(AC24/AA24/10.75),(AC24/AA24)),""))</f>
        <v/>
      </c>
      <c r="AF24" s="241" t="str">
        <f t="shared" si="162"/>
        <v/>
      </c>
      <c r="AG24" s="238" t="str">
        <f t="shared" si="163"/>
        <v/>
      </c>
      <c r="AH24" s="242" t="str">
        <f t="shared" si="164"/>
        <v/>
      </c>
      <c r="AI24" s="192"/>
      <c r="AJ24" s="274"/>
      <c r="AK24"/>
      <c r="AL24"/>
      <c r="AM24">
        <f t="shared" si="135"/>
        <v>0</v>
      </c>
      <c r="AN24" t="str">
        <f t="shared" si="136"/>
        <v/>
      </c>
      <c r="AO24" t="str">
        <f t="shared" si="137"/>
        <v/>
      </c>
      <c r="AP24" t="str">
        <f t="shared" si="138"/>
        <v/>
      </c>
      <c r="AQ24">
        <f t="shared" si="22"/>
        <v>0</v>
      </c>
      <c r="AR24">
        <f t="shared" si="139"/>
        <v>2</v>
      </c>
      <c r="AS24">
        <f t="shared" si="29"/>
        <v>0</v>
      </c>
      <c r="AT24">
        <f t="shared" si="23"/>
        <v>0</v>
      </c>
      <c r="AU24">
        <f t="shared" si="140"/>
        <v>0</v>
      </c>
      <c r="AV24">
        <f t="shared" si="141"/>
        <v>0</v>
      </c>
      <c r="AW24">
        <f t="shared" si="142"/>
        <v>0</v>
      </c>
      <c r="AX24" t="str">
        <f t="shared" si="24"/>
        <v/>
      </c>
      <c r="AY24">
        <f t="shared" si="143"/>
        <v>0</v>
      </c>
      <c r="AZ24">
        <f t="shared" si="144"/>
        <v>0</v>
      </c>
      <c r="BA24">
        <f t="shared" si="145"/>
        <v>0</v>
      </c>
      <c r="BB24">
        <f t="shared" si="146"/>
        <v>0</v>
      </c>
      <c r="BC24">
        <f t="shared" si="147"/>
        <v>0</v>
      </c>
      <c r="BD24">
        <f t="shared" si="148"/>
        <v>0</v>
      </c>
      <c r="BE24">
        <f t="shared" si="149"/>
        <v>0</v>
      </c>
      <c r="BF24">
        <f t="shared" si="165"/>
        <v>0</v>
      </c>
      <c r="BG24">
        <f>IF($AH$4=$CK$75,'S2'!T24,
IF($AH$4=$CL$75,'S3'!T24,
IF($AH$4=$CJ$75,'S1'!T24,
IF($AH$4=$CM$75,S3M!T24,))))</f>
        <v>15</v>
      </c>
      <c r="BH24">
        <f>IF($AH$4=$CK$75,'S2'!U24,
IF($AH$4=$CL$75,'S3'!U24,
IF($AH$4=$CJ$75,'S1'!U24,
IF($AH$4=$CM$75,S3M!U24,))))</f>
        <v>10</v>
      </c>
      <c r="BI24">
        <f>IF($AH$4=$CK$75,'S2'!V24,
IF($AH$4=$CL$75,'S3'!V24,
IF($AH$4=$CJ$75,'S1'!V24,
IF($AH$4=$CM$75,S3M!V24,))))</f>
        <v>15</v>
      </c>
      <c r="BJ24">
        <f>IF($AH$4=$CK$75,'S2'!W24,
IF($AH$4=$CL$75,'S3'!W24,
IF($AH$4=$CJ$75,'S1'!W24,
IF($AH$4=$CM$75,S3M!W24,))))</f>
        <v>5.5</v>
      </c>
      <c r="BK24">
        <f>IF($AH$4=$CK$75,'S2'!X24,
IF($AH$4=$CL$75,'S3'!X24,
IF($AH$4=$CJ$75,'S1'!X24,
IF($AH$4=$CM$75,S3M!X24,))))</f>
        <v>36.300000000000004</v>
      </c>
      <c r="BL24">
        <f>IF($AH$4=$CK$75,'S2'!Y24,
IF($AH$4=$CL$75,'S3'!Y24,
IF($AH$4=$CJ$75,'S1'!Y24,
IF($AH$4=$CM$75,S3M!Y24,))))</f>
        <v>131</v>
      </c>
      <c r="BM24">
        <f>IF($AH$4=$CK$75,'S2'!Z24,
IF($AH$4=$CL$75,'S3'!Z24,
IF($AH$4=$CJ$75,'S1'!Z24,
IF($AH$4=$CM$75,S3M!Z24,))))</f>
        <v>21</v>
      </c>
      <c r="BN24">
        <f>IF($AH$4=$CK$75,'S2'!AA24,
IF($AH$4=$CL$75,'S3'!AA24,
IF($AH$4=$CJ$75,'S1'!AA24,
IF($AH$4=$CM$75,S3M!AA24,))))</f>
        <v>0.29699999999999999</v>
      </c>
      <c r="BO24">
        <f>IF($AH$4=$CK$75,'S2'!AB24,
IF($AH$4=$CL$75,'S3'!AB24,
IF($AH$4=$CJ$75,'S1'!AB24,
IF($AH$4=$CM$75,S3M!AB24,))))</f>
        <v>1.2869999999999999</v>
      </c>
      <c r="BP24">
        <v>0.9</v>
      </c>
      <c r="BQ24">
        <f t="shared" si="30"/>
        <v>58</v>
      </c>
      <c r="BR24">
        <f t="shared" si="31"/>
        <v>32</v>
      </c>
      <c r="BS24">
        <f t="shared" si="32"/>
        <v>0</v>
      </c>
      <c r="BT24">
        <f t="shared" si="33"/>
        <v>0</v>
      </c>
      <c r="BU24">
        <f t="shared" si="34"/>
        <v>0</v>
      </c>
      <c r="BV24">
        <f t="shared" si="35"/>
        <v>0</v>
      </c>
      <c r="BW24">
        <f t="shared" si="36"/>
        <v>90</v>
      </c>
      <c r="BX24">
        <f t="shared" si="37"/>
        <v>0</v>
      </c>
      <c r="BY24">
        <f t="shared" si="38"/>
        <v>0</v>
      </c>
      <c r="BZ24">
        <f t="shared" si="39"/>
        <v>0</v>
      </c>
      <c r="CA24">
        <f t="shared" si="40"/>
        <v>0</v>
      </c>
      <c r="CB24">
        <f t="shared" si="41"/>
        <v>0</v>
      </c>
      <c r="CC24">
        <f t="shared" si="42"/>
        <v>0</v>
      </c>
      <c r="CD24">
        <f t="shared" si="43"/>
        <v>80</v>
      </c>
      <c r="CE24">
        <f t="shared" si="44"/>
        <v>0</v>
      </c>
      <c r="CF24">
        <f t="shared" si="45"/>
        <v>0</v>
      </c>
      <c r="CG24">
        <f t="shared" si="46"/>
        <v>46.2</v>
      </c>
      <c r="CH24">
        <f t="shared" si="47"/>
        <v>17.600000000000001</v>
      </c>
      <c r="CI24">
        <f t="shared" si="48"/>
        <v>0</v>
      </c>
      <c r="CJ24">
        <f t="shared" si="49"/>
        <v>0</v>
      </c>
      <c r="CK24">
        <f t="shared" si="50"/>
        <v>0</v>
      </c>
      <c r="CL24">
        <f t="shared" si="51"/>
        <v>0</v>
      </c>
      <c r="CM24">
        <f t="shared" si="52"/>
        <v>0</v>
      </c>
      <c r="CN24">
        <f t="shared" si="53"/>
        <v>0</v>
      </c>
      <c r="CO24">
        <f t="shared" si="54"/>
        <v>0</v>
      </c>
      <c r="CP24" t="str">
        <f t="shared" si="19"/>
        <v/>
      </c>
      <c r="CQ24">
        <f t="shared" si="55"/>
        <v>0</v>
      </c>
      <c r="CR24" t="str">
        <f t="shared" si="56"/>
        <v/>
      </c>
      <c r="CS24">
        <f t="shared" si="57"/>
        <v>0</v>
      </c>
      <c r="CT24">
        <f t="shared" si="58"/>
        <v>0</v>
      </c>
      <c r="CU24">
        <f t="shared" si="59"/>
        <v>0</v>
      </c>
      <c r="CV24">
        <f t="shared" si="60"/>
        <v>203.7166666666667</v>
      </c>
      <c r="CW24">
        <f t="shared" si="61"/>
        <v>210</v>
      </c>
      <c r="CX24">
        <f t="shared" si="62"/>
        <v>120</v>
      </c>
      <c r="CY24">
        <f t="shared" si="63"/>
        <v>0</v>
      </c>
      <c r="CZ24">
        <f t="shared" si="64"/>
        <v>0</v>
      </c>
      <c r="DA24">
        <f t="shared" si="65"/>
        <v>0</v>
      </c>
      <c r="DB24">
        <f t="shared" si="66"/>
        <v>0</v>
      </c>
      <c r="DC24" t="str">
        <f t="shared" si="67"/>
        <v/>
      </c>
      <c r="DD24">
        <f t="shared" si="68"/>
        <v>0</v>
      </c>
      <c r="DE24">
        <f t="shared" si="69"/>
        <v>0</v>
      </c>
      <c r="DF24">
        <f t="shared" si="70"/>
        <v>12.15</v>
      </c>
      <c r="DG24">
        <f t="shared" si="71"/>
        <v>0</v>
      </c>
      <c r="DH24">
        <f t="shared" si="72"/>
        <v>0</v>
      </c>
      <c r="DI24">
        <f t="shared" si="26"/>
        <v>0</v>
      </c>
      <c r="DJ24"/>
      <c r="DK24"/>
      <c r="DL24">
        <f t="shared" si="73"/>
        <v>0</v>
      </c>
      <c r="DM24">
        <f t="shared" si="74"/>
        <v>0</v>
      </c>
      <c r="DN24">
        <f t="shared" si="75"/>
        <v>0</v>
      </c>
      <c r="DO24" t="e">
        <f t="shared" si="76"/>
        <v>#N/A</v>
      </c>
      <c r="DP24">
        <f t="shared" si="77"/>
        <v>0</v>
      </c>
      <c r="DQ24" t="e">
        <f t="shared" si="78"/>
        <v>#N/A</v>
      </c>
      <c r="DR24" t="e">
        <f t="shared" si="79"/>
        <v>#N/A</v>
      </c>
      <c r="DS24">
        <f t="shared" si="80"/>
        <v>0</v>
      </c>
      <c r="DT24">
        <f t="shared" si="81"/>
        <v>0</v>
      </c>
      <c r="DU24">
        <f t="shared" si="82"/>
        <v>0</v>
      </c>
      <c r="DV24">
        <f t="shared" si="27"/>
        <v>0</v>
      </c>
      <c r="DW24">
        <f t="shared" si="83"/>
        <v>0</v>
      </c>
      <c r="DX24">
        <f t="shared" si="84"/>
        <v>0</v>
      </c>
      <c r="DY24">
        <f t="shared" si="85"/>
        <v>0</v>
      </c>
      <c r="DZ24">
        <f t="shared" si="86"/>
        <v>0</v>
      </c>
      <c r="EA24">
        <f t="shared" si="87"/>
        <v>0</v>
      </c>
      <c r="EB24">
        <f t="shared" si="88"/>
        <v>0</v>
      </c>
      <c r="EC24">
        <f t="shared" si="89"/>
        <v>0</v>
      </c>
      <c r="ED24">
        <f t="shared" si="90"/>
        <v>0</v>
      </c>
      <c r="EE24">
        <f t="shared" si="91"/>
        <v>0</v>
      </c>
      <c r="EF24">
        <f t="shared" si="92"/>
        <v>0</v>
      </c>
      <c r="EG24">
        <f t="shared" si="93"/>
        <v>0</v>
      </c>
      <c r="EH24">
        <f t="shared" si="28"/>
        <v>0</v>
      </c>
      <c r="EI24">
        <f t="shared" si="94"/>
        <v>-70</v>
      </c>
      <c r="EJ24">
        <f t="shared" si="95"/>
        <v>0</v>
      </c>
      <c r="EK24">
        <f t="shared" si="96"/>
        <v>0</v>
      </c>
      <c r="EL24">
        <f t="shared" si="97"/>
        <v>0</v>
      </c>
      <c r="EM24" t="e">
        <f t="shared" si="98"/>
        <v>#DIV/0!</v>
      </c>
      <c r="EN24">
        <f t="shared" si="99"/>
        <v>0</v>
      </c>
      <c r="EO24" t="str">
        <f t="shared" si="100"/>
        <v>üh</v>
      </c>
      <c r="EP24">
        <f t="shared" si="101"/>
        <v>0</v>
      </c>
      <c r="EQ24">
        <f t="shared" si="102"/>
        <v>0</v>
      </c>
      <c r="ER24">
        <f t="shared" si="103"/>
        <v>0</v>
      </c>
      <c r="ES24">
        <f t="shared" si="104"/>
        <v>0</v>
      </c>
      <c r="ET24">
        <f t="shared" si="105"/>
        <v>0</v>
      </c>
      <c r="EU24">
        <f t="shared" si="106"/>
        <v>0</v>
      </c>
      <c r="EV24">
        <f t="shared" si="107"/>
        <v>0</v>
      </c>
      <c r="EW24">
        <f t="shared" si="108"/>
        <v>0</v>
      </c>
      <c r="EX24">
        <f t="shared" si="109"/>
        <v>0</v>
      </c>
      <c r="EY24">
        <f t="shared" si="110"/>
        <v>0</v>
      </c>
      <c r="EZ24">
        <f t="shared" si="111"/>
        <v>0</v>
      </c>
      <c r="FA24">
        <f t="shared" si="112"/>
        <v>0</v>
      </c>
      <c r="FB24" t="str">
        <f t="shared" si="113"/>
        <v/>
      </c>
      <c r="FC24" t="str">
        <f t="shared" si="114"/>
        <v/>
      </c>
      <c r="FD24" t="str">
        <f>IF(AS24+E24=0,"",IF(SUM(L24:M24)=2,IF(SUM(N24+O24+BC24+BD24)=2,"",Sprache!$B$107),Sprache!$B$107))</f>
        <v/>
      </c>
      <c r="FE24" t="str">
        <f t="shared" si="115"/>
        <v/>
      </c>
      <c r="FF24" t="str">
        <f t="shared" si="116"/>
        <v/>
      </c>
      <c r="FG24" t="str">
        <f t="shared" si="117"/>
        <v/>
      </c>
      <c r="FH24" t="str">
        <f t="shared" ca="1" si="118"/>
        <v/>
      </c>
      <c r="FI24" t="str">
        <f t="shared" si="119"/>
        <v/>
      </c>
      <c r="FJ24" t="str">
        <f t="shared" si="120"/>
        <v/>
      </c>
      <c r="FK24" t="str">
        <f t="shared" si="121"/>
        <v/>
      </c>
      <c r="FL24" t="str">
        <f t="shared" si="122"/>
        <v/>
      </c>
      <c r="FM24" t="str">
        <f t="shared" si="123"/>
        <v/>
      </c>
      <c r="FN24" t="str">
        <f t="shared" si="124"/>
        <v/>
      </c>
      <c r="FO24" t="str">
        <f t="shared" si="125"/>
        <v/>
      </c>
      <c r="FP24" t="str">
        <f t="shared" si="126"/>
        <v/>
      </c>
      <c r="FQ24" t="str">
        <f>IF(AO24="","",IF(DK184=0,Sprache!$B$65&amp;" ?",IF(CH184="?",$FQ$4,"")))</f>
        <v/>
      </c>
      <c r="FR24" t="str">
        <f t="shared" si="127"/>
        <v/>
      </c>
      <c r="FS24" t="str">
        <f t="shared" si="128"/>
        <v/>
      </c>
      <c r="FT24" t="str">
        <f t="shared" si="129"/>
        <v/>
      </c>
      <c r="FU24"/>
      <c r="FV24" t="str">
        <f ca="1">IF(TODAY()=$A$3,"",IF(TODAY()&gt;DATE(2018,7,1),CONCATENATE(Sprache!$B$89),""))</f>
        <v>outdated version</v>
      </c>
      <c r="FW24" t="str">
        <f t="shared" ca="1" si="130"/>
        <v>outdated version</v>
      </c>
      <c r="FX24" t="str">
        <f t="shared" ca="1" si="131"/>
        <v>outdated version</v>
      </c>
      <c r="FY24" t="str">
        <f t="shared" ca="1" si="132"/>
        <v/>
      </c>
      <c r="FZ24"/>
      <c r="GA24" s="407">
        <f t="shared" si="133"/>
        <v>0</v>
      </c>
      <c r="GB24" s="405"/>
      <c r="GC24" s="405"/>
      <c r="GD24" s="406"/>
      <c r="GE24" s="407">
        <f t="shared" si="134"/>
        <v>0</v>
      </c>
      <c r="GF24" s="405"/>
      <c r="GG24" s="404"/>
      <c r="GH24" s="406"/>
    </row>
    <row r="25" spans="1:190" s="243" customFormat="1" ht="14.25" customHeight="1" x14ac:dyDescent="0.2">
      <c r="A25" s="220"/>
      <c r="B25" s="221"/>
      <c r="C25" s="222"/>
      <c r="D25" s="223">
        <f t="shared" si="20"/>
        <v>0</v>
      </c>
      <c r="E25" s="223">
        <f t="shared" si="21"/>
        <v>0</v>
      </c>
      <c r="F25" s="224"/>
      <c r="G25" s="225"/>
      <c r="H25" s="225"/>
      <c r="I25" s="272"/>
      <c r="J25" s="264"/>
      <c r="K25" s="226"/>
      <c r="L25" s="227">
        <v>1</v>
      </c>
      <c r="M25" s="228">
        <f t="shared" si="150"/>
        <v>1</v>
      </c>
      <c r="N25" s="229">
        <f t="shared" si="151"/>
        <v>2</v>
      </c>
      <c r="O25" s="230"/>
      <c r="P25" s="231"/>
      <c r="Q25" s="232"/>
      <c r="R25" s="233">
        <f t="shared" si="152"/>
        <v>0</v>
      </c>
      <c r="S25" s="233">
        <f t="shared" si="153"/>
        <v>0</v>
      </c>
      <c r="T25" s="245">
        <f t="shared" si="154"/>
        <v>0</v>
      </c>
      <c r="U25" s="234"/>
      <c r="V25" s="270"/>
      <c r="W25" s="267"/>
      <c r="X25" s="235">
        <f t="shared" si="155"/>
        <v>0</v>
      </c>
      <c r="Y25" s="236" t="str">
        <f t="shared" si="156"/>
        <v/>
      </c>
      <c r="Z25" s="237">
        <f t="shared" si="157"/>
        <v>0</v>
      </c>
      <c r="AA25" s="238">
        <f t="shared" si="158"/>
        <v>0</v>
      </c>
      <c r="AB25" s="239" t="str">
        <f t="shared" si="159"/>
        <v/>
      </c>
      <c r="AC25" s="240" t="str">
        <f t="shared" ca="1" si="160"/>
        <v/>
      </c>
      <c r="AD25" s="394" t="str">
        <f t="shared" ca="1" si="161"/>
        <v/>
      </c>
      <c r="AE25" s="241" t="str">
        <f>IF(AO25="","",IFERROR(IF(ELEMENT!$CH$78=ELEMENT!$CM$63,(AC25/AA25/10.75),(AC25/AA25)),""))</f>
        <v/>
      </c>
      <c r="AF25" s="241" t="str">
        <f t="shared" si="162"/>
        <v/>
      </c>
      <c r="AG25" s="238" t="str">
        <f t="shared" si="163"/>
        <v/>
      </c>
      <c r="AH25" s="242" t="str">
        <f t="shared" si="164"/>
        <v/>
      </c>
      <c r="AI25" s="192"/>
      <c r="AJ25" s="274"/>
      <c r="AK25"/>
      <c r="AL25"/>
      <c r="AM25">
        <f t="shared" si="135"/>
        <v>0</v>
      </c>
      <c r="AN25" t="str">
        <f t="shared" si="136"/>
        <v/>
      </c>
      <c r="AO25" t="str">
        <f t="shared" si="137"/>
        <v/>
      </c>
      <c r="AP25" t="str">
        <f t="shared" si="138"/>
        <v/>
      </c>
      <c r="AQ25">
        <f t="shared" si="22"/>
        <v>0</v>
      </c>
      <c r="AR25">
        <f t="shared" si="139"/>
        <v>2</v>
      </c>
      <c r="AS25">
        <f t="shared" si="29"/>
        <v>0</v>
      </c>
      <c r="AT25">
        <f t="shared" si="23"/>
        <v>0</v>
      </c>
      <c r="AU25">
        <f t="shared" si="140"/>
        <v>0</v>
      </c>
      <c r="AV25">
        <f t="shared" si="141"/>
        <v>0</v>
      </c>
      <c r="AW25">
        <f t="shared" si="142"/>
        <v>0</v>
      </c>
      <c r="AX25" t="str">
        <f t="shared" si="24"/>
        <v/>
      </c>
      <c r="AY25">
        <f t="shared" si="143"/>
        <v>0</v>
      </c>
      <c r="AZ25">
        <f t="shared" si="144"/>
        <v>0</v>
      </c>
      <c r="BA25">
        <f t="shared" si="145"/>
        <v>0</v>
      </c>
      <c r="BB25">
        <f t="shared" si="146"/>
        <v>0</v>
      </c>
      <c r="BC25">
        <f t="shared" si="147"/>
        <v>0</v>
      </c>
      <c r="BD25">
        <f t="shared" si="148"/>
        <v>0</v>
      </c>
      <c r="BE25">
        <f t="shared" si="149"/>
        <v>0</v>
      </c>
      <c r="BF25">
        <f t="shared" si="165"/>
        <v>0</v>
      </c>
      <c r="BG25">
        <f>IF($AH$4=$CK$75,'S2'!T25,
IF($AH$4=$CL$75,'S3'!T25,
IF($AH$4=$CJ$75,'S1'!T25,
IF($AH$4=$CM$75,S3M!T25,))))</f>
        <v>15</v>
      </c>
      <c r="BH25">
        <f>IF($AH$4=$CK$75,'S2'!U25,
IF($AH$4=$CL$75,'S3'!U25,
IF($AH$4=$CJ$75,'S1'!U25,
IF($AH$4=$CM$75,S3M!U25,))))</f>
        <v>10</v>
      </c>
      <c r="BI25">
        <f>IF($AH$4=$CK$75,'S2'!V25,
IF($AH$4=$CL$75,'S3'!V25,
IF($AH$4=$CJ$75,'S1'!V25,
IF($AH$4=$CM$75,S3M!V25,))))</f>
        <v>25</v>
      </c>
      <c r="BJ25">
        <f>IF($AH$4=$CK$75,'S2'!W25,
IF($AH$4=$CL$75,'S3'!W25,
IF($AH$4=$CJ$75,'S1'!W25,
IF($AH$4=$CM$75,S3M!W25,))))</f>
        <v>6.6000000000000005</v>
      </c>
      <c r="BK25">
        <f>IF($AH$4=$CK$75,'S2'!X25,
IF($AH$4=$CL$75,'S3'!X25,
IF($AH$4=$CJ$75,'S1'!X25,
IF($AH$4=$CM$75,S3M!X25,))))</f>
        <v>96</v>
      </c>
      <c r="BL25">
        <f>IF($AH$4=$CK$75,'S2'!Y25,
IF($AH$4=$CL$75,'S3'!Y25,
IF($AH$4=$CJ$75,'S1'!Y25,
IF($AH$4=$CM$75,S3M!Y25,))))</f>
        <v>167</v>
      </c>
      <c r="BM25">
        <f>IF($AH$4=$CK$75,'S2'!Z25,
IF($AH$4=$CL$75,'S3'!Z25,
IF($AH$4=$CJ$75,'S1'!Z25,
IF($AH$4=$CM$75,S3M!Z25,))))</f>
        <v>110</v>
      </c>
      <c r="BN25">
        <f>IF($AH$4=$CK$75,'S2'!AA25,
IF($AH$4=$CL$75,'S3'!AA25,
IF($AH$4=$CJ$75,'S1'!AA25,
IF($AH$4=$CM$75,S3M!AA25,))))</f>
        <v>0.874</v>
      </c>
      <c r="BO25">
        <f>IF($AH$4=$CK$75,'S2'!AB25,
IF($AH$4=$CL$75,'S3'!AB25,
IF($AH$4=$CJ$75,'S1'!AB25,
IF($AH$4=$CM$75,S3M!AB25,))))</f>
        <v>9.8000000000000007</v>
      </c>
      <c r="BP25">
        <v>1</v>
      </c>
      <c r="BQ25">
        <f t="shared" si="30"/>
        <v>58</v>
      </c>
      <c r="BR25">
        <f t="shared" si="31"/>
        <v>32</v>
      </c>
      <c r="BS25">
        <f t="shared" si="32"/>
        <v>0</v>
      </c>
      <c r="BT25">
        <f t="shared" si="33"/>
        <v>0</v>
      </c>
      <c r="BU25">
        <f t="shared" si="34"/>
        <v>0</v>
      </c>
      <c r="BV25">
        <f t="shared" si="35"/>
        <v>0</v>
      </c>
      <c r="BW25">
        <f t="shared" si="36"/>
        <v>90</v>
      </c>
      <c r="BX25">
        <f t="shared" si="37"/>
        <v>0</v>
      </c>
      <c r="BY25">
        <f t="shared" si="38"/>
        <v>0</v>
      </c>
      <c r="BZ25">
        <f t="shared" si="39"/>
        <v>0</v>
      </c>
      <c r="CA25">
        <f t="shared" si="40"/>
        <v>0</v>
      </c>
      <c r="CB25">
        <f t="shared" si="41"/>
        <v>0</v>
      </c>
      <c r="CC25">
        <f t="shared" si="42"/>
        <v>0</v>
      </c>
      <c r="CD25">
        <f t="shared" si="43"/>
        <v>80</v>
      </c>
      <c r="CE25">
        <f t="shared" si="44"/>
        <v>0</v>
      </c>
      <c r="CF25">
        <f t="shared" si="45"/>
        <v>0</v>
      </c>
      <c r="CG25">
        <f t="shared" si="46"/>
        <v>46.2</v>
      </c>
      <c r="CH25">
        <f t="shared" si="47"/>
        <v>17.600000000000001</v>
      </c>
      <c r="CI25">
        <f t="shared" si="48"/>
        <v>0</v>
      </c>
      <c r="CJ25">
        <f t="shared" si="49"/>
        <v>0</v>
      </c>
      <c r="CK25">
        <f t="shared" si="50"/>
        <v>0</v>
      </c>
      <c r="CL25">
        <f t="shared" si="51"/>
        <v>0</v>
      </c>
      <c r="CM25">
        <f t="shared" si="52"/>
        <v>0</v>
      </c>
      <c r="CN25">
        <f t="shared" si="53"/>
        <v>0</v>
      </c>
      <c r="CO25">
        <f t="shared" si="54"/>
        <v>0</v>
      </c>
      <c r="CP25" t="str">
        <f t="shared" si="19"/>
        <v/>
      </c>
      <c r="CQ25">
        <f t="shared" si="55"/>
        <v>0</v>
      </c>
      <c r="CR25" t="str">
        <f t="shared" si="56"/>
        <v/>
      </c>
      <c r="CS25">
        <f t="shared" si="57"/>
        <v>0</v>
      </c>
      <c r="CT25">
        <f t="shared" si="58"/>
        <v>0</v>
      </c>
      <c r="CU25">
        <f t="shared" si="59"/>
        <v>0</v>
      </c>
      <c r="CV25">
        <f t="shared" si="60"/>
        <v>203.7166666666667</v>
      </c>
      <c r="CW25">
        <f t="shared" si="61"/>
        <v>210</v>
      </c>
      <c r="CX25">
        <f t="shared" si="62"/>
        <v>120</v>
      </c>
      <c r="CY25">
        <f t="shared" si="63"/>
        <v>0</v>
      </c>
      <c r="CZ25">
        <f t="shared" si="64"/>
        <v>0</v>
      </c>
      <c r="DA25">
        <f t="shared" si="65"/>
        <v>0</v>
      </c>
      <c r="DB25">
        <f t="shared" si="66"/>
        <v>0</v>
      </c>
      <c r="DC25" t="str">
        <f t="shared" si="67"/>
        <v/>
      </c>
      <c r="DD25">
        <f t="shared" si="68"/>
        <v>0</v>
      </c>
      <c r="DE25">
        <f t="shared" si="69"/>
        <v>0</v>
      </c>
      <c r="DF25">
        <f t="shared" si="70"/>
        <v>12.15</v>
      </c>
      <c r="DG25">
        <f t="shared" si="71"/>
        <v>0</v>
      </c>
      <c r="DH25">
        <f t="shared" si="72"/>
        <v>0</v>
      </c>
      <c r="DI25">
        <f t="shared" si="26"/>
        <v>0</v>
      </c>
      <c r="DJ25"/>
      <c r="DK25"/>
      <c r="DL25">
        <f t="shared" si="73"/>
        <v>0</v>
      </c>
      <c r="DM25">
        <f t="shared" si="74"/>
        <v>0</v>
      </c>
      <c r="DN25">
        <f t="shared" si="75"/>
        <v>0</v>
      </c>
      <c r="DO25" t="e">
        <f t="shared" si="76"/>
        <v>#N/A</v>
      </c>
      <c r="DP25">
        <f t="shared" si="77"/>
        <v>0</v>
      </c>
      <c r="DQ25" t="e">
        <f t="shared" si="78"/>
        <v>#N/A</v>
      </c>
      <c r="DR25" t="e">
        <f t="shared" si="79"/>
        <v>#N/A</v>
      </c>
      <c r="DS25">
        <f t="shared" si="80"/>
        <v>0</v>
      </c>
      <c r="DT25">
        <f t="shared" si="81"/>
        <v>0</v>
      </c>
      <c r="DU25">
        <f t="shared" si="82"/>
        <v>0</v>
      </c>
      <c r="DV25">
        <f t="shared" si="27"/>
        <v>0</v>
      </c>
      <c r="DW25">
        <f t="shared" si="83"/>
        <v>0</v>
      </c>
      <c r="DX25">
        <f t="shared" si="84"/>
        <v>0</v>
      </c>
      <c r="DY25">
        <f t="shared" si="85"/>
        <v>0</v>
      </c>
      <c r="DZ25">
        <f t="shared" si="86"/>
        <v>0</v>
      </c>
      <c r="EA25">
        <f t="shared" si="87"/>
        <v>0</v>
      </c>
      <c r="EB25">
        <f t="shared" si="88"/>
        <v>0</v>
      </c>
      <c r="EC25">
        <f t="shared" si="89"/>
        <v>0</v>
      </c>
      <c r="ED25">
        <f t="shared" si="90"/>
        <v>0</v>
      </c>
      <c r="EE25">
        <f t="shared" si="91"/>
        <v>0</v>
      </c>
      <c r="EF25">
        <f t="shared" si="92"/>
        <v>0</v>
      </c>
      <c r="EG25">
        <f t="shared" si="93"/>
        <v>0</v>
      </c>
      <c r="EH25">
        <f t="shared" si="28"/>
        <v>0</v>
      </c>
      <c r="EI25">
        <f t="shared" si="94"/>
        <v>-70</v>
      </c>
      <c r="EJ25">
        <f t="shared" si="95"/>
        <v>0</v>
      </c>
      <c r="EK25">
        <f t="shared" si="96"/>
        <v>0</v>
      </c>
      <c r="EL25">
        <f t="shared" si="97"/>
        <v>0</v>
      </c>
      <c r="EM25" t="e">
        <f t="shared" si="98"/>
        <v>#DIV/0!</v>
      </c>
      <c r="EN25">
        <f t="shared" si="99"/>
        <v>0</v>
      </c>
      <c r="EO25" t="str">
        <f t="shared" si="100"/>
        <v>üh</v>
      </c>
      <c r="EP25">
        <f t="shared" si="101"/>
        <v>0</v>
      </c>
      <c r="EQ25">
        <f t="shared" si="102"/>
        <v>0</v>
      </c>
      <c r="ER25">
        <f t="shared" si="103"/>
        <v>0</v>
      </c>
      <c r="ES25">
        <f t="shared" si="104"/>
        <v>0</v>
      </c>
      <c r="ET25">
        <f t="shared" si="105"/>
        <v>0</v>
      </c>
      <c r="EU25">
        <f t="shared" si="106"/>
        <v>0</v>
      </c>
      <c r="EV25">
        <f t="shared" si="107"/>
        <v>0</v>
      </c>
      <c r="EW25">
        <f t="shared" si="108"/>
        <v>0</v>
      </c>
      <c r="EX25">
        <f t="shared" si="109"/>
        <v>0</v>
      </c>
      <c r="EY25">
        <f t="shared" si="110"/>
        <v>0</v>
      </c>
      <c r="EZ25">
        <f t="shared" si="111"/>
        <v>0</v>
      </c>
      <c r="FA25">
        <f t="shared" si="112"/>
        <v>0</v>
      </c>
      <c r="FB25" t="str">
        <f t="shared" si="113"/>
        <v/>
      </c>
      <c r="FC25" t="str">
        <f t="shared" si="114"/>
        <v/>
      </c>
      <c r="FD25" t="str">
        <f>IF(AS25+E25=0,"",IF(SUM(L25:M25)=2,IF(SUM(N25+O25+BC25+BD25)=2,"",Sprache!$B$107),Sprache!$B$107))</f>
        <v/>
      </c>
      <c r="FE25" t="str">
        <f t="shared" si="115"/>
        <v/>
      </c>
      <c r="FF25" t="str">
        <f t="shared" si="116"/>
        <v/>
      </c>
      <c r="FG25" t="str">
        <f t="shared" si="117"/>
        <v/>
      </c>
      <c r="FH25" t="str">
        <f t="shared" ca="1" si="118"/>
        <v/>
      </c>
      <c r="FI25" t="str">
        <f t="shared" si="119"/>
        <v/>
      </c>
      <c r="FJ25" t="str">
        <f t="shared" si="120"/>
        <v/>
      </c>
      <c r="FK25" t="str">
        <f t="shared" si="121"/>
        <v/>
      </c>
      <c r="FL25" t="str">
        <f t="shared" si="122"/>
        <v/>
      </c>
      <c r="FM25" t="str">
        <f t="shared" si="123"/>
        <v/>
      </c>
      <c r="FN25" t="str">
        <f t="shared" si="124"/>
        <v/>
      </c>
      <c r="FO25" t="str">
        <f t="shared" si="125"/>
        <v/>
      </c>
      <c r="FP25" t="str">
        <f t="shared" si="126"/>
        <v/>
      </c>
      <c r="FQ25" t="str">
        <f>IF(AO25="","",IF(DK185=0,Sprache!$B$65&amp;" ?",IF(CH185="?",$FQ$4,"")))</f>
        <v/>
      </c>
      <c r="FR25" t="str">
        <f t="shared" si="127"/>
        <v/>
      </c>
      <c r="FS25" t="str">
        <f t="shared" si="128"/>
        <v/>
      </c>
      <c r="FT25" t="str">
        <f t="shared" si="129"/>
        <v/>
      </c>
      <c r="FU25"/>
      <c r="FV25" t="str">
        <f ca="1">IF(TODAY()=$A$3,"",IF(TODAY()&gt;DATE(2018,7,1),CONCATENATE(Sprache!$B$89),""))</f>
        <v>outdated version</v>
      </c>
      <c r="FW25" t="str">
        <f t="shared" ca="1" si="130"/>
        <v>outdated version</v>
      </c>
      <c r="FX25" t="str">
        <f t="shared" ca="1" si="131"/>
        <v>outdated version</v>
      </c>
      <c r="FY25" t="str">
        <f t="shared" ca="1" si="132"/>
        <v/>
      </c>
      <c r="FZ25"/>
      <c r="GA25" s="407">
        <f t="shared" si="133"/>
        <v>0</v>
      </c>
      <c r="GB25" s="405"/>
      <c r="GC25" s="405"/>
      <c r="GD25" s="406"/>
      <c r="GE25" s="407">
        <f t="shared" si="134"/>
        <v>0</v>
      </c>
      <c r="GF25" s="405"/>
      <c r="GG25" s="404"/>
      <c r="GH25" s="406"/>
    </row>
    <row r="26" spans="1:190" s="243" customFormat="1" ht="14.25" customHeight="1" x14ac:dyDescent="0.2">
      <c r="A26" s="220"/>
      <c r="B26" s="221"/>
      <c r="C26" s="222"/>
      <c r="D26" s="223">
        <f t="shared" si="20"/>
        <v>0</v>
      </c>
      <c r="E26" s="223">
        <f t="shared" si="21"/>
        <v>0</v>
      </c>
      <c r="F26" s="224"/>
      <c r="G26" s="225"/>
      <c r="H26" s="225"/>
      <c r="I26" s="272"/>
      <c r="J26" s="264"/>
      <c r="K26" s="226"/>
      <c r="L26" s="227">
        <v>1</v>
      </c>
      <c r="M26" s="228">
        <f t="shared" si="150"/>
        <v>1</v>
      </c>
      <c r="N26" s="229">
        <f t="shared" si="151"/>
        <v>2</v>
      </c>
      <c r="O26" s="230"/>
      <c r="P26" s="231"/>
      <c r="Q26" s="232"/>
      <c r="R26" s="233">
        <f t="shared" si="152"/>
        <v>0</v>
      </c>
      <c r="S26" s="233">
        <f t="shared" si="153"/>
        <v>0</v>
      </c>
      <c r="T26" s="245">
        <f t="shared" si="154"/>
        <v>0</v>
      </c>
      <c r="U26" s="234"/>
      <c r="V26" s="270"/>
      <c r="W26" s="267"/>
      <c r="X26" s="235">
        <f t="shared" si="155"/>
        <v>0</v>
      </c>
      <c r="Y26" s="236" t="str">
        <f t="shared" si="156"/>
        <v/>
      </c>
      <c r="Z26" s="237">
        <f t="shared" si="157"/>
        <v>0</v>
      </c>
      <c r="AA26" s="238">
        <f t="shared" si="158"/>
        <v>0</v>
      </c>
      <c r="AB26" s="239" t="str">
        <f t="shared" si="159"/>
        <v/>
      </c>
      <c r="AC26" s="240" t="str">
        <f t="shared" ca="1" si="160"/>
        <v/>
      </c>
      <c r="AD26" s="394" t="str">
        <f t="shared" ca="1" si="161"/>
        <v/>
      </c>
      <c r="AE26" s="241" t="str">
        <f>IF(AO26="","",IFERROR(IF(ELEMENT!$CH$78=ELEMENT!$CM$63,(AC26/AA26/10.75),(AC26/AA26)),""))</f>
        <v/>
      </c>
      <c r="AF26" s="241" t="str">
        <f t="shared" si="162"/>
        <v/>
      </c>
      <c r="AG26" s="238" t="str">
        <f t="shared" si="163"/>
        <v/>
      </c>
      <c r="AH26" s="242" t="str">
        <f t="shared" si="164"/>
        <v/>
      </c>
      <c r="AI26" s="192"/>
      <c r="AJ26" s="274"/>
      <c r="AK26"/>
      <c r="AL26"/>
      <c r="AM26">
        <f t="shared" si="135"/>
        <v>0</v>
      </c>
      <c r="AN26" t="str">
        <f t="shared" si="136"/>
        <v/>
      </c>
      <c r="AO26" t="str">
        <f t="shared" si="137"/>
        <v/>
      </c>
      <c r="AP26" t="str">
        <f t="shared" si="138"/>
        <v/>
      </c>
      <c r="AQ26">
        <f t="shared" si="22"/>
        <v>0</v>
      </c>
      <c r="AR26">
        <f t="shared" si="139"/>
        <v>2</v>
      </c>
      <c r="AS26">
        <f t="shared" si="29"/>
        <v>0</v>
      </c>
      <c r="AT26">
        <f t="shared" si="23"/>
        <v>0</v>
      </c>
      <c r="AU26">
        <f t="shared" si="140"/>
        <v>0</v>
      </c>
      <c r="AV26">
        <f t="shared" si="141"/>
        <v>0</v>
      </c>
      <c r="AW26">
        <f t="shared" si="142"/>
        <v>0</v>
      </c>
      <c r="AX26" t="str">
        <f t="shared" si="24"/>
        <v/>
      </c>
      <c r="AY26">
        <f t="shared" si="143"/>
        <v>0</v>
      </c>
      <c r="AZ26">
        <f t="shared" si="144"/>
        <v>0</v>
      </c>
      <c r="BA26">
        <f t="shared" si="145"/>
        <v>0</v>
      </c>
      <c r="BB26">
        <f t="shared" si="146"/>
        <v>0</v>
      </c>
      <c r="BC26">
        <f t="shared" si="147"/>
        <v>0</v>
      </c>
      <c r="BD26">
        <f t="shared" si="148"/>
        <v>0</v>
      </c>
      <c r="BE26">
        <f t="shared" si="149"/>
        <v>0</v>
      </c>
      <c r="BF26">
        <f t="shared" si="165"/>
        <v>0</v>
      </c>
      <c r="BG26">
        <f>IF($AH$4=$CK$75,'S2'!T26,
IF($AH$4=$CL$75,'S3'!T26,
IF($AH$4=$CJ$75,'S1'!T26,
IF($AH$4=$CM$75,S3M!T26,))))</f>
        <v>0</v>
      </c>
      <c r="BH26">
        <f>IF($AH$4=$CK$75,'S2'!U26,
IF($AH$4=$CL$75,'S3'!U26,
IF($AH$4=$CJ$75,'S1'!U26,
IF($AH$4=$CM$75,S3M!U26,))))</f>
        <v>0</v>
      </c>
      <c r="BI26">
        <f>IF($AH$4=$CK$75,'S2'!V26,
IF($AH$4=$CL$75,'S3'!V26,
IF($AH$4=$CJ$75,'S1'!V26,
IF($AH$4=$CM$75,S3M!V26,))))</f>
        <v>0</v>
      </c>
      <c r="BJ26">
        <f>IF($AH$4=$CK$75,'S2'!W26,
IF($AH$4=$CL$75,'S3'!W26,
IF($AH$4=$CJ$75,'S1'!W26,
IF($AH$4=$CM$75,S3M!W26,))))</f>
        <v>0</v>
      </c>
      <c r="BK26">
        <f>IF($AH$4=$CK$75,'S2'!X26,
IF($AH$4=$CL$75,'S3'!X26,
IF($AH$4=$CJ$75,'S1'!X26,
IF($AH$4=$CM$75,S3M!X26,))))</f>
        <v>0</v>
      </c>
      <c r="BL26">
        <f>IF($AH$4=$CK$75,'S2'!Y26,
IF($AH$4=$CL$75,'S3'!Y26,
IF($AH$4=$CJ$75,'S1'!Y26,
IF($AH$4=$CM$75,S3M!Y26,))))</f>
        <v>0</v>
      </c>
      <c r="BM26">
        <f>IF($AH$4=$CK$75,'S2'!Z26,
IF($AH$4=$CL$75,'S3'!Z26,
IF($AH$4=$CJ$75,'S1'!Z26,
IF($AH$4=$CM$75,S3M!Z26,))))</f>
        <v>0</v>
      </c>
      <c r="BN26">
        <f>IF($AH$4=$CK$75,'S2'!AA26,
IF($AH$4=$CL$75,'S3'!AA26,
IF($AH$4=$CJ$75,'S1'!AA26,
IF($AH$4=$CM$75,S3M!AA26,))))</f>
        <v>0</v>
      </c>
      <c r="BO26">
        <f>IF($AH$4=$CK$75,'S2'!AB26,
IF($AH$4=$CL$75,'S3'!AB26,
IF($AH$4=$CJ$75,'S1'!AB26,
IF($AH$4=$CM$75,S3M!AB26,))))</f>
        <v>0</v>
      </c>
      <c r="BP26"/>
      <c r="BQ26">
        <f t="shared" si="30"/>
        <v>58</v>
      </c>
      <c r="BR26">
        <f t="shared" si="31"/>
        <v>32</v>
      </c>
      <c r="BS26">
        <f t="shared" si="32"/>
        <v>0</v>
      </c>
      <c r="BT26">
        <f t="shared" si="33"/>
        <v>0</v>
      </c>
      <c r="BU26">
        <f t="shared" si="34"/>
        <v>0</v>
      </c>
      <c r="BV26">
        <f t="shared" si="35"/>
        <v>0</v>
      </c>
      <c r="BW26">
        <f t="shared" si="36"/>
        <v>90</v>
      </c>
      <c r="BX26">
        <f t="shared" si="37"/>
        <v>0</v>
      </c>
      <c r="BY26">
        <f t="shared" si="38"/>
        <v>0</v>
      </c>
      <c r="BZ26">
        <f t="shared" si="39"/>
        <v>0</v>
      </c>
      <c r="CA26">
        <f t="shared" si="40"/>
        <v>0</v>
      </c>
      <c r="CB26">
        <f t="shared" si="41"/>
        <v>0</v>
      </c>
      <c r="CC26">
        <f t="shared" si="42"/>
        <v>0</v>
      </c>
      <c r="CD26">
        <f t="shared" si="43"/>
        <v>80</v>
      </c>
      <c r="CE26">
        <f t="shared" si="44"/>
        <v>0</v>
      </c>
      <c r="CF26">
        <f t="shared" si="45"/>
        <v>0</v>
      </c>
      <c r="CG26">
        <f t="shared" si="46"/>
        <v>46.2</v>
      </c>
      <c r="CH26">
        <f t="shared" si="47"/>
        <v>17.600000000000001</v>
      </c>
      <c r="CI26">
        <f t="shared" si="48"/>
        <v>0</v>
      </c>
      <c r="CJ26">
        <f t="shared" si="49"/>
        <v>0</v>
      </c>
      <c r="CK26">
        <f t="shared" si="50"/>
        <v>0</v>
      </c>
      <c r="CL26">
        <f t="shared" si="51"/>
        <v>0</v>
      </c>
      <c r="CM26">
        <f t="shared" si="52"/>
        <v>0</v>
      </c>
      <c r="CN26">
        <f t="shared" si="53"/>
        <v>0</v>
      </c>
      <c r="CO26">
        <f t="shared" si="54"/>
        <v>0</v>
      </c>
      <c r="CP26" t="str">
        <f t="shared" si="19"/>
        <v/>
      </c>
      <c r="CQ26">
        <f t="shared" si="55"/>
        <v>0</v>
      </c>
      <c r="CR26" t="str">
        <f t="shared" si="56"/>
        <v/>
      </c>
      <c r="CS26">
        <f t="shared" si="57"/>
        <v>0</v>
      </c>
      <c r="CT26">
        <f t="shared" si="58"/>
        <v>0</v>
      </c>
      <c r="CU26">
        <f t="shared" si="59"/>
        <v>0</v>
      </c>
      <c r="CV26">
        <f t="shared" si="60"/>
        <v>203.7166666666667</v>
      </c>
      <c r="CW26">
        <f t="shared" si="61"/>
        <v>210</v>
      </c>
      <c r="CX26">
        <f t="shared" si="62"/>
        <v>120</v>
      </c>
      <c r="CY26">
        <f t="shared" si="63"/>
        <v>0</v>
      </c>
      <c r="CZ26">
        <f t="shared" si="64"/>
        <v>0</v>
      </c>
      <c r="DA26">
        <f t="shared" si="65"/>
        <v>0</v>
      </c>
      <c r="DB26">
        <f t="shared" si="66"/>
        <v>0</v>
      </c>
      <c r="DC26" t="str">
        <f t="shared" si="67"/>
        <v/>
      </c>
      <c r="DD26">
        <f t="shared" si="68"/>
        <v>0</v>
      </c>
      <c r="DE26">
        <f t="shared" si="69"/>
        <v>0</v>
      </c>
      <c r="DF26">
        <f t="shared" si="70"/>
        <v>12.15</v>
      </c>
      <c r="DG26">
        <f t="shared" si="71"/>
        <v>0</v>
      </c>
      <c r="DH26">
        <f t="shared" si="72"/>
        <v>0</v>
      </c>
      <c r="DI26">
        <f t="shared" si="26"/>
        <v>0</v>
      </c>
      <c r="DJ26"/>
      <c r="DK26"/>
      <c r="DL26">
        <f t="shared" si="73"/>
        <v>0</v>
      </c>
      <c r="DM26">
        <f t="shared" si="74"/>
        <v>0</v>
      </c>
      <c r="DN26">
        <f t="shared" si="75"/>
        <v>0</v>
      </c>
      <c r="DO26" t="e">
        <f t="shared" si="76"/>
        <v>#N/A</v>
      </c>
      <c r="DP26">
        <f t="shared" si="77"/>
        <v>0</v>
      </c>
      <c r="DQ26" t="e">
        <f t="shared" si="78"/>
        <v>#N/A</v>
      </c>
      <c r="DR26" t="e">
        <f t="shared" si="79"/>
        <v>#N/A</v>
      </c>
      <c r="DS26">
        <f t="shared" si="80"/>
        <v>0</v>
      </c>
      <c r="DT26">
        <f t="shared" si="81"/>
        <v>0</v>
      </c>
      <c r="DU26">
        <f t="shared" si="82"/>
        <v>0</v>
      </c>
      <c r="DV26">
        <f t="shared" si="27"/>
        <v>0</v>
      </c>
      <c r="DW26">
        <f t="shared" si="83"/>
        <v>0</v>
      </c>
      <c r="DX26">
        <f t="shared" si="84"/>
        <v>0</v>
      </c>
      <c r="DY26">
        <f t="shared" si="85"/>
        <v>0</v>
      </c>
      <c r="DZ26">
        <f t="shared" si="86"/>
        <v>0</v>
      </c>
      <c r="EA26">
        <f t="shared" si="87"/>
        <v>0</v>
      </c>
      <c r="EB26">
        <f t="shared" si="88"/>
        <v>0</v>
      </c>
      <c r="EC26">
        <f t="shared" si="89"/>
        <v>0</v>
      </c>
      <c r="ED26">
        <f t="shared" si="90"/>
        <v>0</v>
      </c>
      <c r="EE26">
        <f t="shared" si="91"/>
        <v>0</v>
      </c>
      <c r="EF26">
        <f t="shared" si="92"/>
        <v>0</v>
      </c>
      <c r="EG26">
        <f t="shared" si="93"/>
        <v>0</v>
      </c>
      <c r="EH26">
        <f t="shared" si="28"/>
        <v>0</v>
      </c>
      <c r="EI26">
        <f t="shared" si="94"/>
        <v>-70</v>
      </c>
      <c r="EJ26">
        <f t="shared" si="95"/>
        <v>0</v>
      </c>
      <c r="EK26">
        <f t="shared" si="96"/>
        <v>0</v>
      </c>
      <c r="EL26">
        <f t="shared" si="97"/>
        <v>0</v>
      </c>
      <c r="EM26" t="e">
        <f t="shared" si="98"/>
        <v>#DIV/0!</v>
      </c>
      <c r="EN26">
        <f t="shared" si="99"/>
        <v>0</v>
      </c>
      <c r="EO26" t="str">
        <f t="shared" si="100"/>
        <v>üh</v>
      </c>
      <c r="EP26">
        <f t="shared" si="101"/>
        <v>0</v>
      </c>
      <c r="EQ26">
        <f t="shared" si="102"/>
        <v>0</v>
      </c>
      <c r="ER26">
        <f t="shared" si="103"/>
        <v>0</v>
      </c>
      <c r="ES26">
        <f t="shared" si="104"/>
        <v>0</v>
      </c>
      <c r="ET26">
        <f t="shared" si="105"/>
        <v>0</v>
      </c>
      <c r="EU26">
        <f t="shared" si="106"/>
        <v>0</v>
      </c>
      <c r="EV26">
        <f t="shared" si="107"/>
        <v>0</v>
      </c>
      <c r="EW26">
        <f t="shared" si="108"/>
        <v>0</v>
      </c>
      <c r="EX26">
        <f t="shared" si="109"/>
        <v>0</v>
      </c>
      <c r="EY26">
        <f t="shared" si="110"/>
        <v>0</v>
      </c>
      <c r="EZ26">
        <f t="shared" si="111"/>
        <v>0</v>
      </c>
      <c r="FA26">
        <f t="shared" si="112"/>
        <v>0</v>
      </c>
      <c r="FB26" t="str">
        <f t="shared" si="113"/>
        <v/>
      </c>
      <c r="FC26" t="str">
        <f t="shared" si="114"/>
        <v/>
      </c>
      <c r="FD26" t="str">
        <f>IF(AS26+E26=0,"",IF(SUM(L26:M26)=2,IF(SUM(N26+O26+BC26+BD26)=2,"",Sprache!$B$107),Sprache!$B$107))</f>
        <v/>
      </c>
      <c r="FE26" t="str">
        <f t="shared" si="115"/>
        <v/>
      </c>
      <c r="FF26" t="str">
        <f t="shared" si="116"/>
        <v/>
      </c>
      <c r="FG26" t="str">
        <f t="shared" si="117"/>
        <v/>
      </c>
      <c r="FH26" t="str">
        <f t="shared" ca="1" si="118"/>
        <v/>
      </c>
      <c r="FI26" t="str">
        <f t="shared" si="119"/>
        <v/>
      </c>
      <c r="FJ26" t="str">
        <f t="shared" si="120"/>
        <v/>
      </c>
      <c r="FK26" t="str">
        <f t="shared" si="121"/>
        <v/>
      </c>
      <c r="FL26" t="str">
        <f t="shared" si="122"/>
        <v/>
      </c>
      <c r="FM26" t="str">
        <f t="shared" si="123"/>
        <v/>
      </c>
      <c r="FN26" t="str">
        <f t="shared" si="124"/>
        <v/>
      </c>
      <c r="FO26" t="str">
        <f t="shared" si="125"/>
        <v/>
      </c>
      <c r="FP26" t="str">
        <f t="shared" si="126"/>
        <v/>
      </c>
      <c r="FQ26" t="str">
        <f>IF(AO26="","",IF(DK186=0,Sprache!$B$65&amp;" ?",IF(CH186="?",$FQ$4,"")))</f>
        <v/>
      </c>
      <c r="FR26" t="str">
        <f t="shared" si="127"/>
        <v/>
      </c>
      <c r="FS26" t="str">
        <f t="shared" si="128"/>
        <v/>
      </c>
      <c r="FT26" t="str">
        <f t="shared" si="129"/>
        <v/>
      </c>
      <c r="FU26"/>
      <c r="FV26" t="str">
        <f ca="1">IF(TODAY()=$A$3,"",IF(TODAY()&gt;DATE(2018,7,1),CONCATENATE(Sprache!$B$89),""))</f>
        <v>outdated version</v>
      </c>
      <c r="FW26" t="str">
        <f t="shared" ca="1" si="130"/>
        <v>outdated version</v>
      </c>
      <c r="FX26" t="str">
        <f t="shared" ca="1" si="131"/>
        <v>outdated version</v>
      </c>
      <c r="FY26" t="str">
        <f t="shared" ca="1" si="132"/>
        <v/>
      </c>
      <c r="FZ26"/>
      <c r="GA26" s="407">
        <f t="shared" si="133"/>
        <v>0</v>
      </c>
      <c r="GB26" s="405"/>
      <c r="GC26" s="405"/>
      <c r="GD26" s="406"/>
      <c r="GE26" s="407">
        <f t="shared" si="134"/>
        <v>0</v>
      </c>
      <c r="GF26" s="405"/>
      <c r="GG26" s="404"/>
      <c r="GH26" s="406"/>
    </row>
    <row r="27" spans="1:190" s="243" customFormat="1" ht="14.25" customHeight="1" x14ac:dyDescent="0.2">
      <c r="A27" s="220"/>
      <c r="B27" s="221"/>
      <c r="C27" s="222"/>
      <c r="D27" s="223">
        <f t="shared" si="20"/>
        <v>0</v>
      </c>
      <c r="E27" s="223">
        <f t="shared" si="21"/>
        <v>0</v>
      </c>
      <c r="F27" s="224"/>
      <c r="G27" s="225"/>
      <c r="H27" s="225"/>
      <c r="I27" s="272"/>
      <c r="J27" s="264"/>
      <c r="K27" s="226"/>
      <c r="L27" s="227">
        <v>1</v>
      </c>
      <c r="M27" s="228">
        <f t="shared" si="150"/>
        <v>1</v>
      </c>
      <c r="N27" s="229">
        <f t="shared" si="151"/>
        <v>2</v>
      </c>
      <c r="O27" s="230"/>
      <c r="P27" s="231"/>
      <c r="Q27" s="232"/>
      <c r="R27" s="233">
        <f t="shared" si="152"/>
        <v>0</v>
      </c>
      <c r="S27" s="233">
        <f t="shared" si="153"/>
        <v>0</v>
      </c>
      <c r="T27" s="245">
        <f t="shared" si="154"/>
        <v>0</v>
      </c>
      <c r="U27" s="234"/>
      <c r="V27" s="270"/>
      <c r="W27" s="267"/>
      <c r="X27" s="235">
        <f t="shared" si="155"/>
        <v>0</v>
      </c>
      <c r="Y27" s="236" t="str">
        <f t="shared" si="156"/>
        <v/>
      </c>
      <c r="Z27" s="237">
        <f t="shared" si="157"/>
        <v>0</v>
      </c>
      <c r="AA27" s="238">
        <f t="shared" si="158"/>
        <v>0</v>
      </c>
      <c r="AB27" s="239" t="str">
        <f t="shared" si="159"/>
        <v/>
      </c>
      <c r="AC27" s="240" t="str">
        <f t="shared" ca="1" si="160"/>
        <v/>
      </c>
      <c r="AD27" s="394" t="str">
        <f t="shared" ca="1" si="161"/>
        <v/>
      </c>
      <c r="AE27" s="241" t="str">
        <f>IF(AO27="","",IFERROR(IF(ELEMENT!$CH$78=ELEMENT!$CM$63,(AC27/AA27/10.75),(AC27/AA27)),""))</f>
        <v/>
      </c>
      <c r="AF27" s="241" t="str">
        <f t="shared" si="162"/>
        <v/>
      </c>
      <c r="AG27" s="238" t="str">
        <f t="shared" si="163"/>
        <v/>
      </c>
      <c r="AH27" s="242" t="str">
        <f t="shared" si="164"/>
        <v/>
      </c>
      <c r="AI27" s="192"/>
      <c r="AJ27" s="274"/>
      <c r="AK27"/>
      <c r="AL27"/>
      <c r="AM27">
        <f t="shared" si="135"/>
        <v>0</v>
      </c>
      <c r="AN27" t="str">
        <f t="shared" si="136"/>
        <v/>
      </c>
      <c r="AO27" t="str">
        <f t="shared" si="137"/>
        <v/>
      </c>
      <c r="AP27" t="str">
        <f t="shared" si="138"/>
        <v/>
      </c>
      <c r="AQ27">
        <f t="shared" si="22"/>
        <v>0</v>
      </c>
      <c r="AR27">
        <f t="shared" si="139"/>
        <v>2</v>
      </c>
      <c r="AS27">
        <f t="shared" si="29"/>
        <v>0</v>
      </c>
      <c r="AT27">
        <f t="shared" si="23"/>
        <v>0</v>
      </c>
      <c r="AU27">
        <f t="shared" si="140"/>
        <v>0</v>
      </c>
      <c r="AV27">
        <f t="shared" si="141"/>
        <v>0</v>
      </c>
      <c r="AW27">
        <f t="shared" si="142"/>
        <v>0</v>
      </c>
      <c r="AX27" t="str">
        <f t="shared" si="24"/>
        <v/>
      </c>
      <c r="AY27">
        <f t="shared" si="143"/>
        <v>0</v>
      </c>
      <c r="AZ27">
        <f t="shared" si="144"/>
        <v>0</v>
      </c>
      <c r="BA27">
        <f t="shared" si="145"/>
        <v>0</v>
      </c>
      <c r="BB27">
        <f t="shared" si="146"/>
        <v>0</v>
      </c>
      <c r="BC27">
        <f t="shared" si="147"/>
        <v>0</v>
      </c>
      <c r="BD27">
        <f t="shared" si="148"/>
        <v>0</v>
      </c>
      <c r="BE27">
        <f t="shared" si="149"/>
        <v>0</v>
      </c>
      <c r="BF27">
        <f t="shared" si="165"/>
        <v>0</v>
      </c>
      <c r="BG27">
        <f>IF($AH$4=$CK$75,'S2'!T27,
IF($AH$4=$CL$75,'S3'!T27,
IF($AH$4=$CJ$75,'S1'!T27,
IF($AH$4=$CM$75,S3M!T27,))))</f>
        <v>15</v>
      </c>
      <c r="BH27">
        <f>IF($AH$4=$CK$75,'S2'!U27,
IF($AH$4=$CL$75,'S3'!U27,
IF($AH$4=$CJ$75,'S1'!U27,
IF($AH$4=$CM$75,S3M!U27,))))</f>
        <v>10</v>
      </c>
      <c r="BI27">
        <f>IF($AH$4=$CK$75,'S2'!V27,
IF($AH$4=$CL$75,'S3'!V27,
IF($AH$4=$CJ$75,'S1'!V27,
IF($AH$4=$CM$75,S3M!V27,))))</f>
        <v>35</v>
      </c>
      <c r="BJ27">
        <f>IF($AH$4=$CK$75,'S2'!W27,
IF($AH$4=$CL$75,'S3'!W27,
IF($AH$4=$CJ$75,'S1'!W27,
IF($AH$4=$CM$75,S3M!W27,))))</f>
        <v>16.5</v>
      </c>
      <c r="BK27">
        <f>IF($AH$4=$CK$75,'S2'!X27,
IF($AH$4=$CL$75,'S3'!X27,
IF($AH$4=$CJ$75,'S1'!X27,
IF($AH$4=$CM$75,S3M!X27,))))</f>
        <v>55.000000000000007</v>
      </c>
      <c r="BL27">
        <f>IF($AH$4=$CK$75,'S2'!Y27,
IF($AH$4=$CL$75,'S3'!Y27,
IF($AH$4=$CJ$75,'S1'!Y27,
IF($AH$4=$CM$75,S3M!Y27,))))</f>
        <v>29</v>
      </c>
      <c r="BM27">
        <f>IF($AH$4=$CK$75,'S2'!Z27,
IF($AH$4=$CL$75,'S3'!Z27,
IF($AH$4=$CJ$75,'S1'!Z27,
IF($AH$4=$CM$75,S3M!Z27,))))</f>
        <v>58</v>
      </c>
      <c r="BN27">
        <f>IF($AH$4=$CK$75,'S2'!AA27,
IF($AH$4=$CL$75,'S3'!AA27,
IF($AH$4=$CJ$75,'S1'!AA27,
IF($AH$4=$CM$75,S3M!AA27,))))</f>
        <v>0.5</v>
      </c>
      <c r="BO27">
        <f>IF($AH$4=$CK$75,'S2'!AB27,
IF($AH$4=$CL$75,'S3'!AB27,
IF($AH$4=$CJ$75,'S1'!AB27,
IF($AH$4=$CM$75,S3M!AB27,))))</f>
        <v>8.6999999999999993</v>
      </c>
      <c r="BP27">
        <v>0</v>
      </c>
      <c r="BQ27">
        <f t="shared" si="30"/>
        <v>58</v>
      </c>
      <c r="BR27">
        <f t="shared" si="31"/>
        <v>32</v>
      </c>
      <c r="BS27">
        <f t="shared" si="32"/>
        <v>0</v>
      </c>
      <c r="BT27">
        <f t="shared" si="33"/>
        <v>0</v>
      </c>
      <c r="BU27">
        <f t="shared" si="34"/>
        <v>0</v>
      </c>
      <c r="BV27">
        <f t="shared" si="35"/>
        <v>0</v>
      </c>
      <c r="BW27">
        <f t="shared" si="36"/>
        <v>90</v>
      </c>
      <c r="BX27">
        <f t="shared" si="37"/>
        <v>0</v>
      </c>
      <c r="BY27">
        <f t="shared" si="38"/>
        <v>0</v>
      </c>
      <c r="BZ27">
        <f t="shared" si="39"/>
        <v>0</v>
      </c>
      <c r="CA27">
        <f t="shared" si="40"/>
        <v>0</v>
      </c>
      <c r="CB27">
        <f t="shared" si="41"/>
        <v>0</v>
      </c>
      <c r="CC27">
        <f t="shared" si="42"/>
        <v>0</v>
      </c>
      <c r="CD27">
        <f t="shared" si="43"/>
        <v>80</v>
      </c>
      <c r="CE27">
        <f t="shared" si="44"/>
        <v>0</v>
      </c>
      <c r="CF27">
        <f t="shared" si="45"/>
        <v>0</v>
      </c>
      <c r="CG27">
        <f t="shared" si="46"/>
        <v>46.2</v>
      </c>
      <c r="CH27">
        <f t="shared" si="47"/>
        <v>17.600000000000001</v>
      </c>
      <c r="CI27">
        <f t="shared" si="48"/>
        <v>0</v>
      </c>
      <c r="CJ27">
        <f t="shared" si="49"/>
        <v>0</v>
      </c>
      <c r="CK27">
        <f t="shared" si="50"/>
        <v>0</v>
      </c>
      <c r="CL27">
        <f t="shared" si="51"/>
        <v>0</v>
      </c>
      <c r="CM27">
        <f t="shared" si="52"/>
        <v>0</v>
      </c>
      <c r="CN27">
        <f t="shared" si="53"/>
        <v>0</v>
      </c>
      <c r="CO27">
        <f t="shared" si="54"/>
        <v>0</v>
      </c>
      <c r="CP27" t="str">
        <f t="shared" si="19"/>
        <v/>
      </c>
      <c r="CQ27">
        <f t="shared" si="55"/>
        <v>0</v>
      </c>
      <c r="CR27" t="str">
        <f t="shared" si="56"/>
        <v/>
      </c>
      <c r="CS27">
        <f t="shared" si="57"/>
        <v>0</v>
      </c>
      <c r="CT27">
        <f t="shared" si="58"/>
        <v>0</v>
      </c>
      <c r="CU27">
        <f t="shared" si="59"/>
        <v>0</v>
      </c>
      <c r="CV27">
        <f t="shared" si="60"/>
        <v>203.7166666666667</v>
      </c>
      <c r="CW27">
        <f t="shared" si="61"/>
        <v>210</v>
      </c>
      <c r="CX27">
        <f t="shared" si="62"/>
        <v>120</v>
      </c>
      <c r="CY27">
        <f t="shared" si="63"/>
        <v>0</v>
      </c>
      <c r="CZ27">
        <f t="shared" si="64"/>
        <v>0</v>
      </c>
      <c r="DA27">
        <f t="shared" si="65"/>
        <v>0</v>
      </c>
      <c r="DB27">
        <f t="shared" si="66"/>
        <v>0</v>
      </c>
      <c r="DC27" t="str">
        <f t="shared" si="67"/>
        <v/>
      </c>
      <c r="DD27">
        <f t="shared" si="68"/>
        <v>0</v>
      </c>
      <c r="DE27">
        <f t="shared" si="69"/>
        <v>0</v>
      </c>
      <c r="DF27">
        <f t="shared" si="70"/>
        <v>12.15</v>
      </c>
      <c r="DG27">
        <f t="shared" si="71"/>
        <v>0</v>
      </c>
      <c r="DH27">
        <f t="shared" si="72"/>
        <v>0</v>
      </c>
      <c r="DI27">
        <f t="shared" si="26"/>
        <v>0</v>
      </c>
      <c r="DJ27"/>
      <c r="DK27"/>
      <c r="DL27">
        <f t="shared" si="73"/>
        <v>0</v>
      </c>
      <c r="DM27">
        <f t="shared" si="74"/>
        <v>0</v>
      </c>
      <c r="DN27">
        <f t="shared" si="75"/>
        <v>0</v>
      </c>
      <c r="DO27" t="e">
        <f t="shared" si="76"/>
        <v>#N/A</v>
      </c>
      <c r="DP27">
        <f t="shared" si="77"/>
        <v>0</v>
      </c>
      <c r="DQ27" t="e">
        <f t="shared" si="78"/>
        <v>#N/A</v>
      </c>
      <c r="DR27" t="e">
        <f t="shared" si="79"/>
        <v>#N/A</v>
      </c>
      <c r="DS27">
        <f t="shared" si="80"/>
        <v>0</v>
      </c>
      <c r="DT27">
        <f t="shared" si="81"/>
        <v>0</v>
      </c>
      <c r="DU27">
        <f t="shared" si="82"/>
        <v>0</v>
      </c>
      <c r="DV27">
        <f t="shared" si="27"/>
        <v>0</v>
      </c>
      <c r="DW27">
        <f t="shared" si="83"/>
        <v>0</v>
      </c>
      <c r="DX27">
        <f t="shared" si="84"/>
        <v>0</v>
      </c>
      <c r="DY27">
        <f t="shared" si="85"/>
        <v>0</v>
      </c>
      <c r="DZ27">
        <f t="shared" si="86"/>
        <v>0</v>
      </c>
      <c r="EA27">
        <f t="shared" si="87"/>
        <v>0</v>
      </c>
      <c r="EB27">
        <f t="shared" si="88"/>
        <v>0</v>
      </c>
      <c r="EC27">
        <f t="shared" si="89"/>
        <v>0</v>
      </c>
      <c r="ED27">
        <f t="shared" si="90"/>
        <v>0</v>
      </c>
      <c r="EE27">
        <f t="shared" si="91"/>
        <v>0</v>
      </c>
      <c r="EF27">
        <f t="shared" si="92"/>
        <v>0</v>
      </c>
      <c r="EG27">
        <f t="shared" si="93"/>
        <v>0</v>
      </c>
      <c r="EH27">
        <f t="shared" si="28"/>
        <v>0</v>
      </c>
      <c r="EI27">
        <f t="shared" si="94"/>
        <v>-70</v>
      </c>
      <c r="EJ27">
        <f t="shared" si="95"/>
        <v>0</v>
      </c>
      <c r="EK27">
        <f t="shared" si="96"/>
        <v>0</v>
      </c>
      <c r="EL27">
        <f t="shared" si="97"/>
        <v>0</v>
      </c>
      <c r="EM27" t="e">
        <f t="shared" si="98"/>
        <v>#DIV/0!</v>
      </c>
      <c r="EN27">
        <f t="shared" si="99"/>
        <v>0</v>
      </c>
      <c r="EO27" t="str">
        <f t="shared" si="100"/>
        <v>üh</v>
      </c>
      <c r="EP27">
        <f t="shared" si="101"/>
        <v>0</v>
      </c>
      <c r="EQ27">
        <f t="shared" si="102"/>
        <v>0</v>
      </c>
      <c r="ER27">
        <f t="shared" si="103"/>
        <v>0</v>
      </c>
      <c r="ES27">
        <f t="shared" si="104"/>
        <v>0</v>
      </c>
      <c r="ET27">
        <f t="shared" si="105"/>
        <v>0</v>
      </c>
      <c r="EU27">
        <f t="shared" si="106"/>
        <v>0</v>
      </c>
      <c r="EV27">
        <f t="shared" si="107"/>
        <v>0</v>
      </c>
      <c r="EW27">
        <f t="shared" si="108"/>
        <v>0</v>
      </c>
      <c r="EX27">
        <f t="shared" si="109"/>
        <v>0</v>
      </c>
      <c r="EY27">
        <f t="shared" si="110"/>
        <v>0</v>
      </c>
      <c r="EZ27">
        <f t="shared" si="111"/>
        <v>0</v>
      </c>
      <c r="FA27">
        <f t="shared" si="112"/>
        <v>0</v>
      </c>
      <c r="FB27" t="str">
        <f t="shared" si="113"/>
        <v/>
      </c>
      <c r="FC27" t="str">
        <f t="shared" si="114"/>
        <v/>
      </c>
      <c r="FD27" t="str">
        <f>IF(AS27+E27=0,"",IF(SUM(L27:M27)=2,IF(SUM(N27+O27+BC27+BD27)=2,"",Sprache!$B$107),Sprache!$B$107))</f>
        <v/>
      </c>
      <c r="FE27" t="str">
        <f t="shared" si="115"/>
        <v/>
      </c>
      <c r="FF27" t="str">
        <f t="shared" si="116"/>
        <v/>
      </c>
      <c r="FG27" t="str">
        <f t="shared" si="117"/>
        <v/>
      </c>
      <c r="FH27" t="str">
        <f t="shared" ca="1" si="118"/>
        <v/>
      </c>
      <c r="FI27" t="str">
        <f t="shared" si="119"/>
        <v/>
      </c>
      <c r="FJ27" t="str">
        <f t="shared" si="120"/>
        <v/>
      </c>
      <c r="FK27" t="str">
        <f t="shared" si="121"/>
        <v/>
      </c>
      <c r="FL27" t="str">
        <f t="shared" si="122"/>
        <v/>
      </c>
      <c r="FM27" t="str">
        <f t="shared" si="123"/>
        <v/>
      </c>
      <c r="FN27" t="str">
        <f t="shared" si="124"/>
        <v/>
      </c>
      <c r="FO27" t="str">
        <f t="shared" si="125"/>
        <v/>
      </c>
      <c r="FP27" t="str">
        <f t="shared" si="126"/>
        <v/>
      </c>
      <c r="FQ27" t="str">
        <f>IF(AO27="","",IF(DK187=0,Sprache!$B$65&amp;" ?",IF(CH187="?",$FQ$4,"")))</f>
        <v/>
      </c>
      <c r="FR27" t="str">
        <f t="shared" si="127"/>
        <v/>
      </c>
      <c r="FS27" t="str">
        <f t="shared" si="128"/>
        <v/>
      </c>
      <c r="FT27" t="str">
        <f t="shared" si="129"/>
        <v/>
      </c>
      <c r="FU27"/>
      <c r="FV27" t="str">
        <f ca="1">IF(TODAY()=$A$3,"",IF(TODAY()&gt;DATE(2018,7,1),CONCATENATE(Sprache!$B$89),""))</f>
        <v>outdated version</v>
      </c>
      <c r="FW27" t="str">
        <f t="shared" ca="1" si="130"/>
        <v>outdated version</v>
      </c>
      <c r="FX27" t="str">
        <f t="shared" ca="1" si="131"/>
        <v>outdated version</v>
      </c>
      <c r="FY27" t="str">
        <f t="shared" ca="1" si="132"/>
        <v/>
      </c>
      <c r="FZ27"/>
      <c r="GA27" s="407">
        <f t="shared" si="133"/>
        <v>0</v>
      </c>
      <c r="GB27" s="405"/>
      <c r="GC27" s="405"/>
      <c r="GD27" s="406"/>
      <c r="GE27" s="407">
        <f t="shared" si="134"/>
        <v>0</v>
      </c>
      <c r="GF27" s="405"/>
      <c r="GG27" s="404"/>
      <c r="GH27" s="406"/>
    </row>
    <row r="28" spans="1:190" s="243" customFormat="1" ht="14.25" customHeight="1" x14ac:dyDescent="0.2">
      <c r="A28" s="220"/>
      <c r="B28" s="221"/>
      <c r="C28" s="222"/>
      <c r="D28" s="223">
        <f t="shared" si="20"/>
        <v>0</v>
      </c>
      <c r="E28" s="223">
        <f t="shared" si="21"/>
        <v>0</v>
      </c>
      <c r="F28" s="224"/>
      <c r="G28" s="225"/>
      <c r="H28" s="225"/>
      <c r="I28" s="272"/>
      <c r="J28" s="264"/>
      <c r="K28" s="226"/>
      <c r="L28" s="227">
        <v>1</v>
      </c>
      <c r="M28" s="228">
        <f t="shared" si="150"/>
        <v>1</v>
      </c>
      <c r="N28" s="229">
        <f t="shared" si="151"/>
        <v>2</v>
      </c>
      <c r="O28" s="230"/>
      <c r="P28" s="231"/>
      <c r="Q28" s="232"/>
      <c r="R28" s="233">
        <f t="shared" si="152"/>
        <v>0</v>
      </c>
      <c r="S28" s="233">
        <f t="shared" si="153"/>
        <v>0</v>
      </c>
      <c r="T28" s="245">
        <f t="shared" si="154"/>
        <v>0</v>
      </c>
      <c r="U28" s="234"/>
      <c r="V28" s="270"/>
      <c r="W28" s="267"/>
      <c r="X28" s="235">
        <f t="shared" si="155"/>
        <v>0</v>
      </c>
      <c r="Y28" s="236" t="str">
        <f t="shared" si="156"/>
        <v/>
      </c>
      <c r="Z28" s="237">
        <f t="shared" si="157"/>
        <v>0</v>
      </c>
      <c r="AA28" s="238">
        <f t="shared" si="158"/>
        <v>0</v>
      </c>
      <c r="AB28" s="239" t="str">
        <f t="shared" si="159"/>
        <v/>
      </c>
      <c r="AC28" s="240" t="str">
        <f t="shared" ca="1" si="160"/>
        <v/>
      </c>
      <c r="AD28" s="394" t="str">
        <f t="shared" ca="1" si="161"/>
        <v/>
      </c>
      <c r="AE28" s="241" t="str">
        <f>IF(AO28="","",IFERROR(IF(ELEMENT!$CH$78=ELEMENT!$CM$63,(AC28/AA28/10.75),(AC28/AA28)),""))</f>
        <v/>
      </c>
      <c r="AF28" s="241" t="str">
        <f t="shared" si="162"/>
        <v/>
      </c>
      <c r="AG28" s="238" t="str">
        <f t="shared" si="163"/>
        <v/>
      </c>
      <c r="AH28" s="242" t="str">
        <f t="shared" si="164"/>
        <v/>
      </c>
      <c r="AI28" s="192"/>
      <c r="AJ28" s="274"/>
      <c r="AK28"/>
      <c r="AL28"/>
      <c r="AM28">
        <f t="shared" si="135"/>
        <v>0</v>
      </c>
      <c r="AN28" t="str">
        <f t="shared" si="136"/>
        <v/>
      </c>
      <c r="AO28" t="str">
        <f t="shared" si="137"/>
        <v/>
      </c>
      <c r="AP28" t="str">
        <f t="shared" si="138"/>
        <v/>
      </c>
      <c r="AQ28">
        <f t="shared" si="22"/>
        <v>0</v>
      </c>
      <c r="AR28">
        <f t="shared" si="139"/>
        <v>2</v>
      </c>
      <c r="AS28">
        <f t="shared" si="29"/>
        <v>0</v>
      </c>
      <c r="AT28">
        <f t="shared" si="23"/>
        <v>0</v>
      </c>
      <c r="AU28">
        <f t="shared" si="140"/>
        <v>0</v>
      </c>
      <c r="AV28">
        <f t="shared" si="141"/>
        <v>0</v>
      </c>
      <c r="AW28">
        <f t="shared" si="142"/>
        <v>0</v>
      </c>
      <c r="AX28" t="str">
        <f t="shared" si="24"/>
        <v/>
      </c>
      <c r="AY28">
        <f t="shared" si="143"/>
        <v>0</v>
      </c>
      <c r="AZ28">
        <f t="shared" si="144"/>
        <v>0</v>
      </c>
      <c r="BA28">
        <f t="shared" si="145"/>
        <v>0</v>
      </c>
      <c r="BB28">
        <f t="shared" si="146"/>
        <v>0</v>
      </c>
      <c r="BC28">
        <f t="shared" si="147"/>
        <v>0</v>
      </c>
      <c r="BD28">
        <f t="shared" si="148"/>
        <v>0</v>
      </c>
      <c r="BE28">
        <f t="shared" si="149"/>
        <v>0</v>
      </c>
      <c r="BF28">
        <f t="shared" si="165"/>
        <v>0</v>
      </c>
      <c r="BG28">
        <f>IF($AH$4=$CK$75,'S2'!T28,
IF($AH$4=$CL$75,'S3'!T28,
IF($AH$4=$CJ$75,'S1'!T28,
IF($AH$4=$CM$75,S3M!T28,))))</f>
        <v>0</v>
      </c>
      <c r="BH28">
        <f>IF($AH$4=$CK$75,'S2'!U28,
IF($AH$4=$CL$75,'S3'!U28,
IF($AH$4=$CJ$75,'S1'!U28,
IF($AH$4=$CM$75,S3M!U28,))))</f>
        <v>0</v>
      </c>
      <c r="BI28">
        <f>IF($AH$4=$CK$75,'S2'!V28,
IF($AH$4=$CL$75,'S3'!V28,
IF($AH$4=$CJ$75,'S1'!V28,
IF($AH$4=$CM$75,S3M!V28,))))</f>
        <v>0</v>
      </c>
      <c r="BJ28">
        <f>IF($AH$4=$CK$75,'S2'!W28,
IF($AH$4=$CL$75,'S3'!W28,
IF($AH$4=$CJ$75,'S1'!W28,
IF($AH$4=$CM$75,S3M!W28,))))</f>
        <v>0</v>
      </c>
      <c r="BK28">
        <f>IF($AH$4=$CK$75,'S2'!X28,
IF($AH$4=$CL$75,'S3'!X28,
IF($AH$4=$CJ$75,'S1'!X28,
IF($AH$4=$CM$75,S3M!X28,))))</f>
        <v>0</v>
      </c>
      <c r="BL28">
        <f>IF($AH$4=$CK$75,'S2'!Y28,
IF($AH$4=$CL$75,'S3'!Y28,
IF($AH$4=$CJ$75,'S1'!Y28,
IF($AH$4=$CM$75,S3M!Y28,))))</f>
        <v>0</v>
      </c>
      <c r="BM28">
        <f>IF($AH$4=$CK$75,'S2'!Z28,
IF($AH$4=$CL$75,'S3'!Z28,
IF($AH$4=$CJ$75,'S1'!Z28,
IF($AH$4=$CM$75,S3M!Z28,))))</f>
        <v>0</v>
      </c>
      <c r="BN28">
        <f>IF($AH$4=$CK$75,'S2'!AA28,
IF($AH$4=$CL$75,'S3'!AA28,
IF($AH$4=$CJ$75,'S1'!AA28,
IF($AH$4=$CM$75,S3M!AA28,))))</f>
        <v>0</v>
      </c>
      <c r="BO28">
        <f>IF($AH$4=$CK$75,'S2'!AB28,
IF($AH$4=$CL$75,'S3'!AB28,
IF($AH$4=$CJ$75,'S1'!AB28,
IF($AH$4=$CM$75,S3M!AB28,))))</f>
        <v>0</v>
      </c>
      <c r="BP28"/>
      <c r="BQ28">
        <f t="shared" si="30"/>
        <v>58</v>
      </c>
      <c r="BR28">
        <f t="shared" si="31"/>
        <v>32</v>
      </c>
      <c r="BS28">
        <f t="shared" si="32"/>
        <v>0</v>
      </c>
      <c r="BT28">
        <f t="shared" si="33"/>
        <v>0</v>
      </c>
      <c r="BU28">
        <f t="shared" si="34"/>
        <v>0</v>
      </c>
      <c r="BV28">
        <f t="shared" si="35"/>
        <v>0</v>
      </c>
      <c r="BW28">
        <f t="shared" si="36"/>
        <v>90</v>
      </c>
      <c r="BX28">
        <f t="shared" si="37"/>
        <v>0</v>
      </c>
      <c r="BY28">
        <f t="shared" si="38"/>
        <v>0</v>
      </c>
      <c r="BZ28">
        <f t="shared" si="39"/>
        <v>0</v>
      </c>
      <c r="CA28">
        <f t="shared" si="40"/>
        <v>0</v>
      </c>
      <c r="CB28">
        <f t="shared" si="41"/>
        <v>0</v>
      </c>
      <c r="CC28">
        <f t="shared" si="42"/>
        <v>0</v>
      </c>
      <c r="CD28">
        <f t="shared" si="43"/>
        <v>80</v>
      </c>
      <c r="CE28">
        <f t="shared" si="44"/>
        <v>0</v>
      </c>
      <c r="CF28">
        <f t="shared" si="45"/>
        <v>0</v>
      </c>
      <c r="CG28">
        <f t="shared" si="46"/>
        <v>46.2</v>
      </c>
      <c r="CH28">
        <f t="shared" si="47"/>
        <v>17.600000000000001</v>
      </c>
      <c r="CI28">
        <f t="shared" si="48"/>
        <v>0</v>
      </c>
      <c r="CJ28">
        <f t="shared" si="49"/>
        <v>0</v>
      </c>
      <c r="CK28">
        <f t="shared" si="50"/>
        <v>0</v>
      </c>
      <c r="CL28">
        <f t="shared" si="51"/>
        <v>0</v>
      </c>
      <c r="CM28">
        <f t="shared" si="52"/>
        <v>0</v>
      </c>
      <c r="CN28">
        <f t="shared" si="53"/>
        <v>0</v>
      </c>
      <c r="CO28">
        <f t="shared" si="54"/>
        <v>0</v>
      </c>
      <c r="CP28" t="str">
        <f t="shared" si="19"/>
        <v/>
      </c>
      <c r="CQ28">
        <f t="shared" si="55"/>
        <v>0</v>
      </c>
      <c r="CR28" t="str">
        <f t="shared" si="56"/>
        <v/>
      </c>
      <c r="CS28">
        <f t="shared" si="57"/>
        <v>0</v>
      </c>
      <c r="CT28">
        <f t="shared" si="58"/>
        <v>0</v>
      </c>
      <c r="CU28">
        <f t="shared" si="59"/>
        <v>0</v>
      </c>
      <c r="CV28">
        <f t="shared" si="60"/>
        <v>203.7166666666667</v>
      </c>
      <c r="CW28">
        <f t="shared" si="61"/>
        <v>210</v>
      </c>
      <c r="CX28">
        <f t="shared" si="62"/>
        <v>120</v>
      </c>
      <c r="CY28">
        <f t="shared" si="63"/>
        <v>0</v>
      </c>
      <c r="CZ28">
        <f t="shared" si="64"/>
        <v>0</v>
      </c>
      <c r="DA28">
        <f t="shared" si="65"/>
        <v>0</v>
      </c>
      <c r="DB28">
        <f t="shared" si="66"/>
        <v>0</v>
      </c>
      <c r="DC28" t="str">
        <f t="shared" si="67"/>
        <v/>
      </c>
      <c r="DD28">
        <f t="shared" si="68"/>
        <v>0</v>
      </c>
      <c r="DE28">
        <f t="shared" si="69"/>
        <v>0</v>
      </c>
      <c r="DF28">
        <f t="shared" si="70"/>
        <v>12.15</v>
      </c>
      <c r="DG28">
        <f t="shared" si="71"/>
        <v>0</v>
      </c>
      <c r="DH28">
        <f t="shared" si="72"/>
        <v>0</v>
      </c>
      <c r="DI28">
        <f t="shared" si="26"/>
        <v>0</v>
      </c>
      <c r="DJ28"/>
      <c r="DK28"/>
      <c r="DL28">
        <f t="shared" si="73"/>
        <v>0</v>
      </c>
      <c r="DM28">
        <f t="shared" si="74"/>
        <v>0</v>
      </c>
      <c r="DN28">
        <f t="shared" si="75"/>
        <v>0</v>
      </c>
      <c r="DO28" t="e">
        <f t="shared" si="76"/>
        <v>#N/A</v>
      </c>
      <c r="DP28">
        <f t="shared" si="77"/>
        <v>0</v>
      </c>
      <c r="DQ28" t="e">
        <f t="shared" si="78"/>
        <v>#N/A</v>
      </c>
      <c r="DR28" t="e">
        <f t="shared" si="79"/>
        <v>#N/A</v>
      </c>
      <c r="DS28">
        <f t="shared" si="80"/>
        <v>0</v>
      </c>
      <c r="DT28">
        <f t="shared" si="81"/>
        <v>0</v>
      </c>
      <c r="DU28">
        <f t="shared" si="82"/>
        <v>0</v>
      </c>
      <c r="DV28">
        <f t="shared" si="27"/>
        <v>0</v>
      </c>
      <c r="DW28">
        <f t="shared" si="83"/>
        <v>0</v>
      </c>
      <c r="DX28">
        <f t="shared" si="84"/>
        <v>0</v>
      </c>
      <c r="DY28">
        <f t="shared" si="85"/>
        <v>0</v>
      </c>
      <c r="DZ28">
        <f t="shared" si="86"/>
        <v>0</v>
      </c>
      <c r="EA28">
        <f t="shared" si="87"/>
        <v>0</v>
      </c>
      <c r="EB28">
        <f t="shared" si="88"/>
        <v>0</v>
      </c>
      <c r="EC28">
        <f t="shared" si="89"/>
        <v>0</v>
      </c>
      <c r="ED28">
        <f t="shared" si="90"/>
        <v>0</v>
      </c>
      <c r="EE28">
        <f t="shared" si="91"/>
        <v>0</v>
      </c>
      <c r="EF28">
        <f t="shared" si="92"/>
        <v>0</v>
      </c>
      <c r="EG28">
        <f t="shared" si="93"/>
        <v>0</v>
      </c>
      <c r="EH28">
        <f t="shared" si="28"/>
        <v>0</v>
      </c>
      <c r="EI28">
        <f t="shared" si="94"/>
        <v>-70</v>
      </c>
      <c r="EJ28">
        <f t="shared" si="95"/>
        <v>0</v>
      </c>
      <c r="EK28">
        <f t="shared" si="96"/>
        <v>0</v>
      </c>
      <c r="EL28">
        <f t="shared" si="97"/>
        <v>0</v>
      </c>
      <c r="EM28" t="e">
        <f t="shared" si="98"/>
        <v>#DIV/0!</v>
      </c>
      <c r="EN28">
        <f t="shared" si="99"/>
        <v>0</v>
      </c>
      <c r="EO28" t="str">
        <f t="shared" si="100"/>
        <v>üh</v>
      </c>
      <c r="EP28">
        <f t="shared" si="101"/>
        <v>0</v>
      </c>
      <c r="EQ28">
        <f t="shared" si="102"/>
        <v>0</v>
      </c>
      <c r="ER28">
        <f t="shared" si="103"/>
        <v>0</v>
      </c>
      <c r="ES28">
        <f t="shared" si="104"/>
        <v>0</v>
      </c>
      <c r="ET28">
        <f t="shared" si="105"/>
        <v>0</v>
      </c>
      <c r="EU28">
        <f t="shared" si="106"/>
        <v>0</v>
      </c>
      <c r="EV28">
        <f t="shared" si="107"/>
        <v>0</v>
      </c>
      <c r="EW28">
        <f t="shared" si="108"/>
        <v>0</v>
      </c>
      <c r="EX28">
        <f t="shared" si="109"/>
        <v>0</v>
      </c>
      <c r="EY28">
        <f t="shared" si="110"/>
        <v>0</v>
      </c>
      <c r="EZ28">
        <f t="shared" si="111"/>
        <v>0</v>
      </c>
      <c r="FA28">
        <f t="shared" si="112"/>
        <v>0</v>
      </c>
      <c r="FB28" t="str">
        <f t="shared" si="113"/>
        <v/>
      </c>
      <c r="FC28" t="str">
        <f t="shared" si="114"/>
        <v/>
      </c>
      <c r="FD28" t="str">
        <f>IF(AS28+E28=0,"",IF(SUM(L28:M28)=2,IF(SUM(N28+O28+BC28+BD28)=2,"",Sprache!$B$107),Sprache!$B$107))</f>
        <v/>
      </c>
      <c r="FE28" t="str">
        <f t="shared" si="115"/>
        <v/>
      </c>
      <c r="FF28" t="str">
        <f t="shared" si="116"/>
        <v/>
      </c>
      <c r="FG28" t="str">
        <f t="shared" si="117"/>
        <v/>
      </c>
      <c r="FH28" t="str">
        <f t="shared" ca="1" si="118"/>
        <v/>
      </c>
      <c r="FI28" t="str">
        <f t="shared" si="119"/>
        <v/>
      </c>
      <c r="FJ28" t="str">
        <f t="shared" si="120"/>
        <v/>
      </c>
      <c r="FK28" t="str">
        <f t="shared" si="121"/>
        <v/>
      </c>
      <c r="FL28" t="str">
        <f t="shared" si="122"/>
        <v/>
      </c>
      <c r="FM28" t="str">
        <f t="shared" si="123"/>
        <v/>
      </c>
      <c r="FN28" t="str">
        <f t="shared" si="124"/>
        <v/>
      </c>
      <c r="FO28" t="str">
        <f t="shared" si="125"/>
        <v/>
      </c>
      <c r="FP28" t="str">
        <f t="shared" si="126"/>
        <v/>
      </c>
      <c r="FQ28" t="str">
        <f>IF(AO28="","",IF(DK188=0,Sprache!$B$65&amp;" ?",IF(CH188="?",$FQ$4,"")))</f>
        <v/>
      </c>
      <c r="FR28" t="str">
        <f t="shared" si="127"/>
        <v/>
      </c>
      <c r="FS28" t="str">
        <f t="shared" si="128"/>
        <v/>
      </c>
      <c r="FT28" t="str">
        <f t="shared" si="129"/>
        <v/>
      </c>
      <c r="FU28"/>
      <c r="FV28" t="str">
        <f ca="1">IF(TODAY()=$A$3,"",IF(TODAY()&gt;DATE(2018,7,1),CONCATENATE(Sprache!$B$89),""))</f>
        <v>outdated version</v>
      </c>
      <c r="FW28" t="str">
        <f t="shared" ca="1" si="130"/>
        <v>outdated version</v>
      </c>
      <c r="FX28" t="str">
        <f t="shared" ca="1" si="131"/>
        <v>outdated version</v>
      </c>
      <c r="FY28" t="str">
        <f t="shared" ca="1" si="132"/>
        <v/>
      </c>
      <c r="FZ28"/>
      <c r="GA28" s="407">
        <f t="shared" si="133"/>
        <v>0</v>
      </c>
      <c r="GB28" s="405"/>
      <c r="GC28" s="405"/>
      <c r="GD28" s="406"/>
      <c r="GE28" s="407">
        <f t="shared" si="134"/>
        <v>0</v>
      </c>
      <c r="GF28" s="405"/>
      <c r="GG28" s="404"/>
      <c r="GH28" s="406"/>
    </row>
    <row r="29" spans="1:190" s="243" customFormat="1" ht="14.25" customHeight="1" x14ac:dyDescent="0.2">
      <c r="A29" s="220"/>
      <c r="B29" s="221"/>
      <c r="C29" s="222"/>
      <c r="D29" s="223">
        <f t="shared" si="20"/>
        <v>0</v>
      </c>
      <c r="E29" s="223">
        <f t="shared" si="21"/>
        <v>0</v>
      </c>
      <c r="F29" s="224"/>
      <c r="G29" s="225"/>
      <c r="H29" s="225"/>
      <c r="I29" s="272"/>
      <c r="J29" s="264"/>
      <c r="K29" s="226"/>
      <c r="L29" s="227">
        <v>1</v>
      </c>
      <c r="M29" s="228">
        <f t="shared" si="150"/>
        <v>1</v>
      </c>
      <c r="N29" s="229">
        <f t="shared" si="151"/>
        <v>2</v>
      </c>
      <c r="O29" s="230"/>
      <c r="P29" s="231"/>
      <c r="Q29" s="232"/>
      <c r="R29" s="233">
        <f t="shared" si="152"/>
        <v>0</v>
      </c>
      <c r="S29" s="233">
        <f t="shared" si="153"/>
        <v>0</v>
      </c>
      <c r="T29" s="245">
        <f t="shared" si="154"/>
        <v>0</v>
      </c>
      <c r="U29" s="234"/>
      <c r="V29" s="270"/>
      <c r="W29" s="267"/>
      <c r="X29" s="235">
        <f t="shared" si="155"/>
        <v>0</v>
      </c>
      <c r="Y29" s="236" t="str">
        <f t="shared" si="156"/>
        <v/>
      </c>
      <c r="Z29" s="237">
        <f t="shared" si="157"/>
        <v>0</v>
      </c>
      <c r="AA29" s="238">
        <f t="shared" si="158"/>
        <v>0</v>
      </c>
      <c r="AB29" s="239" t="str">
        <f t="shared" si="159"/>
        <v/>
      </c>
      <c r="AC29" s="240" t="str">
        <f t="shared" ca="1" si="160"/>
        <v/>
      </c>
      <c r="AD29" s="394" t="str">
        <f t="shared" ca="1" si="161"/>
        <v/>
      </c>
      <c r="AE29" s="241" t="str">
        <f>IF(AO29="","",IFERROR(IF(ELEMENT!$CH$78=ELEMENT!$CM$63,(AC29/AA29/10.75),(AC29/AA29)),""))</f>
        <v/>
      </c>
      <c r="AF29" s="241" t="str">
        <f t="shared" si="162"/>
        <v/>
      </c>
      <c r="AG29" s="238" t="str">
        <f t="shared" si="163"/>
        <v/>
      </c>
      <c r="AH29" s="242" t="str">
        <f t="shared" si="164"/>
        <v/>
      </c>
      <c r="AI29" s="192"/>
      <c r="AJ29" s="274"/>
      <c r="AK29"/>
      <c r="AL29"/>
      <c r="AM29">
        <f t="shared" si="135"/>
        <v>0</v>
      </c>
      <c r="AN29" t="str">
        <f t="shared" si="136"/>
        <v/>
      </c>
      <c r="AO29" t="str">
        <f t="shared" si="137"/>
        <v/>
      </c>
      <c r="AP29" t="str">
        <f t="shared" si="138"/>
        <v/>
      </c>
      <c r="AQ29">
        <f t="shared" si="22"/>
        <v>0</v>
      </c>
      <c r="AR29">
        <f t="shared" si="139"/>
        <v>2</v>
      </c>
      <c r="AS29">
        <f t="shared" si="29"/>
        <v>0</v>
      </c>
      <c r="AT29">
        <f t="shared" si="23"/>
        <v>0</v>
      </c>
      <c r="AU29">
        <f t="shared" si="140"/>
        <v>0</v>
      </c>
      <c r="AV29">
        <f t="shared" si="141"/>
        <v>0</v>
      </c>
      <c r="AW29">
        <f t="shared" si="142"/>
        <v>0</v>
      </c>
      <c r="AX29" t="str">
        <f t="shared" si="24"/>
        <v/>
      </c>
      <c r="AY29">
        <f t="shared" si="143"/>
        <v>0</v>
      </c>
      <c r="AZ29">
        <f t="shared" si="144"/>
        <v>0</v>
      </c>
      <c r="BA29">
        <f t="shared" si="145"/>
        <v>0</v>
      </c>
      <c r="BB29">
        <f t="shared" si="146"/>
        <v>0</v>
      </c>
      <c r="BC29">
        <f t="shared" si="147"/>
        <v>0</v>
      </c>
      <c r="BD29">
        <f t="shared" si="148"/>
        <v>0</v>
      </c>
      <c r="BE29">
        <f t="shared" si="149"/>
        <v>0</v>
      </c>
      <c r="BF29"/>
      <c r="BG29">
        <f>IF($AH$4=$CK$75,'S2'!T29,
IF($AH$4=$CL$75,'S3'!T29,
IF($AH$4=$CJ$75,'S1'!T29,
IF($AH$4=$CM$75,S3M!T29,))))</f>
        <v>0</v>
      </c>
      <c r="BH29">
        <f>IF($AH$4=$CK$75,'S2'!U29,
IF($AH$4=$CL$75,'S3'!U29,
IF($AH$4=$CJ$75,'S1'!U29,
IF($AH$4=$CM$75,S3M!U29,))))</f>
        <v>0</v>
      </c>
      <c r="BI29">
        <f>IF($AH$4=$CK$75,'S2'!V29,
IF($AH$4=$CL$75,'S3'!V29,
IF($AH$4=$CJ$75,'S1'!V29,
IF($AH$4=$CM$75,S3M!V29,))))</f>
        <v>0</v>
      </c>
      <c r="BJ29">
        <f>IF($AH$4=$CK$75,'S2'!W29,
IF($AH$4=$CL$75,'S3'!W29,
IF($AH$4=$CJ$75,'S1'!W29,
IF($AH$4=$CM$75,S3M!W29,))))</f>
        <v>0</v>
      </c>
      <c r="BK29">
        <f>IF($AH$4=$CK$75,'S2'!X29,
IF($AH$4=$CL$75,'S3'!X29,
IF($AH$4=$CJ$75,'S1'!X29,
IF($AH$4=$CM$75,S3M!X29,))))</f>
        <v>0</v>
      </c>
      <c r="BL29">
        <f>IF($AH$4=$CK$75,'S2'!Y29,
IF($AH$4=$CL$75,'S3'!Y29,
IF($AH$4=$CJ$75,'S1'!Y29,
IF($AH$4=$CM$75,S3M!Y29,))))</f>
        <v>0</v>
      </c>
      <c r="BM29">
        <f>IF($AH$4=$CK$75,'S2'!Z29,
IF($AH$4=$CL$75,'S3'!Z29,
IF($AH$4=$CJ$75,'S1'!Z29,
IF($AH$4=$CM$75,S3M!Z29,))))</f>
        <v>0</v>
      </c>
      <c r="BN29">
        <f>IF($AH$4=$CK$75,'S2'!AA29,
IF($AH$4=$CL$75,'S3'!AA29,
IF($AH$4=$CJ$75,'S1'!AA29,
IF($AH$4=$CM$75,S3M!AA29,))))</f>
        <v>0</v>
      </c>
      <c r="BO29">
        <f>IF($AH$4=$CK$75,'S2'!AB29,
IF($AH$4=$CL$75,'S3'!AB29,
IF($AH$4=$CJ$75,'S1'!AB29,
IF($AH$4=$CM$75,S3M!AB29,))))</f>
        <v>0</v>
      </c>
      <c r="BP29">
        <f>IF($AH$4=$CK$75,'S2'!AC29,
IF($AH$4=$CL$75,'S3'!AC29,
IF($AH$4=$CJ$75,'S1'!AC29,
IF($AH$4=$CM$75,S3M!AC29,))))</f>
        <v>0</v>
      </c>
      <c r="BQ29">
        <f t="shared" si="30"/>
        <v>58</v>
      </c>
      <c r="BR29">
        <f t="shared" si="31"/>
        <v>32</v>
      </c>
      <c r="BS29">
        <f t="shared" si="32"/>
        <v>0</v>
      </c>
      <c r="BT29">
        <f t="shared" si="33"/>
        <v>0</v>
      </c>
      <c r="BU29">
        <f t="shared" si="34"/>
        <v>0</v>
      </c>
      <c r="BV29">
        <f t="shared" si="35"/>
        <v>0</v>
      </c>
      <c r="BW29">
        <f t="shared" si="36"/>
        <v>90</v>
      </c>
      <c r="BX29">
        <f t="shared" si="37"/>
        <v>0</v>
      </c>
      <c r="BY29">
        <f t="shared" si="38"/>
        <v>0</v>
      </c>
      <c r="BZ29">
        <f t="shared" si="39"/>
        <v>0</v>
      </c>
      <c r="CA29">
        <f t="shared" si="40"/>
        <v>0</v>
      </c>
      <c r="CB29">
        <f t="shared" si="41"/>
        <v>0</v>
      </c>
      <c r="CC29">
        <f t="shared" si="42"/>
        <v>0</v>
      </c>
      <c r="CD29">
        <f t="shared" si="43"/>
        <v>80</v>
      </c>
      <c r="CE29">
        <f t="shared" si="44"/>
        <v>0</v>
      </c>
      <c r="CF29">
        <f t="shared" si="45"/>
        <v>0</v>
      </c>
      <c r="CG29">
        <f t="shared" si="46"/>
        <v>46.2</v>
      </c>
      <c r="CH29">
        <f t="shared" si="47"/>
        <v>17.600000000000001</v>
      </c>
      <c r="CI29">
        <f t="shared" si="48"/>
        <v>0</v>
      </c>
      <c r="CJ29">
        <f t="shared" si="49"/>
        <v>0</v>
      </c>
      <c r="CK29">
        <f t="shared" si="50"/>
        <v>0</v>
      </c>
      <c r="CL29">
        <f t="shared" si="51"/>
        <v>0</v>
      </c>
      <c r="CM29">
        <f t="shared" si="52"/>
        <v>0</v>
      </c>
      <c r="CN29">
        <f t="shared" si="53"/>
        <v>0</v>
      </c>
      <c r="CO29">
        <f t="shared" si="54"/>
        <v>0</v>
      </c>
      <c r="CP29" t="str">
        <f t="shared" si="19"/>
        <v/>
      </c>
      <c r="CQ29">
        <f t="shared" si="55"/>
        <v>0</v>
      </c>
      <c r="CR29" t="str">
        <f t="shared" si="56"/>
        <v/>
      </c>
      <c r="CS29">
        <f t="shared" si="57"/>
        <v>0</v>
      </c>
      <c r="CT29">
        <f t="shared" si="58"/>
        <v>0</v>
      </c>
      <c r="CU29">
        <f t="shared" si="59"/>
        <v>0</v>
      </c>
      <c r="CV29">
        <f t="shared" si="60"/>
        <v>203.7166666666667</v>
      </c>
      <c r="CW29">
        <f t="shared" si="61"/>
        <v>210</v>
      </c>
      <c r="CX29">
        <f t="shared" si="62"/>
        <v>120</v>
      </c>
      <c r="CY29">
        <f t="shared" si="63"/>
        <v>0</v>
      </c>
      <c r="CZ29">
        <f t="shared" si="64"/>
        <v>0</v>
      </c>
      <c r="DA29">
        <f t="shared" si="65"/>
        <v>0</v>
      </c>
      <c r="DB29">
        <f t="shared" si="66"/>
        <v>0</v>
      </c>
      <c r="DC29" t="str">
        <f t="shared" si="67"/>
        <v/>
      </c>
      <c r="DD29">
        <f t="shared" si="68"/>
        <v>0</v>
      </c>
      <c r="DE29">
        <f t="shared" si="69"/>
        <v>0</v>
      </c>
      <c r="DF29">
        <f t="shared" si="70"/>
        <v>12.15</v>
      </c>
      <c r="DG29">
        <f t="shared" si="71"/>
        <v>0</v>
      </c>
      <c r="DH29">
        <f t="shared" si="72"/>
        <v>0</v>
      </c>
      <c r="DI29">
        <f t="shared" si="26"/>
        <v>0</v>
      </c>
      <c r="DJ29"/>
      <c r="DK29"/>
      <c r="DL29">
        <f t="shared" si="73"/>
        <v>0</v>
      </c>
      <c r="DM29">
        <f t="shared" si="74"/>
        <v>0</v>
      </c>
      <c r="DN29">
        <f t="shared" si="75"/>
        <v>0</v>
      </c>
      <c r="DO29" t="e">
        <f t="shared" si="76"/>
        <v>#N/A</v>
      </c>
      <c r="DP29">
        <f t="shared" si="77"/>
        <v>0</v>
      </c>
      <c r="DQ29" t="e">
        <f t="shared" si="78"/>
        <v>#N/A</v>
      </c>
      <c r="DR29" t="e">
        <f t="shared" si="79"/>
        <v>#N/A</v>
      </c>
      <c r="DS29">
        <f t="shared" si="80"/>
        <v>0</v>
      </c>
      <c r="DT29">
        <f t="shared" si="81"/>
        <v>0</v>
      </c>
      <c r="DU29">
        <f t="shared" si="82"/>
        <v>0</v>
      </c>
      <c r="DV29">
        <f t="shared" si="27"/>
        <v>0</v>
      </c>
      <c r="DW29">
        <f t="shared" si="83"/>
        <v>0</v>
      </c>
      <c r="DX29">
        <f t="shared" si="84"/>
        <v>0</v>
      </c>
      <c r="DY29">
        <f t="shared" si="85"/>
        <v>0</v>
      </c>
      <c r="DZ29">
        <f t="shared" si="86"/>
        <v>0</v>
      </c>
      <c r="EA29">
        <f t="shared" si="87"/>
        <v>0</v>
      </c>
      <c r="EB29">
        <f t="shared" si="88"/>
        <v>0</v>
      </c>
      <c r="EC29">
        <f t="shared" si="89"/>
        <v>0</v>
      </c>
      <c r="ED29">
        <f t="shared" si="90"/>
        <v>0</v>
      </c>
      <c r="EE29">
        <f t="shared" si="91"/>
        <v>0</v>
      </c>
      <c r="EF29">
        <f t="shared" si="92"/>
        <v>0</v>
      </c>
      <c r="EG29">
        <f t="shared" si="93"/>
        <v>0</v>
      </c>
      <c r="EH29">
        <f t="shared" si="28"/>
        <v>0</v>
      </c>
      <c r="EI29">
        <f t="shared" si="94"/>
        <v>-70</v>
      </c>
      <c r="EJ29">
        <f t="shared" si="95"/>
        <v>0</v>
      </c>
      <c r="EK29">
        <f t="shared" si="96"/>
        <v>0</v>
      </c>
      <c r="EL29">
        <f t="shared" si="97"/>
        <v>0</v>
      </c>
      <c r="EM29" t="e">
        <f t="shared" si="98"/>
        <v>#DIV/0!</v>
      </c>
      <c r="EN29">
        <f t="shared" si="99"/>
        <v>0</v>
      </c>
      <c r="EO29" t="str">
        <f t="shared" si="100"/>
        <v>üh</v>
      </c>
      <c r="EP29">
        <f t="shared" si="101"/>
        <v>0</v>
      </c>
      <c r="EQ29">
        <f t="shared" si="102"/>
        <v>0</v>
      </c>
      <c r="ER29">
        <f t="shared" si="103"/>
        <v>0</v>
      </c>
      <c r="ES29">
        <f t="shared" si="104"/>
        <v>0</v>
      </c>
      <c r="ET29">
        <f t="shared" si="105"/>
        <v>0</v>
      </c>
      <c r="EU29">
        <f t="shared" si="106"/>
        <v>0</v>
      </c>
      <c r="EV29">
        <f t="shared" si="107"/>
        <v>0</v>
      </c>
      <c r="EW29">
        <f t="shared" si="108"/>
        <v>0</v>
      </c>
      <c r="EX29">
        <f t="shared" si="109"/>
        <v>0</v>
      </c>
      <c r="EY29">
        <f t="shared" si="110"/>
        <v>0</v>
      </c>
      <c r="EZ29">
        <f t="shared" si="111"/>
        <v>0</v>
      </c>
      <c r="FA29">
        <f t="shared" si="112"/>
        <v>0</v>
      </c>
      <c r="FB29" t="str">
        <f t="shared" si="113"/>
        <v/>
      </c>
      <c r="FC29" t="str">
        <f t="shared" si="114"/>
        <v/>
      </c>
      <c r="FD29" t="str">
        <f>IF(AS29+E29=0,"",IF(SUM(L29:M29)=2,IF(SUM(N29+O29+BC29+BD29)=2,"",Sprache!$B$107),Sprache!$B$107))</f>
        <v/>
      </c>
      <c r="FE29" t="str">
        <f t="shared" si="115"/>
        <v/>
      </c>
      <c r="FF29" t="str">
        <f t="shared" si="116"/>
        <v/>
      </c>
      <c r="FG29" t="str">
        <f t="shared" si="117"/>
        <v/>
      </c>
      <c r="FH29" t="str">
        <f t="shared" ca="1" si="118"/>
        <v/>
      </c>
      <c r="FI29" t="str">
        <f t="shared" si="119"/>
        <v/>
      </c>
      <c r="FJ29" t="str">
        <f t="shared" si="120"/>
        <v/>
      </c>
      <c r="FK29" t="str">
        <f t="shared" si="121"/>
        <v/>
      </c>
      <c r="FL29" t="str">
        <f t="shared" si="122"/>
        <v/>
      </c>
      <c r="FM29" t="str">
        <f t="shared" si="123"/>
        <v/>
      </c>
      <c r="FN29" t="str">
        <f t="shared" si="124"/>
        <v/>
      </c>
      <c r="FO29" t="str">
        <f t="shared" si="125"/>
        <v/>
      </c>
      <c r="FP29" t="str">
        <f t="shared" si="126"/>
        <v/>
      </c>
      <c r="FQ29" t="str">
        <f>IF(AO29="","",IF(DK189=0,Sprache!$B$65&amp;" ?",IF(CH189="?",$FQ$4,"")))</f>
        <v/>
      </c>
      <c r="FR29" t="str">
        <f t="shared" si="127"/>
        <v/>
      </c>
      <c r="FS29" t="str">
        <f t="shared" si="128"/>
        <v/>
      </c>
      <c r="FT29" t="str">
        <f t="shared" si="129"/>
        <v/>
      </c>
      <c r="FU29"/>
      <c r="FV29" t="str">
        <f ca="1">IF(TODAY()=$A$3,"",IF(TODAY()&gt;DATE(2018,7,1),CONCATENATE(Sprache!$B$89),""))</f>
        <v>outdated version</v>
      </c>
      <c r="FW29" t="str">
        <f t="shared" ca="1" si="130"/>
        <v>outdated version</v>
      </c>
      <c r="FX29" t="str">
        <f t="shared" ca="1" si="131"/>
        <v>outdated version</v>
      </c>
      <c r="FY29" t="str">
        <f t="shared" ca="1" si="132"/>
        <v/>
      </c>
      <c r="FZ29"/>
      <c r="GA29" s="407">
        <f t="shared" si="133"/>
        <v>0</v>
      </c>
      <c r="GB29" s="405"/>
      <c r="GC29" s="405"/>
      <c r="GD29" s="406"/>
      <c r="GE29" s="407">
        <f t="shared" si="134"/>
        <v>0</v>
      </c>
      <c r="GF29" s="405"/>
      <c r="GG29" s="404"/>
      <c r="GH29" s="406"/>
    </row>
    <row r="30" spans="1:190" s="243" customFormat="1" ht="14.25" customHeight="1" x14ac:dyDescent="0.2">
      <c r="A30" s="220"/>
      <c r="B30" s="221"/>
      <c r="C30" s="222"/>
      <c r="D30" s="223">
        <f t="shared" si="20"/>
        <v>0</v>
      </c>
      <c r="E30" s="223">
        <f t="shared" si="21"/>
        <v>0</v>
      </c>
      <c r="F30" s="224"/>
      <c r="G30" s="225"/>
      <c r="H30" s="225"/>
      <c r="I30" s="272"/>
      <c r="J30" s="264"/>
      <c r="K30" s="226"/>
      <c r="L30" s="227">
        <v>1</v>
      </c>
      <c r="M30" s="228">
        <f t="shared" si="150"/>
        <v>1</v>
      </c>
      <c r="N30" s="229">
        <f t="shared" si="151"/>
        <v>2</v>
      </c>
      <c r="O30" s="230"/>
      <c r="P30" s="231"/>
      <c r="Q30" s="232"/>
      <c r="R30" s="233">
        <f t="shared" si="152"/>
        <v>0</v>
      </c>
      <c r="S30" s="233">
        <f t="shared" si="153"/>
        <v>0</v>
      </c>
      <c r="T30" s="245">
        <f t="shared" si="154"/>
        <v>0</v>
      </c>
      <c r="U30" s="234"/>
      <c r="V30" s="270"/>
      <c r="W30" s="267"/>
      <c r="X30" s="235">
        <f t="shared" si="155"/>
        <v>0</v>
      </c>
      <c r="Y30" s="236" t="str">
        <f t="shared" si="156"/>
        <v/>
      </c>
      <c r="Z30" s="237">
        <f t="shared" si="157"/>
        <v>0</v>
      </c>
      <c r="AA30" s="238">
        <f t="shared" si="158"/>
        <v>0</v>
      </c>
      <c r="AB30" s="239" t="str">
        <f t="shared" si="159"/>
        <v/>
      </c>
      <c r="AC30" s="240" t="str">
        <f t="shared" ca="1" si="160"/>
        <v/>
      </c>
      <c r="AD30" s="394" t="str">
        <f t="shared" ca="1" si="161"/>
        <v/>
      </c>
      <c r="AE30" s="241" t="str">
        <f>IF(AO30="","",IFERROR(IF(ELEMENT!$CH$78=ELEMENT!$CM$63,(AC30/AA30/10.75),(AC30/AA30)),""))</f>
        <v/>
      </c>
      <c r="AF30" s="241" t="str">
        <f t="shared" si="162"/>
        <v/>
      </c>
      <c r="AG30" s="238" t="str">
        <f t="shared" si="163"/>
        <v/>
      </c>
      <c r="AH30" s="242" t="str">
        <f t="shared" si="164"/>
        <v/>
      </c>
      <c r="AI30" s="192"/>
      <c r="AJ30" s="274"/>
      <c r="AK30"/>
      <c r="AL30"/>
      <c r="AM30">
        <f t="shared" si="135"/>
        <v>0</v>
      </c>
      <c r="AN30" t="str">
        <f t="shared" si="136"/>
        <v/>
      </c>
      <c r="AO30" t="str">
        <f t="shared" si="137"/>
        <v/>
      </c>
      <c r="AP30" t="str">
        <f t="shared" si="138"/>
        <v/>
      </c>
      <c r="AQ30">
        <f t="shared" si="22"/>
        <v>0</v>
      </c>
      <c r="AR30">
        <f t="shared" si="139"/>
        <v>2</v>
      </c>
      <c r="AS30">
        <f t="shared" si="29"/>
        <v>0</v>
      </c>
      <c r="AT30">
        <f t="shared" si="23"/>
        <v>0</v>
      </c>
      <c r="AU30">
        <f t="shared" si="140"/>
        <v>0</v>
      </c>
      <c r="AV30">
        <f t="shared" si="141"/>
        <v>0</v>
      </c>
      <c r="AW30">
        <f t="shared" si="142"/>
        <v>0</v>
      </c>
      <c r="AX30" t="str">
        <f t="shared" si="24"/>
        <v/>
      </c>
      <c r="AY30">
        <f t="shared" si="143"/>
        <v>0</v>
      </c>
      <c r="AZ30">
        <f t="shared" si="144"/>
        <v>0</v>
      </c>
      <c r="BA30">
        <f t="shared" si="145"/>
        <v>0</v>
      </c>
      <c r="BB30">
        <f t="shared" si="146"/>
        <v>0</v>
      </c>
      <c r="BC30">
        <f t="shared" si="147"/>
        <v>0</v>
      </c>
      <c r="BD30">
        <f t="shared" si="148"/>
        <v>0</v>
      </c>
      <c r="BE30">
        <f t="shared" si="149"/>
        <v>0</v>
      </c>
      <c r="BF30"/>
      <c r="BG30">
        <f>IF($AH$4=$CK$75,'S2'!T30,
IF($AH$4=$CL$75,'S3'!T30,
IF($AH$4=$CJ$75,'S1'!T30,
IF($AH$4=$CM$75,S3M!T30,))))</f>
        <v>0</v>
      </c>
      <c r="BH30">
        <f>IF($AH$4=$CK$75,'S2'!U30,
IF($AH$4=$CL$75,'S3'!U30,
IF($AH$4=$CJ$75,'S1'!U30,
IF($AH$4=$CM$75,S3M!U30,))))</f>
        <v>0</v>
      </c>
      <c r="BI30">
        <f>IF($AH$4=$CK$75,'S2'!V30,
IF($AH$4=$CL$75,'S3'!V30,
IF($AH$4=$CJ$75,'S1'!V30,
IF($AH$4=$CM$75,S3M!V30,))))</f>
        <v>0</v>
      </c>
      <c r="BJ30">
        <f>IF($AH$4=$CK$75,'S2'!W30,
IF($AH$4=$CL$75,'S3'!W30,
IF($AH$4=$CJ$75,'S1'!W30,
IF($AH$4=$CM$75,S3M!W30,))))</f>
        <v>0</v>
      </c>
      <c r="BK30">
        <f>IF($AH$4=$CK$75,'S2'!X30,
IF($AH$4=$CL$75,'S3'!X30,
IF($AH$4=$CJ$75,'S1'!X30,
IF($AH$4=$CM$75,S3M!X30,))))</f>
        <v>0</v>
      </c>
      <c r="BL30">
        <f>IF($AH$4=$CK$75,'S2'!Y30,
IF($AH$4=$CL$75,'S3'!Y30,
IF($AH$4=$CJ$75,'S1'!Y30,
IF($AH$4=$CM$75,S3M!Y30,))))</f>
        <v>0</v>
      </c>
      <c r="BM30">
        <f>IF($AH$4=$CK$75,'S2'!Z30,
IF($AH$4=$CL$75,'S3'!Z30,
IF($AH$4=$CJ$75,'S1'!Z30,
IF($AH$4=$CM$75,S3M!Z30,))))</f>
        <v>0</v>
      </c>
      <c r="BN30">
        <f>IF($AH$4=$CK$75,'S2'!AA30,
IF($AH$4=$CL$75,'S3'!AA30,
IF($AH$4=$CJ$75,'S1'!AA30,
IF($AH$4=$CM$75,S3M!AA30,))))</f>
        <v>0</v>
      </c>
      <c r="BO30">
        <f>IF($AH$4=$CK$75,'S2'!AB30,
IF($AH$4=$CL$75,'S3'!AB30,
IF($AH$4=$CJ$75,'S1'!AB30,
IF($AH$4=$CM$75,S3M!AB30,))))</f>
        <v>0</v>
      </c>
      <c r="BP30">
        <f>IF($AH$4=$CK$75,'S2'!AC30,
IF($AH$4=$CL$75,'S3'!AC30,
IF($AH$4=$CJ$75,'S1'!AC30,
IF($AH$4=$CM$75,S3M!AC30,))))</f>
        <v>0</v>
      </c>
      <c r="BQ30">
        <f t="shared" si="30"/>
        <v>58</v>
      </c>
      <c r="BR30">
        <f t="shared" si="31"/>
        <v>32</v>
      </c>
      <c r="BS30">
        <f t="shared" si="32"/>
        <v>0</v>
      </c>
      <c r="BT30">
        <f t="shared" si="33"/>
        <v>0</v>
      </c>
      <c r="BU30">
        <f t="shared" si="34"/>
        <v>0</v>
      </c>
      <c r="BV30">
        <f t="shared" si="35"/>
        <v>0</v>
      </c>
      <c r="BW30">
        <f t="shared" si="36"/>
        <v>90</v>
      </c>
      <c r="BX30">
        <f t="shared" si="37"/>
        <v>0</v>
      </c>
      <c r="BY30">
        <f t="shared" si="38"/>
        <v>0</v>
      </c>
      <c r="BZ30">
        <f t="shared" si="39"/>
        <v>0</v>
      </c>
      <c r="CA30">
        <f t="shared" si="40"/>
        <v>0</v>
      </c>
      <c r="CB30">
        <f t="shared" si="41"/>
        <v>0</v>
      </c>
      <c r="CC30">
        <f t="shared" si="42"/>
        <v>0</v>
      </c>
      <c r="CD30">
        <f t="shared" si="43"/>
        <v>80</v>
      </c>
      <c r="CE30">
        <f t="shared" si="44"/>
        <v>0</v>
      </c>
      <c r="CF30">
        <f t="shared" si="45"/>
        <v>0</v>
      </c>
      <c r="CG30">
        <f t="shared" si="46"/>
        <v>46.2</v>
      </c>
      <c r="CH30">
        <f t="shared" si="47"/>
        <v>17.600000000000001</v>
      </c>
      <c r="CI30">
        <f t="shared" si="48"/>
        <v>0</v>
      </c>
      <c r="CJ30">
        <f t="shared" si="49"/>
        <v>0</v>
      </c>
      <c r="CK30">
        <f t="shared" si="50"/>
        <v>0</v>
      </c>
      <c r="CL30">
        <f t="shared" si="51"/>
        <v>0</v>
      </c>
      <c r="CM30">
        <f t="shared" si="52"/>
        <v>0</v>
      </c>
      <c r="CN30">
        <f t="shared" si="53"/>
        <v>0</v>
      </c>
      <c r="CO30">
        <f t="shared" si="54"/>
        <v>0</v>
      </c>
      <c r="CP30" t="str">
        <f t="shared" si="19"/>
        <v/>
      </c>
      <c r="CQ30">
        <f t="shared" si="55"/>
        <v>0</v>
      </c>
      <c r="CR30" t="str">
        <f t="shared" si="56"/>
        <v/>
      </c>
      <c r="CS30">
        <f t="shared" si="57"/>
        <v>0</v>
      </c>
      <c r="CT30">
        <f t="shared" si="58"/>
        <v>0</v>
      </c>
      <c r="CU30">
        <f t="shared" si="59"/>
        <v>0</v>
      </c>
      <c r="CV30">
        <f t="shared" si="60"/>
        <v>203.7166666666667</v>
      </c>
      <c r="CW30">
        <f t="shared" si="61"/>
        <v>210</v>
      </c>
      <c r="CX30">
        <f t="shared" si="62"/>
        <v>120</v>
      </c>
      <c r="CY30">
        <f t="shared" si="63"/>
        <v>0</v>
      </c>
      <c r="CZ30">
        <f t="shared" si="64"/>
        <v>0</v>
      </c>
      <c r="DA30">
        <f t="shared" si="65"/>
        <v>0</v>
      </c>
      <c r="DB30">
        <f t="shared" si="66"/>
        <v>0</v>
      </c>
      <c r="DC30" t="str">
        <f t="shared" si="67"/>
        <v/>
      </c>
      <c r="DD30">
        <f t="shared" si="68"/>
        <v>0</v>
      </c>
      <c r="DE30">
        <f t="shared" si="69"/>
        <v>0</v>
      </c>
      <c r="DF30">
        <f t="shared" si="70"/>
        <v>12.15</v>
      </c>
      <c r="DG30">
        <f t="shared" si="71"/>
        <v>0</v>
      </c>
      <c r="DH30">
        <f t="shared" si="72"/>
        <v>0</v>
      </c>
      <c r="DI30">
        <f t="shared" si="26"/>
        <v>0</v>
      </c>
      <c r="DJ30"/>
      <c r="DK30"/>
      <c r="DL30">
        <f t="shared" si="73"/>
        <v>0</v>
      </c>
      <c r="DM30">
        <f t="shared" si="74"/>
        <v>0</v>
      </c>
      <c r="DN30">
        <f t="shared" si="75"/>
        <v>0</v>
      </c>
      <c r="DO30" t="e">
        <f t="shared" si="76"/>
        <v>#N/A</v>
      </c>
      <c r="DP30">
        <f t="shared" si="77"/>
        <v>0</v>
      </c>
      <c r="DQ30" t="e">
        <f t="shared" si="78"/>
        <v>#N/A</v>
      </c>
      <c r="DR30" t="e">
        <f t="shared" si="79"/>
        <v>#N/A</v>
      </c>
      <c r="DS30">
        <f t="shared" si="80"/>
        <v>0</v>
      </c>
      <c r="DT30">
        <f t="shared" si="81"/>
        <v>0</v>
      </c>
      <c r="DU30">
        <f t="shared" si="82"/>
        <v>0</v>
      </c>
      <c r="DV30">
        <f t="shared" si="27"/>
        <v>0</v>
      </c>
      <c r="DW30">
        <f t="shared" si="83"/>
        <v>0</v>
      </c>
      <c r="DX30">
        <f t="shared" si="84"/>
        <v>0</v>
      </c>
      <c r="DY30">
        <f t="shared" si="85"/>
        <v>0</v>
      </c>
      <c r="DZ30">
        <f t="shared" si="86"/>
        <v>0</v>
      </c>
      <c r="EA30">
        <f t="shared" si="87"/>
        <v>0</v>
      </c>
      <c r="EB30">
        <f t="shared" si="88"/>
        <v>0</v>
      </c>
      <c r="EC30">
        <f t="shared" si="89"/>
        <v>0</v>
      </c>
      <c r="ED30">
        <f t="shared" si="90"/>
        <v>0</v>
      </c>
      <c r="EE30">
        <f t="shared" si="91"/>
        <v>0</v>
      </c>
      <c r="EF30">
        <f t="shared" si="92"/>
        <v>0</v>
      </c>
      <c r="EG30">
        <f t="shared" si="93"/>
        <v>0</v>
      </c>
      <c r="EH30">
        <f t="shared" si="28"/>
        <v>0</v>
      </c>
      <c r="EI30">
        <f t="shared" si="94"/>
        <v>-70</v>
      </c>
      <c r="EJ30">
        <f t="shared" si="95"/>
        <v>0</v>
      </c>
      <c r="EK30">
        <f t="shared" si="96"/>
        <v>0</v>
      </c>
      <c r="EL30">
        <f t="shared" si="97"/>
        <v>0</v>
      </c>
      <c r="EM30" t="e">
        <f t="shared" si="98"/>
        <v>#DIV/0!</v>
      </c>
      <c r="EN30">
        <f t="shared" si="99"/>
        <v>0</v>
      </c>
      <c r="EO30" t="str">
        <f t="shared" si="100"/>
        <v>üh</v>
      </c>
      <c r="EP30">
        <f t="shared" si="101"/>
        <v>0</v>
      </c>
      <c r="EQ30">
        <f t="shared" si="102"/>
        <v>0</v>
      </c>
      <c r="ER30">
        <f t="shared" si="103"/>
        <v>0</v>
      </c>
      <c r="ES30">
        <f t="shared" si="104"/>
        <v>0</v>
      </c>
      <c r="ET30">
        <f t="shared" si="105"/>
        <v>0</v>
      </c>
      <c r="EU30">
        <f t="shared" si="106"/>
        <v>0</v>
      </c>
      <c r="EV30">
        <f t="shared" si="107"/>
        <v>0</v>
      </c>
      <c r="EW30">
        <f t="shared" si="108"/>
        <v>0</v>
      </c>
      <c r="EX30">
        <f t="shared" si="109"/>
        <v>0</v>
      </c>
      <c r="EY30">
        <f t="shared" si="110"/>
        <v>0</v>
      </c>
      <c r="EZ30">
        <f t="shared" si="111"/>
        <v>0</v>
      </c>
      <c r="FA30">
        <f t="shared" si="112"/>
        <v>0</v>
      </c>
      <c r="FB30" t="str">
        <f t="shared" si="113"/>
        <v/>
      </c>
      <c r="FC30" t="str">
        <f t="shared" si="114"/>
        <v/>
      </c>
      <c r="FD30" t="str">
        <f>IF(AS30+E30=0,"",IF(SUM(L30:M30)=2,IF(SUM(N30+O30+BC30+BD30)=2,"",Sprache!$B$107),Sprache!$B$107))</f>
        <v/>
      </c>
      <c r="FE30" t="str">
        <f t="shared" si="115"/>
        <v/>
      </c>
      <c r="FF30" t="str">
        <f t="shared" si="116"/>
        <v/>
      </c>
      <c r="FG30" t="str">
        <f t="shared" si="117"/>
        <v/>
      </c>
      <c r="FH30" t="str">
        <f t="shared" ca="1" si="118"/>
        <v/>
      </c>
      <c r="FI30" t="str">
        <f t="shared" si="119"/>
        <v/>
      </c>
      <c r="FJ30" t="str">
        <f t="shared" si="120"/>
        <v/>
      </c>
      <c r="FK30" t="str">
        <f t="shared" si="121"/>
        <v/>
      </c>
      <c r="FL30" t="str">
        <f t="shared" si="122"/>
        <v/>
      </c>
      <c r="FM30" t="str">
        <f t="shared" si="123"/>
        <v/>
      </c>
      <c r="FN30" t="str">
        <f t="shared" si="124"/>
        <v/>
      </c>
      <c r="FO30" t="str">
        <f t="shared" si="125"/>
        <v/>
      </c>
      <c r="FP30" t="str">
        <f t="shared" si="126"/>
        <v/>
      </c>
      <c r="FQ30" t="str">
        <f>IF(AO30="","",IF(DK190=0,Sprache!$B$65&amp;" ?",IF(CH190="?",$FQ$4,"")))</f>
        <v/>
      </c>
      <c r="FR30" t="str">
        <f t="shared" si="127"/>
        <v/>
      </c>
      <c r="FS30" t="str">
        <f t="shared" si="128"/>
        <v/>
      </c>
      <c r="FT30" t="str">
        <f t="shared" si="129"/>
        <v/>
      </c>
      <c r="FU30"/>
      <c r="FV30" t="str">
        <f ca="1">IF(TODAY()=$A$3,"",IF(TODAY()&gt;DATE(2018,7,1),CONCATENATE(Sprache!$B$89),""))</f>
        <v>outdated version</v>
      </c>
      <c r="FW30" t="str">
        <f t="shared" ca="1" si="130"/>
        <v>outdated version</v>
      </c>
      <c r="FX30" t="str">
        <f t="shared" ca="1" si="131"/>
        <v>outdated version</v>
      </c>
      <c r="FY30" t="str">
        <f t="shared" ca="1" si="132"/>
        <v/>
      </c>
      <c r="FZ30"/>
      <c r="GA30" s="407">
        <f t="shared" si="133"/>
        <v>0</v>
      </c>
      <c r="GB30" s="405"/>
      <c r="GC30" s="405"/>
      <c r="GD30" s="406"/>
      <c r="GE30" s="407">
        <f t="shared" si="134"/>
        <v>0</v>
      </c>
      <c r="GF30" s="405"/>
      <c r="GG30" s="404"/>
      <c r="GH30" s="406"/>
    </row>
    <row r="31" spans="1:190" s="243" customFormat="1" ht="14.25" customHeight="1" x14ac:dyDescent="0.2">
      <c r="A31" s="220"/>
      <c r="B31" s="221"/>
      <c r="C31" s="222"/>
      <c r="D31" s="223">
        <f t="shared" si="20"/>
        <v>0</v>
      </c>
      <c r="E31" s="223">
        <f t="shared" si="21"/>
        <v>0</v>
      </c>
      <c r="F31" s="224"/>
      <c r="G31" s="225"/>
      <c r="H31" s="225"/>
      <c r="I31" s="272"/>
      <c r="J31" s="264"/>
      <c r="K31" s="226"/>
      <c r="L31" s="227">
        <v>1</v>
      </c>
      <c r="M31" s="228">
        <f t="shared" si="150"/>
        <v>1</v>
      </c>
      <c r="N31" s="229">
        <f t="shared" si="151"/>
        <v>2</v>
      </c>
      <c r="O31" s="230"/>
      <c r="P31" s="231"/>
      <c r="Q31" s="232"/>
      <c r="R31" s="233">
        <f t="shared" si="152"/>
        <v>0</v>
      </c>
      <c r="S31" s="233">
        <f t="shared" si="153"/>
        <v>0</v>
      </c>
      <c r="T31" s="245">
        <f t="shared" si="154"/>
        <v>0</v>
      </c>
      <c r="U31" s="234"/>
      <c r="V31" s="270"/>
      <c r="W31" s="267"/>
      <c r="X31" s="235">
        <f t="shared" si="155"/>
        <v>0</v>
      </c>
      <c r="Y31" s="236" t="str">
        <f t="shared" si="156"/>
        <v/>
      </c>
      <c r="Z31" s="237">
        <f t="shared" si="157"/>
        <v>0</v>
      </c>
      <c r="AA31" s="238">
        <f t="shared" si="158"/>
        <v>0</v>
      </c>
      <c r="AB31" s="239" t="str">
        <f t="shared" si="159"/>
        <v/>
      </c>
      <c r="AC31" s="240" t="str">
        <f t="shared" ca="1" si="160"/>
        <v/>
      </c>
      <c r="AD31" s="394" t="str">
        <f t="shared" ca="1" si="161"/>
        <v/>
      </c>
      <c r="AE31" s="241" t="str">
        <f>IF(AO31="","",IFERROR(IF(ELEMENT!$CH$78=ELEMENT!$CM$63,(AC31/AA31/10.75),(AC31/AA31)),""))</f>
        <v/>
      </c>
      <c r="AF31" s="241" t="str">
        <f t="shared" si="162"/>
        <v/>
      </c>
      <c r="AG31" s="238" t="str">
        <f t="shared" si="163"/>
        <v/>
      </c>
      <c r="AH31" s="242" t="str">
        <f t="shared" si="164"/>
        <v/>
      </c>
      <c r="AI31" s="192"/>
      <c r="AJ31" s="274"/>
      <c r="AK31"/>
      <c r="AL31"/>
      <c r="AM31">
        <f t="shared" si="135"/>
        <v>0</v>
      </c>
      <c r="AN31" t="str">
        <f t="shared" si="136"/>
        <v/>
      </c>
      <c r="AO31" t="str">
        <f t="shared" si="137"/>
        <v/>
      </c>
      <c r="AP31" t="str">
        <f t="shared" si="138"/>
        <v/>
      </c>
      <c r="AQ31">
        <f t="shared" si="22"/>
        <v>0</v>
      </c>
      <c r="AR31">
        <f t="shared" si="139"/>
        <v>2</v>
      </c>
      <c r="AS31">
        <f t="shared" si="29"/>
        <v>0</v>
      </c>
      <c r="AT31">
        <f t="shared" si="23"/>
        <v>0</v>
      </c>
      <c r="AU31">
        <f t="shared" si="140"/>
        <v>0</v>
      </c>
      <c r="AV31">
        <f t="shared" si="141"/>
        <v>0</v>
      </c>
      <c r="AW31">
        <f t="shared" si="142"/>
        <v>0</v>
      </c>
      <c r="AX31" t="str">
        <f t="shared" si="24"/>
        <v/>
      </c>
      <c r="AY31">
        <f t="shared" si="143"/>
        <v>0</v>
      </c>
      <c r="AZ31">
        <f t="shared" si="144"/>
        <v>0</v>
      </c>
      <c r="BA31">
        <f t="shared" si="145"/>
        <v>0</v>
      </c>
      <c r="BB31">
        <f t="shared" si="146"/>
        <v>0</v>
      </c>
      <c r="BC31">
        <f t="shared" si="147"/>
        <v>0</v>
      </c>
      <c r="BD31">
        <f t="shared" si="148"/>
        <v>0</v>
      </c>
      <c r="BE31">
        <f t="shared" si="149"/>
        <v>0</v>
      </c>
      <c r="BF31">
        <v>37365</v>
      </c>
      <c r="BG31">
        <f t="shared" ref="BG31:BO31" si="166">DU62</f>
        <v>0</v>
      </c>
      <c r="BH31">
        <f t="shared" si="166"/>
        <v>0</v>
      </c>
      <c r="BI31">
        <f t="shared" si="166"/>
        <v>0</v>
      </c>
      <c r="BJ31">
        <f t="shared" si="166"/>
        <v>0</v>
      </c>
      <c r="BK31">
        <f t="shared" si="166"/>
        <v>0</v>
      </c>
      <c r="BL31">
        <f t="shared" si="166"/>
        <v>0</v>
      </c>
      <c r="BM31">
        <f t="shared" si="166"/>
        <v>0</v>
      </c>
      <c r="BN31">
        <f t="shared" si="166"/>
        <v>0</v>
      </c>
      <c r="BO31">
        <f t="shared" si="166"/>
        <v>0</v>
      </c>
      <c r="BP31"/>
      <c r="BQ31">
        <f t="shared" si="30"/>
        <v>58</v>
      </c>
      <c r="BR31">
        <f t="shared" si="31"/>
        <v>32</v>
      </c>
      <c r="BS31">
        <f t="shared" si="32"/>
        <v>0</v>
      </c>
      <c r="BT31">
        <f t="shared" si="33"/>
        <v>0</v>
      </c>
      <c r="BU31">
        <f t="shared" si="34"/>
        <v>0</v>
      </c>
      <c r="BV31">
        <f t="shared" si="35"/>
        <v>0</v>
      </c>
      <c r="BW31">
        <f t="shared" si="36"/>
        <v>90</v>
      </c>
      <c r="BX31">
        <f t="shared" si="37"/>
        <v>0</v>
      </c>
      <c r="BY31">
        <f t="shared" si="38"/>
        <v>0</v>
      </c>
      <c r="BZ31">
        <f t="shared" si="39"/>
        <v>0</v>
      </c>
      <c r="CA31">
        <f t="shared" si="40"/>
        <v>0</v>
      </c>
      <c r="CB31">
        <f t="shared" si="41"/>
        <v>0</v>
      </c>
      <c r="CC31">
        <f t="shared" si="42"/>
        <v>0</v>
      </c>
      <c r="CD31">
        <f t="shared" si="43"/>
        <v>80</v>
      </c>
      <c r="CE31">
        <f t="shared" si="44"/>
        <v>0</v>
      </c>
      <c r="CF31">
        <f t="shared" si="45"/>
        <v>0</v>
      </c>
      <c r="CG31">
        <f t="shared" si="46"/>
        <v>46.2</v>
      </c>
      <c r="CH31">
        <f t="shared" si="47"/>
        <v>17.600000000000001</v>
      </c>
      <c r="CI31">
        <f t="shared" si="48"/>
        <v>0</v>
      </c>
      <c r="CJ31">
        <f t="shared" si="49"/>
        <v>0</v>
      </c>
      <c r="CK31">
        <f t="shared" si="50"/>
        <v>0</v>
      </c>
      <c r="CL31">
        <f t="shared" si="51"/>
        <v>0</v>
      </c>
      <c r="CM31">
        <f t="shared" si="52"/>
        <v>0</v>
      </c>
      <c r="CN31">
        <f t="shared" si="53"/>
        <v>0</v>
      </c>
      <c r="CO31">
        <f t="shared" si="54"/>
        <v>0</v>
      </c>
      <c r="CP31" t="str">
        <f t="shared" si="19"/>
        <v/>
      </c>
      <c r="CQ31">
        <f t="shared" si="55"/>
        <v>0</v>
      </c>
      <c r="CR31" t="str">
        <f t="shared" si="56"/>
        <v/>
      </c>
      <c r="CS31">
        <f t="shared" si="57"/>
        <v>0</v>
      </c>
      <c r="CT31">
        <f t="shared" si="58"/>
        <v>0</v>
      </c>
      <c r="CU31">
        <f t="shared" si="59"/>
        <v>0</v>
      </c>
      <c r="CV31">
        <f t="shared" si="60"/>
        <v>203.7166666666667</v>
      </c>
      <c r="CW31">
        <f t="shared" si="61"/>
        <v>210</v>
      </c>
      <c r="CX31">
        <f t="shared" si="62"/>
        <v>120</v>
      </c>
      <c r="CY31">
        <f t="shared" si="63"/>
        <v>0</v>
      </c>
      <c r="CZ31">
        <f t="shared" si="64"/>
        <v>0</v>
      </c>
      <c r="DA31">
        <f t="shared" si="65"/>
        <v>0</v>
      </c>
      <c r="DB31">
        <f t="shared" si="66"/>
        <v>0</v>
      </c>
      <c r="DC31" t="str">
        <f t="shared" si="67"/>
        <v/>
      </c>
      <c r="DD31">
        <f t="shared" si="68"/>
        <v>0</v>
      </c>
      <c r="DE31">
        <f t="shared" si="69"/>
        <v>0</v>
      </c>
      <c r="DF31">
        <f t="shared" si="70"/>
        <v>12.15</v>
      </c>
      <c r="DG31">
        <f t="shared" si="71"/>
        <v>0</v>
      </c>
      <c r="DH31">
        <f t="shared" si="72"/>
        <v>0</v>
      </c>
      <c r="DI31">
        <f t="shared" si="26"/>
        <v>0</v>
      </c>
      <c r="DJ31"/>
      <c r="DK31"/>
      <c r="DL31">
        <f t="shared" si="73"/>
        <v>0</v>
      </c>
      <c r="DM31">
        <f t="shared" si="74"/>
        <v>0</v>
      </c>
      <c r="DN31">
        <f t="shared" si="75"/>
        <v>0</v>
      </c>
      <c r="DO31" t="e">
        <f t="shared" si="76"/>
        <v>#N/A</v>
      </c>
      <c r="DP31">
        <f t="shared" si="77"/>
        <v>0</v>
      </c>
      <c r="DQ31" t="e">
        <f t="shared" si="78"/>
        <v>#N/A</v>
      </c>
      <c r="DR31" t="e">
        <f t="shared" si="79"/>
        <v>#N/A</v>
      </c>
      <c r="DS31">
        <f t="shared" si="80"/>
        <v>0</v>
      </c>
      <c r="DT31">
        <f t="shared" si="81"/>
        <v>0</v>
      </c>
      <c r="DU31">
        <f t="shared" si="82"/>
        <v>0</v>
      </c>
      <c r="DV31">
        <f t="shared" si="27"/>
        <v>0</v>
      </c>
      <c r="DW31">
        <f t="shared" si="83"/>
        <v>0</v>
      </c>
      <c r="DX31">
        <f t="shared" si="84"/>
        <v>0</v>
      </c>
      <c r="DY31">
        <f t="shared" si="85"/>
        <v>0</v>
      </c>
      <c r="DZ31">
        <f t="shared" si="86"/>
        <v>0</v>
      </c>
      <c r="EA31">
        <f t="shared" si="87"/>
        <v>0</v>
      </c>
      <c r="EB31">
        <f t="shared" si="88"/>
        <v>0</v>
      </c>
      <c r="EC31">
        <f t="shared" si="89"/>
        <v>0</v>
      </c>
      <c r="ED31">
        <f t="shared" si="90"/>
        <v>0</v>
      </c>
      <c r="EE31">
        <f t="shared" si="91"/>
        <v>0</v>
      </c>
      <c r="EF31">
        <f t="shared" si="92"/>
        <v>0</v>
      </c>
      <c r="EG31">
        <f t="shared" si="93"/>
        <v>0</v>
      </c>
      <c r="EH31">
        <f t="shared" si="28"/>
        <v>0</v>
      </c>
      <c r="EI31">
        <f t="shared" si="94"/>
        <v>-70</v>
      </c>
      <c r="EJ31">
        <f t="shared" si="95"/>
        <v>0</v>
      </c>
      <c r="EK31">
        <f t="shared" si="96"/>
        <v>0</v>
      </c>
      <c r="EL31">
        <f t="shared" si="97"/>
        <v>0</v>
      </c>
      <c r="EM31" t="e">
        <f t="shared" si="98"/>
        <v>#DIV/0!</v>
      </c>
      <c r="EN31">
        <f t="shared" si="99"/>
        <v>0</v>
      </c>
      <c r="EO31" t="str">
        <f t="shared" si="100"/>
        <v>üh</v>
      </c>
      <c r="EP31">
        <f t="shared" si="101"/>
        <v>0</v>
      </c>
      <c r="EQ31">
        <f t="shared" si="102"/>
        <v>0</v>
      </c>
      <c r="ER31">
        <f t="shared" si="103"/>
        <v>0</v>
      </c>
      <c r="ES31">
        <f t="shared" si="104"/>
        <v>0</v>
      </c>
      <c r="ET31">
        <f t="shared" si="105"/>
        <v>0</v>
      </c>
      <c r="EU31">
        <f t="shared" si="106"/>
        <v>0</v>
      </c>
      <c r="EV31">
        <f t="shared" si="107"/>
        <v>0</v>
      </c>
      <c r="EW31">
        <f t="shared" si="108"/>
        <v>0</v>
      </c>
      <c r="EX31">
        <f t="shared" si="109"/>
        <v>0</v>
      </c>
      <c r="EY31">
        <f t="shared" si="110"/>
        <v>0</v>
      </c>
      <c r="EZ31">
        <f t="shared" si="111"/>
        <v>0</v>
      </c>
      <c r="FA31">
        <f t="shared" si="112"/>
        <v>0</v>
      </c>
      <c r="FB31" t="str">
        <f t="shared" si="113"/>
        <v/>
      </c>
      <c r="FC31" t="str">
        <f t="shared" si="114"/>
        <v/>
      </c>
      <c r="FD31" t="str">
        <f>IF(AS31+E31=0,"",IF(SUM(L31:M31)=2,IF(SUM(N31+O31+BC31+BD31)=2,"",Sprache!$B$107),Sprache!$B$107))</f>
        <v/>
      </c>
      <c r="FE31" t="str">
        <f t="shared" si="115"/>
        <v/>
      </c>
      <c r="FF31" t="str">
        <f t="shared" si="116"/>
        <v/>
      </c>
      <c r="FG31" t="str">
        <f t="shared" si="117"/>
        <v/>
      </c>
      <c r="FH31" t="str">
        <f t="shared" ca="1" si="118"/>
        <v/>
      </c>
      <c r="FI31" t="str">
        <f t="shared" si="119"/>
        <v/>
      </c>
      <c r="FJ31" t="str">
        <f t="shared" si="120"/>
        <v/>
      </c>
      <c r="FK31" t="str">
        <f t="shared" si="121"/>
        <v/>
      </c>
      <c r="FL31" t="str">
        <f t="shared" si="122"/>
        <v/>
      </c>
      <c r="FM31" t="str">
        <f t="shared" si="123"/>
        <v/>
      </c>
      <c r="FN31" t="str">
        <f t="shared" si="124"/>
        <v/>
      </c>
      <c r="FO31" t="str">
        <f t="shared" si="125"/>
        <v/>
      </c>
      <c r="FP31" t="str">
        <f t="shared" si="126"/>
        <v/>
      </c>
      <c r="FQ31" t="str">
        <f>IF(AO31="","",IF(DK191=0,Sprache!$B$65&amp;" ?",IF(CH191="?",$FQ$4,"")))</f>
        <v/>
      </c>
      <c r="FR31" t="str">
        <f t="shared" si="127"/>
        <v/>
      </c>
      <c r="FS31" t="str">
        <f t="shared" si="128"/>
        <v/>
      </c>
      <c r="FT31" t="str">
        <f t="shared" si="129"/>
        <v/>
      </c>
      <c r="FU31"/>
      <c r="FV31" t="str">
        <f ca="1">IF(TODAY()=$A$3,"",IF(TODAY()&gt;DATE(2018,7,1),CONCATENATE(Sprache!$B$89),""))</f>
        <v>outdated version</v>
      </c>
      <c r="FW31" t="str">
        <f t="shared" ca="1" si="130"/>
        <v>outdated version</v>
      </c>
      <c r="FX31" t="str">
        <f t="shared" ca="1" si="131"/>
        <v>outdated version</v>
      </c>
      <c r="FY31" t="str">
        <f t="shared" ca="1" si="132"/>
        <v/>
      </c>
      <c r="FZ31"/>
      <c r="GA31" s="407">
        <f t="shared" si="133"/>
        <v>0</v>
      </c>
      <c r="GB31" s="405"/>
      <c r="GC31" s="405"/>
      <c r="GD31" s="406"/>
      <c r="GE31" s="407">
        <f t="shared" si="134"/>
        <v>0</v>
      </c>
      <c r="GF31" s="405"/>
      <c r="GG31" s="404"/>
      <c r="GH31" s="406"/>
    </row>
    <row r="32" spans="1:190" s="243" customFormat="1" ht="14.25" customHeight="1" x14ac:dyDescent="0.2">
      <c r="A32" s="220"/>
      <c r="B32" s="221"/>
      <c r="C32" s="222"/>
      <c r="D32" s="223">
        <f t="shared" si="20"/>
        <v>0</v>
      </c>
      <c r="E32" s="223">
        <f t="shared" si="21"/>
        <v>0</v>
      </c>
      <c r="F32" s="224"/>
      <c r="G32" s="225"/>
      <c r="H32" s="225"/>
      <c r="I32" s="272"/>
      <c r="J32" s="264"/>
      <c r="K32" s="226"/>
      <c r="L32" s="227">
        <v>1</v>
      </c>
      <c r="M32" s="228">
        <f t="shared" si="150"/>
        <v>1</v>
      </c>
      <c r="N32" s="229">
        <f t="shared" si="151"/>
        <v>2</v>
      </c>
      <c r="O32" s="230"/>
      <c r="P32" s="231"/>
      <c r="Q32" s="232"/>
      <c r="R32" s="233">
        <f t="shared" si="152"/>
        <v>0</v>
      </c>
      <c r="S32" s="233">
        <f t="shared" si="153"/>
        <v>0</v>
      </c>
      <c r="T32" s="245">
        <f t="shared" si="154"/>
        <v>0</v>
      </c>
      <c r="U32" s="234"/>
      <c r="V32" s="270"/>
      <c r="W32" s="267"/>
      <c r="X32" s="235">
        <f t="shared" si="155"/>
        <v>0</v>
      </c>
      <c r="Y32" s="236" t="str">
        <f t="shared" si="156"/>
        <v/>
      </c>
      <c r="Z32" s="237">
        <f t="shared" si="157"/>
        <v>0</v>
      </c>
      <c r="AA32" s="238">
        <f t="shared" si="158"/>
        <v>0</v>
      </c>
      <c r="AB32" s="239" t="str">
        <f t="shared" si="159"/>
        <v/>
      </c>
      <c r="AC32" s="240" t="str">
        <f t="shared" ca="1" si="160"/>
        <v/>
      </c>
      <c r="AD32" s="394" t="str">
        <f t="shared" ca="1" si="161"/>
        <v/>
      </c>
      <c r="AE32" s="241" t="str">
        <f>IF(AO32="","",IFERROR(IF(ELEMENT!$CH$78=ELEMENT!$CM$63,(AC32/AA32/10.75),(AC32/AA32)),""))</f>
        <v/>
      </c>
      <c r="AF32" s="241" t="str">
        <f t="shared" si="162"/>
        <v/>
      </c>
      <c r="AG32" s="238" t="str">
        <f t="shared" si="163"/>
        <v/>
      </c>
      <c r="AH32" s="242" t="str">
        <f t="shared" si="164"/>
        <v/>
      </c>
      <c r="AI32" s="192"/>
      <c r="AJ32" s="274"/>
      <c r="AK32"/>
      <c r="AL32"/>
      <c r="AM32">
        <f t="shared" si="135"/>
        <v>0</v>
      </c>
      <c r="AN32" t="str">
        <f t="shared" si="136"/>
        <v/>
      </c>
      <c r="AO32" t="str">
        <f t="shared" si="137"/>
        <v/>
      </c>
      <c r="AP32" t="str">
        <f t="shared" si="138"/>
        <v/>
      </c>
      <c r="AQ32">
        <f t="shared" si="22"/>
        <v>0</v>
      </c>
      <c r="AR32">
        <f t="shared" si="139"/>
        <v>2</v>
      </c>
      <c r="AS32">
        <f t="shared" si="29"/>
        <v>0</v>
      </c>
      <c r="AT32">
        <f t="shared" si="23"/>
        <v>0</v>
      </c>
      <c r="AU32">
        <f t="shared" si="140"/>
        <v>0</v>
      </c>
      <c r="AV32">
        <f t="shared" si="141"/>
        <v>0</v>
      </c>
      <c r="AW32">
        <f t="shared" si="142"/>
        <v>0</v>
      </c>
      <c r="AX32" t="str">
        <f t="shared" si="24"/>
        <v/>
      </c>
      <c r="AY32">
        <f t="shared" si="143"/>
        <v>0</v>
      </c>
      <c r="AZ32">
        <f t="shared" si="144"/>
        <v>0</v>
      </c>
      <c r="BA32">
        <f t="shared" si="145"/>
        <v>0</v>
      </c>
      <c r="BB32">
        <f t="shared" si="146"/>
        <v>0</v>
      </c>
      <c r="BC32">
        <f t="shared" si="147"/>
        <v>0</v>
      </c>
      <c r="BD32">
        <f t="shared" si="148"/>
        <v>0</v>
      </c>
      <c r="BE32">
        <f t="shared" si="149"/>
        <v>0</v>
      </c>
      <c r="BF32">
        <f ca="1">$AD$46</f>
        <v>0</v>
      </c>
      <c r="BG32">
        <f>IF($AH$4=$CK$75,'S2'!T32,
IF($AH$4=$CL$75,'S3'!T32,
IF($AH$4=$CJ$75,'S1'!T32,
IF($AH$4=$CM$75,S3M!T32,))))</f>
        <v>0</v>
      </c>
      <c r="BH32">
        <f>IF($AH$4=$CK$75,'S2'!U32,
IF($AH$4=$CL$75,'S3'!U32,
IF($AH$4=$CJ$75,'S1'!U32,
IF($AH$4=$CM$75,S3M!U32,))))</f>
        <v>0</v>
      </c>
      <c r="BI32">
        <f>IF($AH$4=$CK$75,'S2'!V32,
IF($AH$4=$CL$75,'S3'!V32,
IF($AH$4=$CJ$75,'S1'!V32,
IF($AH$4=$CM$75,S3M!V32,))))</f>
        <v>0</v>
      </c>
      <c r="BJ32">
        <f>IF($AH$4=$CK$75,'S2'!W32,
IF($AH$4=$CL$75,'S3'!W32,
IF($AH$4=$CJ$75,'S1'!W32,
IF($AH$4=$CM$75,S3M!W32,))))</f>
        <v>0</v>
      </c>
      <c r="BK32">
        <f>IF($AH$4=$CK$75,'S2'!X32,
IF($AH$4=$CL$75,'S3'!X32,
IF($AH$4=$CJ$75,'S1'!X32,
IF($AH$4=$CM$75,S3M!X32,))))</f>
        <v>3500</v>
      </c>
      <c r="BL32">
        <f>IF($AH$4=$CK$75,'S2'!Y32,
IF($AH$4=$CL$75,'S3'!Y32,
IF($AH$4=$CJ$75,'S1'!Y32,
IF($AH$4=$CM$75,S3M!Y32,))))</f>
        <v>3500</v>
      </c>
      <c r="BM32">
        <f>IF($AH$4=$CK$75,'S2'!Z32,
IF($AH$4=$CL$75,'S3'!Z32,
IF($AH$4=$CJ$75,'S1'!Z32,
IF($AH$4=$CM$75,S3M!Z32,))))</f>
        <v>0</v>
      </c>
      <c r="BN32">
        <f>IF($AH$4=$CK$75,'S2'!AA32,
IF($AH$4=$CL$75,'S3'!AA32,
IF($AH$4=$CJ$75,'S1'!AA32,
IF($AH$4=$CM$75,S3M!AA32,))))</f>
        <v>0</v>
      </c>
      <c r="BO32">
        <f>IF($AH$4=$CK$75,'S2'!AB32,
IF($AH$4=$CL$75,'S3'!AB32,
IF($AH$4=$CJ$75,'S1'!AB32,
IF($AH$4=$CM$75,S3M!AB32,))))</f>
        <v>0</v>
      </c>
      <c r="BP32">
        <f>IF($AH$4=$CK$75,'S2'!AC32,
IF($AH$4=$CL$75,'S3'!AC32,
IF($AH$4=$CJ$75,'S1'!AC32,
IF($AH$4=$CM$75,S3M!AC32,))))</f>
        <v>0</v>
      </c>
      <c r="BQ32">
        <f t="shared" si="30"/>
        <v>58</v>
      </c>
      <c r="BR32">
        <f t="shared" si="31"/>
        <v>32</v>
      </c>
      <c r="BS32">
        <f t="shared" si="32"/>
        <v>0</v>
      </c>
      <c r="BT32">
        <f t="shared" si="33"/>
        <v>0</v>
      </c>
      <c r="BU32">
        <f t="shared" si="34"/>
        <v>0</v>
      </c>
      <c r="BV32">
        <f t="shared" si="35"/>
        <v>0</v>
      </c>
      <c r="BW32">
        <f t="shared" si="36"/>
        <v>90</v>
      </c>
      <c r="BX32">
        <f t="shared" si="37"/>
        <v>0</v>
      </c>
      <c r="BY32">
        <f t="shared" si="38"/>
        <v>0</v>
      </c>
      <c r="BZ32">
        <f t="shared" si="39"/>
        <v>0</v>
      </c>
      <c r="CA32">
        <f t="shared" si="40"/>
        <v>0</v>
      </c>
      <c r="CB32">
        <f t="shared" si="41"/>
        <v>0</v>
      </c>
      <c r="CC32">
        <f t="shared" si="42"/>
        <v>0</v>
      </c>
      <c r="CD32">
        <f t="shared" si="43"/>
        <v>80</v>
      </c>
      <c r="CE32">
        <f t="shared" si="44"/>
        <v>0</v>
      </c>
      <c r="CF32">
        <f t="shared" si="45"/>
        <v>0</v>
      </c>
      <c r="CG32">
        <f t="shared" si="46"/>
        <v>46.2</v>
      </c>
      <c r="CH32">
        <f t="shared" si="47"/>
        <v>17.600000000000001</v>
      </c>
      <c r="CI32">
        <f t="shared" si="48"/>
        <v>0</v>
      </c>
      <c r="CJ32">
        <f t="shared" si="49"/>
        <v>0</v>
      </c>
      <c r="CK32">
        <f t="shared" si="50"/>
        <v>0</v>
      </c>
      <c r="CL32">
        <f t="shared" si="51"/>
        <v>0</v>
      </c>
      <c r="CM32">
        <f t="shared" si="52"/>
        <v>0</v>
      </c>
      <c r="CN32">
        <f t="shared" si="53"/>
        <v>0</v>
      </c>
      <c r="CO32">
        <f t="shared" si="54"/>
        <v>0</v>
      </c>
      <c r="CP32" t="str">
        <f t="shared" si="19"/>
        <v/>
      </c>
      <c r="CQ32">
        <f t="shared" si="55"/>
        <v>0</v>
      </c>
      <c r="CR32" t="str">
        <f t="shared" si="56"/>
        <v/>
      </c>
      <c r="CS32">
        <f t="shared" si="57"/>
        <v>0</v>
      </c>
      <c r="CT32">
        <f t="shared" si="58"/>
        <v>0</v>
      </c>
      <c r="CU32">
        <f t="shared" si="59"/>
        <v>0</v>
      </c>
      <c r="CV32">
        <f t="shared" si="60"/>
        <v>203.7166666666667</v>
      </c>
      <c r="CW32">
        <f t="shared" si="61"/>
        <v>210</v>
      </c>
      <c r="CX32">
        <f t="shared" si="62"/>
        <v>120</v>
      </c>
      <c r="CY32">
        <f t="shared" si="63"/>
        <v>0</v>
      </c>
      <c r="CZ32">
        <f t="shared" si="64"/>
        <v>0</v>
      </c>
      <c r="DA32">
        <f t="shared" si="65"/>
        <v>0</v>
      </c>
      <c r="DB32">
        <f t="shared" si="66"/>
        <v>0</v>
      </c>
      <c r="DC32" t="str">
        <f t="shared" si="67"/>
        <v/>
      </c>
      <c r="DD32">
        <f t="shared" si="68"/>
        <v>0</v>
      </c>
      <c r="DE32">
        <f t="shared" si="69"/>
        <v>0</v>
      </c>
      <c r="DF32">
        <f t="shared" si="70"/>
        <v>12.15</v>
      </c>
      <c r="DG32">
        <f t="shared" si="71"/>
        <v>0</v>
      </c>
      <c r="DH32">
        <f t="shared" si="72"/>
        <v>0</v>
      </c>
      <c r="DI32">
        <f t="shared" si="26"/>
        <v>0</v>
      </c>
      <c r="DJ32"/>
      <c r="DK32"/>
      <c r="DL32">
        <f t="shared" si="73"/>
        <v>0</v>
      </c>
      <c r="DM32">
        <f t="shared" si="74"/>
        <v>0</v>
      </c>
      <c r="DN32">
        <f t="shared" si="75"/>
        <v>0</v>
      </c>
      <c r="DO32" t="e">
        <f t="shared" si="76"/>
        <v>#N/A</v>
      </c>
      <c r="DP32">
        <f t="shared" si="77"/>
        <v>0</v>
      </c>
      <c r="DQ32" t="e">
        <f t="shared" si="78"/>
        <v>#N/A</v>
      </c>
      <c r="DR32" t="e">
        <f t="shared" si="79"/>
        <v>#N/A</v>
      </c>
      <c r="DS32">
        <f t="shared" si="80"/>
        <v>0</v>
      </c>
      <c r="DT32">
        <f t="shared" si="81"/>
        <v>0</v>
      </c>
      <c r="DU32">
        <f t="shared" si="82"/>
        <v>0</v>
      </c>
      <c r="DV32">
        <f t="shared" si="27"/>
        <v>0</v>
      </c>
      <c r="DW32">
        <f t="shared" si="83"/>
        <v>0</v>
      </c>
      <c r="DX32">
        <f t="shared" si="84"/>
        <v>0</v>
      </c>
      <c r="DY32">
        <f t="shared" si="85"/>
        <v>0</v>
      </c>
      <c r="DZ32">
        <f t="shared" si="86"/>
        <v>0</v>
      </c>
      <c r="EA32">
        <f t="shared" si="87"/>
        <v>0</v>
      </c>
      <c r="EB32">
        <f t="shared" si="88"/>
        <v>0</v>
      </c>
      <c r="EC32">
        <f t="shared" si="89"/>
        <v>0</v>
      </c>
      <c r="ED32">
        <f t="shared" si="90"/>
        <v>0</v>
      </c>
      <c r="EE32">
        <f t="shared" si="91"/>
        <v>0</v>
      </c>
      <c r="EF32">
        <f t="shared" si="92"/>
        <v>0</v>
      </c>
      <c r="EG32">
        <f t="shared" si="93"/>
        <v>0</v>
      </c>
      <c r="EH32">
        <f t="shared" si="28"/>
        <v>0</v>
      </c>
      <c r="EI32">
        <f t="shared" si="94"/>
        <v>-70</v>
      </c>
      <c r="EJ32">
        <f t="shared" si="95"/>
        <v>0</v>
      </c>
      <c r="EK32">
        <f t="shared" si="96"/>
        <v>0</v>
      </c>
      <c r="EL32">
        <f t="shared" si="97"/>
        <v>0</v>
      </c>
      <c r="EM32" t="e">
        <f t="shared" si="98"/>
        <v>#DIV/0!</v>
      </c>
      <c r="EN32">
        <f t="shared" si="99"/>
        <v>0</v>
      </c>
      <c r="EO32" t="str">
        <f t="shared" si="100"/>
        <v>üh</v>
      </c>
      <c r="EP32">
        <f t="shared" si="101"/>
        <v>0</v>
      </c>
      <c r="EQ32">
        <f t="shared" si="102"/>
        <v>0</v>
      </c>
      <c r="ER32">
        <f t="shared" si="103"/>
        <v>0</v>
      </c>
      <c r="ES32">
        <f t="shared" si="104"/>
        <v>0</v>
      </c>
      <c r="ET32">
        <f t="shared" si="105"/>
        <v>0</v>
      </c>
      <c r="EU32">
        <f t="shared" si="106"/>
        <v>0</v>
      </c>
      <c r="EV32">
        <f t="shared" si="107"/>
        <v>0</v>
      </c>
      <c r="EW32">
        <f t="shared" si="108"/>
        <v>0</v>
      </c>
      <c r="EX32">
        <f t="shared" si="109"/>
        <v>0</v>
      </c>
      <c r="EY32">
        <f t="shared" si="110"/>
        <v>0</v>
      </c>
      <c r="EZ32">
        <f t="shared" si="111"/>
        <v>0</v>
      </c>
      <c r="FA32">
        <f t="shared" si="112"/>
        <v>0</v>
      </c>
      <c r="FB32" t="str">
        <f t="shared" si="113"/>
        <v/>
      </c>
      <c r="FC32" t="str">
        <f t="shared" si="114"/>
        <v/>
      </c>
      <c r="FD32" t="str">
        <f>IF(AS32+E32=0,"",IF(SUM(L32:M32)=2,IF(SUM(N32+O32+BC32+BD32)=2,"",Sprache!$B$107),Sprache!$B$107))</f>
        <v/>
      </c>
      <c r="FE32" t="str">
        <f t="shared" si="115"/>
        <v/>
      </c>
      <c r="FF32" t="str">
        <f t="shared" si="116"/>
        <v/>
      </c>
      <c r="FG32" t="str">
        <f t="shared" si="117"/>
        <v/>
      </c>
      <c r="FH32" t="str">
        <f t="shared" ca="1" si="118"/>
        <v/>
      </c>
      <c r="FI32" t="str">
        <f t="shared" si="119"/>
        <v/>
      </c>
      <c r="FJ32" t="str">
        <f t="shared" si="120"/>
        <v/>
      </c>
      <c r="FK32" t="str">
        <f t="shared" si="121"/>
        <v/>
      </c>
      <c r="FL32" t="str">
        <f t="shared" si="122"/>
        <v/>
      </c>
      <c r="FM32" t="str">
        <f t="shared" si="123"/>
        <v/>
      </c>
      <c r="FN32" t="str">
        <f t="shared" si="124"/>
        <v/>
      </c>
      <c r="FO32" t="str">
        <f t="shared" si="125"/>
        <v/>
      </c>
      <c r="FP32" t="str">
        <f t="shared" si="126"/>
        <v/>
      </c>
      <c r="FQ32" t="str">
        <f>IF(AO32="","",IF(DK192=0,Sprache!$B$65&amp;" ?",IF(CH192="?",$FQ$4,"")))</f>
        <v/>
      </c>
      <c r="FR32" t="str">
        <f t="shared" si="127"/>
        <v/>
      </c>
      <c r="FS32" t="str">
        <f t="shared" si="128"/>
        <v/>
      </c>
      <c r="FT32" t="str">
        <f t="shared" si="129"/>
        <v/>
      </c>
      <c r="FU32"/>
      <c r="FV32" t="str">
        <f ca="1">IF(TODAY()=$A$3,"",IF(TODAY()&gt;DATE(2018,7,1),CONCATENATE(Sprache!$B$89),""))</f>
        <v>outdated version</v>
      </c>
      <c r="FW32" t="str">
        <f t="shared" ca="1" si="130"/>
        <v>outdated version</v>
      </c>
      <c r="FX32" t="str">
        <f t="shared" ca="1" si="131"/>
        <v>outdated version</v>
      </c>
      <c r="FY32" t="str">
        <f t="shared" ca="1" si="132"/>
        <v/>
      </c>
      <c r="FZ32"/>
      <c r="GA32" s="407">
        <f t="shared" si="133"/>
        <v>0</v>
      </c>
      <c r="GB32" s="405"/>
      <c r="GC32" s="405"/>
      <c r="GD32" s="406"/>
      <c r="GE32" s="407">
        <f t="shared" si="134"/>
        <v>0</v>
      </c>
      <c r="GF32" s="405"/>
      <c r="GG32" s="404"/>
      <c r="GH32" s="406"/>
    </row>
    <row r="33" spans="1:256" s="243" customFormat="1" ht="14.25" customHeight="1" x14ac:dyDescent="0.2">
      <c r="A33" s="220"/>
      <c r="B33" s="221"/>
      <c r="C33" s="222"/>
      <c r="D33" s="223">
        <f t="shared" si="20"/>
        <v>0</v>
      </c>
      <c r="E33" s="223">
        <f t="shared" si="21"/>
        <v>0</v>
      </c>
      <c r="F33" s="224"/>
      <c r="G33" s="225"/>
      <c r="H33" s="225"/>
      <c r="I33" s="272"/>
      <c r="J33" s="264"/>
      <c r="K33" s="226"/>
      <c r="L33" s="227">
        <v>1</v>
      </c>
      <c r="M33" s="228">
        <f t="shared" si="150"/>
        <v>1</v>
      </c>
      <c r="N33" s="229">
        <f t="shared" si="151"/>
        <v>2</v>
      </c>
      <c r="O33" s="230"/>
      <c r="P33" s="231"/>
      <c r="Q33" s="232"/>
      <c r="R33" s="233">
        <f t="shared" si="152"/>
        <v>0</v>
      </c>
      <c r="S33" s="233">
        <f t="shared" si="153"/>
        <v>0</v>
      </c>
      <c r="T33" s="245">
        <f t="shared" si="154"/>
        <v>0</v>
      </c>
      <c r="U33" s="234"/>
      <c r="V33" s="270"/>
      <c r="W33" s="267"/>
      <c r="X33" s="235">
        <f t="shared" si="155"/>
        <v>0</v>
      </c>
      <c r="Y33" s="236" t="str">
        <f t="shared" si="156"/>
        <v/>
      </c>
      <c r="Z33" s="237">
        <f t="shared" si="157"/>
        <v>0</v>
      </c>
      <c r="AA33" s="238">
        <f t="shared" si="158"/>
        <v>0</v>
      </c>
      <c r="AB33" s="239" t="str">
        <f t="shared" si="159"/>
        <v/>
      </c>
      <c r="AC33" s="240" t="str">
        <f t="shared" ca="1" si="160"/>
        <v/>
      </c>
      <c r="AD33" s="394" t="str">
        <f t="shared" ca="1" si="161"/>
        <v/>
      </c>
      <c r="AE33" s="241" t="str">
        <f>IF(AO33="","",IFERROR(IF(ELEMENT!$CH$78=ELEMENT!$CM$63,(AC33/AA33/10.75),(AC33/AA33)),""))</f>
        <v/>
      </c>
      <c r="AF33" s="241" t="str">
        <f t="shared" si="162"/>
        <v/>
      </c>
      <c r="AG33" s="238" t="str">
        <f t="shared" si="163"/>
        <v/>
      </c>
      <c r="AH33" s="242" t="str">
        <f t="shared" si="164"/>
        <v/>
      </c>
      <c r="AI33" s="192"/>
      <c r="AJ33" s="274"/>
      <c r="AK33"/>
      <c r="AL33"/>
      <c r="AM33">
        <f t="shared" si="135"/>
        <v>0</v>
      </c>
      <c r="AN33" t="str">
        <f t="shared" si="136"/>
        <v/>
      </c>
      <c r="AO33" t="str">
        <f t="shared" si="137"/>
        <v/>
      </c>
      <c r="AP33" t="str">
        <f t="shared" si="138"/>
        <v/>
      </c>
      <c r="AQ33">
        <f t="shared" si="22"/>
        <v>0</v>
      </c>
      <c r="AR33">
        <f t="shared" si="139"/>
        <v>2</v>
      </c>
      <c r="AS33">
        <f t="shared" si="29"/>
        <v>0</v>
      </c>
      <c r="AT33">
        <f t="shared" si="23"/>
        <v>0</v>
      </c>
      <c r="AU33">
        <f t="shared" si="140"/>
        <v>0</v>
      </c>
      <c r="AV33">
        <f t="shared" si="141"/>
        <v>0</v>
      </c>
      <c r="AW33">
        <f t="shared" si="142"/>
        <v>0</v>
      </c>
      <c r="AX33" t="str">
        <f t="shared" si="24"/>
        <v/>
      </c>
      <c r="AY33">
        <f t="shared" si="143"/>
        <v>0</v>
      </c>
      <c r="AZ33">
        <f t="shared" si="144"/>
        <v>0</v>
      </c>
      <c r="BA33">
        <f t="shared" si="145"/>
        <v>0</v>
      </c>
      <c r="BB33">
        <f t="shared" si="146"/>
        <v>0</v>
      </c>
      <c r="BC33">
        <f t="shared" si="147"/>
        <v>0</v>
      </c>
      <c r="BD33">
        <f t="shared" si="148"/>
        <v>0</v>
      </c>
      <c r="BE33">
        <f t="shared" si="149"/>
        <v>0</v>
      </c>
      <c r="BF33"/>
      <c r="BG33">
        <f>IF($AH$4=$CK$75,'S2'!T33,
IF($AH$4=$CL$75,'S3'!T33,
IF($AH$4=$CJ$75,'S1'!T33,
IF($AH$4=$CM$75,S3M!T33,))))</f>
        <v>0</v>
      </c>
      <c r="BH33">
        <f>IF($AH$4=$CK$75,'S2'!U33,
IF($AH$4=$CL$75,'S3'!U33,
IF($AH$4=$CJ$75,'S1'!U33,
IF($AH$4=$CM$75,S3M!U33,))))</f>
        <v>0</v>
      </c>
      <c r="BI33">
        <f>IF($AH$4=$CK$75,'S2'!V33,
IF($AH$4=$CL$75,'S3'!V33,
IF($AH$4=$CJ$75,'S1'!V33,
IF($AH$4=$CM$75,S3M!V33,))))</f>
        <v>0</v>
      </c>
      <c r="BJ33">
        <f>IF($AH$4=$CK$75,'S2'!W33,
IF($AH$4=$CL$75,'S3'!W33,
IF($AH$4=$CJ$75,'S1'!W33,
IF($AH$4=$CM$75,S3M!W33,))))</f>
        <v>0</v>
      </c>
      <c r="BK33">
        <f>IF($AH$4=$CK$75,'S2'!X33,
IF($AH$4=$CL$75,'S3'!X33,
IF($AH$4=$CJ$75,'S1'!X33,
IF($AH$4=$CM$75,S3M!X33,))))</f>
        <v>0</v>
      </c>
      <c r="BL33">
        <f>IF($AH$4=$CK$75,'S2'!Y33,
IF($AH$4=$CL$75,'S3'!Y33,
IF($AH$4=$CJ$75,'S1'!Y33,
IF($AH$4=$CM$75,S3M!Y33,))))</f>
        <v>0</v>
      </c>
      <c r="BM33">
        <f>IF($AH$4=$CK$75,'S2'!Z33,
IF($AH$4=$CL$75,'S3'!Z33,
IF($AH$4=$CJ$75,'S1'!Z33,
IF($AH$4=$CM$75,S3M!Z33,))))</f>
        <v>0</v>
      </c>
      <c r="BN33">
        <f>IF($AH$4=$CK$75,'S2'!AA33,
IF($AH$4=$CL$75,'S3'!AA33,
IF($AH$4=$CJ$75,'S1'!AA33,
IF($AH$4=$CM$75,S3M!AA33,))))</f>
        <v>0</v>
      </c>
      <c r="BO33">
        <f>IF($AH$4=$CK$75,'S2'!AB33,
IF($AH$4=$CL$75,'S3'!AB33,
IF($AH$4=$CJ$75,'S1'!AB33,
IF($AH$4=$CM$75,S3M!AB33,))))</f>
        <v>0</v>
      </c>
      <c r="BP33">
        <f>IF($AH$4=$CK$75,'S2'!AC33,
IF($AH$4=$CL$75,'S3'!AC33,
IF($AH$4=$CJ$75,'S1'!AC33,
IF($AH$4=$CM$75,S3M!AC33,))))</f>
        <v>0</v>
      </c>
      <c r="BQ33">
        <f t="shared" si="30"/>
        <v>58</v>
      </c>
      <c r="BR33">
        <f t="shared" si="31"/>
        <v>32</v>
      </c>
      <c r="BS33">
        <f t="shared" si="32"/>
        <v>0</v>
      </c>
      <c r="BT33">
        <f t="shared" si="33"/>
        <v>0</v>
      </c>
      <c r="BU33">
        <f t="shared" si="34"/>
        <v>0</v>
      </c>
      <c r="BV33">
        <f t="shared" si="35"/>
        <v>0</v>
      </c>
      <c r="BW33">
        <f t="shared" si="36"/>
        <v>90</v>
      </c>
      <c r="BX33">
        <f t="shared" si="37"/>
        <v>0</v>
      </c>
      <c r="BY33">
        <f t="shared" si="38"/>
        <v>0</v>
      </c>
      <c r="BZ33">
        <f t="shared" si="39"/>
        <v>0</v>
      </c>
      <c r="CA33">
        <f t="shared" si="40"/>
        <v>0</v>
      </c>
      <c r="CB33">
        <f t="shared" si="41"/>
        <v>0</v>
      </c>
      <c r="CC33">
        <f t="shared" si="42"/>
        <v>0</v>
      </c>
      <c r="CD33">
        <f t="shared" si="43"/>
        <v>80</v>
      </c>
      <c r="CE33">
        <f t="shared" si="44"/>
        <v>0</v>
      </c>
      <c r="CF33">
        <f t="shared" si="45"/>
        <v>0</v>
      </c>
      <c r="CG33">
        <f t="shared" si="46"/>
        <v>46.2</v>
      </c>
      <c r="CH33">
        <f t="shared" si="47"/>
        <v>17.600000000000001</v>
      </c>
      <c r="CI33">
        <f t="shared" si="48"/>
        <v>0</v>
      </c>
      <c r="CJ33">
        <f t="shared" si="49"/>
        <v>0</v>
      </c>
      <c r="CK33">
        <f t="shared" si="50"/>
        <v>0</v>
      </c>
      <c r="CL33">
        <f t="shared" si="51"/>
        <v>0</v>
      </c>
      <c r="CM33">
        <f t="shared" si="52"/>
        <v>0</v>
      </c>
      <c r="CN33">
        <f t="shared" si="53"/>
        <v>0</v>
      </c>
      <c r="CO33">
        <f t="shared" si="54"/>
        <v>0</v>
      </c>
      <c r="CP33" t="str">
        <f t="shared" si="19"/>
        <v/>
      </c>
      <c r="CQ33">
        <f t="shared" si="55"/>
        <v>0</v>
      </c>
      <c r="CR33" t="str">
        <f t="shared" si="56"/>
        <v/>
      </c>
      <c r="CS33">
        <f t="shared" si="57"/>
        <v>0</v>
      </c>
      <c r="CT33">
        <f t="shared" si="58"/>
        <v>0</v>
      </c>
      <c r="CU33">
        <f t="shared" si="59"/>
        <v>0</v>
      </c>
      <c r="CV33">
        <f t="shared" si="60"/>
        <v>203.7166666666667</v>
      </c>
      <c r="CW33">
        <f t="shared" si="61"/>
        <v>210</v>
      </c>
      <c r="CX33">
        <f t="shared" si="62"/>
        <v>120</v>
      </c>
      <c r="CY33">
        <f t="shared" si="63"/>
        <v>0</v>
      </c>
      <c r="CZ33">
        <f t="shared" si="64"/>
        <v>0</v>
      </c>
      <c r="DA33">
        <f t="shared" si="65"/>
        <v>0</v>
      </c>
      <c r="DB33">
        <f t="shared" si="66"/>
        <v>0</v>
      </c>
      <c r="DC33" t="str">
        <f t="shared" si="67"/>
        <v/>
      </c>
      <c r="DD33">
        <f t="shared" si="68"/>
        <v>0</v>
      </c>
      <c r="DE33">
        <f t="shared" si="69"/>
        <v>0</v>
      </c>
      <c r="DF33">
        <f t="shared" si="70"/>
        <v>12.15</v>
      </c>
      <c r="DG33">
        <f t="shared" si="71"/>
        <v>0</v>
      </c>
      <c r="DH33">
        <f t="shared" si="72"/>
        <v>0</v>
      </c>
      <c r="DI33">
        <f t="shared" si="26"/>
        <v>0</v>
      </c>
      <c r="DJ33"/>
      <c r="DK33"/>
      <c r="DL33">
        <f t="shared" si="73"/>
        <v>0</v>
      </c>
      <c r="DM33">
        <f t="shared" si="74"/>
        <v>0</v>
      </c>
      <c r="DN33">
        <f t="shared" si="75"/>
        <v>0</v>
      </c>
      <c r="DO33" t="e">
        <f t="shared" si="76"/>
        <v>#N/A</v>
      </c>
      <c r="DP33">
        <f t="shared" si="77"/>
        <v>0</v>
      </c>
      <c r="DQ33" t="e">
        <f t="shared" si="78"/>
        <v>#N/A</v>
      </c>
      <c r="DR33" t="e">
        <f t="shared" si="79"/>
        <v>#N/A</v>
      </c>
      <c r="DS33">
        <f t="shared" si="80"/>
        <v>0</v>
      </c>
      <c r="DT33">
        <f t="shared" si="81"/>
        <v>0</v>
      </c>
      <c r="DU33">
        <f t="shared" si="82"/>
        <v>0</v>
      </c>
      <c r="DV33">
        <f t="shared" si="27"/>
        <v>0</v>
      </c>
      <c r="DW33">
        <f t="shared" si="83"/>
        <v>0</v>
      </c>
      <c r="DX33">
        <f t="shared" si="84"/>
        <v>0</v>
      </c>
      <c r="DY33">
        <f t="shared" si="85"/>
        <v>0</v>
      </c>
      <c r="DZ33">
        <f t="shared" si="86"/>
        <v>0</v>
      </c>
      <c r="EA33">
        <f t="shared" si="87"/>
        <v>0</v>
      </c>
      <c r="EB33">
        <f t="shared" si="88"/>
        <v>0</v>
      </c>
      <c r="EC33">
        <f t="shared" si="89"/>
        <v>0</v>
      </c>
      <c r="ED33">
        <f t="shared" si="90"/>
        <v>0</v>
      </c>
      <c r="EE33">
        <f t="shared" si="91"/>
        <v>0</v>
      </c>
      <c r="EF33">
        <f t="shared" si="92"/>
        <v>0</v>
      </c>
      <c r="EG33">
        <f t="shared" si="93"/>
        <v>0</v>
      </c>
      <c r="EH33">
        <f t="shared" si="28"/>
        <v>0</v>
      </c>
      <c r="EI33">
        <f t="shared" si="94"/>
        <v>-70</v>
      </c>
      <c r="EJ33">
        <f t="shared" si="95"/>
        <v>0</v>
      </c>
      <c r="EK33">
        <f t="shared" si="96"/>
        <v>0</v>
      </c>
      <c r="EL33">
        <f t="shared" si="97"/>
        <v>0</v>
      </c>
      <c r="EM33" t="e">
        <f t="shared" si="98"/>
        <v>#DIV/0!</v>
      </c>
      <c r="EN33">
        <f t="shared" si="99"/>
        <v>0</v>
      </c>
      <c r="EO33" t="str">
        <f t="shared" si="100"/>
        <v>üh</v>
      </c>
      <c r="EP33">
        <f t="shared" si="101"/>
        <v>0</v>
      </c>
      <c r="EQ33">
        <f t="shared" si="102"/>
        <v>0</v>
      </c>
      <c r="ER33">
        <f t="shared" si="103"/>
        <v>0</v>
      </c>
      <c r="ES33">
        <f t="shared" si="104"/>
        <v>0</v>
      </c>
      <c r="ET33">
        <f t="shared" si="105"/>
        <v>0</v>
      </c>
      <c r="EU33">
        <f t="shared" si="106"/>
        <v>0</v>
      </c>
      <c r="EV33">
        <f t="shared" si="107"/>
        <v>0</v>
      </c>
      <c r="EW33">
        <f t="shared" si="108"/>
        <v>0</v>
      </c>
      <c r="EX33">
        <f t="shared" si="109"/>
        <v>0</v>
      </c>
      <c r="EY33">
        <f t="shared" si="110"/>
        <v>0</v>
      </c>
      <c r="EZ33">
        <f t="shared" si="111"/>
        <v>0</v>
      </c>
      <c r="FA33">
        <f t="shared" si="112"/>
        <v>0</v>
      </c>
      <c r="FB33" t="str">
        <f t="shared" si="113"/>
        <v/>
      </c>
      <c r="FC33" t="str">
        <f t="shared" si="114"/>
        <v/>
      </c>
      <c r="FD33" t="str">
        <f>IF(AS33+E33=0,"",IF(SUM(L33:M33)=2,IF(SUM(N33+O33+BC33+BD33)=2,"",Sprache!$B$107),Sprache!$B$107))</f>
        <v/>
      </c>
      <c r="FE33" t="str">
        <f t="shared" si="115"/>
        <v/>
      </c>
      <c r="FF33" t="str">
        <f t="shared" si="116"/>
        <v/>
      </c>
      <c r="FG33" t="str">
        <f t="shared" si="117"/>
        <v/>
      </c>
      <c r="FH33" t="str">
        <f t="shared" ca="1" si="118"/>
        <v/>
      </c>
      <c r="FI33" t="str">
        <f t="shared" si="119"/>
        <v/>
      </c>
      <c r="FJ33" t="str">
        <f t="shared" si="120"/>
        <v/>
      </c>
      <c r="FK33" t="str">
        <f t="shared" si="121"/>
        <v/>
      </c>
      <c r="FL33" t="str">
        <f t="shared" si="122"/>
        <v/>
      </c>
      <c r="FM33" t="str">
        <f t="shared" si="123"/>
        <v/>
      </c>
      <c r="FN33" t="str">
        <f t="shared" si="124"/>
        <v/>
      </c>
      <c r="FO33" t="str">
        <f t="shared" si="125"/>
        <v/>
      </c>
      <c r="FP33" t="str">
        <f t="shared" si="126"/>
        <v/>
      </c>
      <c r="FQ33" t="str">
        <f>IF(AO33="","",IF(DK193=0,Sprache!$B$65&amp;" ?",IF(CH193="?",$FQ$4,"")))</f>
        <v/>
      </c>
      <c r="FR33" t="str">
        <f t="shared" si="127"/>
        <v/>
      </c>
      <c r="FS33" t="str">
        <f t="shared" si="128"/>
        <v/>
      </c>
      <c r="FT33" t="str">
        <f t="shared" si="129"/>
        <v/>
      </c>
      <c r="FU33"/>
      <c r="FV33" t="str">
        <f ca="1">IF(TODAY()=$A$3,"",IF(TODAY()&gt;DATE(2018,7,1),CONCATENATE(Sprache!$B$89),""))</f>
        <v>outdated version</v>
      </c>
      <c r="FW33" t="str">
        <f t="shared" ca="1" si="130"/>
        <v>outdated version</v>
      </c>
      <c r="FX33" t="str">
        <f t="shared" ca="1" si="131"/>
        <v>outdated version</v>
      </c>
      <c r="FY33" t="str">
        <f t="shared" ca="1" si="132"/>
        <v/>
      </c>
      <c r="FZ33"/>
      <c r="GA33" s="407">
        <f t="shared" si="133"/>
        <v>0</v>
      </c>
      <c r="GB33" s="405"/>
      <c r="GC33" s="405"/>
      <c r="GD33" s="406"/>
      <c r="GE33" s="407">
        <f t="shared" si="134"/>
        <v>0</v>
      </c>
      <c r="GF33" s="405"/>
      <c r="GG33" s="404"/>
      <c r="GH33" s="406"/>
    </row>
    <row r="34" spans="1:256" s="243" customFormat="1" ht="14.25" customHeight="1" x14ac:dyDescent="0.2">
      <c r="A34" s="220"/>
      <c r="B34" s="221"/>
      <c r="C34" s="222"/>
      <c r="D34" s="223">
        <f t="shared" si="20"/>
        <v>0</v>
      </c>
      <c r="E34" s="223">
        <f t="shared" si="21"/>
        <v>0</v>
      </c>
      <c r="F34" s="224"/>
      <c r="G34" s="225"/>
      <c r="H34" s="225"/>
      <c r="I34" s="272"/>
      <c r="J34" s="264"/>
      <c r="K34" s="226"/>
      <c r="L34" s="227">
        <v>1</v>
      </c>
      <c r="M34" s="228">
        <f t="shared" si="150"/>
        <v>1</v>
      </c>
      <c r="N34" s="229">
        <f t="shared" si="151"/>
        <v>2</v>
      </c>
      <c r="O34" s="230"/>
      <c r="P34" s="231"/>
      <c r="Q34" s="232"/>
      <c r="R34" s="233">
        <f t="shared" si="152"/>
        <v>0</v>
      </c>
      <c r="S34" s="233">
        <f t="shared" si="153"/>
        <v>0</v>
      </c>
      <c r="T34" s="245">
        <f t="shared" si="154"/>
        <v>0</v>
      </c>
      <c r="U34" s="234"/>
      <c r="V34" s="270"/>
      <c r="W34" s="267"/>
      <c r="X34" s="235">
        <f t="shared" si="155"/>
        <v>0</v>
      </c>
      <c r="Y34" s="236" t="str">
        <f t="shared" si="156"/>
        <v/>
      </c>
      <c r="Z34" s="237">
        <f t="shared" si="157"/>
        <v>0</v>
      </c>
      <c r="AA34" s="238">
        <f t="shared" si="158"/>
        <v>0</v>
      </c>
      <c r="AB34" s="239" t="str">
        <f t="shared" si="159"/>
        <v/>
      </c>
      <c r="AC34" s="240" t="str">
        <f t="shared" ca="1" si="160"/>
        <v/>
      </c>
      <c r="AD34" s="394" t="str">
        <f t="shared" ca="1" si="161"/>
        <v/>
      </c>
      <c r="AE34" s="241" t="str">
        <f>IF(AO34="","",IFERROR(IF(ELEMENT!$CH$78=ELEMENT!$CM$63,(AC34/AA34/10.75),(AC34/AA34)),""))</f>
        <v/>
      </c>
      <c r="AF34" s="241" t="str">
        <f t="shared" si="162"/>
        <v/>
      </c>
      <c r="AG34" s="238" t="str">
        <f t="shared" si="163"/>
        <v/>
      </c>
      <c r="AH34" s="242" t="str">
        <f t="shared" si="164"/>
        <v/>
      </c>
      <c r="AI34" s="192"/>
      <c r="AJ34" s="274"/>
      <c r="AK34"/>
      <c r="AL34"/>
      <c r="AM34">
        <f t="shared" si="135"/>
        <v>0</v>
      </c>
      <c r="AN34" t="str">
        <f t="shared" si="136"/>
        <v/>
      </c>
      <c r="AO34" t="str">
        <f t="shared" si="137"/>
        <v/>
      </c>
      <c r="AP34" t="str">
        <f t="shared" si="138"/>
        <v/>
      </c>
      <c r="AQ34">
        <f t="shared" si="22"/>
        <v>0</v>
      </c>
      <c r="AR34">
        <f t="shared" si="139"/>
        <v>2</v>
      </c>
      <c r="AS34">
        <f t="shared" si="29"/>
        <v>0</v>
      </c>
      <c r="AT34">
        <f t="shared" si="23"/>
        <v>0</v>
      </c>
      <c r="AU34">
        <f t="shared" si="140"/>
        <v>0</v>
      </c>
      <c r="AV34">
        <f t="shared" si="141"/>
        <v>0</v>
      </c>
      <c r="AW34">
        <f t="shared" si="142"/>
        <v>0</v>
      </c>
      <c r="AX34" t="str">
        <f t="shared" si="24"/>
        <v/>
      </c>
      <c r="AY34">
        <f t="shared" si="143"/>
        <v>0</v>
      </c>
      <c r="AZ34">
        <f t="shared" si="144"/>
        <v>0</v>
      </c>
      <c r="BA34">
        <f t="shared" si="145"/>
        <v>0</v>
      </c>
      <c r="BB34">
        <f t="shared" si="146"/>
        <v>0</v>
      </c>
      <c r="BC34">
        <f t="shared" si="147"/>
        <v>0</v>
      </c>
      <c r="BD34">
        <f t="shared" si="148"/>
        <v>0</v>
      </c>
      <c r="BE34">
        <f t="shared" si="149"/>
        <v>0</v>
      </c>
      <c r="BF34">
        <f>IF($AH$4=$CK$75,'S2'!S34,
IF($AH$4=$CL$75,'S3'!S34,
IF($AH$4=$CJ$75,'S1'!S34,
IF($AH$4=$CM$75,S3M!S34,))))</f>
        <v>45</v>
      </c>
      <c r="BG34">
        <f>IF($AH$4=$CK$75,'S2'!T34,
IF($AH$4=$CL$75,'S3'!T34,
IF($AH$4=$CJ$75,'S1'!T34,
IF($AH$4=$CM$75,S3M!T34,))))</f>
        <v>0</v>
      </c>
      <c r="BH34">
        <f>IF($AH$4=$CK$75,'S2'!U34,
IF($AH$4=$CL$75,'S3'!U34,
IF($AH$4=$CJ$75,'S1'!U34,
IF($AH$4=$CM$75,S3M!U34,))))</f>
        <v>0</v>
      </c>
      <c r="BI34">
        <f>IF($AH$4=$CK$75,'S2'!V34,
IF($AH$4=$CL$75,'S3'!V34,
IF($AH$4=$CJ$75,'S1'!V34,
IF($AH$4=$CM$75,S3M!V34,))))</f>
        <v>0</v>
      </c>
      <c r="BJ34">
        <f>IF($AH$4=$CK$75,'S2'!W34,
IF($AH$4=$CL$75,'S3'!W34,
IF($AH$4=$CJ$75,'S1'!W34,
IF($AH$4=$CM$75,S3M!W34,))))</f>
        <v>0</v>
      </c>
      <c r="BK34">
        <f>IF($AH$4=$CK$75,'S2'!X34,
IF($AH$4=$CL$75,'S3'!X34,
IF($AH$4=$CJ$75,'S1'!X34,
IF($AH$4=$CM$75,S3M!X34,))))</f>
        <v>0</v>
      </c>
      <c r="BL34">
        <f>IF($AH$4=$CK$75,'S2'!Y34,
IF($AH$4=$CL$75,'S3'!Y34,
IF($AH$4=$CJ$75,'S1'!Y34,
IF($AH$4=$CM$75,S3M!Y34,))))</f>
        <v>0</v>
      </c>
      <c r="BM34">
        <f>IF($AH$4=$CK$75,'S2'!Z34,
IF($AH$4=$CL$75,'S3'!Z34,
IF($AH$4=$CJ$75,'S1'!Z34,
IF($AH$4=$CM$75,S3M!Z34,))))</f>
        <v>0</v>
      </c>
      <c r="BN34">
        <f>IF($AH$4=$CK$75,'S2'!AA34,
IF($AH$4=$CL$75,'S3'!AA34,
IF($AH$4=$CJ$75,'S1'!AA34,
IF($AH$4=$CM$75,S3M!AA34,))))</f>
        <v>0</v>
      </c>
      <c r="BO34">
        <f>IF($AH$4=$CK$75,'S2'!AB34,
IF($AH$4=$CL$75,'S3'!AB34,
IF($AH$4=$CJ$75,'S1'!AB34,
IF($AH$4=$CM$75,S3M!AB34,))))</f>
        <v>0</v>
      </c>
      <c r="BP34">
        <f>IF($AH$4=$CK$75,'S2'!AC34,
IF($AH$4=$CL$75,'S3'!AC34,
IF($AH$4=$CJ$75,'S1'!AC34,
IF($AH$4=$CM$75,S3M!AC34,))))</f>
        <v>0</v>
      </c>
      <c r="BQ34">
        <f t="shared" si="30"/>
        <v>58</v>
      </c>
      <c r="BR34">
        <f t="shared" si="31"/>
        <v>32</v>
      </c>
      <c r="BS34">
        <f t="shared" si="32"/>
        <v>0</v>
      </c>
      <c r="BT34">
        <f t="shared" si="33"/>
        <v>0</v>
      </c>
      <c r="BU34">
        <f t="shared" si="34"/>
        <v>0</v>
      </c>
      <c r="BV34">
        <f t="shared" si="35"/>
        <v>0</v>
      </c>
      <c r="BW34">
        <f t="shared" si="36"/>
        <v>90</v>
      </c>
      <c r="BX34">
        <f t="shared" si="37"/>
        <v>0</v>
      </c>
      <c r="BY34">
        <f t="shared" si="38"/>
        <v>0</v>
      </c>
      <c r="BZ34">
        <f t="shared" si="39"/>
        <v>0</v>
      </c>
      <c r="CA34">
        <f t="shared" si="40"/>
        <v>0</v>
      </c>
      <c r="CB34">
        <f t="shared" si="41"/>
        <v>0</v>
      </c>
      <c r="CC34">
        <f t="shared" si="42"/>
        <v>0</v>
      </c>
      <c r="CD34">
        <f t="shared" si="43"/>
        <v>80</v>
      </c>
      <c r="CE34">
        <f t="shared" si="44"/>
        <v>0</v>
      </c>
      <c r="CF34">
        <f t="shared" si="45"/>
        <v>0</v>
      </c>
      <c r="CG34">
        <f t="shared" si="46"/>
        <v>46.2</v>
      </c>
      <c r="CH34">
        <f t="shared" si="47"/>
        <v>17.600000000000001</v>
      </c>
      <c r="CI34">
        <f t="shared" si="48"/>
        <v>0</v>
      </c>
      <c r="CJ34">
        <f t="shared" si="49"/>
        <v>0</v>
      </c>
      <c r="CK34">
        <f t="shared" si="50"/>
        <v>0</v>
      </c>
      <c r="CL34">
        <f t="shared" si="51"/>
        <v>0</v>
      </c>
      <c r="CM34">
        <f t="shared" si="52"/>
        <v>0</v>
      </c>
      <c r="CN34">
        <f t="shared" si="53"/>
        <v>0</v>
      </c>
      <c r="CO34">
        <f t="shared" si="54"/>
        <v>0</v>
      </c>
      <c r="CP34" t="str">
        <f t="shared" si="19"/>
        <v/>
      </c>
      <c r="CQ34">
        <f t="shared" si="55"/>
        <v>0</v>
      </c>
      <c r="CR34" t="str">
        <f t="shared" si="56"/>
        <v/>
      </c>
      <c r="CS34">
        <f t="shared" si="57"/>
        <v>0</v>
      </c>
      <c r="CT34">
        <f t="shared" si="58"/>
        <v>0</v>
      </c>
      <c r="CU34">
        <f t="shared" si="59"/>
        <v>0</v>
      </c>
      <c r="CV34">
        <f t="shared" si="60"/>
        <v>203.7166666666667</v>
      </c>
      <c r="CW34">
        <f t="shared" si="61"/>
        <v>210</v>
      </c>
      <c r="CX34">
        <f t="shared" si="62"/>
        <v>120</v>
      </c>
      <c r="CY34">
        <f t="shared" si="63"/>
        <v>0</v>
      </c>
      <c r="CZ34">
        <f t="shared" si="64"/>
        <v>0</v>
      </c>
      <c r="DA34">
        <f t="shared" si="65"/>
        <v>0</v>
      </c>
      <c r="DB34">
        <f t="shared" si="66"/>
        <v>0</v>
      </c>
      <c r="DC34" t="str">
        <f t="shared" si="67"/>
        <v/>
      </c>
      <c r="DD34">
        <f t="shared" si="68"/>
        <v>0</v>
      </c>
      <c r="DE34">
        <f t="shared" si="69"/>
        <v>0</v>
      </c>
      <c r="DF34">
        <f t="shared" si="70"/>
        <v>12.15</v>
      </c>
      <c r="DG34">
        <f t="shared" si="71"/>
        <v>0</v>
      </c>
      <c r="DH34">
        <f t="shared" si="72"/>
        <v>0</v>
      </c>
      <c r="DI34">
        <f t="shared" si="26"/>
        <v>0</v>
      </c>
      <c r="DJ34"/>
      <c r="DK34"/>
      <c r="DL34">
        <f t="shared" si="73"/>
        <v>0</v>
      </c>
      <c r="DM34">
        <f t="shared" si="74"/>
        <v>0</v>
      </c>
      <c r="DN34">
        <f t="shared" si="75"/>
        <v>0</v>
      </c>
      <c r="DO34" t="e">
        <f t="shared" si="76"/>
        <v>#N/A</v>
      </c>
      <c r="DP34">
        <f t="shared" si="77"/>
        <v>0</v>
      </c>
      <c r="DQ34" t="e">
        <f t="shared" si="78"/>
        <v>#N/A</v>
      </c>
      <c r="DR34" t="e">
        <f t="shared" si="79"/>
        <v>#N/A</v>
      </c>
      <c r="DS34">
        <f t="shared" si="80"/>
        <v>0</v>
      </c>
      <c r="DT34">
        <f t="shared" si="81"/>
        <v>0</v>
      </c>
      <c r="DU34">
        <f t="shared" si="82"/>
        <v>0</v>
      </c>
      <c r="DV34">
        <f t="shared" si="27"/>
        <v>0</v>
      </c>
      <c r="DW34">
        <f t="shared" si="83"/>
        <v>0</v>
      </c>
      <c r="DX34">
        <f t="shared" si="84"/>
        <v>0</v>
      </c>
      <c r="DY34">
        <f t="shared" si="85"/>
        <v>0</v>
      </c>
      <c r="DZ34">
        <f t="shared" si="86"/>
        <v>0</v>
      </c>
      <c r="EA34">
        <f t="shared" si="87"/>
        <v>0</v>
      </c>
      <c r="EB34">
        <f t="shared" si="88"/>
        <v>0</v>
      </c>
      <c r="EC34">
        <f t="shared" si="89"/>
        <v>0</v>
      </c>
      <c r="ED34">
        <f t="shared" si="90"/>
        <v>0</v>
      </c>
      <c r="EE34">
        <f t="shared" si="91"/>
        <v>0</v>
      </c>
      <c r="EF34">
        <f t="shared" si="92"/>
        <v>0</v>
      </c>
      <c r="EG34">
        <f t="shared" si="93"/>
        <v>0</v>
      </c>
      <c r="EH34">
        <f t="shared" si="28"/>
        <v>0</v>
      </c>
      <c r="EI34">
        <f t="shared" si="94"/>
        <v>-70</v>
      </c>
      <c r="EJ34">
        <f t="shared" si="95"/>
        <v>0</v>
      </c>
      <c r="EK34">
        <f t="shared" si="96"/>
        <v>0</v>
      </c>
      <c r="EL34">
        <f t="shared" si="97"/>
        <v>0</v>
      </c>
      <c r="EM34" t="e">
        <f t="shared" si="98"/>
        <v>#DIV/0!</v>
      </c>
      <c r="EN34">
        <f t="shared" si="99"/>
        <v>0</v>
      </c>
      <c r="EO34" t="str">
        <f t="shared" si="100"/>
        <v>üh</v>
      </c>
      <c r="EP34">
        <f t="shared" si="101"/>
        <v>0</v>
      </c>
      <c r="EQ34">
        <f t="shared" si="102"/>
        <v>0</v>
      </c>
      <c r="ER34">
        <f t="shared" si="103"/>
        <v>0</v>
      </c>
      <c r="ES34">
        <f t="shared" si="104"/>
        <v>0</v>
      </c>
      <c r="ET34">
        <f t="shared" si="105"/>
        <v>0</v>
      </c>
      <c r="EU34">
        <f t="shared" si="106"/>
        <v>0</v>
      </c>
      <c r="EV34">
        <f t="shared" si="107"/>
        <v>0</v>
      </c>
      <c r="EW34">
        <f t="shared" si="108"/>
        <v>0</v>
      </c>
      <c r="EX34">
        <f t="shared" si="109"/>
        <v>0</v>
      </c>
      <c r="EY34">
        <f t="shared" si="110"/>
        <v>0</v>
      </c>
      <c r="EZ34">
        <f t="shared" si="111"/>
        <v>0</v>
      </c>
      <c r="FA34">
        <f t="shared" si="112"/>
        <v>0</v>
      </c>
      <c r="FB34" t="str">
        <f t="shared" si="113"/>
        <v/>
      </c>
      <c r="FC34" t="str">
        <f t="shared" si="114"/>
        <v/>
      </c>
      <c r="FD34" t="str">
        <f>IF(AS34+E34=0,"",IF(SUM(L34:M34)=2,IF(SUM(N34+O34+BC34+BD34)=2,"",Sprache!$B$107),Sprache!$B$107))</f>
        <v/>
      </c>
      <c r="FE34" t="str">
        <f t="shared" si="115"/>
        <v/>
      </c>
      <c r="FF34" t="str">
        <f t="shared" si="116"/>
        <v/>
      </c>
      <c r="FG34" t="str">
        <f t="shared" si="117"/>
        <v/>
      </c>
      <c r="FH34" t="str">
        <f t="shared" ca="1" si="118"/>
        <v/>
      </c>
      <c r="FI34" t="str">
        <f t="shared" si="119"/>
        <v/>
      </c>
      <c r="FJ34" t="str">
        <f t="shared" si="120"/>
        <v/>
      </c>
      <c r="FK34" t="str">
        <f t="shared" si="121"/>
        <v/>
      </c>
      <c r="FL34" t="str">
        <f t="shared" si="122"/>
        <v/>
      </c>
      <c r="FM34" t="str">
        <f t="shared" si="123"/>
        <v/>
      </c>
      <c r="FN34" t="str">
        <f t="shared" si="124"/>
        <v/>
      </c>
      <c r="FO34" t="str">
        <f t="shared" si="125"/>
        <v/>
      </c>
      <c r="FP34" t="str">
        <f t="shared" si="126"/>
        <v/>
      </c>
      <c r="FQ34" t="str">
        <f>IF(AO34="","",IF(DK194=0,Sprache!$B$65&amp;" ?",IF(CH194="?",$FQ$4,"")))</f>
        <v/>
      </c>
      <c r="FR34" t="str">
        <f t="shared" si="127"/>
        <v/>
      </c>
      <c r="FS34" t="str">
        <f t="shared" si="128"/>
        <v/>
      </c>
      <c r="FT34" t="str">
        <f t="shared" si="129"/>
        <v/>
      </c>
      <c r="FU34"/>
      <c r="FV34" t="str">
        <f ca="1">IF(TODAY()=$A$3,"",IF(TODAY()&gt;DATE(2018,7,1),CONCATENATE(Sprache!$B$89),""))</f>
        <v>outdated version</v>
      </c>
      <c r="FW34" t="str">
        <f t="shared" ca="1" si="130"/>
        <v>outdated version</v>
      </c>
      <c r="FX34" t="str">
        <f t="shared" ca="1" si="131"/>
        <v>outdated version</v>
      </c>
      <c r="FY34" t="str">
        <f t="shared" ca="1" si="132"/>
        <v/>
      </c>
      <c r="FZ34"/>
      <c r="GA34" s="407">
        <f t="shared" si="133"/>
        <v>0</v>
      </c>
      <c r="GB34" s="405"/>
      <c r="GC34" s="405"/>
      <c r="GD34" s="406"/>
      <c r="GE34" s="407">
        <f t="shared" si="134"/>
        <v>0</v>
      </c>
      <c r="GF34" s="405"/>
      <c r="GG34" s="404"/>
      <c r="GH34" s="406"/>
    </row>
    <row r="35" spans="1:256" s="243" customFormat="1" ht="14.25" customHeight="1" x14ac:dyDescent="0.2">
      <c r="A35" s="220"/>
      <c r="B35" s="221"/>
      <c r="C35" s="222"/>
      <c r="D35" s="223">
        <f t="shared" si="20"/>
        <v>0</v>
      </c>
      <c r="E35" s="223">
        <f t="shared" si="21"/>
        <v>0</v>
      </c>
      <c r="F35" s="224"/>
      <c r="G35" s="225"/>
      <c r="H35" s="225"/>
      <c r="I35" s="272"/>
      <c r="J35" s="264"/>
      <c r="K35" s="226"/>
      <c r="L35" s="227">
        <v>1</v>
      </c>
      <c r="M35" s="228">
        <f t="shared" si="150"/>
        <v>1</v>
      </c>
      <c r="N35" s="229">
        <f t="shared" si="151"/>
        <v>2</v>
      </c>
      <c r="O35" s="230"/>
      <c r="P35" s="231"/>
      <c r="Q35" s="232"/>
      <c r="R35" s="233">
        <f t="shared" si="152"/>
        <v>0</v>
      </c>
      <c r="S35" s="233">
        <f t="shared" si="153"/>
        <v>0</v>
      </c>
      <c r="T35" s="245">
        <f t="shared" si="154"/>
        <v>0</v>
      </c>
      <c r="U35" s="234"/>
      <c r="V35" s="270"/>
      <c r="W35" s="267"/>
      <c r="X35" s="235">
        <f t="shared" si="155"/>
        <v>0</v>
      </c>
      <c r="Y35" s="236" t="str">
        <f t="shared" si="156"/>
        <v/>
      </c>
      <c r="Z35" s="237">
        <f t="shared" si="157"/>
        <v>0</v>
      </c>
      <c r="AA35" s="238">
        <f t="shared" si="158"/>
        <v>0</v>
      </c>
      <c r="AB35" s="239" t="str">
        <f t="shared" si="159"/>
        <v/>
      </c>
      <c r="AC35" s="240" t="str">
        <f t="shared" ca="1" si="160"/>
        <v/>
      </c>
      <c r="AD35" s="394" t="str">
        <f t="shared" ca="1" si="161"/>
        <v/>
      </c>
      <c r="AE35" s="241" t="str">
        <f>IF(AO35="","",IFERROR(IF(ELEMENT!$CH$78=ELEMENT!$CM$63,(AC35/AA35/10.75),(AC35/AA35)),""))</f>
        <v/>
      </c>
      <c r="AF35" s="241" t="str">
        <f t="shared" si="162"/>
        <v/>
      </c>
      <c r="AG35" s="238" t="str">
        <f t="shared" si="163"/>
        <v/>
      </c>
      <c r="AH35" s="242" t="str">
        <f t="shared" si="164"/>
        <v/>
      </c>
      <c r="AI35" s="192"/>
      <c r="AJ35" s="274"/>
      <c r="AK35"/>
      <c r="AL35"/>
      <c r="AM35">
        <f t="shared" si="135"/>
        <v>0</v>
      </c>
      <c r="AN35" t="str">
        <f t="shared" si="136"/>
        <v/>
      </c>
      <c r="AO35" t="str">
        <f t="shared" si="137"/>
        <v/>
      </c>
      <c r="AP35" t="str">
        <f t="shared" si="138"/>
        <v/>
      </c>
      <c r="AQ35">
        <f t="shared" si="22"/>
        <v>0</v>
      </c>
      <c r="AR35">
        <f t="shared" si="139"/>
        <v>2</v>
      </c>
      <c r="AS35">
        <f t="shared" si="29"/>
        <v>0</v>
      </c>
      <c r="AT35">
        <f t="shared" si="23"/>
        <v>0</v>
      </c>
      <c r="AU35">
        <f t="shared" si="140"/>
        <v>0</v>
      </c>
      <c r="AV35">
        <f t="shared" si="141"/>
        <v>0</v>
      </c>
      <c r="AW35">
        <f t="shared" si="142"/>
        <v>0</v>
      </c>
      <c r="AX35" t="str">
        <f t="shared" si="24"/>
        <v/>
      </c>
      <c r="AY35">
        <f t="shared" si="143"/>
        <v>0</v>
      </c>
      <c r="AZ35">
        <f t="shared" si="144"/>
        <v>0</v>
      </c>
      <c r="BA35">
        <f t="shared" si="145"/>
        <v>0</v>
      </c>
      <c r="BB35">
        <f t="shared" si="146"/>
        <v>0</v>
      </c>
      <c r="BC35">
        <f t="shared" si="147"/>
        <v>0</v>
      </c>
      <c r="BD35">
        <f t="shared" si="148"/>
        <v>0</v>
      </c>
      <c r="BE35">
        <f t="shared" si="149"/>
        <v>0</v>
      </c>
      <c r="BF35">
        <f>IF($AH$4=$CK$75,'S2'!S35,
IF($AH$4=$CL$75,'S3'!S35,
IF($AH$4=$CJ$75,'S1'!S35,
IF($AH$4=$CM$75,S3M!S35,))))</f>
        <v>95</v>
      </c>
      <c r="BG35">
        <f>IF($AH$4=$CK$75,'S2'!T35,
IF($AH$4=$CL$75,'S3'!T35,
IF($AH$4=$CJ$75,'S1'!T35,
IF($AH$4=$CM$75,S3M!T35,))))</f>
        <v>0</v>
      </c>
      <c r="BH35">
        <f>IF($AH$4=$CK$75,'S2'!U35,
IF($AH$4=$CL$75,'S3'!U35,
IF($AH$4=$CJ$75,'S1'!U35,
IF($AH$4=$CM$75,S3M!U35,))))</f>
        <v>0</v>
      </c>
      <c r="BI35">
        <f>IF($AH$4=$CK$75,'S2'!V35,
IF($AH$4=$CL$75,'S3'!V35,
IF($AH$4=$CJ$75,'S1'!V35,
IF($AH$4=$CM$75,S3M!V35,))))</f>
        <v>0</v>
      </c>
      <c r="BJ35">
        <f>IF($AH$4=$CK$75,'S2'!W35,
IF($AH$4=$CL$75,'S3'!W35,
IF($AH$4=$CJ$75,'S1'!W35,
IF($AH$4=$CM$75,S3M!W35,))))</f>
        <v>0</v>
      </c>
      <c r="BK35">
        <f>IF($AH$4=$CK$75,'S2'!X35,
IF($AH$4=$CL$75,'S3'!X35,
IF($AH$4=$CJ$75,'S1'!X35,
IF($AH$4=$CM$75,S3M!X35,))))</f>
        <v>0</v>
      </c>
      <c r="BL35">
        <f>IF($AH$4=$CK$75,'S2'!Y35,
IF($AH$4=$CL$75,'S3'!Y35,
IF($AH$4=$CJ$75,'S1'!Y35,
IF($AH$4=$CM$75,S3M!Y35,))))</f>
        <v>0</v>
      </c>
      <c r="BM35">
        <f>IF($AH$4=$CK$75,'S2'!Z35,
IF($AH$4=$CL$75,'S3'!Z35,
IF($AH$4=$CJ$75,'S1'!Z35,
IF($AH$4=$CM$75,S3M!Z35,))))</f>
        <v>0</v>
      </c>
      <c r="BN35">
        <f>IF($AH$4=$CK$75,'S2'!AA35,
IF($AH$4=$CL$75,'S3'!AA35,
IF($AH$4=$CJ$75,'S1'!AA35,
IF($AH$4=$CM$75,S3M!AA35,))))</f>
        <v>0</v>
      </c>
      <c r="BO35">
        <f>IF($AH$4=$CK$75,'S2'!AB35,
IF($AH$4=$CL$75,'S3'!AB35,
IF($AH$4=$CJ$75,'S1'!AB35,
IF($AH$4=$CM$75,S3M!AB35,))))</f>
        <v>0</v>
      </c>
      <c r="BP35">
        <f>IF($AH$4=$CK$75,'S2'!AC35,
IF($AH$4=$CL$75,'S3'!AC35,
IF($AH$4=$CJ$75,'S1'!AC35,
IF($AH$4=$CM$75,S3M!AC35,))))</f>
        <v>0</v>
      </c>
      <c r="BQ35">
        <f t="shared" si="30"/>
        <v>58</v>
      </c>
      <c r="BR35">
        <f t="shared" si="31"/>
        <v>32</v>
      </c>
      <c r="BS35">
        <f t="shared" si="32"/>
        <v>0</v>
      </c>
      <c r="BT35">
        <f t="shared" si="33"/>
        <v>0</v>
      </c>
      <c r="BU35">
        <f t="shared" si="34"/>
        <v>0</v>
      </c>
      <c r="BV35">
        <f t="shared" si="35"/>
        <v>0</v>
      </c>
      <c r="BW35">
        <f t="shared" si="36"/>
        <v>90</v>
      </c>
      <c r="BX35">
        <f t="shared" si="37"/>
        <v>0</v>
      </c>
      <c r="BY35">
        <f t="shared" si="38"/>
        <v>0</v>
      </c>
      <c r="BZ35">
        <f t="shared" si="39"/>
        <v>0</v>
      </c>
      <c r="CA35">
        <f t="shared" si="40"/>
        <v>0</v>
      </c>
      <c r="CB35">
        <f t="shared" si="41"/>
        <v>0</v>
      </c>
      <c r="CC35">
        <f t="shared" si="42"/>
        <v>0</v>
      </c>
      <c r="CD35">
        <f t="shared" si="43"/>
        <v>80</v>
      </c>
      <c r="CE35">
        <f t="shared" si="44"/>
        <v>0</v>
      </c>
      <c r="CF35">
        <f t="shared" si="45"/>
        <v>0</v>
      </c>
      <c r="CG35">
        <f t="shared" si="46"/>
        <v>46.2</v>
      </c>
      <c r="CH35">
        <f t="shared" si="47"/>
        <v>17.600000000000001</v>
      </c>
      <c r="CI35">
        <f t="shared" si="48"/>
        <v>0</v>
      </c>
      <c r="CJ35">
        <f t="shared" si="49"/>
        <v>0</v>
      </c>
      <c r="CK35">
        <f t="shared" si="50"/>
        <v>0</v>
      </c>
      <c r="CL35">
        <f t="shared" si="51"/>
        <v>0</v>
      </c>
      <c r="CM35">
        <f t="shared" si="52"/>
        <v>0</v>
      </c>
      <c r="CN35">
        <f t="shared" si="53"/>
        <v>0</v>
      </c>
      <c r="CO35">
        <f t="shared" si="54"/>
        <v>0</v>
      </c>
      <c r="CP35" t="str">
        <f t="shared" si="19"/>
        <v/>
      </c>
      <c r="CQ35">
        <f t="shared" si="55"/>
        <v>0</v>
      </c>
      <c r="CR35" t="str">
        <f t="shared" si="56"/>
        <v/>
      </c>
      <c r="CS35">
        <f t="shared" si="57"/>
        <v>0</v>
      </c>
      <c r="CT35">
        <f t="shared" si="58"/>
        <v>0</v>
      </c>
      <c r="CU35">
        <f t="shared" si="59"/>
        <v>0</v>
      </c>
      <c r="CV35">
        <f t="shared" si="60"/>
        <v>203.7166666666667</v>
      </c>
      <c r="CW35">
        <f t="shared" si="61"/>
        <v>210</v>
      </c>
      <c r="CX35">
        <f t="shared" si="62"/>
        <v>120</v>
      </c>
      <c r="CY35">
        <f t="shared" si="63"/>
        <v>0</v>
      </c>
      <c r="CZ35">
        <f t="shared" si="64"/>
        <v>0</v>
      </c>
      <c r="DA35">
        <f t="shared" si="65"/>
        <v>0</v>
      </c>
      <c r="DB35">
        <f t="shared" si="66"/>
        <v>0</v>
      </c>
      <c r="DC35" t="str">
        <f t="shared" si="67"/>
        <v/>
      </c>
      <c r="DD35">
        <f t="shared" si="68"/>
        <v>0</v>
      </c>
      <c r="DE35">
        <f t="shared" si="69"/>
        <v>0</v>
      </c>
      <c r="DF35">
        <f t="shared" si="70"/>
        <v>12.15</v>
      </c>
      <c r="DG35">
        <f t="shared" si="71"/>
        <v>0</v>
      </c>
      <c r="DH35">
        <f t="shared" si="72"/>
        <v>0</v>
      </c>
      <c r="DI35">
        <f t="shared" si="26"/>
        <v>0</v>
      </c>
      <c r="DJ35"/>
      <c r="DK35"/>
      <c r="DL35">
        <f t="shared" si="73"/>
        <v>0</v>
      </c>
      <c r="DM35">
        <f t="shared" si="74"/>
        <v>0</v>
      </c>
      <c r="DN35">
        <f t="shared" si="75"/>
        <v>0</v>
      </c>
      <c r="DO35" t="e">
        <f t="shared" si="76"/>
        <v>#N/A</v>
      </c>
      <c r="DP35">
        <f t="shared" si="77"/>
        <v>0</v>
      </c>
      <c r="DQ35" t="e">
        <f t="shared" si="78"/>
        <v>#N/A</v>
      </c>
      <c r="DR35" t="e">
        <f t="shared" si="79"/>
        <v>#N/A</v>
      </c>
      <c r="DS35">
        <f t="shared" si="80"/>
        <v>0</v>
      </c>
      <c r="DT35">
        <f t="shared" si="81"/>
        <v>0</v>
      </c>
      <c r="DU35">
        <f t="shared" si="82"/>
        <v>0</v>
      </c>
      <c r="DV35">
        <f t="shared" si="27"/>
        <v>0</v>
      </c>
      <c r="DW35">
        <f t="shared" si="83"/>
        <v>0</v>
      </c>
      <c r="DX35">
        <f t="shared" si="84"/>
        <v>0</v>
      </c>
      <c r="DY35">
        <f t="shared" si="85"/>
        <v>0</v>
      </c>
      <c r="DZ35">
        <f t="shared" si="86"/>
        <v>0</v>
      </c>
      <c r="EA35">
        <f t="shared" si="87"/>
        <v>0</v>
      </c>
      <c r="EB35">
        <f t="shared" si="88"/>
        <v>0</v>
      </c>
      <c r="EC35">
        <f t="shared" si="89"/>
        <v>0</v>
      </c>
      <c r="ED35">
        <f t="shared" si="90"/>
        <v>0</v>
      </c>
      <c r="EE35">
        <f t="shared" si="91"/>
        <v>0</v>
      </c>
      <c r="EF35">
        <f t="shared" si="92"/>
        <v>0</v>
      </c>
      <c r="EG35">
        <f t="shared" si="93"/>
        <v>0</v>
      </c>
      <c r="EH35">
        <f t="shared" si="28"/>
        <v>0</v>
      </c>
      <c r="EI35">
        <f t="shared" si="94"/>
        <v>-70</v>
      </c>
      <c r="EJ35">
        <f t="shared" si="95"/>
        <v>0</v>
      </c>
      <c r="EK35">
        <f t="shared" si="96"/>
        <v>0</v>
      </c>
      <c r="EL35">
        <f t="shared" si="97"/>
        <v>0</v>
      </c>
      <c r="EM35" t="e">
        <f t="shared" si="98"/>
        <v>#DIV/0!</v>
      </c>
      <c r="EN35">
        <f t="shared" si="99"/>
        <v>0</v>
      </c>
      <c r="EO35" t="str">
        <f t="shared" si="100"/>
        <v>üh</v>
      </c>
      <c r="EP35">
        <f t="shared" si="101"/>
        <v>0</v>
      </c>
      <c r="EQ35">
        <f t="shared" si="102"/>
        <v>0</v>
      </c>
      <c r="ER35">
        <f t="shared" si="103"/>
        <v>0</v>
      </c>
      <c r="ES35">
        <f t="shared" si="104"/>
        <v>0</v>
      </c>
      <c r="ET35">
        <f t="shared" si="105"/>
        <v>0</v>
      </c>
      <c r="EU35">
        <f t="shared" si="106"/>
        <v>0</v>
      </c>
      <c r="EV35">
        <f t="shared" si="107"/>
        <v>0</v>
      </c>
      <c r="EW35">
        <f t="shared" si="108"/>
        <v>0</v>
      </c>
      <c r="EX35">
        <f t="shared" si="109"/>
        <v>0</v>
      </c>
      <c r="EY35">
        <f t="shared" si="110"/>
        <v>0</v>
      </c>
      <c r="EZ35">
        <f t="shared" si="111"/>
        <v>0</v>
      </c>
      <c r="FA35">
        <f t="shared" si="112"/>
        <v>0</v>
      </c>
      <c r="FB35" t="str">
        <f t="shared" si="113"/>
        <v/>
      </c>
      <c r="FC35" t="str">
        <f t="shared" si="114"/>
        <v/>
      </c>
      <c r="FD35" t="str">
        <f>IF(AS35+E35=0,"",IF(SUM(L35:M35)=2,IF(SUM(N35+O35+BC35+BD35)=2,"",Sprache!$B$107),Sprache!$B$107))</f>
        <v/>
      </c>
      <c r="FE35" t="str">
        <f t="shared" si="115"/>
        <v/>
      </c>
      <c r="FF35" t="str">
        <f t="shared" si="116"/>
        <v/>
      </c>
      <c r="FG35" t="str">
        <f t="shared" si="117"/>
        <v/>
      </c>
      <c r="FH35" t="str">
        <f t="shared" ca="1" si="118"/>
        <v/>
      </c>
      <c r="FI35" t="str">
        <f t="shared" si="119"/>
        <v/>
      </c>
      <c r="FJ35" t="str">
        <f t="shared" si="120"/>
        <v/>
      </c>
      <c r="FK35" t="str">
        <f t="shared" si="121"/>
        <v/>
      </c>
      <c r="FL35" t="str">
        <f t="shared" si="122"/>
        <v/>
      </c>
      <c r="FM35" t="str">
        <f t="shared" si="123"/>
        <v/>
      </c>
      <c r="FN35" t="str">
        <f t="shared" si="124"/>
        <v/>
      </c>
      <c r="FO35" t="str">
        <f t="shared" si="125"/>
        <v/>
      </c>
      <c r="FP35" t="str">
        <f t="shared" si="126"/>
        <v/>
      </c>
      <c r="FQ35" t="str">
        <f>IF(AO35="","",IF(DK195=0,Sprache!$B$65&amp;" ?",IF(CH195="?",$FQ$4,"")))</f>
        <v/>
      </c>
      <c r="FR35" t="str">
        <f t="shared" si="127"/>
        <v/>
      </c>
      <c r="FS35" t="str">
        <f t="shared" si="128"/>
        <v/>
      </c>
      <c r="FT35" t="str">
        <f t="shared" si="129"/>
        <v/>
      </c>
      <c r="FU35"/>
      <c r="FV35" t="str">
        <f ca="1">IF(TODAY()=$A$3,"",IF(TODAY()&gt;DATE(2018,7,1),CONCATENATE(Sprache!$B$89),""))</f>
        <v>outdated version</v>
      </c>
      <c r="FW35" t="str">
        <f t="shared" ca="1" si="130"/>
        <v>outdated version</v>
      </c>
      <c r="FX35" t="str">
        <f t="shared" ca="1" si="131"/>
        <v>outdated version</v>
      </c>
      <c r="FY35" t="str">
        <f t="shared" ca="1" si="132"/>
        <v/>
      </c>
      <c r="FZ35"/>
      <c r="GA35" s="407">
        <f t="shared" si="133"/>
        <v>0</v>
      </c>
      <c r="GB35" s="405"/>
      <c r="GC35" s="405"/>
      <c r="GD35" s="406"/>
      <c r="GE35" s="407">
        <f t="shared" si="134"/>
        <v>0</v>
      </c>
      <c r="GF35" s="405"/>
      <c r="GG35" s="404"/>
      <c r="GH35" s="406"/>
    </row>
    <row r="36" spans="1:256" s="243" customFormat="1" ht="14.25" customHeight="1" x14ac:dyDescent="0.2">
      <c r="A36" s="220"/>
      <c r="B36" s="221"/>
      <c r="C36" s="222"/>
      <c r="D36" s="223">
        <f t="shared" si="20"/>
        <v>0</v>
      </c>
      <c r="E36" s="223">
        <f t="shared" si="21"/>
        <v>0</v>
      </c>
      <c r="F36" s="224"/>
      <c r="G36" s="225"/>
      <c r="H36" s="225"/>
      <c r="I36" s="272"/>
      <c r="J36" s="264"/>
      <c r="K36" s="226"/>
      <c r="L36" s="227">
        <v>1</v>
      </c>
      <c r="M36" s="228">
        <f t="shared" si="150"/>
        <v>1</v>
      </c>
      <c r="N36" s="229">
        <f t="shared" si="151"/>
        <v>2</v>
      </c>
      <c r="O36" s="230"/>
      <c r="P36" s="231"/>
      <c r="Q36" s="232"/>
      <c r="R36" s="233">
        <f t="shared" si="152"/>
        <v>0</v>
      </c>
      <c r="S36" s="233">
        <f t="shared" si="153"/>
        <v>0</v>
      </c>
      <c r="T36" s="245">
        <f t="shared" si="154"/>
        <v>0</v>
      </c>
      <c r="U36" s="234"/>
      <c r="V36" s="270"/>
      <c r="W36" s="267"/>
      <c r="X36" s="235">
        <f t="shared" si="155"/>
        <v>0</v>
      </c>
      <c r="Y36" s="236" t="str">
        <f t="shared" si="156"/>
        <v/>
      </c>
      <c r="Z36" s="237">
        <f t="shared" si="157"/>
        <v>0</v>
      </c>
      <c r="AA36" s="238">
        <f t="shared" si="158"/>
        <v>0</v>
      </c>
      <c r="AB36" s="239" t="str">
        <f t="shared" si="159"/>
        <v/>
      </c>
      <c r="AC36" s="240" t="str">
        <f t="shared" ca="1" si="160"/>
        <v/>
      </c>
      <c r="AD36" s="394" t="str">
        <f t="shared" ca="1" si="161"/>
        <v/>
      </c>
      <c r="AE36" s="241" t="str">
        <f>IF(AO36="","",IFERROR(IF(ELEMENT!$CH$78=ELEMENT!$CM$63,(AC36/AA36/10.75),(AC36/AA36)),""))</f>
        <v/>
      </c>
      <c r="AF36" s="241" t="str">
        <f t="shared" si="162"/>
        <v/>
      </c>
      <c r="AG36" s="238" t="str">
        <f t="shared" si="163"/>
        <v/>
      </c>
      <c r="AH36" s="242" t="str">
        <f t="shared" si="164"/>
        <v/>
      </c>
      <c r="AI36" s="192"/>
      <c r="AJ36" s="274"/>
      <c r="AK36"/>
      <c r="AL36"/>
      <c r="AM36">
        <f t="shared" si="135"/>
        <v>0</v>
      </c>
      <c r="AN36" t="str">
        <f t="shared" si="136"/>
        <v/>
      </c>
      <c r="AO36" t="str">
        <f t="shared" si="137"/>
        <v/>
      </c>
      <c r="AP36" t="str">
        <f t="shared" si="138"/>
        <v/>
      </c>
      <c r="AQ36">
        <f t="shared" si="22"/>
        <v>0</v>
      </c>
      <c r="AR36">
        <f t="shared" si="139"/>
        <v>2</v>
      </c>
      <c r="AS36">
        <f t="shared" si="29"/>
        <v>0</v>
      </c>
      <c r="AT36">
        <f t="shared" si="23"/>
        <v>0</v>
      </c>
      <c r="AU36">
        <f t="shared" si="140"/>
        <v>0</v>
      </c>
      <c r="AV36">
        <f t="shared" si="141"/>
        <v>0</v>
      </c>
      <c r="AW36">
        <f t="shared" si="142"/>
        <v>0</v>
      </c>
      <c r="AX36" t="str">
        <f t="shared" si="24"/>
        <v/>
      </c>
      <c r="AY36">
        <f t="shared" si="143"/>
        <v>0</v>
      </c>
      <c r="AZ36">
        <f t="shared" si="144"/>
        <v>0</v>
      </c>
      <c r="BA36">
        <f t="shared" si="145"/>
        <v>0</v>
      </c>
      <c r="BB36">
        <f t="shared" si="146"/>
        <v>0</v>
      </c>
      <c r="BC36">
        <f t="shared" si="147"/>
        <v>0</v>
      </c>
      <c r="BD36">
        <f t="shared" si="148"/>
        <v>0</v>
      </c>
      <c r="BE36">
        <f t="shared" si="149"/>
        <v>0</v>
      </c>
      <c r="BF36">
        <f t="shared" ref="BF36:BF47" si="167">DQ68</f>
        <v>0</v>
      </c>
      <c r="BG36">
        <f>IF($AH$4=$CK$75,'S2'!T36,
IF($AH$4=$CL$75,'S3'!T36,
IF($AH$4=$CJ$75,'S1'!T36,
IF($AH$4=$CM$75,S3M!T36,))))</f>
        <v>40</v>
      </c>
      <c r="BH36">
        <f>IF($AH$4=$CK$75,'S2'!U36,
IF($AH$4=$CL$75,'S3'!U36,
IF($AH$4=$CJ$75,'S1'!U36,
IF($AH$4=$CM$75,S3M!U36,))))</f>
        <v>70</v>
      </c>
      <c r="BI36">
        <f>IF($AH$4=$CK$75,'S2'!V36,
IF($AH$4=$CL$75,'S3'!V36,
IF($AH$4=$CJ$75,'S1'!V36,
IF($AH$4=$CM$75,S3M!V36,))))</f>
        <v>160</v>
      </c>
      <c r="BJ36">
        <f>IF($AH$4=$CK$75,'S2'!W36,
IF($AH$4=$CL$75,'S3'!W36,
IF($AH$4=$CJ$75,'S1'!W36,
IF($AH$4=$CM$75,S3M!W36,))))</f>
        <v>0</v>
      </c>
      <c r="BK36">
        <f>IF($AH$4=$CK$75,'S2'!X36,
IF($AH$4=$CL$75,'S3'!X36,
IF($AH$4=$CJ$75,'S1'!X36,
IF($AH$4=$CM$75,S3M!X36,))))</f>
        <v>0</v>
      </c>
      <c r="BL36">
        <f>IF($AH$4=$CK$75,'S2'!Y36,
IF($AH$4=$CL$75,'S3'!Y36,
IF($AH$4=$CJ$75,'S1'!Y36,
IF($AH$4=$CM$75,S3M!Y36,))))</f>
        <v>0</v>
      </c>
      <c r="BM36">
        <f>IF($AH$4=$CK$75,'S2'!Z36,
IF($AH$4=$CL$75,'S3'!Z36,
IF($AH$4=$CJ$75,'S1'!Z36,
IF($AH$4=$CM$75,S3M!Z36,))))</f>
        <v>0</v>
      </c>
      <c r="BN36">
        <f>IF($AH$4=$CK$75,'S2'!AA36,
IF($AH$4=$CL$75,'S3'!AA36,
IF($AH$4=$CJ$75,'S1'!AA36,
IF($AH$4=$CM$75,S3M!AA36,))))</f>
        <v>0</v>
      </c>
      <c r="BO36">
        <f>IF($AH$4=$CK$75,'S2'!AB36,
IF($AH$4=$CL$75,'S3'!AB36,
IF($AH$4=$CJ$75,'S1'!AB36,
IF($AH$4=$CM$75,S3M!AB36,))))</f>
        <v>0</v>
      </c>
      <c r="BP36">
        <f>IF($AH$4=$CK$75,'S2'!AC36,
IF($AH$4=$CL$75,'S3'!AC36,
IF($AH$4=$CJ$75,'S1'!AC36,
IF($AH$4=$CM$75,S3M!AC36,))))</f>
        <v>0</v>
      </c>
      <c r="BQ36">
        <f t="shared" si="30"/>
        <v>58</v>
      </c>
      <c r="BR36">
        <f t="shared" si="31"/>
        <v>32</v>
      </c>
      <c r="BS36">
        <f t="shared" si="32"/>
        <v>0</v>
      </c>
      <c r="BT36">
        <f t="shared" si="33"/>
        <v>0</v>
      </c>
      <c r="BU36">
        <f t="shared" si="34"/>
        <v>0</v>
      </c>
      <c r="BV36">
        <f t="shared" si="35"/>
        <v>0</v>
      </c>
      <c r="BW36">
        <f t="shared" si="36"/>
        <v>90</v>
      </c>
      <c r="BX36">
        <f t="shared" si="37"/>
        <v>0</v>
      </c>
      <c r="BY36">
        <f t="shared" si="38"/>
        <v>0</v>
      </c>
      <c r="BZ36">
        <f t="shared" si="39"/>
        <v>0</v>
      </c>
      <c r="CA36">
        <f t="shared" si="40"/>
        <v>0</v>
      </c>
      <c r="CB36">
        <f t="shared" si="41"/>
        <v>0</v>
      </c>
      <c r="CC36">
        <f t="shared" si="42"/>
        <v>0</v>
      </c>
      <c r="CD36">
        <f t="shared" si="43"/>
        <v>80</v>
      </c>
      <c r="CE36">
        <f t="shared" si="44"/>
        <v>0</v>
      </c>
      <c r="CF36">
        <f t="shared" si="45"/>
        <v>0</v>
      </c>
      <c r="CG36">
        <f t="shared" si="46"/>
        <v>46.2</v>
      </c>
      <c r="CH36">
        <f t="shared" si="47"/>
        <v>17.600000000000001</v>
      </c>
      <c r="CI36">
        <f t="shared" si="48"/>
        <v>0</v>
      </c>
      <c r="CJ36">
        <f t="shared" si="49"/>
        <v>0</v>
      </c>
      <c r="CK36">
        <f t="shared" si="50"/>
        <v>0</v>
      </c>
      <c r="CL36">
        <f t="shared" si="51"/>
        <v>0</v>
      </c>
      <c r="CM36">
        <f t="shared" si="52"/>
        <v>0</v>
      </c>
      <c r="CN36">
        <f t="shared" si="53"/>
        <v>0</v>
      </c>
      <c r="CO36">
        <f t="shared" si="54"/>
        <v>0</v>
      </c>
      <c r="CP36" t="str">
        <f t="shared" si="19"/>
        <v/>
      </c>
      <c r="CQ36">
        <f t="shared" si="55"/>
        <v>0</v>
      </c>
      <c r="CR36" t="str">
        <f t="shared" si="56"/>
        <v/>
      </c>
      <c r="CS36">
        <f t="shared" si="57"/>
        <v>0</v>
      </c>
      <c r="CT36">
        <f t="shared" si="58"/>
        <v>0</v>
      </c>
      <c r="CU36">
        <f t="shared" si="59"/>
        <v>0</v>
      </c>
      <c r="CV36">
        <f t="shared" si="60"/>
        <v>203.7166666666667</v>
      </c>
      <c r="CW36">
        <f t="shared" si="61"/>
        <v>210</v>
      </c>
      <c r="CX36">
        <f t="shared" si="62"/>
        <v>120</v>
      </c>
      <c r="CY36">
        <f t="shared" si="63"/>
        <v>0</v>
      </c>
      <c r="CZ36">
        <f t="shared" si="64"/>
        <v>0</v>
      </c>
      <c r="DA36">
        <f t="shared" si="65"/>
        <v>0</v>
      </c>
      <c r="DB36">
        <f t="shared" si="66"/>
        <v>0</v>
      </c>
      <c r="DC36" t="str">
        <f t="shared" si="67"/>
        <v/>
      </c>
      <c r="DD36">
        <f t="shared" si="68"/>
        <v>0</v>
      </c>
      <c r="DE36">
        <f t="shared" si="69"/>
        <v>0</v>
      </c>
      <c r="DF36">
        <f t="shared" si="70"/>
        <v>12.15</v>
      </c>
      <c r="DG36">
        <f t="shared" si="71"/>
        <v>0</v>
      </c>
      <c r="DH36">
        <f t="shared" si="72"/>
        <v>0</v>
      </c>
      <c r="DI36">
        <f t="shared" si="26"/>
        <v>0</v>
      </c>
      <c r="DJ36"/>
      <c r="DK36"/>
      <c r="DL36">
        <f t="shared" si="73"/>
        <v>0</v>
      </c>
      <c r="DM36">
        <f t="shared" si="74"/>
        <v>0</v>
      </c>
      <c r="DN36">
        <f t="shared" si="75"/>
        <v>0</v>
      </c>
      <c r="DO36" t="e">
        <f t="shared" si="76"/>
        <v>#N/A</v>
      </c>
      <c r="DP36">
        <f t="shared" si="77"/>
        <v>0</v>
      </c>
      <c r="DQ36" t="e">
        <f t="shared" si="78"/>
        <v>#N/A</v>
      </c>
      <c r="DR36" t="e">
        <f t="shared" si="79"/>
        <v>#N/A</v>
      </c>
      <c r="DS36">
        <f t="shared" si="80"/>
        <v>0</v>
      </c>
      <c r="DT36">
        <f t="shared" si="81"/>
        <v>0</v>
      </c>
      <c r="DU36">
        <f t="shared" si="82"/>
        <v>0</v>
      </c>
      <c r="DV36">
        <f t="shared" si="27"/>
        <v>0</v>
      </c>
      <c r="DW36">
        <f t="shared" si="83"/>
        <v>0</v>
      </c>
      <c r="DX36">
        <f t="shared" si="84"/>
        <v>0</v>
      </c>
      <c r="DY36">
        <f t="shared" si="85"/>
        <v>0</v>
      </c>
      <c r="DZ36">
        <f t="shared" si="86"/>
        <v>0</v>
      </c>
      <c r="EA36">
        <f t="shared" si="87"/>
        <v>0</v>
      </c>
      <c r="EB36">
        <f t="shared" si="88"/>
        <v>0</v>
      </c>
      <c r="EC36">
        <f t="shared" si="89"/>
        <v>0</v>
      </c>
      <c r="ED36">
        <f t="shared" si="90"/>
        <v>0</v>
      </c>
      <c r="EE36">
        <f t="shared" si="91"/>
        <v>0</v>
      </c>
      <c r="EF36">
        <f t="shared" si="92"/>
        <v>0</v>
      </c>
      <c r="EG36">
        <f t="shared" si="93"/>
        <v>0</v>
      </c>
      <c r="EH36">
        <f t="shared" si="28"/>
        <v>0</v>
      </c>
      <c r="EI36">
        <f t="shared" si="94"/>
        <v>-70</v>
      </c>
      <c r="EJ36">
        <f t="shared" si="95"/>
        <v>0</v>
      </c>
      <c r="EK36">
        <f t="shared" si="96"/>
        <v>0</v>
      </c>
      <c r="EL36">
        <f t="shared" si="97"/>
        <v>0</v>
      </c>
      <c r="EM36" t="e">
        <f t="shared" si="98"/>
        <v>#DIV/0!</v>
      </c>
      <c r="EN36">
        <f t="shared" si="99"/>
        <v>0</v>
      </c>
      <c r="EO36" t="str">
        <f t="shared" si="100"/>
        <v>üh</v>
      </c>
      <c r="EP36">
        <f t="shared" si="101"/>
        <v>0</v>
      </c>
      <c r="EQ36">
        <f t="shared" si="102"/>
        <v>0</v>
      </c>
      <c r="ER36">
        <f t="shared" si="103"/>
        <v>0</v>
      </c>
      <c r="ES36">
        <f t="shared" si="104"/>
        <v>0</v>
      </c>
      <c r="ET36">
        <f t="shared" si="105"/>
        <v>0</v>
      </c>
      <c r="EU36">
        <f t="shared" si="106"/>
        <v>0</v>
      </c>
      <c r="EV36">
        <f t="shared" si="107"/>
        <v>0</v>
      </c>
      <c r="EW36">
        <f t="shared" si="108"/>
        <v>0</v>
      </c>
      <c r="EX36">
        <f t="shared" si="109"/>
        <v>0</v>
      </c>
      <c r="EY36">
        <f t="shared" si="110"/>
        <v>0</v>
      </c>
      <c r="EZ36">
        <f t="shared" si="111"/>
        <v>0</v>
      </c>
      <c r="FA36">
        <f t="shared" si="112"/>
        <v>0</v>
      </c>
      <c r="FB36" t="str">
        <f t="shared" si="113"/>
        <v/>
      </c>
      <c r="FC36" t="str">
        <f t="shared" si="114"/>
        <v/>
      </c>
      <c r="FD36" t="str">
        <f>IF(AS36+E36=0,"",IF(SUM(L36:M36)=2,IF(SUM(N36+O36+BC36+BD36)=2,"",Sprache!$B$107),Sprache!$B$107))</f>
        <v/>
      </c>
      <c r="FE36" t="str">
        <f t="shared" si="115"/>
        <v/>
      </c>
      <c r="FF36" t="str">
        <f t="shared" si="116"/>
        <v/>
      </c>
      <c r="FG36" t="str">
        <f t="shared" si="117"/>
        <v/>
      </c>
      <c r="FH36" t="str">
        <f t="shared" ca="1" si="118"/>
        <v/>
      </c>
      <c r="FI36" t="str">
        <f t="shared" si="119"/>
        <v/>
      </c>
      <c r="FJ36" t="str">
        <f t="shared" si="120"/>
        <v/>
      </c>
      <c r="FK36" t="str">
        <f t="shared" si="121"/>
        <v/>
      </c>
      <c r="FL36" t="str">
        <f t="shared" si="122"/>
        <v/>
      </c>
      <c r="FM36" t="str">
        <f t="shared" si="123"/>
        <v/>
      </c>
      <c r="FN36" t="str">
        <f t="shared" si="124"/>
        <v/>
      </c>
      <c r="FO36" t="str">
        <f t="shared" si="125"/>
        <v/>
      </c>
      <c r="FP36" t="str">
        <f t="shared" si="126"/>
        <v/>
      </c>
      <c r="FQ36" t="str">
        <f>IF(AO36="","",IF(DK196=0,Sprache!$B$65&amp;" ?",IF(CH196="?",$FQ$4,"")))</f>
        <v/>
      </c>
      <c r="FR36" t="str">
        <f t="shared" si="127"/>
        <v/>
      </c>
      <c r="FS36" t="str">
        <f t="shared" si="128"/>
        <v/>
      </c>
      <c r="FT36" t="str">
        <f t="shared" si="129"/>
        <v/>
      </c>
      <c r="FU36"/>
      <c r="FV36" t="str">
        <f ca="1">IF(TODAY()=$A$3,"",IF(TODAY()&gt;DATE(2018,7,1),CONCATENATE(Sprache!$B$89),""))</f>
        <v>outdated version</v>
      </c>
      <c r="FW36" t="str">
        <f t="shared" ca="1" si="130"/>
        <v>outdated version</v>
      </c>
      <c r="FX36" t="str">
        <f t="shared" ca="1" si="131"/>
        <v>outdated version</v>
      </c>
      <c r="FY36" t="str">
        <f t="shared" ca="1" si="132"/>
        <v/>
      </c>
      <c r="FZ36"/>
      <c r="GA36" s="407">
        <f t="shared" si="133"/>
        <v>0</v>
      </c>
      <c r="GB36" s="405"/>
      <c r="GC36" s="405"/>
      <c r="GD36" s="406"/>
      <c r="GE36" s="407">
        <f t="shared" si="134"/>
        <v>0</v>
      </c>
      <c r="GF36" s="405"/>
      <c r="GG36" s="404"/>
      <c r="GH36" s="406"/>
    </row>
    <row r="37" spans="1:256" s="243" customFormat="1" ht="14.25" customHeight="1" x14ac:dyDescent="0.2">
      <c r="A37" s="220"/>
      <c r="B37" s="221"/>
      <c r="C37" s="222"/>
      <c r="D37" s="223">
        <f t="shared" si="20"/>
        <v>0</v>
      </c>
      <c r="E37" s="223">
        <f t="shared" si="21"/>
        <v>0</v>
      </c>
      <c r="F37" s="224"/>
      <c r="G37" s="225"/>
      <c r="H37" s="225"/>
      <c r="I37" s="272"/>
      <c r="J37" s="264"/>
      <c r="K37" s="226"/>
      <c r="L37" s="227">
        <v>1</v>
      </c>
      <c r="M37" s="228">
        <f t="shared" si="150"/>
        <v>1</v>
      </c>
      <c r="N37" s="229">
        <f t="shared" si="151"/>
        <v>2</v>
      </c>
      <c r="O37" s="230"/>
      <c r="P37" s="231"/>
      <c r="Q37" s="232"/>
      <c r="R37" s="233">
        <f t="shared" si="152"/>
        <v>0</v>
      </c>
      <c r="S37" s="233">
        <f t="shared" si="153"/>
        <v>0</v>
      </c>
      <c r="T37" s="245">
        <f t="shared" si="154"/>
        <v>0</v>
      </c>
      <c r="U37" s="234"/>
      <c r="V37" s="270"/>
      <c r="W37" s="267"/>
      <c r="X37" s="235">
        <f t="shared" si="155"/>
        <v>0</v>
      </c>
      <c r="Y37" s="236" t="str">
        <f t="shared" si="156"/>
        <v/>
      </c>
      <c r="Z37" s="237">
        <f t="shared" si="157"/>
        <v>0</v>
      </c>
      <c r="AA37" s="238">
        <f t="shared" si="158"/>
        <v>0</v>
      </c>
      <c r="AB37" s="239" t="str">
        <f t="shared" si="159"/>
        <v/>
      </c>
      <c r="AC37" s="240" t="str">
        <f t="shared" ca="1" si="160"/>
        <v/>
      </c>
      <c r="AD37" s="394" t="str">
        <f t="shared" ca="1" si="161"/>
        <v/>
      </c>
      <c r="AE37" s="241" t="str">
        <f>IF(AO37="","",IFERROR(IF(ELEMENT!$CH$78=ELEMENT!$CM$63,(AC37/AA37/10.75),(AC37/AA37)),""))</f>
        <v/>
      </c>
      <c r="AF37" s="241" t="str">
        <f t="shared" si="162"/>
        <v/>
      </c>
      <c r="AG37" s="238" t="str">
        <f t="shared" si="163"/>
        <v/>
      </c>
      <c r="AH37" s="242" t="str">
        <f t="shared" si="164"/>
        <v/>
      </c>
      <c r="AI37" s="192"/>
      <c r="AJ37" s="274"/>
      <c r="AK37"/>
      <c r="AL37"/>
      <c r="AM37">
        <f t="shared" si="135"/>
        <v>0</v>
      </c>
      <c r="AN37" t="str">
        <f t="shared" si="136"/>
        <v/>
      </c>
      <c r="AO37" t="str">
        <f t="shared" si="137"/>
        <v/>
      </c>
      <c r="AP37" t="str">
        <f t="shared" si="138"/>
        <v/>
      </c>
      <c r="AQ37">
        <f t="shared" si="22"/>
        <v>0</v>
      </c>
      <c r="AR37">
        <f t="shared" si="139"/>
        <v>2</v>
      </c>
      <c r="AS37">
        <f t="shared" si="29"/>
        <v>0</v>
      </c>
      <c r="AT37">
        <f t="shared" si="23"/>
        <v>0</v>
      </c>
      <c r="AU37">
        <f t="shared" si="140"/>
        <v>0</v>
      </c>
      <c r="AV37">
        <f t="shared" si="141"/>
        <v>0</v>
      </c>
      <c r="AW37">
        <f t="shared" si="142"/>
        <v>0</v>
      </c>
      <c r="AX37" t="str">
        <f t="shared" si="24"/>
        <v/>
      </c>
      <c r="AY37">
        <f t="shared" si="143"/>
        <v>0</v>
      </c>
      <c r="AZ37">
        <f t="shared" si="144"/>
        <v>0</v>
      </c>
      <c r="BA37">
        <f t="shared" si="145"/>
        <v>0</v>
      </c>
      <c r="BB37">
        <f t="shared" si="146"/>
        <v>0</v>
      </c>
      <c r="BC37">
        <f t="shared" si="147"/>
        <v>0</v>
      </c>
      <c r="BD37">
        <f t="shared" si="148"/>
        <v>0</v>
      </c>
      <c r="BE37">
        <f t="shared" si="149"/>
        <v>0</v>
      </c>
      <c r="BF37">
        <f t="shared" si="167"/>
        <v>0</v>
      </c>
      <c r="BG37">
        <f>IF($AH$4=$CK$75,'S2'!T37,
IF($AH$4=$CL$75,'S3'!T37,
IF($AH$4=$CJ$75,'S1'!T37,
IF($AH$4=$CM$75,S3M!T37,))))</f>
        <v>10</v>
      </c>
      <c r="BH37">
        <f>IF($AH$4=$CK$75,'S2'!U37,
IF($AH$4=$CL$75,'S3'!U37,
IF($AH$4=$CJ$75,'S1'!U37,
IF($AH$4=$CM$75,S3M!U37,))))</f>
        <v>30</v>
      </c>
      <c r="BI37">
        <f>IF($AH$4=$CK$75,'S2'!V37,
IF($AH$4=$CL$75,'S3'!V37,
IF($AH$4=$CJ$75,'S1'!V37,
IF($AH$4=$CM$75,S3M!V37,))))</f>
        <v>60</v>
      </c>
      <c r="BJ37">
        <f>IF($AH$4=$CK$75,'S2'!W37,
IF($AH$4=$CL$75,'S3'!W37,
IF($AH$4=$CJ$75,'S1'!W37,
IF($AH$4=$CM$75,S3M!W37,))))</f>
        <v>0</v>
      </c>
      <c r="BK37">
        <f>IF($AH$4=$CK$75,'S2'!X37,
IF($AH$4=$CL$75,'S3'!X37,
IF($AH$4=$CJ$75,'S1'!X37,
IF($AH$4=$CM$75,S3M!X37,))))</f>
        <v>0</v>
      </c>
      <c r="BL37">
        <f>IF($AH$4=$CK$75,'S2'!Y37,
IF($AH$4=$CL$75,'S3'!Y37,
IF($AH$4=$CJ$75,'S1'!Y37,
IF($AH$4=$CM$75,S3M!Y37,))))</f>
        <v>0</v>
      </c>
      <c r="BM37">
        <f>IF($AH$4=$CK$75,'S2'!Z37,
IF($AH$4=$CL$75,'S3'!Z37,
IF($AH$4=$CJ$75,'S1'!Z37,
IF($AH$4=$CM$75,S3M!Z37,))))</f>
        <v>0</v>
      </c>
      <c r="BN37">
        <f>IF($AH$4=$CK$75,'S2'!AA37,
IF($AH$4=$CL$75,'S3'!AA37,
IF($AH$4=$CJ$75,'S1'!AA37,
IF($AH$4=$CM$75,S3M!AA37,))))</f>
        <v>0</v>
      </c>
      <c r="BO37">
        <f>IF($AH$4=$CK$75,'S2'!AB37,
IF($AH$4=$CL$75,'S3'!AB37,
IF($AH$4=$CJ$75,'S1'!AB37,
IF($AH$4=$CM$75,S3M!AB37,))))</f>
        <v>0</v>
      </c>
      <c r="BP37">
        <f>IF($AH$4=$CK$75,'S2'!AC37,
IF($AH$4=$CL$75,'S3'!AC37,
IF($AH$4=$CJ$75,'S1'!AC37,
IF($AH$4=$CM$75,S3M!AC37,))))</f>
        <v>290</v>
      </c>
      <c r="BQ37">
        <f t="shared" si="30"/>
        <v>58</v>
      </c>
      <c r="BR37">
        <f t="shared" si="31"/>
        <v>32</v>
      </c>
      <c r="BS37">
        <f t="shared" si="32"/>
        <v>0</v>
      </c>
      <c r="BT37">
        <f t="shared" si="33"/>
        <v>0</v>
      </c>
      <c r="BU37">
        <f t="shared" si="34"/>
        <v>0</v>
      </c>
      <c r="BV37">
        <f t="shared" si="35"/>
        <v>0</v>
      </c>
      <c r="BW37">
        <f t="shared" si="36"/>
        <v>90</v>
      </c>
      <c r="BX37">
        <f t="shared" si="37"/>
        <v>0</v>
      </c>
      <c r="BY37">
        <f t="shared" si="38"/>
        <v>0</v>
      </c>
      <c r="BZ37">
        <f t="shared" si="39"/>
        <v>0</v>
      </c>
      <c r="CA37">
        <f t="shared" si="40"/>
        <v>0</v>
      </c>
      <c r="CB37">
        <f t="shared" si="41"/>
        <v>0</v>
      </c>
      <c r="CC37">
        <f t="shared" si="42"/>
        <v>0</v>
      </c>
      <c r="CD37">
        <f t="shared" si="43"/>
        <v>80</v>
      </c>
      <c r="CE37">
        <f t="shared" si="44"/>
        <v>0</v>
      </c>
      <c r="CF37">
        <f t="shared" si="45"/>
        <v>0</v>
      </c>
      <c r="CG37">
        <f t="shared" si="46"/>
        <v>46.2</v>
      </c>
      <c r="CH37">
        <f t="shared" si="47"/>
        <v>17.600000000000001</v>
      </c>
      <c r="CI37">
        <f t="shared" si="48"/>
        <v>0</v>
      </c>
      <c r="CJ37">
        <f t="shared" si="49"/>
        <v>0</v>
      </c>
      <c r="CK37">
        <f t="shared" si="50"/>
        <v>0</v>
      </c>
      <c r="CL37">
        <f t="shared" si="51"/>
        <v>0</v>
      </c>
      <c r="CM37">
        <f t="shared" si="52"/>
        <v>0</v>
      </c>
      <c r="CN37">
        <f t="shared" si="53"/>
        <v>0</v>
      </c>
      <c r="CO37">
        <f t="shared" si="54"/>
        <v>0</v>
      </c>
      <c r="CP37" t="str">
        <f t="shared" si="19"/>
        <v/>
      </c>
      <c r="CQ37">
        <f t="shared" si="55"/>
        <v>0</v>
      </c>
      <c r="CR37" t="str">
        <f t="shared" si="56"/>
        <v/>
      </c>
      <c r="CS37">
        <f t="shared" si="57"/>
        <v>0</v>
      </c>
      <c r="CT37">
        <f t="shared" si="58"/>
        <v>0</v>
      </c>
      <c r="CU37">
        <f t="shared" si="59"/>
        <v>0</v>
      </c>
      <c r="CV37">
        <f t="shared" si="60"/>
        <v>203.7166666666667</v>
      </c>
      <c r="CW37">
        <f t="shared" si="61"/>
        <v>210</v>
      </c>
      <c r="CX37">
        <f t="shared" si="62"/>
        <v>120</v>
      </c>
      <c r="CY37">
        <f t="shared" si="63"/>
        <v>0</v>
      </c>
      <c r="CZ37">
        <f t="shared" si="64"/>
        <v>0</v>
      </c>
      <c r="DA37">
        <f t="shared" si="65"/>
        <v>0</v>
      </c>
      <c r="DB37">
        <f t="shared" si="66"/>
        <v>0</v>
      </c>
      <c r="DC37" t="str">
        <f t="shared" si="67"/>
        <v/>
      </c>
      <c r="DD37">
        <f t="shared" si="68"/>
        <v>0</v>
      </c>
      <c r="DE37">
        <f t="shared" si="69"/>
        <v>0</v>
      </c>
      <c r="DF37">
        <f t="shared" si="70"/>
        <v>12.15</v>
      </c>
      <c r="DG37">
        <f t="shared" si="71"/>
        <v>0</v>
      </c>
      <c r="DH37">
        <f t="shared" si="72"/>
        <v>0</v>
      </c>
      <c r="DI37">
        <f t="shared" si="26"/>
        <v>0</v>
      </c>
      <c r="DJ37"/>
      <c r="DK37"/>
      <c r="DL37">
        <f t="shared" si="73"/>
        <v>0</v>
      </c>
      <c r="DM37">
        <f t="shared" si="74"/>
        <v>0</v>
      </c>
      <c r="DN37">
        <f t="shared" si="75"/>
        <v>0</v>
      </c>
      <c r="DO37" t="e">
        <f t="shared" si="76"/>
        <v>#N/A</v>
      </c>
      <c r="DP37">
        <f t="shared" si="77"/>
        <v>0</v>
      </c>
      <c r="DQ37" t="e">
        <f t="shared" si="78"/>
        <v>#N/A</v>
      </c>
      <c r="DR37" t="e">
        <f t="shared" si="79"/>
        <v>#N/A</v>
      </c>
      <c r="DS37">
        <f t="shared" si="80"/>
        <v>0</v>
      </c>
      <c r="DT37">
        <f t="shared" si="81"/>
        <v>0</v>
      </c>
      <c r="DU37">
        <f t="shared" si="82"/>
        <v>0</v>
      </c>
      <c r="DV37">
        <f t="shared" si="27"/>
        <v>0</v>
      </c>
      <c r="DW37">
        <f t="shared" si="83"/>
        <v>0</v>
      </c>
      <c r="DX37">
        <f t="shared" si="84"/>
        <v>0</v>
      </c>
      <c r="DY37">
        <f t="shared" si="85"/>
        <v>0</v>
      </c>
      <c r="DZ37">
        <f t="shared" si="86"/>
        <v>0</v>
      </c>
      <c r="EA37">
        <f t="shared" si="87"/>
        <v>0</v>
      </c>
      <c r="EB37">
        <f t="shared" si="88"/>
        <v>0</v>
      </c>
      <c r="EC37">
        <f t="shared" si="89"/>
        <v>0</v>
      </c>
      <c r="ED37">
        <f t="shared" si="90"/>
        <v>0</v>
      </c>
      <c r="EE37">
        <f t="shared" si="91"/>
        <v>0</v>
      </c>
      <c r="EF37">
        <f t="shared" si="92"/>
        <v>0</v>
      </c>
      <c r="EG37">
        <f t="shared" si="93"/>
        <v>0</v>
      </c>
      <c r="EH37">
        <f t="shared" si="28"/>
        <v>0</v>
      </c>
      <c r="EI37">
        <f t="shared" si="94"/>
        <v>-70</v>
      </c>
      <c r="EJ37">
        <f t="shared" si="95"/>
        <v>0</v>
      </c>
      <c r="EK37">
        <f t="shared" si="96"/>
        <v>0</v>
      </c>
      <c r="EL37">
        <f t="shared" si="97"/>
        <v>0</v>
      </c>
      <c r="EM37" t="e">
        <f t="shared" si="98"/>
        <v>#DIV/0!</v>
      </c>
      <c r="EN37">
        <f t="shared" si="99"/>
        <v>0</v>
      </c>
      <c r="EO37" t="str">
        <f t="shared" si="100"/>
        <v>üh</v>
      </c>
      <c r="EP37">
        <f t="shared" si="101"/>
        <v>0</v>
      </c>
      <c r="EQ37">
        <f t="shared" si="102"/>
        <v>0</v>
      </c>
      <c r="ER37">
        <f t="shared" si="103"/>
        <v>0</v>
      </c>
      <c r="ES37">
        <f t="shared" si="104"/>
        <v>0</v>
      </c>
      <c r="ET37">
        <f t="shared" si="105"/>
        <v>0</v>
      </c>
      <c r="EU37">
        <f t="shared" si="106"/>
        <v>0</v>
      </c>
      <c r="EV37">
        <f t="shared" si="107"/>
        <v>0</v>
      </c>
      <c r="EW37">
        <f t="shared" si="108"/>
        <v>0</v>
      </c>
      <c r="EX37">
        <f t="shared" si="109"/>
        <v>0</v>
      </c>
      <c r="EY37">
        <f t="shared" si="110"/>
        <v>0</v>
      </c>
      <c r="EZ37">
        <f t="shared" si="111"/>
        <v>0</v>
      </c>
      <c r="FA37">
        <f t="shared" si="112"/>
        <v>0</v>
      </c>
      <c r="FB37" t="str">
        <f t="shared" si="113"/>
        <v/>
      </c>
      <c r="FC37" t="str">
        <f t="shared" si="114"/>
        <v/>
      </c>
      <c r="FD37" t="str">
        <f>IF(AS37+E37=0,"",IF(SUM(L37:M37)=2,IF(SUM(N37+O37+BC37+BD37)=2,"",Sprache!$B$107),Sprache!$B$107))</f>
        <v/>
      </c>
      <c r="FE37" t="str">
        <f t="shared" si="115"/>
        <v/>
      </c>
      <c r="FF37" t="str">
        <f t="shared" si="116"/>
        <v/>
      </c>
      <c r="FG37" t="str">
        <f t="shared" si="117"/>
        <v/>
      </c>
      <c r="FH37" t="str">
        <f t="shared" ca="1" si="118"/>
        <v/>
      </c>
      <c r="FI37" t="str">
        <f t="shared" si="119"/>
        <v/>
      </c>
      <c r="FJ37" t="str">
        <f t="shared" si="120"/>
        <v/>
      </c>
      <c r="FK37" t="str">
        <f t="shared" si="121"/>
        <v/>
      </c>
      <c r="FL37" t="str">
        <f t="shared" si="122"/>
        <v/>
      </c>
      <c r="FM37" t="str">
        <f t="shared" si="123"/>
        <v/>
      </c>
      <c r="FN37" t="str">
        <f t="shared" si="124"/>
        <v/>
      </c>
      <c r="FO37" t="str">
        <f t="shared" si="125"/>
        <v/>
      </c>
      <c r="FP37" t="str">
        <f t="shared" si="126"/>
        <v/>
      </c>
      <c r="FQ37" t="str">
        <f>IF(AO37="","",IF(DK197=0,Sprache!$B$65&amp;" ?",IF(CH197="?",$FQ$4,"")))</f>
        <v/>
      </c>
      <c r="FR37" t="str">
        <f t="shared" si="127"/>
        <v/>
      </c>
      <c r="FS37" t="str">
        <f t="shared" si="128"/>
        <v/>
      </c>
      <c r="FT37" t="str">
        <f t="shared" si="129"/>
        <v/>
      </c>
      <c r="FU37"/>
      <c r="FV37" t="str">
        <f ca="1">IF(TODAY()=$A$3,"",IF(TODAY()&gt;DATE(2018,7,1),CONCATENATE(Sprache!$B$89),""))</f>
        <v>outdated version</v>
      </c>
      <c r="FW37" t="str">
        <f t="shared" ca="1" si="130"/>
        <v>outdated version</v>
      </c>
      <c r="FX37" t="str">
        <f t="shared" ca="1" si="131"/>
        <v>outdated version</v>
      </c>
      <c r="FY37" t="str">
        <f t="shared" ca="1" si="132"/>
        <v/>
      </c>
      <c r="FZ37"/>
      <c r="GA37" s="407">
        <f t="shared" si="133"/>
        <v>0</v>
      </c>
      <c r="GB37" s="405"/>
      <c r="GC37" s="405"/>
      <c r="GD37" s="406"/>
      <c r="GE37" s="407">
        <f t="shared" si="134"/>
        <v>0</v>
      </c>
      <c r="GF37" s="405"/>
      <c r="GG37" s="404"/>
      <c r="GH37" s="406"/>
    </row>
    <row r="38" spans="1:256" s="243" customFormat="1" ht="14.25" customHeight="1" x14ac:dyDescent="0.2">
      <c r="A38" s="220"/>
      <c r="B38" s="221"/>
      <c r="C38" s="222"/>
      <c r="D38" s="223">
        <f t="shared" si="20"/>
        <v>0</v>
      </c>
      <c r="E38" s="223">
        <f t="shared" si="21"/>
        <v>0</v>
      </c>
      <c r="F38" s="224"/>
      <c r="G38" s="225"/>
      <c r="H38" s="225"/>
      <c r="I38" s="272"/>
      <c r="J38" s="264"/>
      <c r="K38" s="226"/>
      <c r="L38" s="227">
        <v>1</v>
      </c>
      <c r="M38" s="228">
        <f t="shared" si="150"/>
        <v>1</v>
      </c>
      <c r="N38" s="229">
        <f t="shared" si="151"/>
        <v>2</v>
      </c>
      <c r="O38" s="230"/>
      <c r="P38" s="231"/>
      <c r="Q38" s="232"/>
      <c r="R38" s="233">
        <f t="shared" si="152"/>
        <v>0</v>
      </c>
      <c r="S38" s="233">
        <f t="shared" si="153"/>
        <v>0</v>
      </c>
      <c r="T38" s="245">
        <f t="shared" si="154"/>
        <v>0</v>
      </c>
      <c r="U38" s="234"/>
      <c r="V38" s="270"/>
      <c r="W38" s="267"/>
      <c r="X38" s="235">
        <f t="shared" si="155"/>
        <v>0</v>
      </c>
      <c r="Y38" s="236" t="str">
        <f t="shared" si="156"/>
        <v/>
      </c>
      <c r="Z38" s="237">
        <f t="shared" si="157"/>
        <v>0</v>
      </c>
      <c r="AA38" s="238">
        <f t="shared" si="158"/>
        <v>0</v>
      </c>
      <c r="AB38" s="239" t="str">
        <f t="shared" si="159"/>
        <v/>
      </c>
      <c r="AC38" s="240" t="str">
        <f t="shared" ca="1" si="160"/>
        <v/>
      </c>
      <c r="AD38" s="394" t="str">
        <f t="shared" ca="1" si="161"/>
        <v/>
      </c>
      <c r="AE38" s="241" t="str">
        <f>IF(AO38="","",IFERROR(IF(ELEMENT!$CH$78=ELEMENT!$CM$63,(AC38/AA38/10.75),(AC38/AA38)),""))</f>
        <v/>
      </c>
      <c r="AF38" s="241" t="str">
        <f t="shared" si="162"/>
        <v/>
      </c>
      <c r="AG38" s="238" t="str">
        <f t="shared" si="163"/>
        <v/>
      </c>
      <c r="AH38" s="242" t="str">
        <f t="shared" si="164"/>
        <v/>
      </c>
      <c r="AI38" s="192"/>
      <c r="AJ38" s="274"/>
      <c r="AK38"/>
      <c r="AL38"/>
      <c r="AM38">
        <f t="shared" si="135"/>
        <v>0</v>
      </c>
      <c r="AN38" t="str">
        <f t="shared" si="136"/>
        <v/>
      </c>
      <c r="AO38" t="str">
        <f t="shared" si="137"/>
        <v/>
      </c>
      <c r="AP38" t="str">
        <f t="shared" si="138"/>
        <v/>
      </c>
      <c r="AQ38">
        <f t="shared" si="22"/>
        <v>0</v>
      </c>
      <c r="AR38">
        <f t="shared" si="139"/>
        <v>2</v>
      </c>
      <c r="AS38">
        <f t="shared" si="29"/>
        <v>0</v>
      </c>
      <c r="AT38">
        <f t="shared" si="23"/>
        <v>0</v>
      </c>
      <c r="AU38">
        <f t="shared" si="140"/>
        <v>0</v>
      </c>
      <c r="AV38">
        <f t="shared" si="141"/>
        <v>0</v>
      </c>
      <c r="AW38">
        <f t="shared" si="142"/>
        <v>0</v>
      </c>
      <c r="AX38" t="str">
        <f t="shared" si="24"/>
        <v/>
      </c>
      <c r="AY38">
        <f t="shared" si="143"/>
        <v>0</v>
      </c>
      <c r="AZ38">
        <f t="shared" si="144"/>
        <v>0</v>
      </c>
      <c r="BA38">
        <f t="shared" si="145"/>
        <v>0</v>
      </c>
      <c r="BB38">
        <f t="shared" si="146"/>
        <v>0</v>
      </c>
      <c r="BC38">
        <f t="shared" si="147"/>
        <v>0</v>
      </c>
      <c r="BD38">
        <f t="shared" si="148"/>
        <v>0</v>
      </c>
      <c r="BE38">
        <f t="shared" si="149"/>
        <v>0</v>
      </c>
      <c r="BF38">
        <f t="shared" si="167"/>
        <v>0</v>
      </c>
      <c r="BG38">
        <f>IF($AH$4=$CK$75,'S2'!T38,
IF($AH$4=$CL$75,'S3'!T38,
IF($AH$4=$CJ$75,'S1'!T38,
IF($AH$4=$CM$75,S3M!T38,))))</f>
        <v>10</v>
      </c>
      <c r="BH38">
        <f>IF($AH$4=$CK$75,'S2'!U38,
IF($AH$4=$CL$75,'S3'!U38,
IF($AH$4=$CJ$75,'S1'!U38,
IF($AH$4=$CM$75,S3M!U38,))))</f>
        <v>30</v>
      </c>
      <c r="BI38">
        <f>IF($AH$4=$CK$75,'S2'!V38,
IF($AH$4=$CL$75,'S3'!V38,
IF($AH$4=$CJ$75,'S1'!V38,
IF($AH$4=$CM$75,S3M!V38,))))</f>
        <v>60</v>
      </c>
      <c r="BJ38">
        <f>IF($AH$4=$CK$75,'S2'!W38,
IF($AH$4=$CL$75,'S3'!W38,
IF($AH$4=$CJ$75,'S1'!W38,
IF($AH$4=$CM$75,S3M!W38,))))</f>
        <v>0</v>
      </c>
      <c r="BK38">
        <f>IF($AH$4=$CK$75,'S2'!X38,
IF($AH$4=$CL$75,'S3'!X38,
IF($AH$4=$CJ$75,'S1'!X38,
IF($AH$4=$CM$75,S3M!X38,))))</f>
        <v>0</v>
      </c>
      <c r="BL38">
        <f>IF($AH$4=$CK$75,'S2'!Y38,
IF($AH$4=$CL$75,'S3'!Y38,
IF($AH$4=$CJ$75,'S1'!Y38,
IF($AH$4=$CM$75,S3M!Y38,))))</f>
        <v>0</v>
      </c>
      <c r="BM38">
        <f>IF($AH$4=$CK$75,'S2'!Z38,
IF($AH$4=$CL$75,'S3'!Z38,
IF($AH$4=$CJ$75,'S1'!Z38,
IF($AH$4=$CM$75,S3M!Z38,))))</f>
        <v>0</v>
      </c>
      <c r="BN38">
        <f>IF($AH$4=$CK$75,'S2'!AA38,
IF($AH$4=$CL$75,'S3'!AA38,
IF($AH$4=$CJ$75,'S1'!AA38,
IF($AH$4=$CM$75,S3M!AA38,))))</f>
        <v>0</v>
      </c>
      <c r="BO38">
        <f>IF($AH$4=$CK$75,'S2'!AB38,
IF($AH$4=$CL$75,'S3'!AB38,
IF($AH$4=$CJ$75,'S1'!AB38,
IF($AH$4=$CM$75,S3M!AB38,))))</f>
        <v>0</v>
      </c>
      <c r="BP38">
        <f>IF($AH$4=$CK$75,'S2'!AC38,
IF($AH$4=$CL$75,'S3'!AC38,
IF($AH$4=$CJ$75,'S1'!AC38,
IF($AH$4=$CM$75,S3M!AC38,))))</f>
        <v>0</v>
      </c>
      <c r="BQ38">
        <f t="shared" si="30"/>
        <v>58</v>
      </c>
      <c r="BR38">
        <f t="shared" si="31"/>
        <v>32</v>
      </c>
      <c r="BS38">
        <f t="shared" si="32"/>
        <v>0</v>
      </c>
      <c r="BT38">
        <f t="shared" si="33"/>
        <v>0</v>
      </c>
      <c r="BU38">
        <f t="shared" si="34"/>
        <v>0</v>
      </c>
      <c r="BV38">
        <f t="shared" si="35"/>
        <v>0</v>
      </c>
      <c r="BW38">
        <f t="shared" si="36"/>
        <v>90</v>
      </c>
      <c r="BX38">
        <f t="shared" si="37"/>
        <v>0</v>
      </c>
      <c r="BY38">
        <f t="shared" si="38"/>
        <v>0</v>
      </c>
      <c r="BZ38">
        <f t="shared" si="39"/>
        <v>0</v>
      </c>
      <c r="CA38">
        <f t="shared" si="40"/>
        <v>0</v>
      </c>
      <c r="CB38">
        <f t="shared" si="41"/>
        <v>0</v>
      </c>
      <c r="CC38">
        <f t="shared" si="42"/>
        <v>0</v>
      </c>
      <c r="CD38">
        <f t="shared" si="43"/>
        <v>80</v>
      </c>
      <c r="CE38">
        <f t="shared" si="44"/>
        <v>0</v>
      </c>
      <c r="CF38">
        <f t="shared" si="45"/>
        <v>0</v>
      </c>
      <c r="CG38">
        <f t="shared" si="46"/>
        <v>46.2</v>
      </c>
      <c r="CH38">
        <f t="shared" si="47"/>
        <v>17.600000000000001</v>
      </c>
      <c r="CI38">
        <f t="shared" si="48"/>
        <v>0</v>
      </c>
      <c r="CJ38">
        <f t="shared" si="49"/>
        <v>0</v>
      </c>
      <c r="CK38">
        <f t="shared" si="50"/>
        <v>0</v>
      </c>
      <c r="CL38">
        <f t="shared" si="51"/>
        <v>0</v>
      </c>
      <c r="CM38">
        <f t="shared" si="52"/>
        <v>0</v>
      </c>
      <c r="CN38">
        <f t="shared" si="53"/>
        <v>0</v>
      </c>
      <c r="CO38">
        <f t="shared" si="54"/>
        <v>0</v>
      </c>
      <c r="CP38" t="str">
        <f t="shared" si="19"/>
        <v/>
      </c>
      <c r="CQ38">
        <f t="shared" si="55"/>
        <v>0</v>
      </c>
      <c r="CR38" t="str">
        <f t="shared" si="56"/>
        <v/>
      </c>
      <c r="CS38">
        <f t="shared" si="57"/>
        <v>0</v>
      </c>
      <c r="CT38">
        <f t="shared" si="58"/>
        <v>0</v>
      </c>
      <c r="CU38">
        <f t="shared" si="59"/>
        <v>0</v>
      </c>
      <c r="CV38">
        <f t="shared" si="60"/>
        <v>203.7166666666667</v>
      </c>
      <c r="CW38">
        <f t="shared" si="61"/>
        <v>210</v>
      </c>
      <c r="CX38">
        <f t="shared" si="62"/>
        <v>120</v>
      </c>
      <c r="CY38">
        <f t="shared" si="63"/>
        <v>0</v>
      </c>
      <c r="CZ38">
        <f t="shared" si="64"/>
        <v>0</v>
      </c>
      <c r="DA38">
        <f t="shared" si="65"/>
        <v>0</v>
      </c>
      <c r="DB38">
        <f t="shared" si="66"/>
        <v>0</v>
      </c>
      <c r="DC38" t="str">
        <f t="shared" si="67"/>
        <v/>
      </c>
      <c r="DD38">
        <f t="shared" si="68"/>
        <v>0</v>
      </c>
      <c r="DE38">
        <f t="shared" si="69"/>
        <v>0</v>
      </c>
      <c r="DF38">
        <f t="shared" si="70"/>
        <v>12.15</v>
      </c>
      <c r="DG38">
        <f t="shared" si="71"/>
        <v>0</v>
      </c>
      <c r="DH38">
        <f t="shared" si="72"/>
        <v>0</v>
      </c>
      <c r="DI38">
        <f t="shared" si="26"/>
        <v>0</v>
      </c>
      <c r="DJ38"/>
      <c r="DK38"/>
      <c r="DL38">
        <f t="shared" si="73"/>
        <v>0</v>
      </c>
      <c r="DM38">
        <f t="shared" si="74"/>
        <v>0</v>
      </c>
      <c r="DN38">
        <f t="shared" si="75"/>
        <v>0</v>
      </c>
      <c r="DO38" t="e">
        <f t="shared" si="76"/>
        <v>#N/A</v>
      </c>
      <c r="DP38">
        <f t="shared" si="77"/>
        <v>0</v>
      </c>
      <c r="DQ38" t="e">
        <f t="shared" si="78"/>
        <v>#N/A</v>
      </c>
      <c r="DR38" t="e">
        <f t="shared" si="79"/>
        <v>#N/A</v>
      </c>
      <c r="DS38">
        <f t="shared" si="80"/>
        <v>0</v>
      </c>
      <c r="DT38">
        <f t="shared" si="81"/>
        <v>0</v>
      </c>
      <c r="DU38">
        <f t="shared" si="82"/>
        <v>0</v>
      </c>
      <c r="DV38">
        <f t="shared" si="27"/>
        <v>0</v>
      </c>
      <c r="DW38">
        <f t="shared" si="83"/>
        <v>0</v>
      </c>
      <c r="DX38">
        <f t="shared" si="84"/>
        <v>0</v>
      </c>
      <c r="DY38">
        <f t="shared" si="85"/>
        <v>0</v>
      </c>
      <c r="DZ38">
        <f t="shared" si="86"/>
        <v>0</v>
      </c>
      <c r="EA38">
        <f t="shared" si="87"/>
        <v>0</v>
      </c>
      <c r="EB38">
        <f t="shared" si="88"/>
        <v>0</v>
      </c>
      <c r="EC38">
        <f t="shared" si="89"/>
        <v>0</v>
      </c>
      <c r="ED38">
        <f t="shared" si="90"/>
        <v>0</v>
      </c>
      <c r="EE38">
        <f t="shared" si="91"/>
        <v>0</v>
      </c>
      <c r="EF38">
        <f t="shared" si="92"/>
        <v>0</v>
      </c>
      <c r="EG38">
        <f t="shared" si="93"/>
        <v>0</v>
      </c>
      <c r="EH38">
        <f t="shared" si="28"/>
        <v>0</v>
      </c>
      <c r="EI38">
        <f t="shared" si="94"/>
        <v>-70</v>
      </c>
      <c r="EJ38">
        <f t="shared" si="95"/>
        <v>0</v>
      </c>
      <c r="EK38">
        <f t="shared" si="96"/>
        <v>0</v>
      </c>
      <c r="EL38">
        <f t="shared" si="97"/>
        <v>0</v>
      </c>
      <c r="EM38" t="e">
        <f t="shared" si="98"/>
        <v>#DIV/0!</v>
      </c>
      <c r="EN38">
        <f t="shared" si="99"/>
        <v>0</v>
      </c>
      <c r="EO38" t="str">
        <f t="shared" si="100"/>
        <v>üh</v>
      </c>
      <c r="EP38">
        <f t="shared" si="101"/>
        <v>0</v>
      </c>
      <c r="EQ38">
        <f t="shared" si="102"/>
        <v>0</v>
      </c>
      <c r="ER38">
        <f t="shared" si="103"/>
        <v>0</v>
      </c>
      <c r="ES38">
        <f t="shared" si="104"/>
        <v>0</v>
      </c>
      <c r="ET38">
        <f t="shared" si="105"/>
        <v>0</v>
      </c>
      <c r="EU38">
        <f t="shared" si="106"/>
        <v>0</v>
      </c>
      <c r="EV38">
        <f t="shared" si="107"/>
        <v>0</v>
      </c>
      <c r="EW38">
        <f t="shared" si="108"/>
        <v>0</v>
      </c>
      <c r="EX38">
        <f t="shared" si="109"/>
        <v>0</v>
      </c>
      <c r="EY38">
        <f t="shared" si="110"/>
        <v>0</v>
      </c>
      <c r="EZ38">
        <f t="shared" si="111"/>
        <v>0</v>
      </c>
      <c r="FA38">
        <f t="shared" si="112"/>
        <v>0</v>
      </c>
      <c r="FB38" t="str">
        <f t="shared" si="113"/>
        <v/>
      </c>
      <c r="FC38" t="str">
        <f t="shared" si="114"/>
        <v/>
      </c>
      <c r="FD38" t="str">
        <f>IF(AS38+E38=0,"",IF(SUM(L38:M38)=2,IF(SUM(N38+O38+BC38+BD38)=2,"",Sprache!$B$107),Sprache!$B$107))</f>
        <v/>
      </c>
      <c r="FE38" t="str">
        <f t="shared" si="115"/>
        <v/>
      </c>
      <c r="FF38" t="str">
        <f t="shared" si="116"/>
        <v/>
      </c>
      <c r="FG38" t="str">
        <f t="shared" si="117"/>
        <v/>
      </c>
      <c r="FH38" t="str">
        <f t="shared" ca="1" si="118"/>
        <v/>
      </c>
      <c r="FI38" t="str">
        <f t="shared" si="119"/>
        <v/>
      </c>
      <c r="FJ38" t="str">
        <f t="shared" si="120"/>
        <v/>
      </c>
      <c r="FK38" t="str">
        <f t="shared" si="121"/>
        <v/>
      </c>
      <c r="FL38" t="str">
        <f t="shared" si="122"/>
        <v/>
      </c>
      <c r="FM38" t="str">
        <f t="shared" si="123"/>
        <v/>
      </c>
      <c r="FN38" t="str">
        <f t="shared" si="124"/>
        <v/>
      </c>
      <c r="FO38" t="str">
        <f t="shared" si="125"/>
        <v/>
      </c>
      <c r="FP38" t="str">
        <f t="shared" si="126"/>
        <v/>
      </c>
      <c r="FQ38" t="str">
        <f>IF(AO38="","",IF(DK198=0,Sprache!$B$65&amp;" ?",IF(CH198="?",$FQ$4,"")))</f>
        <v/>
      </c>
      <c r="FR38" t="str">
        <f t="shared" si="127"/>
        <v/>
      </c>
      <c r="FS38" t="str">
        <f t="shared" si="128"/>
        <v/>
      </c>
      <c r="FT38" t="str">
        <f t="shared" si="129"/>
        <v/>
      </c>
      <c r="FU38"/>
      <c r="FV38" t="str">
        <f ca="1">IF(TODAY()=$A$3,"",IF(TODAY()&gt;DATE(2018,7,1),CONCATENATE(Sprache!$B$89),""))</f>
        <v>outdated version</v>
      </c>
      <c r="FW38" t="str">
        <f t="shared" ca="1" si="130"/>
        <v>outdated version</v>
      </c>
      <c r="FX38" t="str">
        <f t="shared" ca="1" si="131"/>
        <v>outdated version</v>
      </c>
      <c r="FY38" t="str">
        <f t="shared" ca="1" si="132"/>
        <v/>
      </c>
      <c r="FZ38"/>
      <c r="GA38" s="407">
        <f t="shared" si="133"/>
        <v>0</v>
      </c>
      <c r="GB38" s="405"/>
      <c r="GC38" s="405"/>
      <c r="GD38" s="406"/>
      <c r="GE38" s="407">
        <f t="shared" si="134"/>
        <v>0</v>
      </c>
      <c r="GF38" s="405"/>
      <c r="GG38" s="404"/>
      <c r="GH38" s="406"/>
    </row>
    <row r="39" spans="1:256" s="243" customFormat="1" ht="14.25" customHeight="1" x14ac:dyDescent="0.2">
      <c r="A39" s="220"/>
      <c r="B39" s="221"/>
      <c r="C39" s="222"/>
      <c r="D39" s="223">
        <f t="shared" si="20"/>
        <v>0</v>
      </c>
      <c r="E39" s="223">
        <f t="shared" si="21"/>
        <v>0</v>
      </c>
      <c r="F39" s="224"/>
      <c r="G39" s="225"/>
      <c r="H39" s="225"/>
      <c r="I39" s="272"/>
      <c r="J39" s="264"/>
      <c r="K39" s="226"/>
      <c r="L39" s="227">
        <v>1</v>
      </c>
      <c r="M39" s="228">
        <f t="shared" si="150"/>
        <v>1</v>
      </c>
      <c r="N39" s="229">
        <f t="shared" si="151"/>
        <v>2</v>
      </c>
      <c r="O39" s="230"/>
      <c r="P39" s="231"/>
      <c r="Q39" s="232"/>
      <c r="R39" s="233">
        <f t="shared" si="152"/>
        <v>0</v>
      </c>
      <c r="S39" s="233">
        <f t="shared" si="153"/>
        <v>0</v>
      </c>
      <c r="T39" s="245">
        <f t="shared" si="154"/>
        <v>0</v>
      </c>
      <c r="U39" s="234"/>
      <c r="V39" s="270"/>
      <c r="W39" s="267"/>
      <c r="X39" s="235">
        <f t="shared" si="155"/>
        <v>0</v>
      </c>
      <c r="Y39" s="236" t="str">
        <f t="shared" si="156"/>
        <v/>
      </c>
      <c r="Z39" s="237">
        <f t="shared" si="157"/>
        <v>0</v>
      </c>
      <c r="AA39" s="238">
        <f t="shared" si="158"/>
        <v>0</v>
      </c>
      <c r="AB39" s="239" t="str">
        <f t="shared" si="159"/>
        <v/>
      </c>
      <c r="AC39" s="240" t="str">
        <f t="shared" ca="1" si="160"/>
        <v/>
      </c>
      <c r="AD39" s="394" t="str">
        <f t="shared" ca="1" si="161"/>
        <v/>
      </c>
      <c r="AE39" s="241" t="str">
        <f>IF(AO39="","",IFERROR(IF(ELEMENT!$CH$78=ELEMENT!$CM$63,(AC39/AA39/10.75),(AC39/AA39)),""))</f>
        <v/>
      </c>
      <c r="AF39" s="241" t="str">
        <f t="shared" si="162"/>
        <v/>
      </c>
      <c r="AG39" s="238" t="str">
        <f t="shared" si="163"/>
        <v/>
      </c>
      <c r="AH39" s="242" t="str">
        <f t="shared" si="164"/>
        <v/>
      </c>
      <c r="AI39" s="192"/>
      <c r="AJ39" s="274"/>
      <c r="AK39"/>
      <c r="AL39"/>
      <c r="AM39">
        <f t="shared" si="135"/>
        <v>0</v>
      </c>
      <c r="AN39" t="str">
        <f t="shared" si="136"/>
        <v/>
      </c>
      <c r="AO39" t="str">
        <f t="shared" si="137"/>
        <v/>
      </c>
      <c r="AP39" t="str">
        <f t="shared" si="138"/>
        <v/>
      </c>
      <c r="AQ39">
        <f t="shared" si="22"/>
        <v>0</v>
      </c>
      <c r="AR39">
        <f t="shared" si="139"/>
        <v>2</v>
      </c>
      <c r="AS39">
        <f t="shared" si="29"/>
        <v>0</v>
      </c>
      <c r="AT39">
        <f t="shared" si="23"/>
        <v>0</v>
      </c>
      <c r="AU39">
        <f t="shared" si="140"/>
        <v>0</v>
      </c>
      <c r="AV39">
        <f t="shared" si="141"/>
        <v>0</v>
      </c>
      <c r="AW39">
        <f t="shared" si="142"/>
        <v>0</v>
      </c>
      <c r="AX39" t="str">
        <f t="shared" si="24"/>
        <v/>
      </c>
      <c r="AY39">
        <f t="shared" si="143"/>
        <v>0</v>
      </c>
      <c r="AZ39">
        <f t="shared" si="144"/>
        <v>0</v>
      </c>
      <c r="BA39">
        <f t="shared" si="145"/>
        <v>0</v>
      </c>
      <c r="BB39">
        <f t="shared" si="146"/>
        <v>0</v>
      </c>
      <c r="BC39">
        <f t="shared" si="147"/>
        <v>0</v>
      </c>
      <c r="BD39">
        <f t="shared" si="148"/>
        <v>0</v>
      </c>
      <c r="BE39">
        <f t="shared" si="149"/>
        <v>0</v>
      </c>
      <c r="BF39">
        <f t="shared" si="167"/>
        <v>0</v>
      </c>
      <c r="BG39">
        <f>IF($AH$4=$CK$75,'S2'!T39,
IF($AH$4=$CL$75,'S3'!T39,
IF($AH$4=$CJ$75,'S1'!T39,
IF($AH$4=$CM$75,S3M!T39,))))</f>
        <v>40</v>
      </c>
      <c r="BH39">
        <f>IF($AH$4=$CK$75,'S2'!U39,
IF($AH$4=$CL$75,'S3'!U39,
IF($AH$4=$CJ$75,'S1'!U39,
IF($AH$4=$CM$75,S3M!U39,))))</f>
        <v>70</v>
      </c>
      <c r="BI39">
        <f>IF($AH$4=$CK$75,'S2'!V39,
IF($AH$4=$CL$75,'S3'!V39,
IF($AH$4=$CJ$75,'S1'!V39,
IF($AH$4=$CM$75,S3M!V39,))))</f>
        <v>120</v>
      </c>
      <c r="BJ39">
        <f>IF($AH$4=$CK$75,'S2'!W39,
IF($AH$4=$CL$75,'S3'!W39,
IF($AH$4=$CJ$75,'S1'!W39,
IF($AH$4=$CM$75,S3M!W39,))))</f>
        <v>35.200000000000003</v>
      </c>
      <c r="BK39">
        <f>IF($AH$4=$CK$75,'S2'!X39,
IF($AH$4=$CL$75,'S3'!X39,
IF($AH$4=$CJ$75,'S1'!X39,
IF($AH$4=$CM$75,S3M!X39,))))</f>
        <v>17.600000000000001</v>
      </c>
      <c r="BL39">
        <f>IF($AH$4=$CK$75,'S2'!Y39,
IF($AH$4=$CL$75,'S3'!Y39,
IF($AH$4=$CJ$75,'S1'!Y39,
IF($AH$4=$CM$75,S3M!Y39,))))</f>
        <v>23</v>
      </c>
      <c r="BM39">
        <f>IF($AH$4=$CK$75,'S2'!Z39,
IF($AH$4=$CL$75,'S3'!Z39,
IF($AH$4=$CJ$75,'S1'!Z39,
IF($AH$4=$CM$75,S3M!Z39,))))</f>
        <v>46</v>
      </c>
      <c r="BN39">
        <f>IF($AH$4=$CK$75,'S2'!AA39,
IF($AH$4=$CL$75,'S3'!AA39,
IF($AH$4=$CJ$75,'S1'!AA39,
IF($AH$4=$CM$75,S3M!AA39,))))</f>
        <v>0</v>
      </c>
      <c r="BO39">
        <f>IF($AH$4=$CK$75,'S2'!AB39,
IF($AH$4=$CL$75,'S3'!AB39,
IF($AH$4=$CJ$75,'S1'!AB39,
IF($AH$4=$CM$75,S3M!AB39,))))</f>
        <v>0.86</v>
      </c>
      <c r="BP39">
        <f>IF($AH$4=$CK$75,'S2'!AC39,
IF($AH$4=$CL$75,'S3'!AC39,
IF($AH$4=$CJ$75,'S1'!AC39,
IF($AH$4=$CM$75,S3M!AC39,))))</f>
        <v>0</v>
      </c>
      <c r="BQ39">
        <f t="shared" si="30"/>
        <v>58</v>
      </c>
      <c r="BR39">
        <f t="shared" si="31"/>
        <v>32</v>
      </c>
      <c r="BS39">
        <f t="shared" si="32"/>
        <v>0</v>
      </c>
      <c r="BT39">
        <f t="shared" si="33"/>
        <v>0</v>
      </c>
      <c r="BU39">
        <f t="shared" si="34"/>
        <v>0</v>
      </c>
      <c r="BV39">
        <f t="shared" si="35"/>
        <v>0</v>
      </c>
      <c r="BW39">
        <f t="shared" si="36"/>
        <v>90</v>
      </c>
      <c r="BX39">
        <f t="shared" si="37"/>
        <v>0</v>
      </c>
      <c r="BY39">
        <f t="shared" si="38"/>
        <v>0</v>
      </c>
      <c r="BZ39">
        <f t="shared" si="39"/>
        <v>0</v>
      </c>
      <c r="CA39">
        <f t="shared" si="40"/>
        <v>0</v>
      </c>
      <c r="CB39">
        <f t="shared" si="41"/>
        <v>0</v>
      </c>
      <c r="CC39">
        <f t="shared" si="42"/>
        <v>0</v>
      </c>
      <c r="CD39">
        <f t="shared" si="43"/>
        <v>80</v>
      </c>
      <c r="CE39">
        <f t="shared" si="44"/>
        <v>0</v>
      </c>
      <c r="CF39">
        <f t="shared" si="45"/>
        <v>0</v>
      </c>
      <c r="CG39">
        <f t="shared" si="46"/>
        <v>46.2</v>
      </c>
      <c r="CH39">
        <f t="shared" si="47"/>
        <v>17.600000000000001</v>
      </c>
      <c r="CI39">
        <f t="shared" si="48"/>
        <v>0</v>
      </c>
      <c r="CJ39">
        <f t="shared" si="49"/>
        <v>0</v>
      </c>
      <c r="CK39">
        <f t="shared" si="50"/>
        <v>0</v>
      </c>
      <c r="CL39">
        <f t="shared" si="51"/>
        <v>0</v>
      </c>
      <c r="CM39">
        <f t="shared" si="52"/>
        <v>0</v>
      </c>
      <c r="CN39">
        <f t="shared" si="53"/>
        <v>0</v>
      </c>
      <c r="CO39">
        <f t="shared" si="54"/>
        <v>0</v>
      </c>
      <c r="CP39" t="str">
        <f t="shared" si="19"/>
        <v/>
      </c>
      <c r="CQ39">
        <f t="shared" si="55"/>
        <v>0</v>
      </c>
      <c r="CR39" t="str">
        <f t="shared" si="56"/>
        <v/>
      </c>
      <c r="CS39">
        <f t="shared" si="57"/>
        <v>0</v>
      </c>
      <c r="CT39">
        <f t="shared" si="58"/>
        <v>0</v>
      </c>
      <c r="CU39">
        <f t="shared" si="59"/>
        <v>0</v>
      </c>
      <c r="CV39">
        <f t="shared" si="60"/>
        <v>203.7166666666667</v>
      </c>
      <c r="CW39">
        <f t="shared" si="61"/>
        <v>210</v>
      </c>
      <c r="CX39">
        <f t="shared" si="62"/>
        <v>120</v>
      </c>
      <c r="CY39">
        <f t="shared" si="63"/>
        <v>0</v>
      </c>
      <c r="CZ39">
        <f t="shared" si="64"/>
        <v>0</v>
      </c>
      <c r="DA39">
        <f t="shared" si="65"/>
        <v>0</v>
      </c>
      <c r="DB39">
        <f t="shared" si="66"/>
        <v>0</v>
      </c>
      <c r="DC39" t="str">
        <f t="shared" si="67"/>
        <v/>
      </c>
      <c r="DD39">
        <f t="shared" si="68"/>
        <v>0</v>
      </c>
      <c r="DE39">
        <f t="shared" si="69"/>
        <v>0</v>
      </c>
      <c r="DF39">
        <f t="shared" si="70"/>
        <v>12.15</v>
      </c>
      <c r="DG39">
        <f t="shared" si="71"/>
        <v>0</v>
      </c>
      <c r="DH39">
        <f t="shared" si="72"/>
        <v>0</v>
      </c>
      <c r="DI39">
        <f t="shared" si="26"/>
        <v>0</v>
      </c>
      <c r="DJ39"/>
      <c r="DK39"/>
      <c r="DL39">
        <f t="shared" si="73"/>
        <v>0</v>
      </c>
      <c r="DM39">
        <f t="shared" si="74"/>
        <v>0</v>
      </c>
      <c r="DN39">
        <f t="shared" si="75"/>
        <v>0</v>
      </c>
      <c r="DO39" t="e">
        <f t="shared" si="76"/>
        <v>#N/A</v>
      </c>
      <c r="DP39">
        <f t="shared" si="77"/>
        <v>0</v>
      </c>
      <c r="DQ39" t="e">
        <f t="shared" si="78"/>
        <v>#N/A</v>
      </c>
      <c r="DR39" t="e">
        <f t="shared" si="79"/>
        <v>#N/A</v>
      </c>
      <c r="DS39">
        <f t="shared" si="80"/>
        <v>0</v>
      </c>
      <c r="DT39">
        <f t="shared" si="81"/>
        <v>0</v>
      </c>
      <c r="DU39">
        <f t="shared" si="82"/>
        <v>0</v>
      </c>
      <c r="DV39">
        <f t="shared" si="27"/>
        <v>0</v>
      </c>
      <c r="DW39">
        <f t="shared" si="83"/>
        <v>0</v>
      </c>
      <c r="DX39">
        <f t="shared" si="84"/>
        <v>0</v>
      </c>
      <c r="DY39">
        <f t="shared" si="85"/>
        <v>0</v>
      </c>
      <c r="DZ39">
        <f t="shared" si="86"/>
        <v>0</v>
      </c>
      <c r="EA39">
        <f t="shared" si="87"/>
        <v>0</v>
      </c>
      <c r="EB39">
        <f t="shared" si="88"/>
        <v>0</v>
      </c>
      <c r="EC39">
        <f t="shared" si="89"/>
        <v>0</v>
      </c>
      <c r="ED39">
        <f t="shared" si="90"/>
        <v>0</v>
      </c>
      <c r="EE39">
        <f t="shared" si="91"/>
        <v>0</v>
      </c>
      <c r="EF39">
        <f t="shared" si="92"/>
        <v>0</v>
      </c>
      <c r="EG39">
        <f t="shared" si="93"/>
        <v>0</v>
      </c>
      <c r="EH39">
        <f t="shared" si="28"/>
        <v>0</v>
      </c>
      <c r="EI39">
        <f t="shared" si="94"/>
        <v>-70</v>
      </c>
      <c r="EJ39">
        <f t="shared" si="95"/>
        <v>0</v>
      </c>
      <c r="EK39">
        <f t="shared" si="96"/>
        <v>0</v>
      </c>
      <c r="EL39">
        <f t="shared" si="97"/>
        <v>0</v>
      </c>
      <c r="EM39" t="e">
        <f t="shared" si="98"/>
        <v>#DIV/0!</v>
      </c>
      <c r="EN39">
        <f t="shared" si="99"/>
        <v>0</v>
      </c>
      <c r="EO39" t="str">
        <f t="shared" si="100"/>
        <v>üh</v>
      </c>
      <c r="EP39">
        <f t="shared" si="101"/>
        <v>0</v>
      </c>
      <c r="EQ39">
        <f t="shared" si="102"/>
        <v>0</v>
      </c>
      <c r="ER39">
        <f t="shared" si="103"/>
        <v>0</v>
      </c>
      <c r="ES39">
        <f t="shared" si="104"/>
        <v>0</v>
      </c>
      <c r="ET39">
        <f t="shared" si="105"/>
        <v>0</v>
      </c>
      <c r="EU39">
        <f t="shared" si="106"/>
        <v>0</v>
      </c>
      <c r="EV39">
        <f t="shared" si="107"/>
        <v>0</v>
      </c>
      <c r="EW39">
        <f t="shared" si="108"/>
        <v>0</v>
      </c>
      <c r="EX39">
        <f t="shared" si="109"/>
        <v>0</v>
      </c>
      <c r="EY39">
        <f t="shared" si="110"/>
        <v>0</v>
      </c>
      <c r="EZ39">
        <f t="shared" si="111"/>
        <v>0</v>
      </c>
      <c r="FA39">
        <f t="shared" si="112"/>
        <v>0</v>
      </c>
      <c r="FB39" t="str">
        <f t="shared" si="113"/>
        <v/>
      </c>
      <c r="FC39" t="str">
        <f t="shared" si="114"/>
        <v/>
      </c>
      <c r="FD39" t="str">
        <f>IF(AS39+E39=0,"",IF(SUM(L39:M39)=2,IF(SUM(N39+O39+BC39+BD39)=2,"",Sprache!$B$107),Sprache!$B$107))</f>
        <v/>
      </c>
      <c r="FE39" t="str">
        <f t="shared" si="115"/>
        <v/>
      </c>
      <c r="FF39" t="str">
        <f t="shared" si="116"/>
        <v/>
      </c>
      <c r="FG39" t="str">
        <f t="shared" si="117"/>
        <v/>
      </c>
      <c r="FH39" t="str">
        <f t="shared" ca="1" si="118"/>
        <v/>
      </c>
      <c r="FI39" t="str">
        <f t="shared" si="119"/>
        <v/>
      </c>
      <c r="FJ39" t="str">
        <f t="shared" si="120"/>
        <v/>
      </c>
      <c r="FK39" t="str">
        <f t="shared" si="121"/>
        <v/>
      </c>
      <c r="FL39" t="str">
        <f t="shared" si="122"/>
        <v/>
      </c>
      <c r="FM39" t="str">
        <f t="shared" si="123"/>
        <v/>
      </c>
      <c r="FN39" t="str">
        <f t="shared" si="124"/>
        <v/>
      </c>
      <c r="FO39" t="str">
        <f t="shared" si="125"/>
        <v/>
      </c>
      <c r="FP39" t="str">
        <f t="shared" si="126"/>
        <v/>
      </c>
      <c r="FQ39" t="str">
        <f>IF(AO39="","",IF(DK199=0,Sprache!$B$65&amp;" ?",IF(CH199="?",$FQ$4,"")))</f>
        <v/>
      </c>
      <c r="FR39" t="str">
        <f t="shared" si="127"/>
        <v/>
      </c>
      <c r="FS39" t="str">
        <f t="shared" si="128"/>
        <v/>
      </c>
      <c r="FT39" t="str">
        <f t="shared" si="129"/>
        <v/>
      </c>
      <c r="FU39"/>
      <c r="FV39" t="str">
        <f ca="1">IF(TODAY()=$A$3,"",IF(TODAY()&gt;DATE(2018,7,1),CONCATENATE(Sprache!$B$89),""))</f>
        <v>outdated version</v>
      </c>
      <c r="FW39" t="str">
        <f t="shared" ca="1" si="130"/>
        <v>outdated version</v>
      </c>
      <c r="FX39" t="str">
        <f t="shared" ca="1" si="131"/>
        <v>outdated version</v>
      </c>
      <c r="FY39" t="str">
        <f t="shared" ca="1" si="132"/>
        <v/>
      </c>
      <c r="FZ39"/>
      <c r="GA39" s="407">
        <f t="shared" si="133"/>
        <v>0</v>
      </c>
      <c r="GB39" s="405"/>
      <c r="GC39" s="405"/>
      <c r="GD39" s="406"/>
      <c r="GE39" s="407">
        <f t="shared" si="134"/>
        <v>0</v>
      </c>
      <c r="GF39" s="405"/>
      <c r="GG39" s="404"/>
      <c r="GH39" s="406"/>
    </row>
    <row r="40" spans="1:256" s="243" customFormat="1" ht="14.25" customHeight="1" x14ac:dyDescent="0.2">
      <c r="A40" s="220"/>
      <c r="B40" s="221"/>
      <c r="C40" s="222"/>
      <c r="D40" s="223">
        <f t="shared" si="20"/>
        <v>0</v>
      </c>
      <c r="E40" s="223">
        <f t="shared" si="21"/>
        <v>0</v>
      </c>
      <c r="F40" s="224"/>
      <c r="G40" s="225"/>
      <c r="H40" s="225"/>
      <c r="I40" s="272"/>
      <c r="J40" s="264"/>
      <c r="K40" s="226"/>
      <c r="L40" s="227">
        <v>1</v>
      </c>
      <c r="M40" s="228">
        <f t="shared" si="150"/>
        <v>1</v>
      </c>
      <c r="N40" s="229">
        <f t="shared" si="151"/>
        <v>2</v>
      </c>
      <c r="O40" s="230"/>
      <c r="P40" s="231"/>
      <c r="Q40" s="232"/>
      <c r="R40" s="233">
        <f t="shared" si="152"/>
        <v>0</v>
      </c>
      <c r="S40" s="233">
        <f t="shared" si="153"/>
        <v>0</v>
      </c>
      <c r="T40" s="245">
        <f t="shared" si="154"/>
        <v>0</v>
      </c>
      <c r="U40" s="234"/>
      <c r="V40" s="270"/>
      <c r="W40" s="267"/>
      <c r="X40" s="235">
        <f t="shared" si="155"/>
        <v>0</v>
      </c>
      <c r="Y40" s="236" t="str">
        <f t="shared" si="156"/>
        <v/>
      </c>
      <c r="Z40" s="237">
        <f t="shared" si="157"/>
        <v>0</v>
      </c>
      <c r="AA40" s="238">
        <f t="shared" si="158"/>
        <v>0</v>
      </c>
      <c r="AB40" s="239" t="str">
        <f t="shared" si="159"/>
        <v/>
      </c>
      <c r="AC40" s="240" t="str">
        <f t="shared" ca="1" si="160"/>
        <v/>
      </c>
      <c r="AD40" s="394" t="str">
        <f t="shared" ca="1" si="161"/>
        <v/>
      </c>
      <c r="AE40" s="241" t="str">
        <f>IF(AO40="","",IFERROR(IF(ELEMENT!$CH$78=ELEMENT!$CM$63,(AC40/AA40/10.75),(AC40/AA40)),""))</f>
        <v/>
      </c>
      <c r="AF40" s="241" t="str">
        <f t="shared" si="162"/>
        <v/>
      </c>
      <c r="AG40" s="238" t="str">
        <f t="shared" si="163"/>
        <v/>
      </c>
      <c r="AH40" s="242" t="str">
        <f t="shared" si="164"/>
        <v/>
      </c>
      <c r="AI40" s="192"/>
      <c r="AJ40" s="274"/>
      <c r="AK40"/>
      <c r="AL40"/>
      <c r="AM40">
        <f t="shared" si="135"/>
        <v>0</v>
      </c>
      <c r="AN40" t="str">
        <f t="shared" si="136"/>
        <v/>
      </c>
      <c r="AO40" t="str">
        <f t="shared" si="137"/>
        <v/>
      </c>
      <c r="AP40" t="str">
        <f t="shared" si="138"/>
        <v/>
      </c>
      <c r="AQ40">
        <f t="shared" si="22"/>
        <v>0</v>
      </c>
      <c r="AR40">
        <f t="shared" si="139"/>
        <v>2</v>
      </c>
      <c r="AS40">
        <f t="shared" si="29"/>
        <v>0</v>
      </c>
      <c r="AT40">
        <f t="shared" si="23"/>
        <v>0</v>
      </c>
      <c r="AU40">
        <f t="shared" si="140"/>
        <v>0</v>
      </c>
      <c r="AV40">
        <f t="shared" si="141"/>
        <v>0</v>
      </c>
      <c r="AW40">
        <f t="shared" si="142"/>
        <v>0</v>
      </c>
      <c r="AX40" t="str">
        <f t="shared" si="24"/>
        <v/>
      </c>
      <c r="AY40">
        <f t="shared" si="143"/>
        <v>0</v>
      </c>
      <c r="AZ40">
        <f t="shared" si="144"/>
        <v>0</v>
      </c>
      <c r="BA40">
        <f t="shared" si="145"/>
        <v>0</v>
      </c>
      <c r="BB40">
        <f t="shared" si="146"/>
        <v>0</v>
      </c>
      <c r="BC40">
        <f t="shared" si="147"/>
        <v>0</v>
      </c>
      <c r="BD40">
        <f t="shared" si="148"/>
        <v>0</v>
      </c>
      <c r="BE40">
        <f t="shared" si="149"/>
        <v>0</v>
      </c>
      <c r="BF40">
        <f t="shared" si="167"/>
        <v>0</v>
      </c>
      <c r="BG40">
        <f>IF($AH$4=$CK$75,'S2'!T40,
IF($AH$4=$CL$75,'S3'!T40,
IF($AH$4=$CJ$75,'S1'!T40,
IF($AH$4=$CM$75,S3M!T40,))))</f>
        <v>10</v>
      </c>
      <c r="BH40">
        <f>IF($AH$4=$CK$75,'S2'!U40,
IF($AH$4=$CL$75,'S3'!U40,
IF($AH$4=$CJ$75,'S1'!U40,
IF($AH$4=$CM$75,S3M!U40,))))</f>
        <v>30</v>
      </c>
      <c r="BI40">
        <f>IF($AH$4=$CK$75,'S2'!V40,
IF($AH$4=$CL$75,'S3'!V40,
IF($AH$4=$CJ$75,'S1'!V40,
IF($AH$4=$CM$75,S3M!V40,))))</f>
        <v>60</v>
      </c>
      <c r="BJ40">
        <f>IF($AH$4=$CK$75,'S2'!W40,
IF($AH$4=$CL$75,'S3'!W40,
IF($AH$4=$CJ$75,'S1'!W40,
IF($AH$4=$CM$75,S3M!W40,))))</f>
        <v>12.353846153846154</v>
      </c>
      <c r="BK40">
        <f>IF($AH$4=$CK$75,'S2'!X40,
IF($AH$4=$CL$75,'S3'!X40,
IF($AH$4=$CJ$75,'S1'!X40,
IF($AH$4=$CM$75,S3M!X40,))))</f>
        <v>22</v>
      </c>
      <c r="BL40">
        <f>IF($AH$4=$CK$75,'S2'!Y40,
IF($AH$4=$CL$75,'S3'!Y40,
IF($AH$4=$CJ$75,'S1'!Y40,
IF($AH$4=$CM$75,S3M!Y40,))))</f>
        <v>26</v>
      </c>
      <c r="BM40">
        <f>IF($AH$4=$CK$75,'S2'!Z40,
IF($AH$4=$CL$75,'S3'!Z40,
IF($AH$4=$CJ$75,'S1'!Z40,
IF($AH$4=$CM$75,S3M!Z40,))))</f>
        <v>125</v>
      </c>
      <c r="BN40">
        <f>IF($AH$4=$CK$75,'S2'!AA40,
IF($AH$4=$CL$75,'S3'!AA40,
IF($AH$4=$CJ$75,'S1'!AA40,
IF($AH$4=$CM$75,S3M!AA40,))))</f>
        <v>1.341</v>
      </c>
      <c r="BO40">
        <f>IF($AH$4=$CK$75,'S2'!AB40,
IF($AH$4=$CL$75,'S3'!AB40,
IF($AH$4=$CJ$75,'S1'!AB40,
IF($AH$4=$CM$75,S3M!AB40,))))</f>
        <v>5.44</v>
      </c>
      <c r="BP40">
        <f>IF($AH$4=$CK$75,'S2'!AC40,
IF($AH$4=$CL$75,'S3'!AC40,
IF($AH$4=$CJ$75,'S1'!AC40,
IF($AH$4=$CM$75,S3M!AC40,))))</f>
        <v>230</v>
      </c>
      <c r="BQ40">
        <f t="shared" si="30"/>
        <v>58</v>
      </c>
      <c r="BR40">
        <f t="shared" si="31"/>
        <v>32</v>
      </c>
      <c r="BS40">
        <f t="shared" si="32"/>
        <v>0</v>
      </c>
      <c r="BT40">
        <f t="shared" si="33"/>
        <v>0</v>
      </c>
      <c r="BU40">
        <f t="shared" si="34"/>
        <v>0</v>
      </c>
      <c r="BV40">
        <f t="shared" si="35"/>
        <v>0</v>
      </c>
      <c r="BW40">
        <f t="shared" si="36"/>
        <v>90</v>
      </c>
      <c r="BX40">
        <f t="shared" si="37"/>
        <v>0</v>
      </c>
      <c r="BY40">
        <f t="shared" si="38"/>
        <v>0</v>
      </c>
      <c r="BZ40">
        <f t="shared" si="39"/>
        <v>0</v>
      </c>
      <c r="CA40">
        <f t="shared" si="40"/>
        <v>0</v>
      </c>
      <c r="CB40">
        <f t="shared" si="41"/>
        <v>0</v>
      </c>
      <c r="CC40">
        <f t="shared" si="42"/>
        <v>0</v>
      </c>
      <c r="CD40">
        <f t="shared" si="43"/>
        <v>80</v>
      </c>
      <c r="CE40">
        <f t="shared" si="44"/>
        <v>0</v>
      </c>
      <c r="CF40">
        <f t="shared" si="45"/>
        <v>0</v>
      </c>
      <c r="CG40">
        <f t="shared" si="46"/>
        <v>46.2</v>
      </c>
      <c r="CH40">
        <f t="shared" si="47"/>
        <v>17.600000000000001</v>
      </c>
      <c r="CI40">
        <f t="shared" si="48"/>
        <v>0</v>
      </c>
      <c r="CJ40">
        <f t="shared" si="49"/>
        <v>0</v>
      </c>
      <c r="CK40">
        <f t="shared" si="50"/>
        <v>0</v>
      </c>
      <c r="CL40">
        <f t="shared" si="51"/>
        <v>0</v>
      </c>
      <c r="CM40">
        <f t="shared" si="52"/>
        <v>0</v>
      </c>
      <c r="CN40">
        <f t="shared" si="53"/>
        <v>0</v>
      </c>
      <c r="CO40">
        <f t="shared" si="54"/>
        <v>0</v>
      </c>
      <c r="CP40" t="str">
        <f t="shared" si="19"/>
        <v/>
      </c>
      <c r="CQ40">
        <f t="shared" si="55"/>
        <v>0</v>
      </c>
      <c r="CR40" t="str">
        <f t="shared" si="56"/>
        <v/>
      </c>
      <c r="CS40">
        <f t="shared" si="57"/>
        <v>0</v>
      </c>
      <c r="CT40">
        <f t="shared" si="58"/>
        <v>0</v>
      </c>
      <c r="CU40">
        <f t="shared" si="59"/>
        <v>0</v>
      </c>
      <c r="CV40">
        <f t="shared" si="60"/>
        <v>203.7166666666667</v>
      </c>
      <c r="CW40">
        <f t="shared" si="61"/>
        <v>210</v>
      </c>
      <c r="CX40">
        <f t="shared" si="62"/>
        <v>120</v>
      </c>
      <c r="CY40">
        <f t="shared" si="63"/>
        <v>0</v>
      </c>
      <c r="CZ40">
        <f t="shared" si="64"/>
        <v>0</v>
      </c>
      <c r="DA40">
        <f t="shared" si="65"/>
        <v>0</v>
      </c>
      <c r="DB40">
        <f t="shared" si="66"/>
        <v>0</v>
      </c>
      <c r="DC40" t="str">
        <f t="shared" si="67"/>
        <v/>
      </c>
      <c r="DD40">
        <f t="shared" si="68"/>
        <v>0</v>
      </c>
      <c r="DE40">
        <f t="shared" si="69"/>
        <v>0</v>
      </c>
      <c r="DF40">
        <f t="shared" si="70"/>
        <v>12.15</v>
      </c>
      <c r="DG40">
        <f t="shared" si="71"/>
        <v>0</v>
      </c>
      <c r="DH40">
        <f t="shared" si="72"/>
        <v>0</v>
      </c>
      <c r="DI40">
        <f t="shared" si="26"/>
        <v>0</v>
      </c>
      <c r="DJ40"/>
      <c r="DK40"/>
      <c r="DL40">
        <f t="shared" si="73"/>
        <v>0</v>
      </c>
      <c r="DM40">
        <f t="shared" si="74"/>
        <v>0</v>
      </c>
      <c r="DN40">
        <f t="shared" si="75"/>
        <v>0</v>
      </c>
      <c r="DO40" t="e">
        <f t="shared" si="76"/>
        <v>#N/A</v>
      </c>
      <c r="DP40">
        <f t="shared" si="77"/>
        <v>0</v>
      </c>
      <c r="DQ40" t="e">
        <f t="shared" si="78"/>
        <v>#N/A</v>
      </c>
      <c r="DR40" t="e">
        <f t="shared" si="79"/>
        <v>#N/A</v>
      </c>
      <c r="DS40">
        <f t="shared" si="80"/>
        <v>0</v>
      </c>
      <c r="DT40">
        <f t="shared" si="81"/>
        <v>0</v>
      </c>
      <c r="DU40">
        <f t="shared" si="82"/>
        <v>0</v>
      </c>
      <c r="DV40">
        <f t="shared" si="27"/>
        <v>0</v>
      </c>
      <c r="DW40">
        <f t="shared" si="83"/>
        <v>0</v>
      </c>
      <c r="DX40">
        <f t="shared" si="84"/>
        <v>0</v>
      </c>
      <c r="DY40">
        <f t="shared" si="85"/>
        <v>0</v>
      </c>
      <c r="DZ40">
        <f t="shared" si="86"/>
        <v>0</v>
      </c>
      <c r="EA40">
        <f t="shared" si="87"/>
        <v>0</v>
      </c>
      <c r="EB40">
        <f t="shared" si="88"/>
        <v>0</v>
      </c>
      <c r="EC40">
        <f t="shared" si="89"/>
        <v>0</v>
      </c>
      <c r="ED40">
        <f t="shared" si="90"/>
        <v>0</v>
      </c>
      <c r="EE40">
        <f t="shared" si="91"/>
        <v>0</v>
      </c>
      <c r="EF40">
        <f t="shared" si="92"/>
        <v>0</v>
      </c>
      <c r="EG40">
        <f t="shared" si="93"/>
        <v>0</v>
      </c>
      <c r="EH40">
        <f t="shared" si="28"/>
        <v>0</v>
      </c>
      <c r="EI40">
        <f t="shared" si="94"/>
        <v>-70</v>
      </c>
      <c r="EJ40">
        <f t="shared" si="95"/>
        <v>0</v>
      </c>
      <c r="EK40">
        <f t="shared" si="96"/>
        <v>0</v>
      </c>
      <c r="EL40">
        <f t="shared" si="97"/>
        <v>0</v>
      </c>
      <c r="EM40" t="e">
        <f t="shared" si="98"/>
        <v>#DIV/0!</v>
      </c>
      <c r="EN40">
        <f t="shared" si="99"/>
        <v>0</v>
      </c>
      <c r="EO40" t="str">
        <f t="shared" si="100"/>
        <v>üh</v>
      </c>
      <c r="EP40">
        <f t="shared" si="101"/>
        <v>0</v>
      </c>
      <c r="EQ40">
        <f t="shared" si="102"/>
        <v>0</v>
      </c>
      <c r="ER40">
        <f t="shared" si="103"/>
        <v>0</v>
      </c>
      <c r="ES40">
        <f t="shared" si="104"/>
        <v>0</v>
      </c>
      <c r="ET40">
        <f t="shared" si="105"/>
        <v>0</v>
      </c>
      <c r="EU40">
        <f t="shared" si="106"/>
        <v>0</v>
      </c>
      <c r="EV40">
        <f t="shared" si="107"/>
        <v>0</v>
      </c>
      <c r="EW40">
        <f t="shared" si="108"/>
        <v>0</v>
      </c>
      <c r="EX40">
        <f t="shared" si="109"/>
        <v>0</v>
      </c>
      <c r="EY40">
        <f t="shared" si="110"/>
        <v>0</v>
      </c>
      <c r="EZ40">
        <f t="shared" si="111"/>
        <v>0</v>
      </c>
      <c r="FA40">
        <f t="shared" si="112"/>
        <v>0</v>
      </c>
      <c r="FB40" t="str">
        <f t="shared" si="113"/>
        <v/>
      </c>
      <c r="FC40" t="str">
        <f t="shared" si="114"/>
        <v/>
      </c>
      <c r="FD40" t="str">
        <f>IF(AS40+E40=0,"",IF(SUM(L40:M40)=2,IF(SUM(N40+O40+BC40+BD40)=2,"",Sprache!$B$107),Sprache!$B$107))</f>
        <v/>
      </c>
      <c r="FE40" t="str">
        <f t="shared" si="115"/>
        <v/>
      </c>
      <c r="FF40" t="str">
        <f t="shared" si="116"/>
        <v/>
      </c>
      <c r="FG40" t="str">
        <f t="shared" si="117"/>
        <v/>
      </c>
      <c r="FH40" t="str">
        <f t="shared" ca="1" si="118"/>
        <v/>
      </c>
      <c r="FI40" t="str">
        <f t="shared" si="119"/>
        <v/>
      </c>
      <c r="FJ40" t="str">
        <f t="shared" si="120"/>
        <v/>
      </c>
      <c r="FK40" t="str">
        <f t="shared" si="121"/>
        <v/>
      </c>
      <c r="FL40" t="str">
        <f t="shared" si="122"/>
        <v/>
      </c>
      <c r="FM40" t="str">
        <f t="shared" si="123"/>
        <v/>
      </c>
      <c r="FN40" t="str">
        <f t="shared" si="124"/>
        <v/>
      </c>
      <c r="FO40" t="str">
        <f t="shared" si="125"/>
        <v/>
      </c>
      <c r="FP40" t="str">
        <f t="shared" si="126"/>
        <v/>
      </c>
      <c r="FQ40" t="str">
        <f>IF(AO40="","",IF(DK200=0,Sprache!$B$65&amp;" ?",IF(CH200="?",$FQ$4,"")))</f>
        <v/>
      </c>
      <c r="FR40" t="str">
        <f t="shared" si="127"/>
        <v/>
      </c>
      <c r="FS40" t="str">
        <f t="shared" si="128"/>
        <v/>
      </c>
      <c r="FT40" t="str">
        <f t="shared" si="129"/>
        <v/>
      </c>
      <c r="FU40"/>
      <c r="FV40" t="str">
        <f ca="1">IF(TODAY()=$A$3,"",IF(TODAY()&gt;DATE(2018,7,1),CONCATENATE(Sprache!$B$89),""))</f>
        <v>outdated version</v>
      </c>
      <c r="FW40" t="str">
        <f t="shared" ca="1" si="130"/>
        <v>outdated version</v>
      </c>
      <c r="FX40" t="str">
        <f t="shared" ca="1" si="131"/>
        <v>outdated version</v>
      </c>
      <c r="FY40" t="str">
        <f t="shared" ca="1" si="132"/>
        <v/>
      </c>
      <c r="FZ40"/>
      <c r="GA40" s="407">
        <f t="shared" si="133"/>
        <v>0</v>
      </c>
      <c r="GB40" s="405"/>
      <c r="GC40" s="405"/>
      <c r="GD40" s="406"/>
      <c r="GE40" s="407">
        <f t="shared" si="134"/>
        <v>0</v>
      </c>
      <c r="GF40" s="405"/>
      <c r="GG40" s="404"/>
      <c r="GH40" s="406"/>
    </row>
    <row r="41" spans="1:256" s="243" customFormat="1" ht="14.25" customHeight="1" x14ac:dyDescent="0.2">
      <c r="A41" s="220"/>
      <c r="B41" s="221"/>
      <c r="C41" s="222"/>
      <c r="D41" s="223">
        <f t="shared" si="20"/>
        <v>0</v>
      </c>
      <c r="E41" s="223">
        <f t="shared" si="21"/>
        <v>0</v>
      </c>
      <c r="F41" s="224"/>
      <c r="G41" s="225"/>
      <c r="H41" s="225"/>
      <c r="I41" s="272"/>
      <c r="J41" s="264"/>
      <c r="K41" s="226"/>
      <c r="L41" s="227">
        <v>1</v>
      </c>
      <c r="M41" s="228">
        <f t="shared" si="150"/>
        <v>1</v>
      </c>
      <c r="N41" s="229">
        <f t="shared" si="151"/>
        <v>2</v>
      </c>
      <c r="O41" s="230"/>
      <c r="P41" s="231"/>
      <c r="Q41" s="232"/>
      <c r="R41" s="233">
        <f t="shared" si="152"/>
        <v>0</v>
      </c>
      <c r="S41" s="233">
        <f t="shared" si="153"/>
        <v>0</v>
      </c>
      <c r="T41" s="245">
        <f t="shared" si="154"/>
        <v>0</v>
      </c>
      <c r="U41" s="234"/>
      <c r="V41" s="270"/>
      <c r="W41" s="267"/>
      <c r="X41" s="235">
        <f t="shared" si="155"/>
        <v>0</v>
      </c>
      <c r="Y41" s="236" t="str">
        <f t="shared" si="156"/>
        <v/>
      </c>
      <c r="Z41" s="237">
        <f t="shared" si="157"/>
        <v>0</v>
      </c>
      <c r="AA41" s="238">
        <f t="shared" si="158"/>
        <v>0</v>
      </c>
      <c r="AB41" s="239" t="str">
        <f t="shared" si="159"/>
        <v/>
      </c>
      <c r="AC41" s="240" t="str">
        <f t="shared" ca="1" si="160"/>
        <v/>
      </c>
      <c r="AD41" s="394" t="str">
        <f t="shared" ca="1" si="161"/>
        <v/>
      </c>
      <c r="AE41" s="241" t="str">
        <f>IF(AO41="","",IFERROR(IF(ELEMENT!$CH$78=ELEMENT!$CM$63,(AC41/AA41/10.75),(AC41/AA41)),""))</f>
        <v/>
      </c>
      <c r="AF41" s="241" t="str">
        <f t="shared" si="162"/>
        <v/>
      </c>
      <c r="AG41" s="238" t="str">
        <f t="shared" si="163"/>
        <v/>
      </c>
      <c r="AH41" s="242" t="str">
        <f t="shared" si="164"/>
        <v/>
      </c>
      <c r="AI41" s="192"/>
      <c r="AJ41" s="274"/>
      <c r="AK41"/>
      <c r="AL41"/>
      <c r="AM41">
        <f t="shared" si="135"/>
        <v>0</v>
      </c>
      <c r="AN41" t="str">
        <f t="shared" si="136"/>
        <v/>
      </c>
      <c r="AO41" t="str">
        <f t="shared" si="137"/>
        <v/>
      </c>
      <c r="AP41" t="str">
        <f t="shared" si="138"/>
        <v/>
      </c>
      <c r="AQ41">
        <f t="shared" si="22"/>
        <v>0</v>
      </c>
      <c r="AR41">
        <f t="shared" si="139"/>
        <v>2</v>
      </c>
      <c r="AS41">
        <f t="shared" si="29"/>
        <v>0</v>
      </c>
      <c r="AT41">
        <f t="shared" si="23"/>
        <v>0</v>
      </c>
      <c r="AU41">
        <f t="shared" si="140"/>
        <v>0</v>
      </c>
      <c r="AV41">
        <f t="shared" si="141"/>
        <v>0</v>
      </c>
      <c r="AW41">
        <f t="shared" si="142"/>
        <v>0</v>
      </c>
      <c r="AX41" t="str">
        <f t="shared" si="24"/>
        <v/>
      </c>
      <c r="AY41">
        <f t="shared" si="143"/>
        <v>0</v>
      </c>
      <c r="AZ41">
        <f t="shared" si="144"/>
        <v>0</v>
      </c>
      <c r="BA41">
        <f t="shared" si="145"/>
        <v>0</v>
      </c>
      <c r="BB41">
        <f t="shared" si="146"/>
        <v>0</v>
      </c>
      <c r="BC41">
        <f t="shared" si="147"/>
        <v>0</v>
      </c>
      <c r="BD41">
        <f t="shared" si="148"/>
        <v>0</v>
      </c>
      <c r="BE41">
        <f t="shared" si="149"/>
        <v>0</v>
      </c>
      <c r="BF41">
        <f t="shared" si="167"/>
        <v>0</v>
      </c>
      <c r="BG41">
        <f>IF($AH$4=$CK$75,'S2'!T41,
IF($AH$4=$CL$75,'S3'!T41,
IF($AH$4=$CJ$75,'S1'!T41,
IF($AH$4=$CM$75,S3M!T41,))))</f>
        <v>10</v>
      </c>
      <c r="BH41">
        <f>IF($AH$4=$CK$75,'S2'!U41,
IF($AH$4=$CL$75,'S3'!U41,
IF($AH$4=$CJ$75,'S1'!U41,
IF($AH$4=$CM$75,S3M!U41,))))</f>
        <v>30</v>
      </c>
      <c r="BI41">
        <f>IF($AH$4=$CK$75,'S2'!V41,
IF($AH$4=$CL$75,'S3'!V41,
IF($AH$4=$CJ$75,'S1'!V41,
IF($AH$4=$CM$75,S3M!V41,))))</f>
        <v>60</v>
      </c>
      <c r="BJ41">
        <f>IF($AH$4=$CK$75,'S2'!W41,
IF($AH$4=$CL$75,'S3'!W41,
IF($AH$4=$CJ$75,'S1'!W41,
IF($AH$4=$CM$75,S3M!W41,))))</f>
        <v>12.184615384615386</v>
      </c>
      <c r="BK41">
        <f>IF($AH$4=$CK$75,'S2'!X41,
IF($AH$4=$CL$75,'S3'!X41,
IF($AH$4=$CJ$75,'S1'!X41,
IF($AH$4=$CM$75,S3M!X41,))))</f>
        <v>44</v>
      </c>
      <c r="BL41">
        <f>IF($AH$4=$CK$75,'S2'!Y41,
IF($AH$4=$CL$75,'S3'!Y41,
IF($AH$4=$CJ$75,'S1'!Y41,
IF($AH$4=$CM$75,S3M!Y41,))))</f>
        <v>66</v>
      </c>
      <c r="BM41">
        <f>IF($AH$4=$CK$75,'S2'!Z41,
IF($AH$4=$CL$75,'S3'!Z41,
IF($AH$4=$CJ$75,'S1'!Z41,
IF($AH$4=$CM$75,S3M!Z41,))))</f>
        <v>171</v>
      </c>
      <c r="BN41">
        <f>IF($AH$4=$CK$75,'S2'!AA41,
IF($AH$4=$CL$75,'S3'!AA41,
IF($AH$4=$CJ$75,'S1'!AA41,
IF($AH$4=$CM$75,S3M!AA41,))))</f>
        <v>1.4410000000000001</v>
      </c>
      <c r="BO41">
        <f>IF($AH$4=$CK$75,'S2'!AB41,
IF($AH$4=$CL$75,'S3'!AB41,
IF($AH$4=$CJ$75,'S1'!AB41,
IF($AH$4=$CM$75,S3M!AB41,))))</f>
        <v>9.1310000000000002</v>
      </c>
      <c r="BP41">
        <f>IF($AH$4=$CK$75,'S2'!AC41,
IF($AH$4=$CL$75,'S3'!AC41,
IF($AH$4=$CJ$75,'S1'!AC41,
IF($AH$4=$CM$75,S3M!AC41,))))</f>
        <v>0</v>
      </c>
      <c r="BQ41">
        <f t="shared" si="30"/>
        <v>58</v>
      </c>
      <c r="BR41">
        <f t="shared" si="31"/>
        <v>32</v>
      </c>
      <c r="BS41">
        <f t="shared" si="32"/>
        <v>0</v>
      </c>
      <c r="BT41">
        <f t="shared" si="33"/>
        <v>0</v>
      </c>
      <c r="BU41">
        <f t="shared" si="34"/>
        <v>0</v>
      </c>
      <c r="BV41">
        <f t="shared" si="35"/>
        <v>0</v>
      </c>
      <c r="BW41">
        <f t="shared" si="36"/>
        <v>90</v>
      </c>
      <c r="BX41">
        <f t="shared" si="37"/>
        <v>0</v>
      </c>
      <c r="BY41">
        <f t="shared" si="38"/>
        <v>0</v>
      </c>
      <c r="BZ41">
        <f t="shared" si="39"/>
        <v>0</v>
      </c>
      <c r="CA41">
        <f t="shared" si="40"/>
        <v>0</v>
      </c>
      <c r="CB41">
        <f t="shared" si="41"/>
        <v>0</v>
      </c>
      <c r="CC41">
        <f t="shared" si="42"/>
        <v>0</v>
      </c>
      <c r="CD41">
        <f t="shared" si="43"/>
        <v>80</v>
      </c>
      <c r="CE41">
        <f t="shared" si="44"/>
        <v>0</v>
      </c>
      <c r="CF41">
        <f t="shared" si="45"/>
        <v>0</v>
      </c>
      <c r="CG41">
        <f t="shared" si="46"/>
        <v>46.2</v>
      </c>
      <c r="CH41">
        <f t="shared" si="47"/>
        <v>17.600000000000001</v>
      </c>
      <c r="CI41">
        <f t="shared" si="48"/>
        <v>0</v>
      </c>
      <c r="CJ41">
        <f t="shared" si="49"/>
        <v>0</v>
      </c>
      <c r="CK41">
        <f t="shared" si="50"/>
        <v>0</v>
      </c>
      <c r="CL41">
        <f t="shared" si="51"/>
        <v>0</v>
      </c>
      <c r="CM41">
        <f t="shared" si="52"/>
        <v>0</v>
      </c>
      <c r="CN41">
        <f t="shared" si="53"/>
        <v>0</v>
      </c>
      <c r="CO41">
        <f t="shared" si="54"/>
        <v>0</v>
      </c>
      <c r="CP41" t="str">
        <f t="shared" si="19"/>
        <v/>
      </c>
      <c r="CQ41">
        <f t="shared" si="55"/>
        <v>0</v>
      </c>
      <c r="CR41" t="str">
        <f t="shared" si="56"/>
        <v/>
      </c>
      <c r="CS41">
        <f t="shared" si="57"/>
        <v>0</v>
      </c>
      <c r="CT41">
        <f t="shared" si="58"/>
        <v>0</v>
      </c>
      <c r="CU41">
        <f t="shared" si="59"/>
        <v>0</v>
      </c>
      <c r="CV41">
        <f t="shared" si="60"/>
        <v>203.7166666666667</v>
      </c>
      <c r="CW41">
        <f t="shared" si="61"/>
        <v>210</v>
      </c>
      <c r="CX41">
        <f t="shared" si="62"/>
        <v>120</v>
      </c>
      <c r="CY41">
        <f t="shared" si="63"/>
        <v>0</v>
      </c>
      <c r="CZ41">
        <f t="shared" si="64"/>
        <v>0</v>
      </c>
      <c r="DA41">
        <f t="shared" si="65"/>
        <v>0</v>
      </c>
      <c r="DB41">
        <f t="shared" si="66"/>
        <v>0</v>
      </c>
      <c r="DC41" t="str">
        <f t="shared" si="67"/>
        <v/>
      </c>
      <c r="DD41">
        <f t="shared" si="68"/>
        <v>0</v>
      </c>
      <c r="DE41">
        <f t="shared" si="69"/>
        <v>0</v>
      </c>
      <c r="DF41">
        <f t="shared" si="70"/>
        <v>12.15</v>
      </c>
      <c r="DG41">
        <f t="shared" si="71"/>
        <v>0</v>
      </c>
      <c r="DH41">
        <f t="shared" si="72"/>
        <v>0</v>
      </c>
      <c r="DI41">
        <f t="shared" si="26"/>
        <v>0</v>
      </c>
      <c r="DJ41"/>
      <c r="DK41"/>
      <c r="DL41">
        <f t="shared" si="73"/>
        <v>0</v>
      </c>
      <c r="DM41">
        <f t="shared" si="74"/>
        <v>0</v>
      </c>
      <c r="DN41">
        <f t="shared" si="75"/>
        <v>0</v>
      </c>
      <c r="DO41" t="e">
        <f t="shared" si="76"/>
        <v>#N/A</v>
      </c>
      <c r="DP41">
        <f t="shared" si="77"/>
        <v>0</v>
      </c>
      <c r="DQ41" t="e">
        <f t="shared" si="78"/>
        <v>#N/A</v>
      </c>
      <c r="DR41" t="e">
        <f t="shared" si="79"/>
        <v>#N/A</v>
      </c>
      <c r="DS41">
        <f t="shared" si="80"/>
        <v>0</v>
      </c>
      <c r="DT41">
        <f t="shared" si="81"/>
        <v>0</v>
      </c>
      <c r="DU41">
        <f t="shared" si="82"/>
        <v>0</v>
      </c>
      <c r="DV41">
        <f t="shared" si="27"/>
        <v>0</v>
      </c>
      <c r="DW41">
        <f t="shared" si="83"/>
        <v>0</v>
      </c>
      <c r="DX41">
        <f t="shared" si="84"/>
        <v>0</v>
      </c>
      <c r="DY41">
        <f t="shared" si="85"/>
        <v>0</v>
      </c>
      <c r="DZ41">
        <f t="shared" si="86"/>
        <v>0</v>
      </c>
      <c r="EA41">
        <f t="shared" si="87"/>
        <v>0</v>
      </c>
      <c r="EB41">
        <f t="shared" si="88"/>
        <v>0</v>
      </c>
      <c r="EC41">
        <f t="shared" si="89"/>
        <v>0</v>
      </c>
      <c r="ED41">
        <f t="shared" si="90"/>
        <v>0</v>
      </c>
      <c r="EE41">
        <f t="shared" si="91"/>
        <v>0</v>
      </c>
      <c r="EF41">
        <f t="shared" si="92"/>
        <v>0</v>
      </c>
      <c r="EG41">
        <f t="shared" si="93"/>
        <v>0</v>
      </c>
      <c r="EH41">
        <f t="shared" si="28"/>
        <v>0</v>
      </c>
      <c r="EI41">
        <f t="shared" si="94"/>
        <v>-70</v>
      </c>
      <c r="EJ41">
        <f t="shared" si="95"/>
        <v>0</v>
      </c>
      <c r="EK41">
        <f t="shared" si="96"/>
        <v>0</v>
      </c>
      <c r="EL41">
        <f t="shared" si="97"/>
        <v>0</v>
      </c>
      <c r="EM41" t="e">
        <f t="shared" si="98"/>
        <v>#DIV/0!</v>
      </c>
      <c r="EN41">
        <f t="shared" si="99"/>
        <v>0</v>
      </c>
      <c r="EO41" t="str">
        <f t="shared" si="100"/>
        <v>üh</v>
      </c>
      <c r="EP41">
        <f t="shared" si="101"/>
        <v>0</v>
      </c>
      <c r="EQ41">
        <f t="shared" si="102"/>
        <v>0</v>
      </c>
      <c r="ER41">
        <f t="shared" si="103"/>
        <v>0</v>
      </c>
      <c r="ES41">
        <f t="shared" si="104"/>
        <v>0</v>
      </c>
      <c r="ET41">
        <f t="shared" si="105"/>
        <v>0</v>
      </c>
      <c r="EU41">
        <f t="shared" si="106"/>
        <v>0</v>
      </c>
      <c r="EV41">
        <f t="shared" si="107"/>
        <v>0</v>
      </c>
      <c r="EW41">
        <f t="shared" si="108"/>
        <v>0</v>
      </c>
      <c r="EX41">
        <f t="shared" si="109"/>
        <v>0</v>
      </c>
      <c r="EY41">
        <f t="shared" si="110"/>
        <v>0</v>
      </c>
      <c r="EZ41">
        <f t="shared" si="111"/>
        <v>0</v>
      </c>
      <c r="FA41">
        <f t="shared" si="112"/>
        <v>0</v>
      </c>
      <c r="FB41" t="str">
        <f t="shared" si="113"/>
        <v/>
      </c>
      <c r="FC41" t="str">
        <f t="shared" si="114"/>
        <v/>
      </c>
      <c r="FD41" t="str">
        <f>IF(AS41+E41=0,"",IF(SUM(L41:M41)=2,IF(SUM(N41+O41+BC41+BD41)=2,"",Sprache!$B$107),Sprache!$B$107))</f>
        <v/>
      </c>
      <c r="FE41" t="str">
        <f t="shared" si="115"/>
        <v/>
      </c>
      <c r="FF41" t="str">
        <f t="shared" si="116"/>
        <v/>
      </c>
      <c r="FG41" t="str">
        <f t="shared" si="117"/>
        <v/>
      </c>
      <c r="FH41" t="str">
        <f t="shared" ca="1" si="118"/>
        <v/>
      </c>
      <c r="FI41" t="str">
        <f t="shared" si="119"/>
        <v/>
      </c>
      <c r="FJ41" t="str">
        <f t="shared" si="120"/>
        <v/>
      </c>
      <c r="FK41" t="str">
        <f t="shared" si="121"/>
        <v/>
      </c>
      <c r="FL41" t="str">
        <f t="shared" si="122"/>
        <v/>
      </c>
      <c r="FM41" t="str">
        <f t="shared" si="123"/>
        <v/>
      </c>
      <c r="FN41" t="str">
        <f t="shared" si="124"/>
        <v/>
      </c>
      <c r="FO41" t="str">
        <f t="shared" si="125"/>
        <v/>
      </c>
      <c r="FP41" t="str">
        <f t="shared" si="126"/>
        <v/>
      </c>
      <c r="FQ41" t="str">
        <f>IF(AO41="","",IF(DK201=0,Sprache!$B$65&amp;" ?",IF(CH201="?",$FQ$4,"")))</f>
        <v/>
      </c>
      <c r="FR41" t="str">
        <f t="shared" si="127"/>
        <v/>
      </c>
      <c r="FS41" t="str">
        <f t="shared" si="128"/>
        <v/>
      </c>
      <c r="FT41" t="str">
        <f t="shared" si="129"/>
        <v/>
      </c>
      <c r="FU41"/>
      <c r="FV41" t="str">
        <f ca="1">IF(TODAY()=$A$3,"",IF(TODAY()&gt;DATE(2018,7,1),CONCATENATE(Sprache!$B$89),""))</f>
        <v>outdated version</v>
      </c>
      <c r="FW41" t="str">
        <f t="shared" ca="1" si="130"/>
        <v>outdated version</v>
      </c>
      <c r="FX41" t="str">
        <f t="shared" ca="1" si="131"/>
        <v>outdated version</v>
      </c>
      <c r="FY41" t="str">
        <f t="shared" ca="1" si="132"/>
        <v/>
      </c>
      <c r="FZ41"/>
      <c r="GA41" s="407">
        <f t="shared" si="133"/>
        <v>0</v>
      </c>
      <c r="GB41" s="405"/>
      <c r="GC41" s="405"/>
      <c r="GD41" s="406"/>
      <c r="GE41" s="407">
        <f t="shared" si="134"/>
        <v>0</v>
      </c>
      <c r="GF41" s="405"/>
      <c r="GG41" s="404"/>
      <c r="GH41" s="406"/>
    </row>
    <row r="42" spans="1:256" s="243" customFormat="1" ht="14.25" customHeight="1" x14ac:dyDescent="0.2">
      <c r="A42" s="220"/>
      <c r="B42" s="221"/>
      <c r="C42" s="222"/>
      <c r="D42" s="223">
        <f t="shared" si="20"/>
        <v>0</v>
      </c>
      <c r="E42" s="223">
        <f t="shared" si="21"/>
        <v>0</v>
      </c>
      <c r="F42" s="224"/>
      <c r="G42" s="225"/>
      <c r="H42" s="225"/>
      <c r="I42" s="272"/>
      <c r="J42" s="264"/>
      <c r="K42" s="226"/>
      <c r="L42" s="227">
        <v>1</v>
      </c>
      <c r="M42" s="228">
        <f t="shared" si="150"/>
        <v>1</v>
      </c>
      <c r="N42" s="229">
        <f t="shared" si="151"/>
        <v>2</v>
      </c>
      <c r="O42" s="230"/>
      <c r="P42" s="231"/>
      <c r="Q42" s="232"/>
      <c r="R42" s="233">
        <f t="shared" si="152"/>
        <v>0</v>
      </c>
      <c r="S42" s="233">
        <f t="shared" si="153"/>
        <v>0</v>
      </c>
      <c r="T42" s="245">
        <f t="shared" si="154"/>
        <v>0</v>
      </c>
      <c r="U42" s="234"/>
      <c r="V42" s="270"/>
      <c r="W42" s="267"/>
      <c r="X42" s="235">
        <f t="shared" si="155"/>
        <v>0</v>
      </c>
      <c r="Y42" s="236" t="str">
        <f t="shared" si="156"/>
        <v/>
      </c>
      <c r="Z42" s="237">
        <f t="shared" si="157"/>
        <v>0</v>
      </c>
      <c r="AA42" s="238">
        <f t="shared" si="158"/>
        <v>0</v>
      </c>
      <c r="AB42" s="239" t="str">
        <f t="shared" si="159"/>
        <v/>
      </c>
      <c r="AC42" s="240" t="str">
        <f t="shared" ca="1" si="160"/>
        <v/>
      </c>
      <c r="AD42" s="394" t="str">
        <f t="shared" ca="1" si="161"/>
        <v/>
      </c>
      <c r="AE42" s="241" t="str">
        <f>IF(AO42="","",IFERROR(IF(ELEMENT!$CH$78=ELEMENT!$CM$63,(AC42/AA42/10.75),(AC42/AA42)),""))</f>
        <v/>
      </c>
      <c r="AF42" s="241" t="str">
        <f t="shared" si="162"/>
        <v/>
      </c>
      <c r="AG42" s="238" t="str">
        <f t="shared" si="163"/>
        <v/>
      </c>
      <c r="AH42" s="242" t="str">
        <f t="shared" si="164"/>
        <v/>
      </c>
      <c r="AI42" s="192"/>
      <c r="AJ42" s="274"/>
      <c r="AK42"/>
      <c r="AL42"/>
      <c r="AM42">
        <f t="shared" si="135"/>
        <v>0</v>
      </c>
      <c r="AN42" t="str">
        <f t="shared" si="136"/>
        <v/>
      </c>
      <c r="AO42" t="str">
        <f t="shared" si="137"/>
        <v/>
      </c>
      <c r="AP42" t="str">
        <f t="shared" si="138"/>
        <v/>
      </c>
      <c r="AQ42">
        <f t="shared" si="22"/>
        <v>0</v>
      </c>
      <c r="AR42">
        <f t="shared" si="139"/>
        <v>2</v>
      </c>
      <c r="AS42">
        <f t="shared" si="29"/>
        <v>0</v>
      </c>
      <c r="AT42">
        <f t="shared" si="23"/>
        <v>0</v>
      </c>
      <c r="AU42">
        <f t="shared" si="140"/>
        <v>0</v>
      </c>
      <c r="AV42">
        <f t="shared" si="141"/>
        <v>0</v>
      </c>
      <c r="AW42">
        <f t="shared" si="142"/>
        <v>0</v>
      </c>
      <c r="AX42" t="str">
        <f t="shared" si="24"/>
        <v/>
      </c>
      <c r="AY42">
        <f t="shared" si="143"/>
        <v>0</v>
      </c>
      <c r="AZ42">
        <f t="shared" si="144"/>
        <v>0</v>
      </c>
      <c r="BA42">
        <f t="shared" si="145"/>
        <v>0</v>
      </c>
      <c r="BB42">
        <f t="shared" si="146"/>
        <v>0</v>
      </c>
      <c r="BC42">
        <f t="shared" si="147"/>
        <v>0</v>
      </c>
      <c r="BD42">
        <f t="shared" si="148"/>
        <v>0</v>
      </c>
      <c r="BE42">
        <f t="shared" si="149"/>
        <v>0</v>
      </c>
      <c r="BF42">
        <f t="shared" si="167"/>
        <v>0</v>
      </c>
      <c r="BG42">
        <f>IF($AH$4=$CK$75,'S2'!T42,
IF($AH$4=$CL$75,'S3'!T42,
IF($AH$4=$CJ$75,'S1'!T42,
IF($AH$4=$CM$75,S3M!T42,))))</f>
        <v>40</v>
      </c>
      <c r="BH42">
        <f>IF($AH$4=$CK$75,'S2'!U42,
IF($AH$4=$CL$75,'S3'!U42,
IF($AH$4=$CJ$75,'S1'!U42,
IF($AH$4=$CM$75,S3M!U42,))))</f>
        <v>55</v>
      </c>
      <c r="BI42">
        <f>IF($AH$4=$CK$75,'S2'!V42,
IF($AH$4=$CL$75,'S3'!V42,
IF($AH$4=$CJ$75,'S1'!V42,
IF($AH$4=$CM$75,S3M!V42,))))</f>
        <v>90</v>
      </c>
      <c r="BJ42">
        <f>IF($AH$4=$CK$75,'S2'!W42,
IF($AH$4=$CL$75,'S3'!W42,
IF($AH$4=$CJ$75,'S1'!W42,
IF($AH$4=$CM$75,S3M!W42,))))</f>
        <v>26.400000000000002</v>
      </c>
      <c r="BK42">
        <f>IF($AH$4=$CK$75,'S2'!X42,
IF($AH$4=$CL$75,'S3'!X42,
IF($AH$4=$CJ$75,'S1'!X42,
IF($AH$4=$CM$75,S3M!X42,))))</f>
        <v>13.200000000000001</v>
      </c>
      <c r="BL42">
        <f>IF($AH$4=$CK$75,'S2'!Y42,
IF($AH$4=$CL$75,'S3'!Y42,
IF($AH$4=$CJ$75,'S1'!Y42,
IF($AH$4=$CM$75,S3M!Y42,))))</f>
        <v>18</v>
      </c>
      <c r="BM42">
        <f>IF($AH$4=$CK$75,'S2'!Z42,
IF($AH$4=$CL$75,'S3'!Z42,
IF($AH$4=$CJ$75,'S1'!Z42,
IF($AH$4=$CM$75,S3M!Z42,))))</f>
        <v>36</v>
      </c>
      <c r="BN42">
        <f>IF($AH$4=$CK$75,'S2'!AA42,
IF($AH$4=$CL$75,'S3'!AA42,
IF($AH$4=$CJ$75,'S1'!AA42,
IF($AH$4=$CM$75,S3M!AA42,))))</f>
        <v>0</v>
      </c>
      <c r="BO42">
        <f>IF($AH$4=$CK$75,'S2'!AB42,
IF($AH$4=$CL$75,'S3'!AB42,
IF($AH$4=$CJ$75,'S1'!AB42,
IF($AH$4=$CM$75,S3M!AB42,))))</f>
        <v>0.66</v>
      </c>
      <c r="BP42">
        <f>IF($AH$4=$CK$75,'S2'!AC42,
IF($AH$4=$CL$75,'S3'!AC42,
IF($AH$4=$CJ$75,'S1'!AC42,
IF($AH$4=$CM$75,S3M!AC42,))))</f>
        <v>0</v>
      </c>
      <c r="BQ42">
        <f t="shared" si="30"/>
        <v>58</v>
      </c>
      <c r="BR42">
        <f t="shared" si="31"/>
        <v>32</v>
      </c>
      <c r="BS42">
        <f t="shared" si="32"/>
        <v>0</v>
      </c>
      <c r="BT42">
        <f t="shared" si="33"/>
        <v>0</v>
      </c>
      <c r="BU42">
        <f t="shared" si="34"/>
        <v>0</v>
      </c>
      <c r="BV42">
        <f t="shared" si="35"/>
        <v>0</v>
      </c>
      <c r="BW42">
        <f t="shared" si="36"/>
        <v>90</v>
      </c>
      <c r="BX42">
        <f t="shared" si="37"/>
        <v>0</v>
      </c>
      <c r="BY42">
        <f t="shared" si="38"/>
        <v>0</v>
      </c>
      <c r="BZ42">
        <f t="shared" si="39"/>
        <v>0</v>
      </c>
      <c r="CA42">
        <f t="shared" si="40"/>
        <v>0</v>
      </c>
      <c r="CB42">
        <f t="shared" si="41"/>
        <v>0</v>
      </c>
      <c r="CC42">
        <f t="shared" si="42"/>
        <v>0</v>
      </c>
      <c r="CD42">
        <f t="shared" si="43"/>
        <v>80</v>
      </c>
      <c r="CE42">
        <f t="shared" si="44"/>
        <v>0</v>
      </c>
      <c r="CF42">
        <f t="shared" si="45"/>
        <v>0</v>
      </c>
      <c r="CG42">
        <f t="shared" si="46"/>
        <v>46.2</v>
      </c>
      <c r="CH42">
        <f t="shared" si="47"/>
        <v>17.600000000000001</v>
      </c>
      <c r="CI42">
        <f t="shared" si="48"/>
        <v>0</v>
      </c>
      <c r="CJ42">
        <f t="shared" si="49"/>
        <v>0</v>
      </c>
      <c r="CK42">
        <f t="shared" si="50"/>
        <v>0</v>
      </c>
      <c r="CL42">
        <f t="shared" si="51"/>
        <v>0</v>
      </c>
      <c r="CM42">
        <f t="shared" si="52"/>
        <v>0</v>
      </c>
      <c r="CN42">
        <f t="shared" si="53"/>
        <v>0</v>
      </c>
      <c r="CO42">
        <f t="shared" si="54"/>
        <v>0</v>
      </c>
      <c r="CP42" t="str">
        <f t="shared" si="19"/>
        <v/>
      </c>
      <c r="CQ42">
        <f t="shared" si="55"/>
        <v>0</v>
      </c>
      <c r="CR42" t="str">
        <f t="shared" si="56"/>
        <v/>
      </c>
      <c r="CS42">
        <f t="shared" si="57"/>
        <v>0</v>
      </c>
      <c r="CT42">
        <f t="shared" si="58"/>
        <v>0</v>
      </c>
      <c r="CU42">
        <f t="shared" si="59"/>
        <v>0</v>
      </c>
      <c r="CV42">
        <f t="shared" si="60"/>
        <v>203.7166666666667</v>
      </c>
      <c r="CW42">
        <f t="shared" si="61"/>
        <v>210</v>
      </c>
      <c r="CX42">
        <f t="shared" si="62"/>
        <v>120</v>
      </c>
      <c r="CY42">
        <f t="shared" si="63"/>
        <v>0</v>
      </c>
      <c r="CZ42">
        <f t="shared" si="64"/>
        <v>0</v>
      </c>
      <c r="DA42">
        <f t="shared" si="65"/>
        <v>0</v>
      </c>
      <c r="DB42">
        <f t="shared" si="66"/>
        <v>0</v>
      </c>
      <c r="DC42" t="str">
        <f t="shared" si="67"/>
        <v/>
      </c>
      <c r="DD42">
        <f t="shared" si="68"/>
        <v>0</v>
      </c>
      <c r="DE42">
        <f t="shared" si="69"/>
        <v>0</v>
      </c>
      <c r="DF42">
        <f t="shared" si="70"/>
        <v>12.15</v>
      </c>
      <c r="DG42">
        <f t="shared" si="71"/>
        <v>0</v>
      </c>
      <c r="DH42">
        <f t="shared" si="72"/>
        <v>0</v>
      </c>
      <c r="DI42">
        <f t="shared" si="26"/>
        <v>0</v>
      </c>
      <c r="DJ42"/>
      <c r="DK42"/>
      <c r="DL42">
        <f t="shared" si="73"/>
        <v>0</v>
      </c>
      <c r="DM42">
        <f t="shared" si="74"/>
        <v>0</v>
      </c>
      <c r="DN42">
        <f t="shared" si="75"/>
        <v>0</v>
      </c>
      <c r="DO42" t="e">
        <f t="shared" si="76"/>
        <v>#N/A</v>
      </c>
      <c r="DP42">
        <f t="shared" si="77"/>
        <v>0</v>
      </c>
      <c r="DQ42" t="e">
        <f t="shared" si="78"/>
        <v>#N/A</v>
      </c>
      <c r="DR42" t="e">
        <f t="shared" si="79"/>
        <v>#N/A</v>
      </c>
      <c r="DS42">
        <f t="shared" si="80"/>
        <v>0</v>
      </c>
      <c r="DT42">
        <f t="shared" si="81"/>
        <v>0</v>
      </c>
      <c r="DU42">
        <f t="shared" si="82"/>
        <v>0</v>
      </c>
      <c r="DV42">
        <f t="shared" si="27"/>
        <v>0</v>
      </c>
      <c r="DW42">
        <f t="shared" si="83"/>
        <v>0</v>
      </c>
      <c r="DX42">
        <f t="shared" si="84"/>
        <v>0</v>
      </c>
      <c r="DY42">
        <f t="shared" si="85"/>
        <v>0</v>
      </c>
      <c r="DZ42">
        <f t="shared" si="86"/>
        <v>0</v>
      </c>
      <c r="EA42">
        <f t="shared" si="87"/>
        <v>0</v>
      </c>
      <c r="EB42">
        <f t="shared" si="88"/>
        <v>0</v>
      </c>
      <c r="EC42">
        <f t="shared" si="89"/>
        <v>0</v>
      </c>
      <c r="ED42">
        <f t="shared" si="90"/>
        <v>0</v>
      </c>
      <c r="EE42">
        <f t="shared" si="91"/>
        <v>0</v>
      </c>
      <c r="EF42">
        <f t="shared" si="92"/>
        <v>0</v>
      </c>
      <c r="EG42">
        <f t="shared" si="93"/>
        <v>0</v>
      </c>
      <c r="EH42">
        <f t="shared" si="28"/>
        <v>0</v>
      </c>
      <c r="EI42">
        <f t="shared" si="94"/>
        <v>-70</v>
      </c>
      <c r="EJ42">
        <f t="shared" si="95"/>
        <v>0</v>
      </c>
      <c r="EK42">
        <f t="shared" si="96"/>
        <v>0</v>
      </c>
      <c r="EL42">
        <f t="shared" si="97"/>
        <v>0</v>
      </c>
      <c r="EM42" t="e">
        <f t="shared" si="98"/>
        <v>#DIV/0!</v>
      </c>
      <c r="EN42">
        <f t="shared" si="99"/>
        <v>0</v>
      </c>
      <c r="EO42" t="str">
        <f t="shared" si="100"/>
        <v>üh</v>
      </c>
      <c r="EP42">
        <f t="shared" si="101"/>
        <v>0</v>
      </c>
      <c r="EQ42">
        <f t="shared" si="102"/>
        <v>0</v>
      </c>
      <c r="ER42">
        <f t="shared" si="103"/>
        <v>0</v>
      </c>
      <c r="ES42">
        <f t="shared" si="104"/>
        <v>0</v>
      </c>
      <c r="ET42">
        <f t="shared" si="105"/>
        <v>0</v>
      </c>
      <c r="EU42">
        <f t="shared" si="106"/>
        <v>0</v>
      </c>
      <c r="EV42">
        <f t="shared" si="107"/>
        <v>0</v>
      </c>
      <c r="EW42">
        <f t="shared" si="108"/>
        <v>0</v>
      </c>
      <c r="EX42">
        <f t="shared" si="109"/>
        <v>0</v>
      </c>
      <c r="EY42">
        <f t="shared" si="110"/>
        <v>0</v>
      </c>
      <c r="EZ42">
        <f t="shared" si="111"/>
        <v>0</v>
      </c>
      <c r="FA42">
        <f t="shared" si="112"/>
        <v>0</v>
      </c>
      <c r="FB42" t="str">
        <f t="shared" si="113"/>
        <v/>
      </c>
      <c r="FC42" t="str">
        <f t="shared" si="114"/>
        <v/>
      </c>
      <c r="FD42" t="str">
        <f>IF(AS42+E42=0,"",IF(SUM(L42:M42)=2,IF(SUM(N42+O42+BC42+BD42)=2,"",Sprache!$B$107),Sprache!$B$107))</f>
        <v/>
      </c>
      <c r="FE42" t="str">
        <f t="shared" si="115"/>
        <v/>
      </c>
      <c r="FF42" t="str">
        <f t="shared" si="116"/>
        <v/>
      </c>
      <c r="FG42" t="str">
        <f t="shared" si="117"/>
        <v/>
      </c>
      <c r="FH42" t="str">
        <f t="shared" ca="1" si="118"/>
        <v/>
      </c>
      <c r="FI42" t="str">
        <f t="shared" si="119"/>
        <v/>
      </c>
      <c r="FJ42" t="str">
        <f t="shared" si="120"/>
        <v/>
      </c>
      <c r="FK42" t="str">
        <f t="shared" si="121"/>
        <v/>
      </c>
      <c r="FL42" t="str">
        <f t="shared" si="122"/>
        <v/>
      </c>
      <c r="FM42" t="str">
        <f t="shared" si="123"/>
        <v/>
      </c>
      <c r="FN42" t="str">
        <f t="shared" si="124"/>
        <v/>
      </c>
      <c r="FO42" t="str">
        <f t="shared" si="125"/>
        <v/>
      </c>
      <c r="FP42" t="str">
        <f t="shared" si="126"/>
        <v/>
      </c>
      <c r="FQ42" t="str">
        <f>IF(AO42="","",IF(DK202=0,Sprache!$B$65&amp;" ?",IF(CH202="?",$FQ$4,"")))</f>
        <v/>
      </c>
      <c r="FR42" t="str">
        <f t="shared" si="127"/>
        <v/>
      </c>
      <c r="FS42" t="str">
        <f t="shared" si="128"/>
        <v/>
      </c>
      <c r="FT42" t="str">
        <f t="shared" si="129"/>
        <v/>
      </c>
      <c r="FU42"/>
      <c r="FV42" t="str">
        <f ca="1">IF(TODAY()=$A$3,"",IF(TODAY()&gt;DATE(2018,7,1),CONCATENATE(Sprache!$B$89),""))</f>
        <v>outdated version</v>
      </c>
      <c r="FW42" t="str">
        <f t="shared" ca="1" si="130"/>
        <v>outdated version</v>
      </c>
      <c r="FX42" t="str">
        <f t="shared" ca="1" si="131"/>
        <v>outdated version</v>
      </c>
      <c r="FY42" t="str">
        <f t="shared" ca="1" si="132"/>
        <v/>
      </c>
      <c r="FZ42"/>
      <c r="GA42" s="407">
        <f t="shared" si="133"/>
        <v>0</v>
      </c>
      <c r="GB42" s="405"/>
      <c r="GC42" s="405"/>
      <c r="GD42" s="406"/>
      <c r="GE42" s="407">
        <f t="shared" si="134"/>
        <v>0</v>
      </c>
      <c r="GF42" s="405"/>
      <c r="GG42" s="404"/>
      <c r="GH42" s="406"/>
    </row>
    <row r="43" spans="1:256" s="243" customFormat="1" ht="14.25" customHeight="1" x14ac:dyDescent="0.2">
      <c r="A43" s="220"/>
      <c r="B43" s="221"/>
      <c r="C43" s="222"/>
      <c r="D43" s="223">
        <f t="shared" si="20"/>
        <v>0</v>
      </c>
      <c r="E43" s="223">
        <f t="shared" si="21"/>
        <v>0</v>
      </c>
      <c r="F43" s="224"/>
      <c r="G43" s="225"/>
      <c r="H43" s="225"/>
      <c r="I43" s="272"/>
      <c r="J43" s="264"/>
      <c r="K43" s="226"/>
      <c r="L43" s="227">
        <v>1</v>
      </c>
      <c r="M43" s="228">
        <f t="shared" si="150"/>
        <v>1</v>
      </c>
      <c r="N43" s="229">
        <f t="shared" si="151"/>
        <v>2</v>
      </c>
      <c r="O43" s="230"/>
      <c r="P43" s="231"/>
      <c r="Q43" s="232"/>
      <c r="R43" s="233">
        <f t="shared" si="152"/>
        <v>0</v>
      </c>
      <c r="S43" s="233">
        <f t="shared" si="153"/>
        <v>0</v>
      </c>
      <c r="T43" s="245">
        <f t="shared" si="154"/>
        <v>0</v>
      </c>
      <c r="U43" s="234"/>
      <c r="V43" s="270"/>
      <c r="W43" s="267"/>
      <c r="X43" s="235">
        <f t="shared" si="155"/>
        <v>0</v>
      </c>
      <c r="Y43" s="236" t="str">
        <f t="shared" si="156"/>
        <v/>
      </c>
      <c r="Z43" s="237">
        <f t="shared" si="157"/>
        <v>0</v>
      </c>
      <c r="AA43" s="238">
        <f t="shared" si="158"/>
        <v>0</v>
      </c>
      <c r="AB43" s="239" t="str">
        <f t="shared" si="159"/>
        <v/>
      </c>
      <c r="AC43" s="240" t="str">
        <f t="shared" ca="1" si="160"/>
        <v/>
      </c>
      <c r="AD43" s="394" t="str">
        <f t="shared" ca="1" si="161"/>
        <v/>
      </c>
      <c r="AE43" s="241" t="str">
        <f>IF(AO43="","",IFERROR(IF(ELEMENT!$CH$78=ELEMENT!$CM$63,(AC43/AA43/10.75),(AC43/AA43)),""))</f>
        <v/>
      </c>
      <c r="AF43" s="241" t="str">
        <f t="shared" si="162"/>
        <v/>
      </c>
      <c r="AG43" s="238" t="str">
        <f t="shared" si="163"/>
        <v/>
      </c>
      <c r="AH43" s="242" t="str">
        <f t="shared" si="164"/>
        <v/>
      </c>
      <c r="AI43" s="192"/>
      <c r="AJ43" s="274"/>
      <c r="AK43"/>
      <c r="AL43"/>
      <c r="AM43">
        <f t="shared" si="135"/>
        <v>0</v>
      </c>
      <c r="AN43" t="str">
        <f t="shared" si="136"/>
        <v/>
      </c>
      <c r="AO43" t="str">
        <f t="shared" si="137"/>
        <v/>
      </c>
      <c r="AP43" t="str">
        <f t="shared" si="138"/>
        <v/>
      </c>
      <c r="AQ43">
        <f t="shared" si="22"/>
        <v>0</v>
      </c>
      <c r="AR43">
        <f t="shared" si="139"/>
        <v>2</v>
      </c>
      <c r="AS43">
        <f t="shared" si="29"/>
        <v>0</v>
      </c>
      <c r="AT43">
        <f t="shared" si="23"/>
        <v>0</v>
      </c>
      <c r="AU43">
        <f t="shared" si="140"/>
        <v>0</v>
      </c>
      <c r="AV43">
        <f t="shared" si="141"/>
        <v>0</v>
      </c>
      <c r="AW43">
        <f t="shared" si="142"/>
        <v>0</v>
      </c>
      <c r="AX43" t="str">
        <f t="shared" si="24"/>
        <v/>
      </c>
      <c r="AY43">
        <f t="shared" si="143"/>
        <v>0</v>
      </c>
      <c r="AZ43">
        <f t="shared" si="144"/>
        <v>0</v>
      </c>
      <c r="BA43">
        <f t="shared" si="145"/>
        <v>0</v>
      </c>
      <c r="BB43">
        <f t="shared" si="146"/>
        <v>0</v>
      </c>
      <c r="BC43">
        <f t="shared" si="147"/>
        <v>0</v>
      </c>
      <c r="BD43">
        <f t="shared" si="148"/>
        <v>0</v>
      </c>
      <c r="BE43">
        <f t="shared" si="149"/>
        <v>0</v>
      </c>
      <c r="BF43">
        <f t="shared" si="167"/>
        <v>0</v>
      </c>
      <c r="BG43">
        <f>IF($AH$4=$CK$75,'S2'!T43,
IF($AH$4=$CL$75,'S3'!T43,
IF($AH$4=$CJ$75,'S1'!T43,
IF($AH$4=$CM$75,S3M!T43,))))</f>
        <v>10</v>
      </c>
      <c r="BH43">
        <f>IF($AH$4=$CK$75,'S2'!U43,
IF($AH$4=$CL$75,'S3'!U43,
IF($AH$4=$CJ$75,'S1'!U43,
IF($AH$4=$CM$75,S3M!U43,))))</f>
        <v>30</v>
      </c>
      <c r="BI43">
        <f>IF($AH$4=$CK$75,'S2'!V43,
IF($AH$4=$CL$75,'S3'!V43,
IF($AH$4=$CJ$75,'S1'!V43,
IF($AH$4=$CM$75,S3M!V43,))))</f>
        <v>60</v>
      </c>
      <c r="BJ43">
        <f>IF($AH$4=$CK$75,'S2'!W43,
IF($AH$4=$CL$75,'S3'!W43,
IF($AH$4=$CJ$75,'S1'!W43,
IF($AH$4=$CM$75,S3M!W43,))))</f>
        <v>9.1384615384615397</v>
      </c>
      <c r="BK43">
        <f>IF($AH$4=$CK$75,'S2'!X43,
IF($AH$4=$CL$75,'S3'!X43,
IF($AH$4=$CJ$75,'S1'!X43,
IF($AH$4=$CM$75,S3M!X43,))))</f>
        <v>13.200000000000001</v>
      </c>
      <c r="BL43">
        <f>IF($AH$4=$CK$75,'S2'!Y43,
IF($AH$4=$CL$75,'S3'!Y43,
IF($AH$4=$CJ$75,'S1'!Y43,
IF($AH$4=$CM$75,S3M!Y43,))))</f>
        <v>21</v>
      </c>
      <c r="BM43">
        <f>IF($AH$4=$CK$75,'S2'!Z43,
IF($AH$4=$CL$75,'S3'!Z43,
IF($AH$4=$CJ$75,'S1'!Z43,
IF($AH$4=$CM$75,S3M!Z43,))))</f>
        <v>81.099999999999994</v>
      </c>
      <c r="BN43">
        <f>IF($AH$4=$CK$75,'S2'!AA43,
IF($AH$4=$CL$75,'S3'!AA43,
IF($AH$4=$CJ$75,'S1'!AA43,
IF($AH$4=$CM$75,S3M!AA43,))))</f>
        <v>0.99199999999999999</v>
      </c>
      <c r="BO43">
        <f>IF($AH$4=$CK$75,'S2'!AB43,
IF($AH$4=$CL$75,'S3'!AB43,
IF($AH$4=$CJ$75,'S1'!AB43,
IF($AH$4=$CM$75,S3M!AB43,))))</f>
        <v>3.96</v>
      </c>
      <c r="BP43">
        <f>IF($AH$4=$CK$75,'S2'!AC43,
IF($AH$4=$CL$75,'S3'!AC43,
IF($AH$4=$CJ$75,'S1'!AC43,
IF($AH$4=$CM$75,S3M!AC43,))))</f>
        <v>170</v>
      </c>
      <c r="BQ43">
        <f t="shared" si="30"/>
        <v>58</v>
      </c>
      <c r="BR43">
        <f t="shared" si="31"/>
        <v>32</v>
      </c>
      <c r="BS43">
        <f t="shared" si="32"/>
        <v>0</v>
      </c>
      <c r="BT43">
        <f t="shared" si="33"/>
        <v>0</v>
      </c>
      <c r="BU43">
        <f t="shared" si="34"/>
        <v>0</v>
      </c>
      <c r="BV43">
        <f t="shared" si="35"/>
        <v>0</v>
      </c>
      <c r="BW43">
        <f t="shared" si="36"/>
        <v>90</v>
      </c>
      <c r="BX43">
        <f t="shared" si="37"/>
        <v>0</v>
      </c>
      <c r="BY43">
        <f t="shared" si="38"/>
        <v>0</v>
      </c>
      <c r="BZ43">
        <f t="shared" si="39"/>
        <v>0</v>
      </c>
      <c r="CA43">
        <f t="shared" si="40"/>
        <v>0</v>
      </c>
      <c r="CB43">
        <f t="shared" si="41"/>
        <v>0</v>
      </c>
      <c r="CC43">
        <f t="shared" si="42"/>
        <v>0</v>
      </c>
      <c r="CD43">
        <f t="shared" si="43"/>
        <v>80</v>
      </c>
      <c r="CE43">
        <f t="shared" si="44"/>
        <v>0</v>
      </c>
      <c r="CF43">
        <f t="shared" si="45"/>
        <v>0</v>
      </c>
      <c r="CG43">
        <f t="shared" si="46"/>
        <v>46.2</v>
      </c>
      <c r="CH43">
        <f t="shared" si="47"/>
        <v>17.600000000000001</v>
      </c>
      <c r="CI43">
        <f t="shared" si="48"/>
        <v>0</v>
      </c>
      <c r="CJ43">
        <f t="shared" si="49"/>
        <v>0</v>
      </c>
      <c r="CK43">
        <f t="shared" si="50"/>
        <v>0</v>
      </c>
      <c r="CL43">
        <f t="shared" si="51"/>
        <v>0</v>
      </c>
      <c r="CM43">
        <f t="shared" si="52"/>
        <v>0</v>
      </c>
      <c r="CN43">
        <f t="shared" si="53"/>
        <v>0</v>
      </c>
      <c r="CO43">
        <f t="shared" si="54"/>
        <v>0</v>
      </c>
      <c r="CP43" t="str">
        <f t="shared" si="19"/>
        <v/>
      </c>
      <c r="CQ43">
        <f t="shared" si="55"/>
        <v>0</v>
      </c>
      <c r="CR43" t="str">
        <f t="shared" si="56"/>
        <v/>
      </c>
      <c r="CS43">
        <f t="shared" si="57"/>
        <v>0</v>
      </c>
      <c r="CT43">
        <f t="shared" si="58"/>
        <v>0</v>
      </c>
      <c r="CU43">
        <f t="shared" si="59"/>
        <v>0</v>
      </c>
      <c r="CV43">
        <f t="shared" si="60"/>
        <v>203.7166666666667</v>
      </c>
      <c r="CW43">
        <f t="shared" si="61"/>
        <v>210</v>
      </c>
      <c r="CX43">
        <f t="shared" si="62"/>
        <v>120</v>
      </c>
      <c r="CY43">
        <f t="shared" si="63"/>
        <v>0</v>
      </c>
      <c r="CZ43">
        <f t="shared" si="64"/>
        <v>0</v>
      </c>
      <c r="DA43">
        <f t="shared" si="65"/>
        <v>0</v>
      </c>
      <c r="DB43">
        <f t="shared" si="66"/>
        <v>0</v>
      </c>
      <c r="DC43" t="str">
        <f t="shared" si="67"/>
        <v/>
      </c>
      <c r="DD43">
        <f t="shared" si="68"/>
        <v>0</v>
      </c>
      <c r="DE43">
        <f t="shared" si="69"/>
        <v>0</v>
      </c>
      <c r="DF43">
        <f t="shared" si="70"/>
        <v>12.15</v>
      </c>
      <c r="DG43">
        <f t="shared" si="71"/>
        <v>0</v>
      </c>
      <c r="DH43">
        <f t="shared" si="72"/>
        <v>0</v>
      </c>
      <c r="DI43">
        <f t="shared" si="26"/>
        <v>0</v>
      </c>
      <c r="DJ43"/>
      <c r="DK43"/>
      <c r="DL43">
        <f t="shared" si="73"/>
        <v>0</v>
      </c>
      <c r="DM43">
        <f t="shared" si="74"/>
        <v>0</v>
      </c>
      <c r="DN43">
        <f t="shared" si="75"/>
        <v>0</v>
      </c>
      <c r="DO43" t="e">
        <f t="shared" si="76"/>
        <v>#N/A</v>
      </c>
      <c r="DP43">
        <f t="shared" si="77"/>
        <v>0</v>
      </c>
      <c r="DQ43" t="e">
        <f t="shared" si="78"/>
        <v>#N/A</v>
      </c>
      <c r="DR43" t="e">
        <f t="shared" si="79"/>
        <v>#N/A</v>
      </c>
      <c r="DS43">
        <f t="shared" si="80"/>
        <v>0</v>
      </c>
      <c r="DT43">
        <f t="shared" si="81"/>
        <v>0</v>
      </c>
      <c r="DU43">
        <f t="shared" si="82"/>
        <v>0</v>
      </c>
      <c r="DV43">
        <f t="shared" si="27"/>
        <v>0</v>
      </c>
      <c r="DW43">
        <f t="shared" si="83"/>
        <v>0</v>
      </c>
      <c r="DX43">
        <f t="shared" si="84"/>
        <v>0</v>
      </c>
      <c r="DY43">
        <f t="shared" si="85"/>
        <v>0</v>
      </c>
      <c r="DZ43">
        <f t="shared" si="86"/>
        <v>0</v>
      </c>
      <c r="EA43">
        <f t="shared" si="87"/>
        <v>0</v>
      </c>
      <c r="EB43">
        <f t="shared" si="88"/>
        <v>0</v>
      </c>
      <c r="EC43">
        <f t="shared" si="89"/>
        <v>0</v>
      </c>
      <c r="ED43">
        <f t="shared" si="90"/>
        <v>0</v>
      </c>
      <c r="EE43">
        <f t="shared" si="91"/>
        <v>0</v>
      </c>
      <c r="EF43">
        <f t="shared" si="92"/>
        <v>0</v>
      </c>
      <c r="EG43">
        <f t="shared" si="93"/>
        <v>0</v>
      </c>
      <c r="EH43">
        <f t="shared" si="28"/>
        <v>0</v>
      </c>
      <c r="EI43">
        <f t="shared" si="94"/>
        <v>-70</v>
      </c>
      <c r="EJ43">
        <f t="shared" si="95"/>
        <v>0</v>
      </c>
      <c r="EK43">
        <f t="shared" si="96"/>
        <v>0</v>
      </c>
      <c r="EL43">
        <f t="shared" si="97"/>
        <v>0</v>
      </c>
      <c r="EM43" t="e">
        <f t="shared" si="98"/>
        <v>#DIV/0!</v>
      </c>
      <c r="EN43">
        <f t="shared" si="99"/>
        <v>0</v>
      </c>
      <c r="EO43" t="str">
        <f t="shared" si="100"/>
        <v>üh</v>
      </c>
      <c r="EP43">
        <f t="shared" si="101"/>
        <v>0</v>
      </c>
      <c r="EQ43">
        <f t="shared" si="102"/>
        <v>0</v>
      </c>
      <c r="ER43">
        <f t="shared" si="103"/>
        <v>0</v>
      </c>
      <c r="ES43">
        <f t="shared" si="104"/>
        <v>0</v>
      </c>
      <c r="ET43">
        <f t="shared" si="105"/>
        <v>0</v>
      </c>
      <c r="EU43">
        <f t="shared" si="106"/>
        <v>0</v>
      </c>
      <c r="EV43">
        <f t="shared" si="107"/>
        <v>0</v>
      </c>
      <c r="EW43">
        <f t="shared" si="108"/>
        <v>0</v>
      </c>
      <c r="EX43">
        <f t="shared" si="109"/>
        <v>0</v>
      </c>
      <c r="EY43">
        <f t="shared" si="110"/>
        <v>0</v>
      </c>
      <c r="EZ43">
        <f t="shared" si="111"/>
        <v>0</v>
      </c>
      <c r="FA43">
        <f t="shared" si="112"/>
        <v>0</v>
      </c>
      <c r="FB43" t="str">
        <f t="shared" si="113"/>
        <v/>
      </c>
      <c r="FC43" t="str">
        <f t="shared" si="114"/>
        <v/>
      </c>
      <c r="FD43" t="str">
        <f>IF(AS43+E43=0,"",IF(SUM(L43:M43)=2,IF(SUM(N43+O43+BC43+BD43)=2,"",Sprache!$B$107),Sprache!$B$107))</f>
        <v/>
      </c>
      <c r="FE43" t="str">
        <f t="shared" si="115"/>
        <v/>
      </c>
      <c r="FF43" t="str">
        <f t="shared" si="116"/>
        <v/>
      </c>
      <c r="FG43" t="str">
        <f t="shared" si="117"/>
        <v/>
      </c>
      <c r="FH43" t="str">
        <f t="shared" ca="1" si="118"/>
        <v/>
      </c>
      <c r="FI43" t="str">
        <f t="shared" si="119"/>
        <v/>
      </c>
      <c r="FJ43" t="str">
        <f t="shared" si="120"/>
        <v/>
      </c>
      <c r="FK43" t="str">
        <f t="shared" si="121"/>
        <v/>
      </c>
      <c r="FL43" t="str">
        <f t="shared" si="122"/>
        <v/>
      </c>
      <c r="FM43" t="str">
        <f t="shared" si="123"/>
        <v/>
      </c>
      <c r="FN43" t="str">
        <f t="shared" si="124"/>
        <v/>
      </c>
      <c r="FO43" t="str">
        <f t="shared" si="125"/>
        <v/>
      </c>
      <c r="FP43" t="str">
        <f t="shared" si="126"/>
        <v/>
      </c>
      <c r="FQ43" t="str">
        <f>IF(AO43="","",IF(DK203=0,Sprache!$B$65&amp;" ?",IF(CH203="?",$FQ$4,"")))</f>
        <v/>
      </c>
      <c r="FR43" t="str">
        <f t="shared" si="127"/>
        <v/>
      </c>
      <c r="FS43" t="str">
        <f t="shared" si="128"/>
        <v/>
      </c>
      <c r="FT43" t="str">
        <f t="shared" si="129"/>
        <v/>
      </c>
      <c r="FU43"/>
      <c r="FV43" t="str">
        <f ca="1">IF(TODAY()=$A$3,"",IF(TODAY()&gt;DATE(2018,7,1),CONCATENATE(Sprache!$B$89),""))</f>
        <v>outdated version</v>
      </c>
      <c r="FW43" t="str">
        <f t="shared" ca="1" si="130"/>
        <v>outdated version</v>
      </c>
      <c r="FX43" t="str">
        <f t="shared" ca="1" si="131"/>
        <v>outdated version</v>
      </c>
      <c r="FY43" t="str">
        <f t="shared" ca="1" si="132"/>
        <v/>
      </c>
      <c r="FZ43"/>
      <c r="GA43" s="407">
        <f t="shared" si="133"/>
        <v>0</v>
      </c>
      <c r="GB43" s="405"/>
      <c r="GC43" s="405"/>
      <c r="GD43" s="406"/>
      <c r="GE43" s="407">
        <f t="shared" si="134"/>
        <v>0</v>
      </c>
      <c r="GF43" s="405"/>
      <c r="GG43" s="404"/>
      <c r="GH43" s="406"/>
    </row>
    <row r="44" spans="1:256" s="243" customFormat="1" ht="14.25" customHeight="1" x14ac:dyDescent="0.2">
      <c r="A44" s="220"/>
      <c r="B44" s="221"/>
      <c r="C44" s="222"/>
      <c r="D44" s="223">
        <f t="shared" si="20"/>
        <v>0</v>
      </c>
      <c r="E44" s="223">
        <f t="shared" si="21"/>
        <v>0</v>
      </c>
      <c r="F44" s="224"/>
      <c r="G44" s="225"/>
      <c r="H44" s="225"/>
      <c r="I44" s="272"/>
      <c r="J44" s="264"/>
      <c r="K44" s="226"/>
      <c r="L44" s="227">
        <v>1</v>
      </c>
      <c r="M44" s="228">
        <f t="shared" si="150"/>
        <v>1</v>
      </c>
      <c r="N44" s="229">
        <f t="shared" si="151"/>
        <v>2</v>
      </c>
      <c r="O44" s="230"/>
      <c r="P44" s="231"/>
      <c r="Q44" s="232"/>
      <c r="R44" s="233">
        <f t="shared" si="152"/>
        <v>0</v>
      </c>
      <c r="S44" s="233">
        <f t="shared" si="153"/>
        <v>0</v>
      </c>
      <c r="T44" s="245">
        <f t="shared" si="154"/>
        <v>0</v>
      </c>
      <c r="U44" s="234"/>
      <c r="V44" s="270"/>
      <c r="W44" s="267"/>
      <c r="X44" s="235">
        <f t="shared" si="155"/>
        <v>0</v>
      </c>
      <c r="Y44" s="236" t="str">
        <f t="shared" si="156"/>
        <v/>
      </c>
      <c r="Z44" s="237">
        <f t="shared" si="157"/>
        <v>0</v>
      </c>
      <c r="AA44" s="238">
        <f t="shared" si="158"/>
        <v>0</v>
      </c>
      <c r="AB44" s="239" t="str">
        <f t="shared" si="159"/>
        <v/>
      </c>
      <c r="AC44" s="240" t="str">
        <f t="shared" ca="1" si="160"/>
        <v/>
      </c>
      <c r="AD44" s="394" t="str">
        <f t="shared" ca="1" si="161"/>
        <v/>
      </c>
      <c r="AE44" s="241" t="str">
        <f>IF(AO44="","",IFERROR(IF(ELEMENT!$CH$78=ELEMENT!$CM$63,(AC44/AA44/10.75),(AC44/AA44)),""))</f>
        <v/>
      </c>
      <c r="AF44" s="241" t="str">
        <f t="shared" si="162"/>
        <v/>
      </c>
      <c r="AG44" s="238" t="str">
        <f t="shared" si="163"/>
        <v/>
      </c>
      <c r="AH44" s="242" t="str">
        <f t="shared" si="164"/>
        <v/>
      </c>
      <c r="AI44" s="192"/>
      <c r="AJ44" s="274"/>
      <c r="AK44"/>
      <c r="AL44"/>
      <c r="AM44">
        <f t="shared" si="135"/>
        <v>0</v>
      </c>
      <c r="AN44" t="str">
        <f t="shared" si="136"/>
        <v/>
      </c>
      <c r="AO44" t="str">
        <f t="shared" si="137"/>
        <v/>
      </c>
      <c r="AP44" t="str">
        <f t="shared" si="138"/>
        <v/>
      </c>
      <c r="AQ44">
        <f t="shared" si="22"/>
        <v>0</v>
      </c>
      <c r="AR44">
        <f t="shared" si="139"/>
        <v>2</v>
      </c>
      <c r="AS44">
        <f t="shared" si="29"/>
        <v>0</v>
      </c>
      <c r="AT44">
        <f t="shared" si="23"/>
        <v>0</v>
      </c>
      <c r="AU44">
        <f t="shared" si="140"/>
        <v>0</v>
      </c>
      <c r="AV44">
        <f t="shared" si="141"/>
        <v>0</v>
      </c>
      <c r="AW44">
        <f t="shared" si="142"/>
        <v>0</v>
      </c>
      <c r="AX44" t="str">
        <f t="shared" si="24"/>
        <v/>
      </c>
      <c r="AY44">
        <f t="shared" si="143"/>
        <v>0</v>
      </c>
      <c r="AZ44">
        <f t="shared" si="144"/>
        <v>0</v>
      </c>
      <c r="BA44">
        <f t="shared" si="145"/>
        <v>0</v>
      </c>
      <c r="BB44">
        <f t="shared" si="146"/>
        <v>0</v>
      </c>
      <c r="BC44">
        <f t="shared" si="147"/>
        <v>0</v>
      </c>
      <c r="BD44">
        <f t="shared" si="148"/>
        <v>0</v>
      </c>
      <c r="BE44">
        <f t="shared" si="149"/>
        <v>0</v>
      </c>
      <c r="BF44">
        <f t="shared" si="167"/>
        <v>0</v>
      </c>
      <c r="BG44">
        <f>IF($AH$4=$CK$75,'S2'!T44,
IF($AH$4=$CL$75,'S3'!T44,
IF($AH$4=$CJ$75,'S1'!T44,
IF($AH$4=$CM$75,S3M!T44,))))</f>
        <v>10</v>
      </c>
      <c r="BH44">
        <f>IF($AH$4=$CK$75,'S2'!U44,
IF($AH$4=$CL$75,'S3'!U44,
IF($AH$4=$CJ$75,'S1'!U44,
IF($AH$4=$CM$75,S3M!U44,))))</f>
        <v>30</v>
      </c>
      <c r="BI44">
        <f>IF($AH$4=$CK$75,'S2'!V44,
IF($AH$4=$CL$75,'S3'!V44,
IF($AH$4=$CJ$75,'S1'!V44,
IF($AH$4=$CM$75,S3M!V44,))))</f>
        <v>60</v>
      </c>
      <c r="BJ44">
        <f>IF($AH$4=$CK$75,'S2'!W44,
IF($AH$4=$CL$75,'S3'!W44,
IF($AH$4=$CJ$75,'S1'!W44,
IF($AH$4=$CM$75,S3M!W44,))))</f>
        <v>8.9692307692307693</v>
      </c>
      <c r="BK44">
        <f>IF($AH$4=$CK$75,'S2'!X44,
IF($AH$4=$CL$75,'S3'!X44,
IF($AH$4=$CJ$75,'S1'!X44,
IF($AH$4=$CM$75,S3M!X44,))))</f>
        <v>33</v>
      </c>
      <c r="BL44">
        <f>IF($AH$4=$CK$75,'S2'!Y44,
IF($AH$4=$CL$75,'S3'!Y44,
IF($AH$4=$CJ$75,'S1'!Y44,
IF($AH$4=$CM$75,S3M!Y44,))))</f>
        <v>41</v>
      </c>
      <c r="BM44">
        <f>IF($AH$4=$CK$75,'S2'!Z44,
IF($AH$4=$CL$75,'S3'!Z44,
IF($AH$4=$CJ$75,'S1'!Z44,
IF($AH$4=$CM$75,S3M!Z44,))))</f>
        <v>110</v>
      </c>
      <c r="BN44">
        <f>IF($AH$4=$CK$75,'S2'!AA44,
IF($AH$4=$CL$75,'S3'!AA44,
IF($AH$4=$CJ$75,'S1'!AA44,
IF($AH$4=$CM$75,S3M!AA44,))))</f>
        <v>1.0920000000000001</v>
      </c>
      <c r="BO44">
        <f>IF($AH$4=$CK$75,'S2'!AB44,
IF($AH$4=$CL$75,'S3'!AB44,
IF($AH$4=$CJ$75,'S1'!AB44,
IF($AH$4=$CM$75,S3M!AB44,))))</f>
        <v>6.94</v>
      </c>
      <c r="BP44">
        <f>IF($AH$4=$CK$75,'S2'!AC44,
IF($AH$4=$CL$75,'S3'!AC44,
IF($AH$4=$CJ$75,'S1'!AC44,
IF($AH$4=$CM$75,S3M!AC44,))))</f>
        <v>0</v>
      </c>
      <c r="BQ44">
        <f t="shared" si="30"/>
        <v>58</v>
      </c>
      <c r="BR44">
        <f t="shared" si="31"/>
        <v>32</v>
      </c>
      <c r="BS44">
        <f t="shared" si="32"/>
        <v>0</v>
      </c>
      <c r="BT44">
        <f t="shared" si="33"/>
        <v>0</v>
      </c>
      <c r="BU44">
        <f t="shared" si="34"/>
        <v>0</v>
      </c>
      <c r="BV44">
        <f t="shared" si="35"/>
        <v>0</v>
      </c>
      <c r="BW44">
        <f t="shared" si="36"/>
        <v>90</v>
      </c>
      <c r="BX44">
        <f t="shared" si="37"/>
        <v>0</v>
      </c>
      <c r="BY44">
        <f t="shared" si="38"/>
        <v>0</v>
      </c>
      <c r="BZ44">
        <f t="shared" si="39"/>
        <v>0</v>
      </c>
      <c r="CA44">
        <f t="shared" si="40"/>
        <v>0</v>
      </c>
      <c r="CB44">
        <f t="shared" si="41"/>
        <v>0</v>
      </c>
      <c r="CC44">
        <f t="shared" si="42"/>
        <v>0</v>
      </c>
      <c r="CD44">
        <f t="shared" si="43"/>
        <v>80</v>
      </c>
      <c r="CE44">
        <f t="shared" si="44"/>
        <v>0</v>
      </c>
      <c r="CF44">
        <f t="shared" si="45"/>
        <v>0</v>
      </c>
      <c r="CG44">
        <f t="shared" si="46"/>
        <v>46.2</v>
      </c>
      <c r="CH44">
        <f t="shared" si="47"/>
        <v>17.600000000000001</v>
      </c>
      <c r="CI44">
        <f t="shared" si="48"/>
        <v>0</v>
      </c>
      <c r="CJ44">
        <f t="shared" si="49"/>
        <v>0</v>
      </c>
      <c r="CK44">
        <f t="shared" si="50"/>
        <v>0</v>
      </c>
      <c r="CL44">
        <f t="shared" si="51"/>
        <v>0</v>
      </c>
      <c r="CM44">
        <f t="shared" si="52"/>
        <v>0</v>
      </c>
      <c r="CN44">
        <f t="shared" si="53"/>
        <v>0</v>
      </c>
      <c r="CO44">
        <f t="shared" si="54"/>
        <v>0</v>
      </c>
      <c r="CP44" t="str">
        <f t="shared" si="19"/>
        <v/>
      </c>
      <c r="CQ44">
        <f t="shared" si="55"/>
        <v>0</v>
      </c>
      <c r="CR44" t="str">
        <f t="shared" si="56"/>
        <v/>
      </c>
      <c r="CS44">
        <f t="shared" si="57"/>
        <v>0</v>
      </c>
      <c r="CT44">
        <f t="shared" si="58"/>
        <v>0</v>
      </c>
      <c r="CU44">
        <f t="shared" si="59"/>
        <v>0</v>
      </c>
      <c r="CV44">
        <f t="shared" si="60"/>
        <v>203.7166666666667</v>
      </c>
      <c r="CW44">
        <f t="shared" si="61"/>
        <v>210</v>
      </c>
      <c r="CX44">
        <f t="shared" si="62"/>
        <v>120</v>
      </c>
      <c r="CY44">
        <f t="shared" si="63"/>
        <v>0</v>
      </c>
      <c r="CZ44">
        <f t="shared" si="64"/>
        <v>0</v>
      </c>
      <c r="DA44">
        <f t="shared" si="65"/>
        <v>0</v>
      </c>
      <c r="DB44">
        <f t="shared" si="66"/>
        <v>0</v>
      </c>
      <c r="DC44" t="str">
        <f t="shared" si="67"/>
        <v/>
      </c>
      <c r="DD44">
        <f t="shared" si="68"/>
        <v>0</v>
      </c>
      <c r="DE44">
        <f t="shared" si="69"/>
        <v>0</v>
      </c>
      <c r="DF44">
        <f t="shared" si="70"/>
        <v>12.15</v>
      </c>
      <c r="DG44">
        <f t="shared" si="71"/>
        <v>0</v>
      </c>
      <c r="DH44">
        <f t="shared" si="72"/>
        <v>0</v>
      </c>
      <c r="DI44">
        <f t="shared" si="26"/>
        <v>0</v>
      </c>
      <c r="DJ44"/>
      <c r="DK44"/>
      <c r="DL44">
        <f t="shared" si="73"/>
        <v>0</v>
      </c>
      <c r="DM44">
        <f t="shared" si="74"/>
        <v>0</v>
      </c>
      <c r="DN44">
        <f t="shared" si="75"/>
        <v>0</v>
      </c>
      <c r="DO44" t="e">
        <f t="shared" si="76"/>
        <v>#N/A</v>
      </c>
      <c r="DP44">
        <f t="shared" si="77"/>
        <v>0</v>
      </c>
      <c r="DQ44" t="e">
        <f t="shared" si="78"/>
        <v>#N/A</v>
      </c>
      <c r="DR44" t="e">
        <f t="shared" si="79"/>
        <v>#N/A</v>
      </c>
      <c r="DS44">
        <f t="shared" si="80"/>
        <v>0</v>
      </c>
      <c r="DT44">
        <f t="shared" si="81"/>
        <v>0</v>
      </c>
      <c r="DU44">
        <f t="shared" si="82"/>
        <v>0</v>
      </c>
      <c r="DV44">
        <f t="shared" si="27"/>
        <v>0</v>
      </c>
      <c r="DW44">
        <f t="shared" si="83"/>
        <v>0</v>
      </c>
      <c r="DX44">
        <f t="shared" si="84"/>
        <v>0</v>
      </c>
      <c r="DY44">
        <f t="shared" si="85"/>
        <v>0</v>
      </c>
      <c r="DZ44">
        <f t="shared" si="86"/>
        <v>0</v>
      </c>
      <c r="EA44">
        <f t="shared" si="87"/>
        <v>0</v>
      </c>
      <c r="EB44">
        <f t="shared" si="88"/>
        <v>0</v>
      </c>
      <c r="EC44">
        <f t="shared" si="89"/>
        <v>0</v>
      </c>
      <c r="ED44">
        <f t="shared" si="90"/>
        <v>0</v>
      </c>
      <c r="EE44">
        <f t="shared" si="91"/>
        <v>0</v>
      </c>
      <c r="EF44">
        <f t="shared" si="92"/>
        <v>0</v>
      </c>
      <c r="EG44">
        <f t="shared" si="93"/>
        <v>0</v>
      </c>
      <c r="EH44">
        <f t="shared" si="28"/>
        <v>0</v>
      </c>
      <c r="EI44">
        <f t="shared" si="94"/>
        <v>-70</v>
      </c>
      <c r="EJ44">
        <f t="shared" si="95"/>
        <v>0</v>
      </c>
      <c r="EK44">
        <f t="shared" si="96"/>
        <v>0</v>
      </c>
      <c r="EL44">
        <f t="shared" si="97"/>
        <v>0</v>
      </c>
      <c r="EM44" t="e">
        <f t="shared" si="98"/>
        <v>#DIV/0!</v>
      </c>
      <c r="EN44">
        <f t="shared" si="99"/>
        <v>0</v>
      </c>
      <c r="EO44" t="str">
        <f t="shared" si="100"/>
        <v>üh</v>
      </c>
      <c r="EP44">
        <f t="shared" si="101"/>
        <v>0</v>
      </c>
      <c r="EQ44">
        <f t="shared" si="102"/>
        <v>0</v>
      </c>
      <c r="ER44">
        <f t="shared" si="103"/>
        <v>0</v>
      </c>
      <c r="ES44">
        <f t="shared" si="104"/>
        <v>0</v>
      </c>
      <c r="ET44">
        <f t="shared" si="105"/>
        <v>0</v>
      </c>
      <c r="EU44">
        <f t="shared" si="106"/>
        <v>0</v>
      </c>
      <c r="EV44">
        <f t="shared" si="107"/>
        <v>0</v>
      </c>
      <c r="EW44">
        <f t="shared" si="108"/>
        <v>0</v>
      </c>
      <c r="EX44">
        <f t="shared" si="109"/>
        <v>0</v>
      </c>
      <c r="EY44">
        <f t="shared" si="110"/>
        <v>0</v>
      </c>
      <c r="EZ44">
        <f t="shared" si="111"/>
        <v>0</v>
      </c>
      <c r="FA44">
        <f t="shared" si="112"/>
        <v>0</v>
      </c>
      <c r="FB44" t="str">
        <f t="shared" si="113"/>
        <v/>
      </c>
      <c r="FC44" t="str">
        <f t="shared" si="114"/>
        <v/>
      </c>
      <c r="FD44" t="str">
        <f>IF(AS44+E44=0,"",IF(SUM(L44:M44)=2,IF(SUM(N44+O44+BC44+BD44)=2,"",Sprache!$B$107),Sprache!$B$107))</f>
        <v/>
      </c>
      <c r="FE44" t="str">
        <f t="shared" si="115"/>
        <v/>
      </c>
      <c r="FF44" t="str">
        <f t="shared" si="116"/>
        <v/>
      </c>
      <c r="FG44" t="str">
        <f t="shared" si="117"/>
        <v/>
      </c>
      <c r="FH44" t="str">
        <f t="shared" ca="1" si="118"/>
        <v/>
      </c>
      <c r="FI44" t="str">
        <f t="shared" si="119"/>
        <v/>
      </c>
      <c r="FJ44" t="str">
        <f t="shared" si="120"/>
        <v/>
      </c>
      <c r="FK44" t="str">
        <f t="shared" si="121"/>
        <v/>
      </c>
      <c r="FL44" t="str">
        <f t="shared" si="122"/>
        <v/>
      </c>
      <c r="FM44" t="str">
        <f t="shared" si="123"/>
        <v/>
      </c>
      <c r="FN44" t="str">
        <f t="shared" si="124"/>
        <v/>
      </c>
      <c r="FO44" t="str">
        <f t="shared" si="125"/>
        <v/>
      </c>
      <c r="FP44" t="str">
        <f t="shared" si="126"/>
        <v/>
      </c>
      <c r="FQ44" t="str">
        <f>IF(AO44="","",IF(DK204=0,Sprache!$B$65&amp;" ?",IF(CH204="?",$FQ$4,"")))</f>
        <v/>
      </c>
      <c r="FR44" t="str">
        <f t="shared" si="127"/>
        <v/>
      </c>
      <c r="FS44" t="str">
        <f t="shared" si="128"/>
        <v/>
      </c>
      <c r="FT44" t="str">
        <f t="shared" si="129"/>
        <v/>
      </c>
      <c r="FU44"/>
      <c r="FV44" t="str">
        <f ca="1">IF(TODAY()=$A$3,"",IF(TODAY()&gt;DATE(2018,7,1),CONCATENATE(Sprache!$B$89),""))</f>
        <v>outdated version</v>
      </c>
      <c r="FW44" t="str">
        <f t="shared" ca="1" si="130"/>
        <v>outdated version</v>
      </c>
      <c r="FX44" t="str">
        <f t="shared" ca="1" si="131"/>
        <v>outdated version</v>
      </c>
      <c r="FY44" t="str">
        <f t="shared" ca="1" si="132"/>
        <v/>
      </c>
      <c r="FZ44"/>
      <c r="GA44" s="407">
        <f t="shared" si="133"/>
        <v>0</v>
      </c>
      <c r="GB44" s="405"/>
      <c r="GC44" s="405"/>
      <c r="GD44" s="406"/>
      <c r="GE44" s="407">
        <f t="shared" si="134"/>
        <v>0</v>
      </c>
      <c r="GF44" s="405"/>
      <c r="GG44" s="404"/>
      <c r="GH44" s="406"/>
    </row>
    <row r="45" spans="1:256" s="243" customFormat="1" ht="14.25" customHeight="1" x14ac:dyDescent="0.2">
      <c r="A45" s="220"/>
      <c r="B45" s="221"/>
      <c r="C45" s="222"/>
      <c r="D45" s="223">
        <f t="shared" si="20"/>
        <v>0</v>
      </c>
      <c r="E45" s="223">
        <f t="shared" si="21"/>
        <v>0</v>
      </c>
      <c r="F45" s="224"/>
      <c r="G45" s="225"/>
      <c r="H45" s="225"/>
      <c r="I45" s="272"/>
      <c r="J45" s="264"/>
      <c r="K45" s="226"/>
      <c r="L45" s="227">
        <v>1</v>
      </c>
      <c r="M45" s="228">
        <f t="shared" si="150"/>
        <v>1</v>
      </c>
      <c r="N45" s="229">
        <f t="shared" si="151"/>
        <v>2</v>
      </c>
      <c r="O45" s="230"/>
      <c r="P45" s="231"/>
      <c r="Q45" s="232"/>
      <c r="R45" s="233">
        <f t="shared" si="152"/>
        <v>0</v>
      </c>
      <c r="S45" s="233">
        <f t="shared" si="153"/>
        <v>0</v>
      </c>
      <c r="T45" s="245">
        <f t="shared" si="154"/>
        <v>0</v>
      </c>
      <c r="U45" s="234"/>
      <c r="V45" s="270"/>
      <c r="W45" s="267"/>
      <c r="X45" s="235">
        <f t="shared" si="155"/>
        <v>0</v>
      </c>
      <c r="Y45" s="236" t="str">
        <f t="shared" si="156"/>
        <v/>
      </c>
      <c r="Z45" s="237">
        <f t="shared" si="157"/>
        <v>0</v>
      </c>
      <c r="AA45" s="238">
        <f t="shared" si="158"/>
        <v>0</v>
      </c>
      <c r="AB45" s="239" t="str">
        <f t="shared" si="159"/>
        <v/>
      </c>
      <c r="AC45" s="240" t="str">
        <f t="shared" ca="1" si="160"/>
        <v/>
      </c>
      <c r="AD45" s="394" t="str">
        <f t="shared" ca="1" si="161"/>
        <v/>
      </c>
      <c r="AE45" s="241" t="str">
        <f>IF(AO45="","",IFERROR(IF(ELEMENT!$CH$78=ELEMENT!$CM$63,(AC45/AA45/10.75),(AC45/AA45)),""))</f>
        <v/>
      </c>
      <c r="AF45" s="241" t="str">
        <f t="shared" si="162"/>
        <v/>
      </c>
      <c r="AG45" s="238" t="str">
        <f t="shared" si="163"/>
        <v/>
      </c>
      <c r="AH45" s="242" t="str">
        <f t="shared" si="164"/>
        <v/>
      </c>
      <c r="AI45" s="192"/>
      <c r="AJ45" s="274"/>
      <c r="AK45"/>
      <c r="AL45"/>
      <c r="AM45">
        <f t="shared" si="135"/>
        <v>0</v>
      </c>
      <c r="AN45" t="str">
        <f t="shared" si="136"/>
        <v/>
      </c>
      <c r="AO45" t="str">
        <f t="shared" si="137"/>
        <v/>
      </c>
      <c r="AP45" t="str">
        <f t="shared" si="138"/>
        <v/>
      </c>
      <c r="AQ45">
        <f t="shared" si="22"/>
        <v>0</v>
      </c>
      <c r="AR45">
        <f t="shared" si="139"/>
        <v>2</v>
      </c>
      <c r="AS45">
        <f t="shared" si="29"/>
        <v>0</v>
      </c>
      <c r="AT45">
        <f t="shared" si="23"/>
        <v>0</v>
      </c>
      <c r="AU45">
        <f t="shared" si="140"/>
        <v>0</v>
      </c>
      <c r="AV45">
        <f t="shared" si="141"/>
        <v>0</v>
      </c>
      <c r="AW45">
        <f t="shared" si="142"/>
        <v>0</v>
      </c>
      <c r="AX45" t="str">
        <f t="shared" si="24"/>
        <v/>
      </c>
      <c r="AY45">
        <f t="shared" si="143"/>
        <v>0</v>
      </c>
      <c r="AZ45">
        <f t="shared" si="144"/>
        <v>0</v>
      </c>
      <c r="BA45">
        <f t="shared" si="145"/>
        <v>0</v>
      </c>
      <c r="BB45">
        <f t="shared" si="146"/>
        <v>0</v>
      </c>
      <c r="BC45">
        <f t="shared" si="147"/>
        <v>0</v>
      </c>
      <c r="BD45">
        <f t="shared" si="148"/>
        <v>0</v>
      </c>
      <c r="BE45">
        <f t="shared" si="149"/>
        <v>0</v>
      </c>
      <c r="BF45">
        <f t="shared" si="167"/>
        <v>0</v>
      </c>
      <c r="BG45">
        <f>IF($AH$4=$CK$75,'S2'!T45,
IF($AH$4=$CL$75,'S3'!T45,
IF($AH$4=$CJ$75,'S1'!T45,
IF($AH$4=$CM$75,S3M!T45,))))</f>
        <v>40</v>
      </c>
      <c r="BH45">
        <f>IF($AH$4=$CK$75,'S2'!U45,
IF($AH$4=$CL$75,'S3'!U45,
IF($AH$4=$CJ$75,'S1'!U45,
IF($AH$4=$CM$75,S3M!U45,))))</f>
        <v>45</v>
      </c>
      <c r="BI45">
        <f>IF($AH$4=$CK$75,'S2'!V45,
IF($AH$4=$CL$75,'S3'!V45,
IF($AH$4=$CJ$75,'S1'!V45,
IF($AH$4=$CM$75,S3M!V45,))))</f>
        <v>90</v>
      </c>
      <c r="BJ45">
        <f>IF($AH$4=$CK$75,'S2'!W45,
IF($AH$4=$CL$75,'S3'!W45,
IF($AH$4=$CJ$75,'S1'!W45,
IF($AH$4=$CM$75,S3M!W45,))))</f>
        <v>22</v>
      </c>
      <c r="BK45">
        <f>IF($AH$4=$CK$75,'S2'!X45,
IF($AH$4=$CL$75,'S3'!X45,
IF($AH$4=$CJ$75,'S1'!X45,
IF($AH$4=$CM$75,S3M!X45,))))</f>
        <v>11</v>
      </c>
      <c r="BL45">
        <f>IF($AH$4=$CK$75,'S2'!Y45,
IF($AH$4=$CL$75,'S3'!Y45,
IF($AH$4=$CJ$75,'S1'!Y45,
IF($AH$4=$CM$75,S3M!Y45,))))</f>
        <v>13</v>
      </c>
      <c r="BM45">
        <f>IF($AH$4=$CK$75,'S2'!Z45,
IF($AH$4=$CL$75,'S3'!Z45,
IF($AH$4=$CJ$75,'S1'!Z45,
IF($AH$4=$CM$75,S3M!Z45,))))</f>
        <v>26</v>
      </c>
      <c r="BN45">
        <f>IF($AH$4=$CK$75,'S2'!AA45,
IF($AH$4=$CL$75,'S3'!AA45,
IF($AH$4=$CJ$75,'S1'!AA45,
IF($AH$4=$CM$75,S3M!AA45,))))</f>
        <v>0</v>
      </c>
      <c r="BO45">
        <f>IF($AH$4=$CK$75,'S2'!AB45,
IF($AH$4=$CL$75,'S3'!AB45,
IF($AH$4=$CJ$75,'S1'!AB45,
IF($AH$4=$CM$75,S3M!AB45,))))</f>
        <v>0.36</v>
      </c>
      <c r="BP45">
        <f>IF($AH$4=$CK$75,'S2'!AC45,
IF($AH$4=$CL$75,'S3'!AC45,
IF($AH$4=$CJ$75,'S1'!AC45,
IF($AH$4=$CM$75,S3M!AC45,))))</f>
        <v>0</v>
      </c>
      <c r="BQ45">
        <f t="shared" si="30"/>
        <v>58</v>
      </c>
      <c r="BR45">
        <f t="shared" si="31"/>
        <v>32</v>
      </c>
      <c r="BS45">
        <f t="shared" si="32"/>
        <v>0</v>
      </c>
      <c r="BT45">
        <f t="shared" si="33"/>
        <v>0</v>
      </c>
      <c r="BU45">
        <f t="shared" si="34"/>
        <v>0</v>
      </c>
      <c r="BV45">
        <f t="shared" si="35"/>
        <v>0</v>
      </c>
      <c r="BW45">
        <f t="shared" si="36"/>
        <v>90</v>
      </c>
      <c r="BX45">
        <f t="shared" si="37"/>
        <v>0</v>
      </c>
      <c r="BY45">
        <f t="shared" si="38"/>
        <v>0</v>
      </c>
      <c r="BZ45">
        <f t="shared" si="39"/>
        <v>0</v>
      </c>
      <c r="CA45">
        <f t="shared" si="40"/>
        <v>0</v>
      </c>
      <c r="CB45">
        <f t="shared" si="41"/>
        <v>0</v>
      </c>
      <c r="CC45">
        <f t="shared" si="42"/>
        <v>0</v>
      </c>
      <c r="CD45">
        <f t="shared" si="43"/>
        <v>80</v>
      </c>
      <c r="CE45">
        <f t="shared" si="44"/>
        <v>0</v>
      </c>
      <c r="CF45">
        <f t="shared" si="45"/>
        <v>0</v>
      </c>
      <c r="CG45">
        <f t="shared" si="46"/>
        <v>46.2</v>
      </c>
      <c r="CH45">
        <f t="shared" si="47"/>
        <v>17.600000000000001</v>
      </c>
      <c r="CI45">
        <f t="shared" si="48"/>
        <v>0</v>
      </c>
      <c r="CJ45">
        <f t="shared" si="49"/>
        <v>0</v>
      </c>
      <c r="CK45">
        <f t="shared" si="50"/>
        <v>0</v>
      </c>
      <c r="CL45">
        <f t="shared" si="51"/>
        <v>0</v>
      </c>
      <c r="CM45">
        <f t="shared" si="52"/>
        <v>0</v>
      </c>
      <c r="CN45">
        <f t="shared" si="53"/>
        <v>0</v>
      </c>
      <c r="CO45">
        <f t="shared" si="54"/>
        <v>0</v>
      </c>
      <c r="CP45" t="str">
        <f t="shared" si="19"/>
        <v/>
      </c>
      <c r="CQ45">
        <f t="shared" si="55"/>
        <v>0</v>
      </c>
      <c r="CR45" t="str">
        <f t="shared" si="56"/>
        <v/>
      </c>
      <c r="CS45">
        <f t="shared" si="57"/>
        <v>0</v>
      </c>
      <c r="CT45">
        <f t="shared" si="58"/>
        <v>0</v>
      </c>
      <c r="CU45">
        <f t="shared" si="59"/>
        <v>0</v>
      </c>
      <c r="CV45">
        <f t="shared" si="60"/>
        <v>203.7166666666667</v>
      </c>
      <c r="CW45">
        <f t="shared" si="61"/>
        <v>210</v>
      </c>
      <c r="CX45">
        <f t="shared" si="62"/>
        <v>120</v>
      </c>
      <c r="CY45">
        <f t="shared" si="63"/>
        <v>0</v>
      </c>
      <c r="CZ45">
        <f t="shared" si="64"/>
        <v>0</v>
      </c>
      <c r="DA45">
        <f t="shared" si="65"/>
        <v>0</v>
      </c>
      <c r="DB45">
        <f t="shared" si="66"/>
        <v>0</v>
      </c>
      <c r="DC45" t="str">
        <f t="shared" si="67"/>
        <v/>
      </c>
      <c r="DD45">
        <f t="shared" si="68"/>
        <v>0</v>
      </c>
      <c r="DE45">
        <f t="shared" si="69"/>
        <v>0</v>
      </c>
      <c r="DF45">
        <f t="shared" si="70"/>
        <v>12.15</v>
      </c>
      <c r="DG45">
        <f t="shared" si="71"/>
        <v>0</v>
      </c>
      <c r="DH45">
        <f t="shared" si="72"/>
        <v>0</v>
      </c>
      <c r="DI45">
        <f t="shared" si="26"/>
        <v>0</v>
      </c>
      <c r="DJ45"/>
      <c r="DK45"/>
      <c r="DL45">
        <f t="shared" si="73"/>
        <v>0</v>
      </c>
      <c r="DM45">
        <f t="shared" si="74"/>
        <v>0</v>
      </c>
      <c r="DN45">
        <f t="shared" si="75"/>
        <v>0</v>
      </c>
      <c r="DO45" t="e">
        <f t="shared" si="76"/>
        <v>#N/A</v>
      </c>
      <c r="DP45">
        <f t="shared" si="77"/>
        <v>0</v>
      </c>
      <c r="DQ45" t="e">
        <f t="shared" si="78"/>
        <v>#N/A</v>
      </c>
      <c r="DR45" t="e">
        <f t="shared" si="79"/>
        <v>#N/A</v>
      </c>
      <c r="DS45">
        <f t="shared" si="80"/>
        <v>0</v>
      </c>
      <c r="DT45">
        <f t="shared" si="81"/>
        <v>0</v>
      </c>
      <c r="DU45">
        <f t="shared" si="82"/>
        <v>0</v>
      </c>
      <c r="DV45">
        <f t="shared" si="27"/>
        <v>0</v>
      </c>
      <c r="DW45">
        <f t="shared" si="83"/>
        <v>0</v>
      </c>
      <c r="DX45">
        <f t="shared" si="84"/>
        <v>0</v>
      </c>
      <c r="DY45">
        <f t="shared" si="85"/>
        <v>0</v>
      </c>
      <c r="DZ45">
        <f t="shared" si="86"/>
        <v>0</v>
      </c>
      <c r="EA45">
        <f t="shared" si="87"/>
        <v>0</v>
      </c>
      <c r="EB45">
        <f t="shared" si="88"/>
        <v>0</v>
      </c>
      <c r="EC45">
        <f t="shared" si="89"/>
        <v>0</v>
      </c>
      <c r="ED45">
        <f t="shared" si="90"/>
        <v>0</v>
      </c>
      <c r="EE45">
        <f t="shared" si="91"/>
        <v>0</v>
      </c>
      <c r="EF45">
        <f t="shared" si="92"/>
        <v>0</v>
      </c>
      <c r="EG45">
        <f t="shared" si="93"/>
        <v>0</v>
      </c>
      <c r="EH45">
        <f t="shared" si="28"/>
        <v>0</v>
      </c>
      <c r="EI45">
        <f t="shared" si="94"/>
        <v>-70</v>
      </c>
      <c r="EJ45">
        <f t="shared" si="95"/>
        <v>0</v>
      </c>
      <c r="EK45">
        <f t="shared" si="96"/>
        <v>0</v>
      </c>
      <c r="EL45">
        <f t="shared" si="97"/>
        <v>0</v>
      </c>
      <c r="EM45" t="e">
        <f t="shared" si="98"/>
        <v>#DIV/0!</v>
      </c>
      <c r="EN45">
        <f t="shared" si="99"/>
        <v>0</v>
      </c>
      <c r="EO45" t="str">
        <f t="shared" si="100"/>
        <v>üh</v>
      </c>
      <c r="EP45">
        <f t="shared" si="101"/>
        <v>0</v>
      </c>
      <c r="EQ45">
        <f t="shared" si="102"/>
        <v>0</v>
      </c>
      <c r="ER45">
        <f t="shared" si="103"/>
        <v>0</v>
      </c>
      <c r="ES45">
        <f t="shared" si="104"/>
        <v>0</v>
      </c>
      <c r="ET45">
        <f t="shared" si="105"/>
        <v>0</v>
      </c>
      <c r="EU45">
        <f t="shared" si="106"/>
        <v>0</v>
      </c>
      <c r="EV45">
        <f t="shared" si="107"/>
        <v>0</v>
      </c>
      <c r="EW45">
        <f t="shared" si="108"/>
        <v>0</v>
      </c>
      <c r="EX45">
        <f t="shared" si="109"/>
        <v>0</v>
      </c>
      <c r="EY45">
        <f t="shared" si="110"/>
        <v>0</v>
      </c>
      <c r="EZ45">
        <f t="shared" si="111"/>
        <v>0</v>
      </c>
      <c r="FA45">
        <f t="shared" si="112"/>
        <v>0</v>
      </c>
      <c r="FB45" t="str">
        <f t="shared" si="113"/>
        <v/>
      </c>
      <c r="FC45" t="str">
        <f t="shared" si="114"/>
        <v/>
      </c>
      <c r="FD45" t="str">
        <f>IF(AS45+E45=0,"",IF(SUM(L45:M45)=2,IF(SUM(N45+O45+BC45+BD45)=2,"",Sprache!$B$107),Sprache!$B$107))</f>
        <v/>
      </c>
      <c r="FE45" t="str">
        <f t="shared" si="115"/>
        <v/>
      </c>
      <c r="FF45" t="str">
        <f t="shared" si="116"/>
        <v/>
      </c>
      <c r="FG45" t="str">
        <f t="shared" si="117"/>
        <v/>
      </c>
      <c r="FH45" t="str">
        <f t="shared" ca="1" si="118"/>
        <v/>
      </c>
      <c r="FI45" t="str">
        <f t="shared" si="119"/>
        <v/>
      </c>
      <c r="FJ45" t="str">
        <f t="shared" si="120"/>
        <v/>
      </c>
      <c r="FK45" t="str">
        <f t="shared" si="121"/>
        <v/>
      </c>
      <c r="FL45" t="str">
        <f t="shared" si="122"/>
        <v/>
      </c>
      <c r="FM45" t="str">
        <f t="shared" si="123"/>
        <v/>
      </c>
      <c r="FN45" t="str">
        <f t="shared" si="124"/>
        <v/>
      </c>
      <c r="FO45" t="str">
        <f t="shared" si="125"/>
        <v/>
      </c>
      <c r="FP45" t="str">
        <f t="shared" si="126"/>
        <v/>
      </c>
      <c r="FQ45" t="str">
        <f>IF(AO45="","",IF(DK205=0,Sprache!$B$65&amp;" ?",IF(CH205="?",$FQ$4,"")))</f>
        <v/>
      </c>
      <c r="FR45" t="str">
        <f t="shared" si="127"/>
        <v/>
      </c>
      <c r="FS45" t="str">
        <f t="shared" si="128"/>
        <v/>
      </c>
      <c r="FT45" t="str">
        <f t="shared" si="129"/>
        <v/>
      </c>
      <c r="FU45"/>
      <c r="FV45" t="str">
        <f ca="1">IF(TODAY()=$A$3,"",IF(TODAY()&gt;DATE(2018,7,1),CONCATENATE(Sprache!$B$89),""))</f>
        <v>outdated version</v>
      </c>
      <c r="FW45" t="str">
        <f t="shared" ca="1" si="130"/>
        <v>outdated version</v>
      </c>
      <c r="FX45" t="str">
        <f t="shared" ca="1" si="131"/>
        <v>outdated version</v>
      </c>
      <c r="FY45" t="str">
        <f t="shared" ca="1" si="132"/>
        <v/>
      </c>
      <c r="FZ45"/>
      <c r="GA45" s="407">
        <f t="shared" si="133"/>
        <v>0</v>
      </c>
      <c r="GB45" s="405"/>
      <c r="GC45" s="405"/>
      <c r="GD45" s="406"/>
      <c r="GE45" s="407">
        <f t="shared" si="134"/>
        <v>0</v>
      </c>
      <c r="GF45" s="405"/>
      <c r="GG45" s="404"/>
      <c r="GH45" s="406"/>
    </row>
    <row r="46" spans="1:256" s="1" customFormat="1" ht="14.25" customHeight="1" x14ac:dyDescent="0.2">
      <c r="A46" s="27"/>
      <c r="B46" s="47" t="str">
        <f>Sprache!B144</f>
        <v>total</v>
      </c>
      <c r="C46" s="32">
        <f>SUM(C5:C45)</f>
        <v>0</v>
      </c>
      <c r="D46" s="33" t="str">
        <f ca="1">CONCATENATE(IF(A3=TODAY(),"!!! Fehlerwarnung unterdrückt !!!",""),
IF($FW$1=1,"!!! ohne Fehlerkontrolle  !!!",""),
FW46,
IF(FV1-TODAY()&lt;30,FV2,""))</f>
        <v>outdated versionoutdated versionoutdated versionoutdated versionoutdated versionoutdated versionoutdated versionoutdated versionoutdated versionoutdated versionoutdated versionoutdated versionoutdated versionoutdated versionoutdated versionoutdated versionoutdated versionoutdated versionoutdated versionoutdated versionoutdated versionoutdated versionoutdated versionoutdated versionoutdated versionoutdated version</v>
      </c>
      <c r="E46" s="33"/>
      <c r="F46" s="28"/>
      <c r="G46" s="28"/>
      <c r="H46" s="28"/>
      <c r="I46" s="28"/>
      <c r="J46" s="28"/>
      <c r="K46" s="28"/>
      <c r="L46" s="28"/>
      <c r="M46" s="28"/>
      <c r="N46" s="28"/>
      <c r="O46" s="28"/>
      <c r="P46" s="28"/>
      <c r="Q46" s="415"/>
      <c r="R46" s="28"/>
      <c r="S46" s="28"/>
      <c r="T46" s="28"/>
      <c r="U46" s="28"/>
      <c r="V46" s="28"/>
      <c r="W46" s="28"/>
      <c r="X46" s="28">
        <f>SUM(X5:X45)</f>
        <v>0</v>
      </c>
      <c r="Y46" s="28"/>
      <c r="Z46" s="30">
        <f>SUM(Z5:Z45)</f>
        <v>0</v>
      </c>
      <c r="AA46" s="28"/>
      <c r="AB46" s="29">
        <f>SUM(AB5:AB45)</f>
        <v>0</v>
      </c>
      <c r="AC46" s="402">
        <f ca="1">AD46</f>
        <v>0</v>
      </c>
      <c r="AD46" s="395">
        <f ca="1">SUM(AD5:AD45)</f>
        <v>0</v>
      </c>
      <c r="AE46" s="30" t="str">
        <f>IF(AB46=0,"",
IF(ELEMENT!$CH$78=ELEMENT!$CM$63,
SUM(AD46/AB46/10.75),
SUM(AD46/AB46)))</f>
        <v/>
      </c>
      <c r="AF46" s="28"/>
      <c r="AG46" s="31"/>
      <c r="AH46" s="390" t="str">
        <f>"Incoterms: "&amp;HLOOKUP($CH$78,$CJ$80:$CR$83,4,FALSE)</f>
        <v>Incoterms: FCA</v>
      </c>
      <c r="AI46" s="34"/>
      <c r="AJ46" s="274"/>
      <c r="AK46"/>
      <c r="AL46"/>
      <c r="AM46"/>
      <c r="AN46"/>
      <c r="AO46"/>
      <c r="AP46" t="str">
        <f>IF(W46="RC2",2,
IF(W46="RCOG",1,""))</f>
        <v/>
      </c>
      <c r="AQ46"/>
      <c r="AR46"/>
      <c r="AS46"/>
      <c r="AT46"/>
      <c r="AU46"/>
      <c r="AV46"/>
      <c r="AW46"/>
      <c r="AX46"/>
      <c r="AY46"/>
      <c r="AZ46"/>
      <c r="BA46"/>
      <c r="BB46"/>
      <c r="BC46"/>
      <c r="BD46"/>
      <c r="BE46"/>
      <c r="BF46">
        <f t="shared" si="167"/>
        <v>0</v>
      </c>
      <c r="BG46">
        <f>IF($AH$4=$CK$75,'S2'!T46,
IF($AH$4=$CL$75,'S3'!T46,
IF($AH$4=$CJ$75,'S1'!T46,
IF($AH$4=$CM$75,S3M!T46,))))</f>
        <v>10</v>
      </c>
      <c r="BH46">
        <f>IF($AH$4=$CK$75,'S2'!U46,
IF($AH$4=$CL$75,'S3'!U46,
IF($AH$4=$CJ$75,'S1'!U46,
IF($AH$4=$CM$75,S3M!U46,))))</f>
        <v>30</v>
      </c>
      <c r="BI46">
        <f>IF($AH$4=$CK$75,'S2'!V46,
IF($AH$4=$CL$75,'S3'!V46,
IF($AH$4=$CJ$75,'S1'!V46,
IF($AH$4=$CM$75,S3M!V46,))))</f>
        <v>60</v>
      </c>
      <c r="BJ46">
        <f>IF($AH$4=$CK$75,'S2'!W46,
IF($AH$4=$CL$75,'S3'!W46,
IF($AH$4=$CJ$75,'S1'!W46,
IF($AH$4=$CM$75,S3M!W46,))))</f>
        <v>7.6153846153846159</v>
      </c>
      <c r="BK46">
        <f>IF($AH$4=$CK$75,'S2'!X46,
IF($AH$4=$CL$75,'S3'!X46,
IF($AH$4=$CJ$75,'S1'!X46,
IF($AH$4=$CM$75,S3M!X46,))))</f>
        <v>8.8000000000000007</v>
      </c>
      <c r="BL46">
        <f>IF($AH$4=$CK$75,'S2'!Y46,
IF($AH$4=$CL$75,'S3'!Y46,
IF($AH$4=$CJ$75,'S1'!Y46,
IF($AH$4=$CM$75,S3M!Y46,))))</f>
        <v>16</v>
      </c>
      <c r="BM46">
        <f>IF($AH$4=$CK$75,'S2'!Z46,
IF($AH$4=$CL$75,'S3'!Z46,
IF($AH$4=$CJ$75,'S1'!Z46,
IF($AH$4=$CM$75,S3M!Z46,))))</f>
        <v>49.5</v>
      </c>
      <c r="BN46">
        <f>IF($AH$4=$CK$75,'S2'!AA46,
IF($AH$4=$CL$75,'S3'!AA46,
IF($AH$4=$CJ$75,'S1'!AA46,
IF($AH$4=$CM$75,S3M!AA46,))))</f>
        <v>0.71099999999999997</v>
      </c>
      <c r="BO46">
        <f>IF($AH$4=$CK$75,'S2'!AB46,
IF($AH$4=$CL$75,'S3'!AB46,
IF($AH$4=$CJ$75,'S1'!AB46,
IF($AH$4=$CM$75,S3M!AB46,))))</f>
        <v>2.5499999999999998</v>
      </c>
      <c r="BP46">
        <f>IF($AH$4=$CK$75,'S2'!AC46,
IF($AH$4=$CL$75,'S3'!AC46,
IF($AH$4=$CJ$75,'S1'!AC46,
IF($AH$4=$CM$75,S3M!AC46,))))</f>
        <v>110</v>
      </c>
      <c r="BQ46">
        <f>IF($AH$4=$CJ$75,'S2'!AD46,
IF($AH$4=$CK$75,'S2'!AD46,
IF($AH$4=$CL$75,'S3'!AD46,)))</f>
        <v>45</v>
      </c>
      <c r="BR46"/>
      <c r="BS46"/>
      <c r="BT46"/>
      <c r="BU46"/>
      <c r="BV46"/>
      <c r="BW46"/>
      <c r="BX46"/>
      <c r="BY46"/>
      <c r="BZ46"/>
      <c r="CA46"/>
      <c r="CB46">
        <f>SUM(CB5:CB45)</f>
        <v>0</v>
      </c>
      <c r="CC46"/>
      <c r="CD46"/>
      <c r="CE46"/>
      <c r="CF46"/>
      <c r="CG46"/>
      <c r="CH46"/>
      <c r="CI46"/>
      <c r="CJ46"/>
      <c r="CK46"/>
      <c r="CL46"/>
      <c r="CM46"/>
      <c r="CN46"/>
      <c r="CO46"/>
      <c r="CP46"/>
      <c r="CQ46">
        <f>SUM(CQ5:CQ45)/60</f>
        <v>0</v>
      </c>
      <c r="CR46">
        <f>IF($CO$69="og",,SUM(CR5:CR45)/60)</f>
        <v>0</v>
      </c>
      <c r="CS46">
        <f>SUM(CS5:CS45)/60</f>
        <v>0</v>
      </c>
      <c r="CT46">
        <f>SUM(CT5:CT45)/60</f>
        <v>0</v>
      </c>
      <c r="CU46">
        <f>SUM(CU5:CU45)/60</f>
        <v>0</v>
      </c>
      <c r="CV46">
        <f>SUM(CV5:CV14)/$CU$1</f>
        <v>23.966666666666669</v>
      </c>
      <c r="CW46"/>
      <c r="CX46"/>
      <c r="CY46"/>
      <c r="CZ46"/>
      <c r="DA46"/>
      <c r="DB46"/>
      <c r="DC46"/>
      <c r="DD46">
        <f>SUM(DD5:DD45)</f>
        <v>0</v>
      </c>
      <c r="DE46"/>
      <c r="DF46"/>
      <c r="DG46"/>
      <c r="DH46">
        <f>SUM(DH5:DH45)</f>
        <v>0</v>
      </c>
      <c r="DI46"/>
      <c r="DJ46"/>
      <c r="DK46"/>
      <c r="DL46">
        <f>SUM(DL5:DL45)</f>
        <v>0</v>
      </c>
      <c r="DM46">
        <f>SUM(DM5:DM45)</f>
        <v>0</v>
      </c>
      <c r="DN46"/>
      <c r="DO46"/>
      <c r="DP46">
        <f>IF(J46=$CV$49,$CV$50,IF(J46=$CW$49,$CW$50,IF(J46=$CX$49,$CX$50,IF(J46=$CY$49,$CY$50,IF(J46=$CZ$49,$CZ$50,IF(J46=$DA$49,$DA$50,IF(J46=$DG$49,$DG$50,IF(J46=$DH$49,$DH$50,))))))))</f>
        <v>0</v>
      </c>
      <c r="DQ46"/>
      <c r="DR46"/>
      <c r="DS46">
        <f>AB46*IF($J46=$CV$49,
IF(K46=$DI$51,$CV$54,IF(K46=$DI$56,$CV$59,)),
IF($J46=$CW$49,
IF(K46=$DI$51,$CW$54,IF(K46=$DI$56,$CW$59,)),
IF($J46=$CX$49,
IF(K46=$DI$51,$CX$54,IF(K46=$DI$56,$CX$59,)),
IF($J46=$CY$49,
IF(K46=$DI$51,$CY$54,IF(K46=$DI$56,$CY$59,)),
IF($J46=$CZ$49,
IF(K46=$DI$51,$CZ$54,IF(K46=$DI$56,$CZ$59,)),
IF($J46=$DA$49,
IF(K46=$DI$51,$DA$54,IF(K46=$DI$56,$DA$59,)),
))))))</f>
        <v>0</v>
      </c>
      <c r="DT46"/>
      <c r="DU46">
        <f>SUM(AB46*$DS$1)</f>
        <v>0</v>
      </c>
      <c r="DV46">
        <f>DV5*C5+DV6*C6+DV7*C7+DV8*C8+DV9*C9+DV10*C10+DV11*C11+DV12*C12+DV13*C13+DV14*C14+DV15*C15+DV16*C16+DV17*C17+DV18*C18+DV19*C19+DV20*C20+DV21*C21+DV22*C22+DV23*C23+DV24*C24+DV25*C25+DV26*C26+DV27*C27+DV28*C28+DV29*C29+DV30*C30+DV31*C31+DV32*C32+DV33*C33+DV34*C34+DV35*C35+DV36*C36+DV37*C37+DV38*C38+DV39*C39+DV40*C40+DV41*C41+DV42*C42+DV43*C43+DV44*C44+DV45*C45</f>
        <v>0</v>
      </c>
      <c r="DW46">
        <f>IF($CO$69="og",SUM(DV46),SUM(DS46+DU46+DV46))</f>
        <v>0</v>
      </c>
      <c r="DX46">
        <f>SUM(DX5:DX45)</f>
        <v>0</v>
      </c>
      <c r="DY46"/>
      <c r="DZ46"/>
      <c r="EA46"/>
      <c r="EB46"/>
      <c r="EC46"/>
      <c r="ED46"/>
      <c r="EE46"/>
      <c r="EF46">
        <f>ROUND(EE46,0)+EG46</f>
        <v>0</v>
      </c>
      <c r="EG46"/>
      <c r="EH46"/>
      <c r="EI46"/>
      <c r="EJ46">
        <f>IFERROR(
IF(AND(Y46&gt;0,AM46&gt;0),AM46,
IF(EY46&lt;EM46,
IF(EY46*Z46&gt;EI46,
EI46/Z46,
EY46),
IF(EM46*Z46&gt;EI46,
EI46/Z46,
EM46))),)</f>
        <v>0</v>
      </c>
      <c r="EK46"/>
      <c r="EL46"/>
      <c r="EM46"/>
      <c r="EN46"/>
      <c r="EO46"/>
      <c r="EP46"/>
      <c r="EQ46"/>
      <c r="ER46"/>
      <c r="ES46"/>
      <c r="ET46"/>
      <c r="EU46"/>
      <c r="EV46"/>
      <c r="EW46"/>
      <c r="EX46"/>
      <c r="EY46"/>
      <c r="EZ46"/>
      <c r="FA46"/>
      <c r="FB46"/>
      <c r="FC46"/>
      <c r="FD46"/>
      <c r="FE46"/>
      <c r="FF46"/>
      <c r="FG46"/>
      <c r="FH46"/>
      <c r="FI46" t="str">
        <f>IF(AO46="","",IF(AQ46*EJ46/1000000&gt;DO206,$FI$4,IF(AQ46*EK46/1000000&gt;DP206,$FI$4,"")))</f>
        <v/>
      </c>
      <c r="FJ46"/>
      <c r="FK46"/>
      <c r="FL46" t="str">
        <f>IF(MID(I46,1,1)="I",IF(AQ46&gt;4500,$FL$4,""),"")</f>
        <v/>
      </c>
      <c r="FM46"/>
      <c r="FN46"/>
      <c r="FO46"/>
      <c r="FP46" t="str">
        <f>IF(P46="R",IF(AT46-AT47=0,"",$FP$4),
IF(P46=2,IF(AT46-AT47=0,"",$FP$4),""))</f>
        <v/>
      </c>
      <c r="FQ46"/>
      <c r="FR46"/>
      <c r="FS46"/>
      <c r="FT46"/>
      <c r="FU46"/>
      <c r="FV46"/>
      <c r="FW46" t="str">
        <f ca="1">CONCATENATE(FW5,FW6,FW7,FW8,FW9,FW10,FW11,FW12,FW13,FW14,FW15,FW31,FW32,FW33,FW34,FW35,FW36,FW37,FW38,FW39,FW40,FW41,FW42,FW43,FW44,FW45,)</f>
        <v>outdated versionoutdated versionoutdated versionoutdated versionoutdated versionoutdated versionoutdated versionoutdated versionoutdated versionoutdated versionoutdated versionoutdated versionoutdated versionoutdated versionoutdated versionoutdated versionoutdated versionoutdated versionoutdated versionoutdated versionoutdated versionoutdated versionoutdated versionoutdated versionoutdated versionoutdated version</v>
      </c>
      <c r="FX46" t="str">
        <f ca="1">CONCATENATE(FX5,FX6,FX7,FX8,FX9,FX10,FX11,FX12,FX13,FX14,FX15,FX31,FX32,FX33,FX34,FX35,FX36,FX37,FX38,FX39,FX40,FX41,FX42,FX43,FX44,FX45,)</f>
        <v>outdated versionoutdated versionoutdated versionoutdated versionoutdated versionoutdated versionoutdated versionoutdated versionoutdated versionoutdated versionoutdated versionoutdated versionoutdated versionoutdated versionoutdated versionoutdated versionoutdated versionoutdated versionoutdated versionoutdated versionoutdated versionoutdated versionoutdated versionoutdated versionoutdated versionoutdated version</v>
      </c>
      <c r="FY46"/>
      <c r="FZ46"/>
      <c r="GA46"/>
      <c r="GB46"/>
      <c r="GC46"/>
      <c r="GD46"/>
      <c r="GE46"/>
      <c r="GF46"/>
    </row>
    <row r="47" spans="1:256" s="243" customFormat="1" ht="14.25" customHeight="1" x14ac:dyDescent="0.2">
      <c r="A47" s="235" t="str">
        <f>CONCATENATE(Sprache!B91)</f>
        <v>surface:</v>
      </c>
      <c r="B47" s="435" t="s">
        <v>803</v>
      </c>
      <c r="C47" s="436"/>
      <c r="D47" s="436"/>
      <c r="E47" s="437"/>
      <c r="F47" s="253"/>
      <c r="G47" s="269" t="str">
        <f>Sprache!B90</f>
        <v>alt.</v>
      </c>
      <c r="H47" s="435" t="s">
        <v>804</v>
      </c>
      <c r="I47" s="436"/>
      <c r="J47" s="437"/>
      <c r="K47" s="254"/>
      <c r="L47" s="255" t="s">
        <v>197</v>
      </c>
      <c r="M47" s="253" t="str">
        <f>IF(L47=CK55,CONCATENATE(Sprache!B140),Sprache!B141)</f>
        <v xml:space="preserve"> = o/a frame size   L = clear size </v>
      </c>
      <c r="N47" s="253"/>
      <c r="O47" s="253"/>
      <c r="P47" s="253"/>
      <c r="Q47" s="253"/>
      <c r="R47" s="256"/>
      <c r="S47" s="256"/>
      <c r="T47" s="256"/>
      <c r="U47" s="443"/>
      <c r="V47" s="443"/>
      <c r="W47" s="265"/>
      <c r="X47" s="255" t="s">
        <v>602</v>
      </c>
      <c r="Y47" s="447" t="str">
        <f>CONCATENATE(Sprache!B41)</f>
        <v>language</v>
      </c>
      <c r="Z47" s="443"/>
      <c r="AA47" s="448"/>
      <c r="AB47" s="253"/>
      <c r="AC47" s="257"/>
      <c r="AD47" s="258"/>
      <c r="AE47" s="259"/>
      <c r="AF47" s="260" t="str">
        <f>Sprache!B157&amp;": "</f>
        <v xml:space="preserve">1 = with description of system: </v>
      </c>
      <c r="AG47" s="255">
        <v>1</v>
      </c>
      <c r="AH47" s="391" t="str">
        <f>IF(CO69="OG","! ! ! ! "&amp;Sprache!B103&amp;" ! ! ! !","")</f>
        <v/>
      </c>
      <c r="AI47" s="261"/>
      <c r="AJ47" s="400"/>
      <c r="AK47"/>
      <c r="AL47"/>
      <c r="AM47"/>
      <c r="AN47"/>
      <c r="AO47"/>
      <c r="AP47"/>
      <c r="AQ47"/>
      <c r="AR47"/>
      <c r="AS47"/>
      <c r="AT47"/>
      <c r="AU47"/>
      <c r="AV47"/>
      <c r="AW47"/>
      <c r="AX47"/>
      <c r="AY47"/>
      <c r="AZ47"/>
      <c r="BA47"/>
      <c r="BB47"/>
      <c r="BC47"/>
      <c r="BD47"/>
      <c r="BE47"/>
      <c r="BF47">
        <f t="shared" si="167"/>
        <v>0</v>
      </c>
      <c r="BG47">
        <f>IF($AH$4=$CK$75,'S2'!T47,
IF($AH$4=$CL$75,'S3'!T47,
IF($AH$4=$CJ$75,'S1'!T47,
IF($AH$4=$CM$75,S3M!T47,))))</f>
        <v>10</v>
      </c>
      <c r="BH47">
        <f>IF($AH$4=$CK$75,'S2'!U47,
IF($AH$4=$CL$75,'S3'!U47,
IF($AH$4=$CJ$75,'S1'!U47,
IF($AH$4=$CM$75,S3M!U47,))))</f>
        <v>30</v>
      </c>
      <c r="BI47">
        <f>IF($AH$4=$CK$75,'S2'!V47,
IF($AH$4=$CL$75,'S3'!V47,
IF($AH$4=$CJ$75,'S1'!V47,
IF($AH$4=$CM$75,S3M!V47,))))</f>
        <v>60</v>
      </c>
      <c r="BJ47">
        <f>IF($AH$4=$CK$75,'S2'!W47,
IF($AH$4=$CL$75,'S3'!W47,
IF($AH$4=$CJ$75,'S1'!W47,
IF($AH$4=$CM$75,S3M!W47,))))</f>
        <v>8.1230769230769244</v>
      </c>
      <c r="BK47">
        <f>IF($AH$4=$CK$75,'S2'!X47,
IF($AH$4=$CL$75,'S3'!X47,
IF($AH$4=$CJ$75,'S1'!X47,
IF($AH$4=$CM$75,S3M!X47,))))</f>
        <v>26.400000000000002</v>
      </c>
      <c r="BL47">
        <f>IF($AH$4=$CK$75,'S2'!Y47,
IF($AH$4=$CL$75,'S3'!Y47,
IF($AH$4=$CJ$75,'S1'!Y47,
IF($AH$4=$CM$75,S3M!Y47,))))</f>
        <v>29</v>
      </c>
      <c r="BM47">
        <f>IF($AH$4=$CK$75,'S2'!Z47,
IF($AH$4=$CL$75,'S3'!Z47,
IF($AH$4=$CJ$75,'S1'!Z47,
IF($AH$4=$CM$75,S3M!Z47,))))</f>
        <v>76.5</v>
      </c>
      <c r="BN47">
        <f>IF($AH$4=$CK$75,'S2'!AA47,
IF($AH$4=$CL$75,'S3'!AA47,
IF($AH$4=$CJ$75,'S1'!AA47,
IF($AH$4=$CM$75,S3M!AA47,))))</f>
        <v>0.69299999999999995</v>
      </c>
      <c r="BO47">
        <f>IF($AH$4=$CK$75,'S2'!AB47,
IF($AH$4=$CL$75,'S3'!AB47,
IF($AH$4=$CJ$75,'S1'!AB47,
IF($AH$4=$CM$75,S3M!AB47,))))</f>
        <v>4.66</v>
      </c>
      <c r="BP47">
        <f>IF($AH$4=$CK$75,'S2'!AC47,
IF($AH$4=$CL$75,'S3'!AC47,
IF($AH$4=$CJ$75,'S1'!AC47,
IF($AH$4=$CM$75,S3M!AC47,))))</f>
        <v>0</v>
      </c>
      <c r="BQ47">
        <f>IF($AH$4=$CJ$75,'S2'!AD47,
IF($AH$4=$CK$75,'S2'!AD47,
IF($AH$4=$CL$75,'S3'!AD47,)))</f>
        <v>90</v>
      </c>
      <c r="BR47"/>
      <c r="BS47"/>
      <c r="BT47"/>
      <c r="BU47"/>
      <c r="BV47"/>
      <c r="BW47"/>
      <c r="BX47"/>
      <c r="BY47"/>
      <c r="BZ47"/>
      <c r="CA47"/>
      <c r="CB47" t="s">
        <v>158</v>
      </c>
      <c r="CC47"/>
      <c r="CD47"/>
      <c r="CE47"/>
      <c r="CF47"/>
      <c r="CG47"/>
      <c r="CH47"/>
      <c r="CI47"/>
      <c r="CJ47"/>
      <c r="CK47"/>
      <c r="CL47"/>
      <c r="CM47"/>
      <c r="CN47"/>
      <c r="CO47"/>
      <c r="CP47"/>
      <c r="CQ47" t="s">
        <v>10</v>
      </c>
      <c r="CR47" t="s">
        <v>10</v>
      </c>
      <c r="CS47" t="s">
        <v>10</v>
      </c>
      <c r="CT47" t="s">
        <v>10</v>
      </c>
      <c r="CU47" t="s">
        <v>10</v>
      </c>
      <c r="CV47"/>
      <c r="CW47"/>
      <c r="CX47"/>
      <c r="CY47"/>
      <c r="CZ47"/>
      <c r="DA47"/>
      <c r="DB47"/>
      <c r="DC47"/>
      <c r="DD47" t="s">
        <v>10</v>
      </c>
      <c r="DE47"/>
      <c r="DF47"/>
      <c r="DG47"/>
      <c r="DH47"/>
      <c r="DI47"/>
      <c r="DJ47"/>
      <c r="DK47"/>
      <c r="DL47"/>
      <c r="DM47"/>
      <c r="DN47"/>
      <c r="DO47"/>
      <c r="DP47"/>
      <c r="DQ47"/>
      <c r="DR47"/>
      <c r="DS47"/>
      <c r="DT47"/>
      <c r="DU47"/>
      <c r="DV47"/>
      <c r="DW47"/>
      <c r="DX47"/>
      <c r="DY47"/>
      <c r="DZ47"/>
      <c r="EA47"/>
      <c r="EB47"/>
      <c r="EC47"/>
      <c r="ED47"/>
      <c r="EE47"/>
      <c r="EF47"/>
      <c r="EG47"/>
      <c r="EH47"/>
      <c r="EI47">
        <f>AS47-(N47*$EK$3+O47*$EJ$3)</f>
        <v>0</v>
      </c>
      <c r="EJ47" t="e">
        <f>IF($EN47*$Z47&gt;=EI47,EI47/$Z47,$EN47)</f>
        <v>#DIV/0!</v>
      </c>
      <c r="EK47" t="e">
        <f>IF(Y47=0,,IF(EJ47=EN47,(EI47-EN47*X47)/Y47,EJ47))</f>
        <v>#DIV/0!</v>
      </c>
      <c r="EL47" t="e">
        <f>EY47*X47+EZ47*Y47</f>
        <v>#VALUE!</v>
      </c>
      <c r="EM47">
        <f>IF(J47=8,8,6)</f>
        <v>6</v>
      </c>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s="244"/>
      <c r="GB47" s="244"/>
      <c r="GC47" s="244"/>
      <c r="GD47" s="244"/>
      <c r="GE47" s="244"/>
      <c r="GF47" s="244"/>
    </row>
    <row r="48" spans="1:256" s="50" customFormat="1" ht="13.5" thickBot="1" x14ac:dyDescent="0.25">
      <c r="A48" s="34"/>
      <c r="B48" s="34"/>
      <c r="C48" s="34"/>
      <c r="D48" s="34"/>
      <c r="E48" s="34"/>
      <c r="F48" s="34"/>
      <c r="G48" s="34"/>
      <c r="H48" s="35"/>
      <c r="I48" s="35"/>
      <c r="J48" s="34"/>
      <c r="K48" s="34"/>
      <c r="L48" s="34"/>
      <c r="M48" s="34"/>
      <c r="N48" s="34"/>
      <c r="O48" s="34"/>
      <c r="P48" s="34"/>
      <c r="Q48" s="34"/>
      <c r="R48" s="34"/>
      <c r="S48" s="34"/>
      <c r="T48" s="34"/>
      <c r="U48" s="34"/>
      <c r="V48" s="34"/>
      <c r="W48" s="34"/>
      <c r="X48" s="34"/>
      <c r="Y48" s="34"/>
      <c r="Z48" s="34"/>
      <c r="AA48" s="36"/>
      <c r="AB48" s="36"/>
      <c r="AC48" s="37"/>
      <c r="AD48" s="38"/>
      <c r="AE48" s="36"/>
      <c r="AF48" s="36"/>
      <c r="AG48" s="39"/>
      <c r="AH48" s="34"/>
      <c r="AI48" s="49"/>
      <c r="AJ48" s="274"/>
      <c r="AK48"/>
      <c r="AL48"/>
      <c r="AM48"/>
      <c r="AN48"/>
      <c r="AO48"/>
      <c r="AP48"/>
      <c r="AQ48"/>
      <c r="AR48"/>
      <c r="AS48"/>
      <c r="AT48"/>
      <c r="AU48"/>
      <c r="AV48"/>
      <c r="AW48"/>
      <c r="AX48"/>
      <c r="AY48"/>
      <c r="AZ48"/>
      <c r="BA48"/>
      <c r="BB48"/>
      <c r="BC48"/>
      <c r="BD48"/>
      <c r="BE48"/>
      <c r="BF48">
        <f t="shared" ref="BF48:BF55" si="168">DQ88</f>
        <v>0</v>
      </c>
      <c r="BG48"/>
      <c r="BH48" t="s">
        <v>158</v>
      </c>
      <c r="BI48" t="s">
        <v>4</v>
      </c>
      <c r="BJ48">
        <v>0</v>
      </c>
      <c r="BK48">
        <v>0</v>
      </c>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f>SUM(CQ46:CU46)</f>
        <v>0</v>
      </c>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row>
    <row r="49" spans="1:256" s="1" customFormat="1" ht="13.5" thickTop="1" x14ac:dyDescent="0.2">
      <c r="A49" s="34"/>
      <c r="B49" s="34"/>
      <c r="C49" s="34"/>
      <c r="D49" s="275"/>
      <c r="E49" s="34"/>
      <c r="F49" s="34"/>
      <c r="G49" s="34"/>
      <c r="H49" s="34"/>
      <c r="I49" s="34"/>
      <c r="J49" s="34"/>
      <c r="K49" s="34"/>
      <c r="L49" s="34"/>
      <c r="M49" s="34"/>
      <c r="N49" s="34"/>
      <c r="O49" s="34"/>
      <c r="P49" s="34"/>
      <c r="Q49" s="34"/>
      <c r="R49" s="34"/>
      <c r="S49" s="34"/>
      <c r="T49" s="34"/>
      <c r="U49" s="34"/>
      <c r="V49" s="34"/>
      <c r="W49" s="34"/>
      <c r="X49" s="34"/>
      <c r="Y49" s="34"/>
      <c r="Z49" s="34"/>
      <c r="AA49" s="40"/>
      <c r="AB49" s="41"/>
      <c r="AC49" s="37"/>
      <c r="AD49" s="38"/>
      <c r="AE49" s="42"/>
      <c r="AF49" s="43"/>
      <c r="AG49" s="277"/>
      <c r="AH49" s="215"/>
      <c r="AI49" s="34"/>
      <c r="AJ49" s="274"/>
      <c r="AK49"/>
      <c r="AL49"/>
      <c r="AM49"/>
      <c r="AN49"/>
      <c r="AO49"/>
      <c r="AP49"/>
      <c r="AQ49"/>
      <c r="AR49"/>
      <c r="AS49"/>
      <c r="AT49"/>
      <c r="AU49"/>
      <c r="AV49"/>
      <c r="AW49"/>
      <c r="AX49"/>
      <c r="AY49"/>
      <c r="AZ49"/>
      <c r="BA49"/>
      <c r="BB49"/>
      <c r="BC49"/>
      <c r="BD49"/>
      <c r="BE49"/>
      <c r="BF49">
        <f t="shared" si="168"/>
        <v>0</v>
      </c>
      <c r="BG49">
        <f>IF($AH$4=$CK$75,'S2'!T49,
IF($AH$4=$CL$75,'S3'!T49,
IF($AH$4=$CJ$75,'S1'!T49,
IF($AH$4=$CM$75,S3M!T49,))))</f>
        <v>0</v>
      </c>
      <c r="BH49">
        <f>IF($AH$4=$CK$75,'S2'!U49,
IF($AH$4=$CL$75,'S3'!U49,
IF($AH$4=$CJ$75,'S1'!U49,
IF($AH$4=$CM$75,S3M!U49,))))</f>
        <v>35</v>
      </c>
      <c r="BI49">
        <f>IF($AH$4=$CK$75,'S2'!V49,
IF($AH$4=$CL$75,'S3'!V49,
IF($AH$4=$CJ$75,'S1'!V49,
IF($AH$4=$CM$75,S3M!V49,))))</f>
        <v>30</v>
      </c>
      <c r="BJ49">
        <f>IF($AH$4=$CK$75,'S2'!W49,
IF($AH$4=$CL$75,'S3'!W49,
IF($AH$4=$CJ$75,'S1'!W49,
IF($AH$4=$CM$75,S3M!W49,))))</f>
        <v>5.5</v>
      </c>
      <c r="BK49">
        <f>IF($AH$4=$CK$75,'S2'!X49,
IF($AH$4=$CL$75,'S3'!X49,
IF($AH$4=$CJ$75,'S1'!X49,
IF($AH$4=$CM$75,S3M!X49,))))</f>
        <v>20</v>
      </c>
      <c r="BL49">
        <f>IF($AH$4=$CK$75,'S2'!Y49,
IF($AH$4=$CL$75,'S3'!Y49,
IF($AH$4=$CJ$75,'S1'!Y49,
IF($AH$4=$CM$75,S3M!Y49,))))</f>
        <v>0</v>
      </c>
      <c r="BM49">
        <f>IF($AH$4=$CK$75,'S2'!Z49,
IF($AH$4=$CL$75,'S3'!Z49,
IF($AH$4=$CJ$75,'S1'!Z49,
IF($AH$4=$CM$75,S3M!Z49,))))</f>
        <v>0</v>
      </c>
      <c r="BN49">
        <f>IF($AH$4=$CK$75,'S2'!AA49,
IF($AH$4=$CL$75,'S3'!AA49,
IF($AH$4=$CJ$75,'S1'!AA49,
IF($AH$4=$CM$75,S3M!AA49,))))</f>
        <v>0</v>
      </c>
      <c r="BO49">
        <f>IF($AH$4=$CK$75,'S2'!AB49,
IF($AH$4=$CL$75,'S3'!AB49,
IF($AH$4=$CJ$75,'S1'!AB49,
IF($AH$4=$CM$75,S3M!AB49,))))</f>
        <v>0</v>
      </c>
      <c r="BP49">
        <f>IF($AH$4=$CK$75,'S2'!AC49,
IF($AH$4=$CL$75,'S3'!AC49,
IF($AH$4=$CJ$75,'S1'!AC49,
IF($AH$4=$CM$75,S3M!AC49,))))</f>
        <v>0</v>
      </c>
      <c r="BQ49"/>
      <c r="BR49"/>
      <c r="BS49"/>
      <c r="BT49"/>
      <c r="BU49"/>
      <c r="BV49"/>
      <c r="BW49"/>
      <c r="BX49"/>
      <c r="BY49"/>
      <c r="BZ49"/>
      <c r="CA49"/>
      <c r="CB49"/>
      <c r="CC49"/>
      <c r="CD49"/>
      <c r="CE49"/>
      <c r="CF49"/>
      <c r="CG49"/>
      <c r="CH49"/>
      <c r="CI49"/>
      <c r="CJ49"/>
      <c r="CK49"/>
      <c r="CL49"/>
      <c r="CM49"/>
      <c r="CN49"/>
      <c r="CO49" t="str">
        <f>IF($AH$4=$CK$75,'S2'!AI5,IF($AH$4=$CL$75,'S3'!AI5,IF($AH$4=$CJ$75,'S1'!AI5,)))</f>
        <v>6 / 6</v>
      </c>
      <c r="CP49"/>
      <c r="CQ49"/>
      <c r="CR49"/>
      <c r="CS49"/>
      <c r="CT49"/>
      <c r="CU49"/>
      <c r="CV49" t="str">
        <f>IF($AH$4=$CK$75,'S2'!AI5,
IF($AH$4=$CL$75,'S3'!AI5,
IF($AH$4=$CJ$75,'S1'!AI5,
IF($AH$4=$CM$75,S3M!AI5,))))</f>
        <v>6 / 6</v>
      </c>
      <c r="CW49" t="str">
        <f>IF($AH$4=$CK$75,'S2'!AJ5,
IF($AH$4=$CL$75,'S3'!AJ5,
IF($AH$4=$CJ$75,'S1'!AJ5,
IF($AH$4=$CM$75,S3M!AJ5,))))</f>
        <v>8 / 8</v>
      </c>
      <c r="CX49" t="str">
        <f>IF($AH$4=$CK$75,'S2'!AK5,
IF($AH$4=$CL$75,'S3'!AK5,
IF($AH$4=$CJ$75,'S1'!AK5,
IF($AH$4=$CM$75,S3M!AK5,))))</f>
        <v>8 / 6</v>
      </c>
      <c r="CY49" t="str">
        <f>IF($AH$4=$CK$75,'S2'!AL5,
IF($AH$4=$CL$75,'S3'!AL5,
IF($AH$4=$CJ$75,'S1'!AL5,
IF($AH$4=$CM$75,S3M!AL5,))))</f>
        <v>10 / 6</v>
      </c>
      <c r="CZ49" t="str">
        <f>IF($AH$4=$CK$75,'S2'!AM5,
IF($AH$4=$CL$75,'S3'!AM5,
IF($AH$4=$CJ$75,'S1'!AM5,
IF($AH$4=$CM$75,S3M!AM5,))))</f>
        <v>6 / 8-2</v>
      </c>
      <c r="DA49" t="str">
        <f>IF($AH$4=$CK$75,'S2'!AN5,
IF($AH$4=$CL$75,'S3'!AN5,
IF($AH$4=$CJ$75,'S1'!AN5,
IF($AH$4=$CM$75,S3M!AN5,))))</f>
        <v>8 / 8-2</v>
      </c>
      <c r="DB49">
        <f>IF($AH$4=$CK$75,'S2'!AO5,
IF($AH$4=$CL$75,'S3'!AO5,
IF($AH$4=$CJ$75,'S1'!AO5,
IF($AH$4=$CM$75,S3M!AO5,))))</f>
        <v>0</v>
      </c>
      <c r="DC49">
        <f>IF($AH$4=$CK$75,'S2'!AP5,
IF($AH$4=$CL$75,'S3'!AP5,
IF($AH$4=$CJ$75,'S1'!AP5,
IF($AH$4=$CM$75,S3M!AP5,))))</f>
        <v>0</v>
      </c>
      <c r="DD49">
        <f>IF($AH$4=$CK$75,'S2'!AQ5,
IF($AH$4=$CL$75,'S3'!AQ5,
IF($AH$4=$CJ$75,'S1'!AQ5,
IF($AH$4=$CM$75,S3M!AQ5,))))</f>
        <v>0</v>
      </c>
      <c r="DE49">
        <f>IF($AH$4=$CK$75,'S2'!AR5,
IF($AH$4=$CL$75,'S3'!AR5,
IF($AH$4=$CJ$75,'S1'!AR5,
IF($AH$4=$CM$75,S3M!AR5,))))</f>
        <v>0</v>
      </c>
      <c r="DF49">
        <f>IF($AH$4=$CK$75,'S2'!AS5,
IF($AH$4=$CL$75,'S3'!AS5,
IF($AH$4=$CJ$75,'S1'!AS5,
IF($AH$4=$CM$75,S3M!AS5,))))</f>
        <v>0</v>
      </c>
      <c r="DG49">
        <f>IF($AH$4=$CK$75,'S2'!AT5,
IF($AH$4=$CL$75,'S3'!AT5,
IF($AH$4=$CJ$75,'S1'!AT5,
IF($AH$4=$CM$75,S3M!AT5,))))</f>
        <v>0</v>
      </c>
      <c r="DH49">
        <f>IF($AH$4=$CK$75,'S2'!AU5,
IF($AH$4=$CL$75,'S3'!AU5,
IF($AH$4=$CJ$75,'S1'!AU5,
IF($AH$4=$CM$75,S3M!AU5,))))</f>
        <v>0</v>
      </c>
      <c r="DI49">
        <f>IF($AH$4=$CK$75,'S2'!AV5,
IF($AH$4=$CL$75,'S3'!AV5,
IF($AH$4=$CJ$75,'S1'!AV5,
IF($AH$4=$CM$75,S3M!AV5,))))</f>
        <v>150</v>
      </c>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row>
    <row r="50" spans="1:256" s="1" customFormat="1" x14ac:dyDescent="0.2">
      <c r="A50" s="34"/>
      <c r="B50" s="34"/>
      <c r="C50" s="34"/>
      <c r="D50" s="34"/>
      <c r="E50" s="34"/>
      <c r="F50" s="34"/>
      <c r="G50" s="34"/>
      <c r="H50" s="34"/>
      <c r="I50" s="34"/>
      <c r="J50" s="34"/>
      <c r="K50" s="34"/>
      <c r="L50" s="34"/>
      <c r="M50" s="34"/>
      <c r="N50" s="34"/>
      <c r="O50" s="34"/>
      <c r="P50" s="34"/>
      <c r="Q50" s="34"/>
      <c r="R50" s="34"/>
      <c r="S50" s="34"/>
      <c r="T50" s="34"/>
      <c r="U50" s="34"/>
      <c r="V50" s="34"/>
      <c r="W50" s="34"/>
      <c r="X50" s="34"/>
      <c r="Y50" s="34"/>
      <c r="Z50" s="34"/>
      <c r="AA50" s="41"/>
      <c r="AB50" s="44"/>
      <c r="AC50" s="37" t="str">
        <f ca="1">IF($CO$68=1,CC50,"")</f>
        <v/>
      </c>
      <c r="AD50" s="37" t="str">
        <f ca="1">IF($CO$68=1,CD50,"")</f>
        <v/>
      </c>
      <c r="AE50" s="34"/>
      <c r="AF50" s="42"/>
      <c r="AG50" s="39"/>
      <c r="AH50" s="215"/>
      <c r="AI50" s="34"/>
      <c r="AJ50" s="274"/>
      <c r="AK50"/>
      <c r="AL50"/>
      <c r="AM50"/>
      <c r="AN50"/>
      <c r="AO50"/>
      <c r="AP50"/>
      <c r="AQ50"/>
      <c r="AR50"/>
      <c r="AS50"/>
      <c r="AT50"/>
      <c r="AU50"/>
      <c r="AV50"/>
      <c r="AW50"/>
      <c r="AX50"/>
      <c r="AY50"/>
      <c r="AZ50"/>
      <c r="BA50"/>
      <c r="BB50"/>
      <c r="BC50"/>
      <c r="BD50"/>
      <c r="BE50"/>
      <c r="BF50">
        <f t="shared" si="168"/>
        <v>0</v>
      </c>
      <c r="BG50">
        <f>IF($AH$4=$CK$75,'S2'!T50,
IF($AH$4=$CL$75,'S3'!T50,
IF($AH$4=$CJ$75,'S1'!T50,
IF($AH$4=$CM$75,S3M!T50,))))</f>
        <v>0</v>
      </c>
      <c r="BH50">
        <f>IF($AH$4=$CK$75,'S2'!U50,
IF($AH$4=$CL$75,'S3'!U50,
IF($AH$4=$CJ$75,'S1'!U50,
IF($AH$4=$CM$75,S3M!U50,))))</f>
        <v>0</v>
      </c>
      <c r="BI50">
        <f>IF($AH$4=$CK$75,'S2'!V50,
IF($AH$4=$CL$75,'S3'!V50,
IF($AH$4=$CJ$75,'S1'!V50,
IF($AH$4=$CM$75,S3M!V50,))))</f>
        <v>0</v>
      </c>
      <c r="BJ50">
        <f>IF($AH$4=$CK$75,'S2'!W50,
IF($AH$4=$CL$75,'S3'!W50,
IF($AH$4=$CJ$75,'S1'!W50,
IF($AH$4=$CM$75,S3M!W50,))))</f>
        <v>0</v>
      </c>
      <c r="BK50">
        <f>IF($AH$4=$CK$75,'S2'!X50,
IF($AH$4=$CL$75,'S3'!X50,
IF($AH$4=$CJ$75,'S1'!X50,
IF($AH$4=$CM$75,S3M!X50,))))</f>
        <v>0</v>
      </c>
      <c r="BL50">
        <f>IF($AH$4=$CK$75,'S2'!Y50,
IF($AH$4=$CL$75,'S3'!Y50,
IF($AH$4=$CJ$75,'S1'!Y50,
IF($AH$4=$CM$75,S3M!Y50,))))</f>
        <v>0</v>
      </c>
      <c r="BM50">
        <f>IF($AH$4=$CK$75,'S2'!Z50,
IF($AH$4=$CL$75,'S3'!Z50,
IF($AH$4=$CJ$75,'S1'!Z50,
IF($AH$4=$CM$75,S3M!Z50,))))</f>
        <v>0</v>
      </c>
      <c r="BN50">
        <f>IF($AH$4=$CK$75,'S2'!AA50,
IF($AH$4=$CL$75,'S3'!AA50,
IF($AH$4=$CJ$75,'S1'!AA50,
IF($AH$4=$CM$75,S3M!AA50,))))</f>
        <v>0</v>
      </c>
      <c r="BO50">
        <f>IF($AH$4=$CK$75,'S2'!AB50,
IF($AH$4=$CL$75,'S3'!AB50,
IF($AH$4=$CJ$75,'S1'!AB50,
IF($AH$4=$CM$75,S3M!AB50,))))</f>
        <v>0</v>
      </c>
      <c r="BP50">
        <f>IF($AH$4=$CK$75,'S2'!AC50,
IF($AH$4=$CL$75,'S3'!AC50,
IF($AH$4=$CJ$75,'S1'!AC50,
IF($AH$4=$CM$75,S3M!AC50,))))</f>
        <v>0</v>
      </c>
      <c r="BQ50"/>
      <c r="BR50"/>
      <c r="BS50"/>
      <c r="BT50"/>
      <c r="BU50"/>
      <c r="BV50"/>
      <c r="BW50"/>
      <c r="BX50"/>
      <c r="BY50"/>
      <c r="BZ50"/>
      <c r="CA50"/>
      <c r="CB50"/>
      <c r="CC50">
        <f t="shared" ref="CC50:CC64" si="169">DT61</f>
        <v>0</v>
      </c>
      <c r="CD50">
        <f>CQ46</f>
        <v>0</v>
      </c>
      <c r="CE50"/>
      <c r="CF50"/>
      <c r="CG50"/>
      <c r="CH50"/>
      <c r="CI50"/>
      <c r="CJ50"/>
      <c r="CK50"/>
      <c r="CL50"/>
      <c r="CM50"/>
      <c r="CN50"/>
      <c r="CO50"/>
      <c r="CP50"/>
      <c r="CQ50"/>
      <c r="CR50"/>
      <c r="CS50"/>
      <c r="CT50"/>
      <c r="CU50">
        <f>IF($AH$4=$CK$75,'S2'!AH6,
IF($AH$4=$CL$75,'S3'!AH6,
IF($AH$4=$CJ$75,'S1'!AH6,
IF($AH$4=$CM$75,S3M!AH6,))))</f>
        <v>0</v>
      </c>
      <c r="CV50" t="str">
        <f>IF($AH$4=$CK$75,'S2'!AI6,
IF($AH$4=$CL$75,'S3'!AI6,
IF($AH$4=$CJ$75,'S1'!AI6,
IF($AH$4=$CM$75,S3M!AI6,))))</f>
        <v>tempered safety glass 6 / tempered safety glass 6</v>
      </c>
      <c r="CW50" t="str">
        <f>IF($AH$4=$CK$75,'S2'!AJ6,
IF($AH$4=$CL$75,'S3'!AJ6,
IF($AH$4=$CJ$75,'S1'!AJ6,
IF($AH$4=$CM$75,S3M!AJ6,))))</f>
        <v>tempered safety glass 8 / tempered safety glass 8</v>
      </c>
      <c r="CX50" t="str">
        <f>IF($AH$4=$CK$75,'S2'!AK6,
IF($AH$4=$CL$75,'S3'!AK6,
IF($AH$4=$CJ$75,'S1'!AK6,
IF($AH$4=$CM$75,S3M!AK6,))))</f>
        <v>tempered safety glass 6 / tempered safety glass 8</v>
      </c>
      <c r="CY50" t="str">
        <f>IF($AH$4=$CK$75,'S2'!AL6,
IF($AH$4=$CL$75,'S3'!AL6,
IF($AH$4=$CJ$75,'S1'!AL6,
IF($AH$4=$CM$75,S3M!AL6,))))</f>
        <v>tempered safety glass 10 / tempered safety glass 6</v>
      </c>
      <c r="CZ50" t="str">
        <f>IF($AH$4=$CK$75,'S2'!AM6,
IF($AH$4=$CL$75,'S3'!AM6,
IF($AH$4=$CJ$75,'S1'!AM6,
IF($AH$4=$CM$75,S3M!AM6,))))</f>
        <v>tempered safety glass 6 / laminated safety glass 8-2</v>
      </c>
      <c r="DA50" t="str">
        <f>IF($AH$4=$CK$75,'S2'!AN6,
IF($AH$4=$CL$75,'S3'!AN6,
IF($AH$4=$CJ$75,'S1'!AN6,
IF($AH$4=$CM$75,S3M!AN6,))))</f>
        <v>tempered safety glass 8 / laminated safety glass 8-2</v>
      </c>
      <c r="DB50">
        <f>IF($AH$4=$CK$75,'S2'!AO6,
IF($AH$4=$CL$75,'S3'!AO6,
IF($AH$4=$CJ$75,'S1'!AO6,
IF($AH$4=$CM$75,S3M!AO6,))))</f>
        <v>0</v>
      </c>
      <c r="DC50">
        <f>IF($AH$4=$CK$75,'S2'!AP6,
IF($AH$4=$CL$75,'S3'!AP6,
IF($AH$4=$CJ$75,'S1'!AP6,
IF($AH$4=$CM$75,S3M!AP6,))))</f>
        <v>0</v>
      </c>
      <c r="DD50">
        <f>IF($AH$4=$CK$75,'S2'!AQ6,
IF($AH$4=$CL$75,'S3'!AQ6,
IF($AH$4=$CJ$75,'S1'!AQ6,
IF($AH$4=$CM$75,S3M!AQ6,))))</f>
        <v>0</v>
      </c>
      <c r="DE50">
        <f>IF($AH$4=$CK$75,'S2'!AR6,
IF($AH$4=$CL$75,'S3'!AR6,
IF($AH$4=$CJ$75,'S1'!AR6,
IF($AH$4=$CM$75,S3M!AR6,))))</f>
        <v>0</v>
      </c>
      <c r="DF50">
        <f>IF($AH$4=$CK$75,'S2'!AS6,
IF($AH$4=$CL$75,'S3'!AS6,
IF($AH$4=$CJ$75,'S1'!AS6,
IF($AH$4=$CM$75,S3M!AS6,))))</f>
        <v>0</v>
      </c>
      <c r="DG50">
        <f>IF($AH$4=$CK$75,'S2'!AT6,
IF($AH$4=$CL$75,'S3'!AT6,
IF($AH$4=$CJ$75,'S1'!AT6,
IF($AH$4=$CM$75,S3M!AT6,))))</f>
        <v>0</v>
      </c>
      <c r="DH50">
        <f>IF($AH$4=$CK$75,'S2'!AU6,
IF($AH$4=$CL$75,'S3'!AU6,
IF($AH$4=$CJ$75,'S1'!AU6,
IF($AH$4=$CM$75,S3M!AU6,))))</f>
        <v>0</v>
      </c>
      <c r="DI50">
        <f>IF($AH$4=$CK$75,'S2'!AV6,
IF($AH$4=$CL$75,'S3'!AV6,
IF($AH$4=$CJ$75,'S1'!AV6,
IF($AH$4=$CM$75,S3M!AV6,))))</f>
        <v>3</v>
      </c>
      <c r="DJ50"/>
      <c r="DK50"/>
      <c r="DL50"/>
      <c r="DM50"/>
      <c r="DN50"/>
      <c r="DO50"/>
      <c r="DP50"/>
      <c r="DQ50"/>
      <c r="DR50"/>
      <c r="DS50"/>
      <c r="DT50"/>
      <c r="DU50"/>
      <c r="DV50"/>
      <c r="DW50"/>
      <c r="DX50"/>
      <c r="DY50"/>
      <c r="DZ50"/>
      <c r="EA50"/>
      <c r="EB50"/>
      <c r="EC50"/>
      <c r="ED50"/>
      <c r="EE50"/>
      <c r="EF50">
        <v>6574</v>
      </c>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row>
    <row r="51" spans="1:256" s="1" customFormat="1" x14ac:dyDescent="0.2">
      <c r="A51" s="34"/>
      <c r="B51" s="34"/>
      <c r="C51" s="34"/>
      <c r="D51" s="34"/>
      <c r="E51" s="34"/>
      <c r="F51" s="34"/>
      <c r="G51" s="34"/>
      <c r="H51" s="34"/>
      <c r="I51" s="34"/>
      <c r="J51" s="34"/>
      <c r="K51" s="34"/>
      <c r="L51" s="34"/>
      <c r="M51" s="34"/>
      <c r="N51" s="34"/>
      <c r="O51" s="34"/>
      <c r="P51" s="34"/>
      <c r="Q51" s="34"/>
      <c r="R51" s="34"/>
      <c r="S51" s="34"/>
      <c r="T51" s="34"/>
      <c r="U51" s="34"/>
      <c r="V51" s="34"/>
      <c r="W51" s="34"/>
      <c r="X51" s="34"/>
      <c r="Y51" s="34"/>
      <c r="Z51" s="34"/>
      <c r="AA51" s="34"/>
      <c r="AB51" s="35"/>
      <c r="AC51" s="37" t="str">
        <f t="shared" ref="AC51:AC64" ca="1" si="170">IF($CO$68=1,CC51,"")</f>
        <v/>
      </c>
      <c r="AD51" s="37" t="str">
        <f t="shared" ref="AD51:AD64" ca="1" si="171">IF($CO$68=1,CD51,"")</f>
        <v/>
      </c>
      <c r="AE51" s="34"/>
      <c r="AF51" s="34"/>
      <c r="AG51" s="34"/>
      <c r="AH51" s="215"/>
      <c r="AI51" s="34"/>
      <c r="AJ51" s="274"/>
      <c r="AK51"/>
      <c r="AL51"/>
      <c r="AM51"/>
      <c r="AN51"/>
      <c r="AO51"/>
      <c r="AP51"/>
      <c r="AQ51"/>
      <c r="AR51"/>
      <c r="AS51"/>
      <c r="AT51"/>
      <c r="AU51"/>
      <c r="AV51"/>
      <c r="AW51"/>
      <c r="AX51"/>
      <c r="AY51"/>
      <c r="AZ51"/>
      <c r="BA51"/>
      <c r="BB51"/>
      <c r="BC51"/>
      <c r="BD51"/>
      <c r="BE51"/>
      <c r="BF51">
        <f t="shared" si="168"/>
        <v>0</v>
      </c>
      <c r="BG51">
        <f>IF($AH$4=$CK$75,'S2'!T51,
IF($AH$4=$CL$75,'S3'!T51,
IF($AH$4=$CJ$75,'S1'!T51,
IF($AH$4=$CM$75,S3M!T51,))))</f>
        <v>0</v>
      </c>
      <c r="BH51">
        <f>IF($AH$4=$CK$75,'S2'!U51,
IF($AH$4=$CL$75,'S3'!U51,
IF($AH$4=$CJ$75,'S1'!U51,
IF($AH$4=$CM$75,S3M!U51,))))</f>
        <v>0</v>
      </c>
      <c r="BI51">
        <f>IF($AH$4=$CK$75,'S2'!V51,
IF($AH$4=$CL$75,'S3'!V51,
IF($AH$4=$CJ$75,'S1'!V51,
IF($AH$4=$CM$75,S3M!V51,))))</f>
        <v>0</v>
      </c>
      <c r="BJ51">
        <f>IF($AH$4=$CK$75,'S2'!W51,
IF($AH$4=$CL$75,'S3'!W51,
IF($AH$4=$CJ$75,'S1'!W51,
IF($AH$4=$CM$75,S3M!W51,))))</f>
        <v>0</v>
      </c>
      <c r="BK51">
        <f>IF($AH$4=$CK$75,'S2'!X51,
IF($AH$4=$CL$75,'S3'!X51,
IF($AH$4=$CJ$75,'S1'!X51,
IF($AH$4=$CM$75,S3M!X51,))))</f>
        <v>0</v>
      </c>
      <c r="BL51">
        <f>IF($AH$4=$CK$75,'S2'!Y51,
IF($AH$4=$CL$75,'S3'!Y51,
IF($AH$4=$CJ$75,'S1'!Y51,
IF($AH$4=$CM$75,S3M!Y51,))))</f>
        <v>0</v>
      </c>
      <c r="BM51">
        <f>IF($AH$4=$CK$75,'S2'!Z51,
IF($AH$4=$CL$75,'S3'!Z51,
IF($AH$4=$CJ$75,'S1'!Z51,
IF($AH$4=$CM$75,S3M!Z51,))))</f>
        <v>0</v>
      </c>
      <c r="BN51">
        <f>IF($AH$4=$CK$75,'S2'!AA51,
IF($AH$4=$CL$75,'S3'!AA51,
IF($AH$4=$CJ$75,'S1'!AA51,
IF($AH$4=$CM$75,S3M!AA51,))))</f>
        <v>0</v>
      </c>
      <c r="BO51">
        <f>IF($AH$4=$CK$75,'S2'!AB51,
IF($AH$4=$CL$75,'S3'!AB51,
IF($AH$4=$CJ$75,'S1'!AB51,
IF($AH$4=$CM$75,S3M!AB51,))))</f>
        <v>0</v>
      </c>
      <c r="BP51">
        <f>IF($AH$4=$CK$75,'S2'!AC51,
IF($AH$4=$CL$75,'S3'!AC51,
IF($AH$4=$CJ$75,'S1'!AC51,
IF($AH$4=$CM$75,S3M!AC51,))))</f>
        <v>0</v>
      </c>
      <c r="BQ51"/>
      <c r="BR51"/>
      <c r="BS51"/>
      <c r="BT51"/>
      <c r="BU51"/>
      <c r="BV51"/>
      <c r="BW51"/>
      <c r="BX51"/>
      <c r="BY51"/>
      <c r="BZ51"/>
      <c r="CA51"/>
      <c r="CB51"/>
      <c r="CC51">
        <f t="shared" si="169"/>
        <v>0</v>
      </c>
      <c r="CD51">
        <f>CU46</f>
        <v>0</v>
      </c>
      <c r="CE51"/>
      <c r="CF51"/>
      <c r="CG51"/>
      <c r="CH51"/>
      <c r="CI51"/>
      <c r="CJ51">
        <f>EM58</f>
        <v>0</v>
      </c>
      <c r="CK51"/>
      <c r="CL51"/>
      <c r="CM51"/>
      <c r="CN51"/>
      <c r="CO51"/>
      <c r="CP51"/>
      <c r="CQ51"/>
      <c r="CR51"/>
      <c r="CS51">
        <f>1+DE3</f>
        <v>1.135</v>
      </c>
      <c r="CT51"/>
      <c r="CU51" t="str">
        <f>IF($AH$4=$CK$75,'S2'!AH7,
IF($AH$4=$CL$75,'S3'!AH7,
IF($AH$4=$CJ$75,'S1'!AH7,
IF($AH$4=$CM$75,S3M!AH7,))))</f>
        <v>U-factor</v>
      </c>
      <c r="CV51">
        <f>IF($AH$4=$CK$75,'S2'!AI7,
IF($AH$4=$CL$75,'S3'!AI7,
IF($AH$4=$CJ$75,'S1'!AI7,
IF($AH$4=$CM$75,S3M!AI7,))))</f>
        <v>0.34</v>
      </c>
      <c r="CW51">
        <f>IF($AH$4=$CK$75,'S2'!AJ7,
IF($AH$4=$CL$75,'S3'!AJ7,
IF($AH$4=$CJ$75,'S1'!AJ7,
IF($AH$4=$CM$75,S3M!AJ7,))))</f>
        <v>0.34</v>
      </c>
      <c r="CX51">
        <f>IF($AH$4=$CK$75,'S2'!AK7,
IF($AH$4=$CL$75,'S3'!AK7,
IF($AH$4=$CJ$75,'S1'!AK7,
IF($AH$4=$CM$75,S3M!AK7,))))</f>
        <v>0.34</v>
      </c>
      <c r="CY51">
        <f>IF($AH$4=$CK$75,'S2'!AL7,
IF($AH$4=$CL$75,'S3'!AL7,
IF($AH$4=$CJ$75,'S1'!AL7,
IF($AH$4=$CM$75,S3M!AL7,))))</f>
        <v>0.34</v>
      </c>
      <c r="CZ51">
        <f>IF($AH$4=$CK$75,'S2'!AM7,
IF($AH$4=$CL$75,'S3'!AM7,
IF($AH$4=$CJ$75,'S1'!AM7,
IF($AH$4=$CM$75,S3M!AM7,))))</f>
        <v>0.34</v>
      </c>
      <c r="DA51">
        <f>IF($AH$4=$CK$75,'S2'!AN7,
IF($AH$4=$CL$75,'S3'!AN7,
IF($AH$4=$CJ$75,'S1'!AN7,
IF($AH$4=$CM$75,S3M!AN7,))))</f>
        <v>0.33</v>
      </c>
      <c r="DB51">
        <f>IF($AH$4=$CK$75,'S2'!AO7,
IF($AH$4=$CL$75,'S3'!AO7,
IF($AH$4=$CJ$75,'S1'!AO7,
IF($AH$4=$CM$75,S3M!AO7,))))</f>
        <v>0</v>
      </c>
      <c r="DC51">
        <f>IF($AH$4=$CK$75,'S2'!AP7,
IF($AH$4=$CL$75,'S3'!AP7,
IF($AH$4=$CJ$75,'S1'!AP7,
IF($AH$4=$CM$75,S3M!AP7,))))</f>
        <v>0</v>
      </c>
      <c r="DD51">
        <f>IF($AH$4=$CK$75,'S2'!AQ7,
IF($AH$4=$CL$75,'S3'!AQ7,
IF($AH$4=$CJ$75,'S1'!AQ7,
IF($AH$4=$CM$75,S3M!AQ7,))))</f>
        <v>0</v>
      </c>
      <c r="DE51">
        <f>IF($AH$4=$CK$75,'S2'!AR7,
IF($AH$4=$CL$75,'S3'!AR7,
IF($AH$4=$CJ$75,'S1'!AR7,
IF($AH$4=$CM$75,S3M!AR7,))))</f>
        <v>0</v>
      </c>
      <c r="DF51">
        <f>IF($AH$4=$CK$75,'S2'!AS7,
IF($AH$4=$CL$75,'S3'!AS7,
IF($AH$4=$CJ$75,'S1'!AS7,
IF($AH$4=$CM$75,S3M!AS7,))))</f>
        <v>0</v>
      </c>
      <c r="DG51">
        <f>IF($AH$4=$CK$75,'S2'!AT7,
IF($AH$4=$CL$75,'S3'!AT7,
IF($AH$4=$CJ$75,'S1'!AT7,
IF($AH$4=$CM$75,S3M!AT7,))))</f>
        <v>0</v>
      </c>
      <c r="DH51">
        <f>IF($AH$4=$CK$75,'S2'!AU7,
IF($AH$4=$CL$75,'S3'!AU7,
IF($AH$4=$CJ$75,'S1'!AU7,
IF($AH$4=$CM$75,S3M!AU7,))))</f>
        <v>0</v>
      </c>
      <c r="DI51" t="str">
        <f>IF($AH$4=$CK$75,'S2'!AV7,
IF($AH$4=$CL$75,'S3'!AV7,
IF($AH$4=$CJ$75,'S1'!AV7,
IF($AH$4=$CM$75,S3M!AV7,))))</f>
        <v>W</v>
      </c>
      <c r="DJ51"/>
      <c r="DK51"/>
      <c r="DL51"/>
      <c r="DM51"/>
      <c r="DN51"/>
      <c r="DO51"/>
      <c r="DP51"/>
      <c r="DQ51"/>
      <c r="DR51"/>
      <c r="DS51"/>
      <c r="DT51"/>
      <c r="DU51"/>
      <c r="DV51"/>
      <c r="DW51"/>
      <c r="DX51"/>
      <c r="DY51"/>
      <c r="DZ51"/>
      <c r="EA51"/>
      <c r="EB51"/>
      <c r="EC51"/>
      <c r="ED51"/>
      <c r="EE51"/>
      <c r="EF51">
        <f>(EF5-EF50)*10</f>
        <v>-65740</v>
      </c>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row>
    <row r="52" spans="1:256" s="1" customFormat="1" x14ac:dyDescent="0.2">
      <c r="A52" s="34"/>
      <c r="B52" s="34"/>
      <c r="C52" s="34"/>
      <c r="D52" s="34"/>
      <c r="E52" s="34"/>
      <c r="F52" s="34"/>
      <c r="G52" s="34"/>
      <c r="H52" s="34"/>
      <c r="I52" s="34"/>
      <c r="J52" s="34"/>
      <c r="K52" s="34"/>
      <c r="L52" s="34"/>
      <c r="M52" s="34"/>
      <c r="N52" s="34"/>
      <c r="O52" s="34"/>
      <c r="P52" s="34"/>
      <c r="Q52" s="34"/>
      <c r="R52" s="34"/>
      <c r="S52" s="34"/>
      <c r="T52" s="34"/>
      <c r="U52" s="34"/>
      <c r="V52" s="34"/>
      <c r="W52" s="34"/>
      <c r="X52" s="34"/>
      <c r="Y52" s="34"/>
      <c r="Z52" s="34"/>
      <c r="AA52" s="34"/>
      <c r="AB52" s="34"/>
      <c r="AC52" s="37" t="str">
        <f t="shared" ca="1" si="170"/>
        <v/>
      </c>
      <c r="AD52" s="37" t="str">
        <f t="shared" ca="1" si="171"/>
        <v/>
      </c>
      <c r="AE52" s="208"/>
      <c r="AF52" s="51"/>
      <c r="AG52" s="34"/>
      <c r="AH52" s="215"/>
      <c r="AI52" s="34"/>
      <c r="AJ52" s="34"/>
      <c r="AK52"/>
      <c r="AL52"/>
      <c r="AM52"/>
      <c r="AN52"/>
      <c r="AO52"/>
      <c r="AP52"/>
      <c r="AQ52"/>
      <c r="AR52"/>
      <c r="AS52"/>
      <c r="AT52"/>
      <c r="AU52"/>
      <c r="AV52"/>
      <c r="AW52"/>
      <c r="AX52"/>
      <c r="AY52"/>
      <c r="AZ52"/>
      <c r="BA52"/>
      <c r="BB52"/>
      <c r="BC52"/>
      <c r="BD52"/>
      <c r="BE52"/>
      <c r="BF52">
        <f t="shared" si="168"/>
        <v>0</v>
      </c>
      <c r="BG52">
        <f>IF($AH$4=$CK$75,'S2'!T52,
IF($AH$4=$CL$75,'S3'!T52,
IF($AH$4=$CJ$75,'S1'!T52,
IF($AH$4=$CM$75,S3M!T52,))))</f>
        <v>10</v>
      </c>
      <c r="BH52">
        <f>IF($AH$4=$CK$75,'S2'!U52,
IF($AH$4=$CL$75,'S3'!U52,
IF($AH$4=$CJ$75,'S1'!U52,
IF($AH$4=$CM$75,S3M!U52,))))</f>
        <v>0</v>
      </c>
      <c r="BI52">
        <f>IF($AH$4=$CK$75,'S2'!V52,
IF($AH$4=$CL$75,'S3'!V52,
IF($AH$4=$CJ$75,'S1'!V52,
IF($AH$4=$CM$75,S3M!V52,))))</f>
        <v>120</v>
      </c>
      <c r="BJ52">
        <f>IF($AH$4=$CK$75,'S2'!W52,
IF($AH$4=$CL$75,'S3'!W52,
IF($AH$4=$CJ$75,'S1'!W52,
IF($AH$4=$CM$75,S3M!W52,))))</f>
        <v>0</v>
      </c>
      <c r="BK52">
        <f>IF($AH$4=$CK$75,'S2'!X52,
IF($AH$4=$CL$75,'S3'!X52,
IF($AH$4=$CJ$75,'S1'!X52,
IF($AH$4=$CM$75,S3M!X52,))))</f>
        <v>70</v>
      </c>
      <c r="BL52">
        <f>IF($AH$4=$CK$75,'S2'!Y52,
IF($AH$4=$CL$75,'S3'!Y52,
IF($AH$4=$CJ$75,'S1'!Y52,
IF($AH$4=$CM$75,S3M!Y52,))))</f>
        <v>71</v>
      </c>
      <c r="BM52">
        <f>IF($AH$4=$CK$75,'S2'!Z52,
IF($AH$4=$CL$75,'S3'!Z52,
IF($AH$4=$CJ$75,'S1'!Z52,
IF($AH$4=$CM$75,S3M!Z52,))))</f>
        <v>0</v>
      </c>
      <c r="BN52">
        <f>IF($AH$4=$CK$75,'S2'!AA52,
IF($AH$4=$CL$75,'S3'!AA52,
IF($AH$4=$CJ$75,'S1'!AA52,
IF($AH$4=$CM$75,S3M!AA52,))))</f>
        <v>0</v>
      </c>
      <c r="BO52">
        <f>IF($AH$4=$CK$75,'S2'!AB52,
IF($AH$4=$CL$75,'S3'!AB52,
IF($AH$4=$CJ$75,'S1'!AB52,
IF($AH$4=$CM$75,S3M!AB52,))))</f>
        <v>0</v>
      </c>
      <c r="BP52">
        <f>IF($AH$4=$CK$75,'S2'!AC52,
IF($AH$4=$CL$75,'S3'!AC52,
IF($AH$4=$CJ$75,'S1'!AC52,
IF($AH$4=$CM$75,S3M!AC52,))))</f>
        <v>0</v>
      </c>
      <c r="BQ52">
        <f>IF($AH$4=$CK$75,'S2'!AD37,IF($AH$4=$CL$75,'S3'!AD37,))</f>
        <v>0</v>
      </c>
      <c r="BR52"/>
      <c r="BS52"/>
      <c r="BT52"/>
      <c r="BU52"/>
      <c r="BV52"/>
      <c r="BW52"/>
      <c r="BX52"/>
      <c r="BY52"/>
      <c r="BZ52"/>
      <c r="CA52"/>
      <c r="CB52"/>
      <c r="CC52">
        <f t="shared" si="169"/>
        <v>0</v>
      </c>
      <c r="CD52">
        <f>CT46</f>
        <v>0</v>
      </c>
      <c r="CE52"/>
      <c r="CF52"/>
      <c r="CG52"/>
      <c r="CH52"/>
      <c r="CI52"/>
      <c r="CJ52">
        <v>2</v>
      </c>
      <c r="CK52">
        <v>3</v>
      </c>
      <c r="CL52">
        <f>IF(AH4=3,"",4)</f>
        <v>4</v>
      </c>
      <c r="CM52"/>
      <c r="CN52"/>
      <c r="CO52"/>
      <c r="CP52"/>
      <c r="CQ52"/>
      <c r="CR52"/>
      <c r="CS52"/>
      <c r="CT52"/>
      <c r="CU52" t="str">
        <f>IF($AH$4=$CK$75,'S2'!AH8,
IF($AH$4=$CL$75,'S3'!AH8,
IF($AH$4=$CJ$75,'S1'!AH8,
IF($AH$4=$CM$75,S3M!AH8,))))</f>
        <v>glass weight</v>
      </c>
      <c r="CV52">
        <f>IF($AH$4=$CK$75,'S2'!AI8,
IF($AH$4=$CL$75,'S3'!AI8,
IF($AH$4=$CJ$75,'S1'!AI8,
IF($AH$4=$CM$75,S3M!AI8,))))</f>
        <v>30</v>
      </c>
      <c r="CW52">
        <f>IF($AH$4=$CK$75,'S2'!AJ8,
IF($AH$4=$CL$75,'S3'!AJ8,
IF($AH$4=$CJ$75,'S1'!AJ8,
IF($AH$4=$CM$75,S3M!AJ8,))))</f>
        <v>40</v>
      </c>
      <c r="CX52">
        <f>IF($AH$4=$CK$75,'S2'!AK8,
IF($AH$4=$CL$75,'S3'!AK8,
IF($AH$4=$CJ$75,'S1'!AK8,
IF($AH$4=$CM$75,S3M!AK8,))))</f>
        <v>35</v>
      </c>
      <c r="CY52">
        <f>IF($AH$4=$CK$75,'S2'!AL8,
IF($AH$4=$CL$75,'S3'!AL8,
IF($AH$4=$CJ$75,'S1'!AL8,
IF($AH$4=$CM$75,S3M!AL8,))))</f>
        <v>40</v>
      </c>
      <c r="CZ52">
        <f>IF($AH$4=$CK$75,'S2'!AM8,
IF($AH$4=$CL$75,'S3'!AM8,
IF($AH$4=$CJ$75,'S1'!AM8,
IF($AH$4=$CM$75,S3M!AM8,))))</f>
        <v>36.9</v>
      </c>
      <c r="DA52">
        <f>IF($AH$4=$CK$75,'S2'!AN8,
IF($AH$4=$CL$75,'S3'!AN8,
IF($AH$4=$CJ$75,'S1'!AN8,
IF($AH$4=$CM$75,S3M!AN8,))))</f>
        <v>41.9</v>
      </c>
      <c r="DB52">
        <f>IF($AH$4=$CK$75,'S2'!AO8,
IF($AH$4=$CL$75,'S3'!AO8,
IF($AH$4=$CJ$75,'S1'!AO8,
IF($AH$4=$CM$75,S3M!AO8,))))</f>
        <v>0</v>
      </c>
      <c r="DC52">
        <f>IF($AH$4=$CK$75,'S2'!AP8,
IF($AH$4=$CL$75,'S3'!AP8,
IF($AH$4=$CJ$75,'S1'!AP8,
IF($AH$4=$CM$75,S3M!AP8,))))</f>
        <v>0</v>
      </c>
      <c r="DD52">
        <f>IF($AH$4=$CK$75,'S2'!AQ8,
IF($AH$4=$CL$75,'S3'!AQ8,
IF($AH$4=$CJ$75,'S1'!AQ8,
IF($AH$4=$CM$75,S3M!AQ8,))))</f>
        <v>0</v>
      </c>
      <c r="DE52">
        <f>IF($AH$4=$CK$75,'S2'!AR8,
IF($AH$4=$CL$75,'S3'!AR8,
IF($AH$4=$CJ$75,'S1'!AR8,
IF($AH$4=$CM$75,S3M!AR8,))))</f>
        <v>0</v>
      </c>
      <c r="DF52">
        <f>IF($AH$4=$CK$75,'S2'!AS8,
IF($AH$4=$CL$75,'S3'!AS8,
IF($AH$4=$CJ$75,'S1'!AS8,
IF($AH$4=$CM$75,S3M!AS8,))))</f>
        <v>0</v>
      </c>
      <c r="DG52">
        <f>IF($AH$4=$CK$75,'S2'!AT8,
IF($AH$4=$CL$75,'S3'!AT8,
IF($AH$4=$CJ$75,'S1'!AT8,
IF($AH$4=$CM$75,S3M!AT8,))))</f>
        <v>0</v>
      </c>
      <c r="DH52">
        <f>IF($AH$4=$CK$75,'S2'!AU8,
IF($AH$4=$CL$75,'S3'!AU8,
IF($AH$4=$CJ$75,'S1'!AU8,
IF($AH$4=$CM$75,S3M!AU8,))))</f>
        <v>0</v>
      </c>
      <c r="DI52">
        <f>IF($AH$4=$CK$75,'S2'!AV8,
IF($AH$4=$CL$75,'S3'!AV8,
IF($AH$4=$CJ$75,'S1'!AV8,
IF($AH$4=$CM$75,S3M!AV8,))))</f>
        <v>0</v>
      </c>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row>
    <row r="53" spans="1:256" s="1" customFormat="1" x14ac:dyDescent="0.2">
      <c r="A53" s="34"/>
      <c r="B53" s="34"/>
      <c r="C53" s="34"/>
      <c r="D53" s="34"/>
      <c r="E53" s="34"/>
      <c r="F53" s="34"/>
      <c r="G53" s="34"/>
      <c r="H53" s="34"/>
      <c r="I53" s="34"/>
      <c r="J53" s="34"/>
      <c r="K53" s="34"/>
      <c r="L53" s="34"/>
      <c r="M53" s="34"/>
      <c r="N53" s="34"/>
      <c r="O53" s="34"/>
      <c r="P53" s="34"/>
      <c r="Q53" s="34"/>
      <c r="R53" s="34"/>
      <c r="S53" s="34"/>
      <c r="T53" s="34"/>
      <c r="U53" s="34"/>
      <c r="V53" s="34"/>
      <c r="W53" s="34"/>
      <c r="X53" s="34"/>
      <c r="Y53" s="34"/>
      <c r="Z53" s="34"/>
      <c r="AA53" s="34"/>
      <c r="AB53" s="34"/>
      <c r="AC53" s="37" t="str">
        <f t="shared" ca="1" si="170"/>
        <v/>
      </c>
      <c r="AD53" s="37" t="str">
        <f t="shared" ca="1" si="171"/>
        <v/>
      </c>
      <c r="AE53" s="34"/>
      <c r="AF53" s="34"/>
      <c r="AG53" s="34"/>
      <c r="AH53" s="215"/>
      <c r="AI53" s="34"/>
      <c r="AJ53" s="34"/>
      <c r="AK53"/>
      <c r="AL53"/>
      <c r="AM53"/>
      <c r="AN53"/>
      <c r="AO53"/>
      <c r="AP53"/>
      <c r="AQ53"/>
      <c r="AR53"/>
      <c r="AS53"/>
      <c r="AT53"/>
      <c r="AU53"/>
      <c r="AV53"/>
      <c r="AW53"/>
      <c r="AX53"/>
      <c r="AY53"/>
      <c r="AZ53"/>
      <c r="BA53"/>
      <c r="BB53"/>
      <c r="BC53"/>
      <c r="BD53"/>
      <c r="BE53"/>
      <c r="BF53">
        <f t="shared" si="168"/>
        <v>0</v>
      </c>
      <c r="BG53">
        <f>IF($AH$4=$CK$75,'S2'!T53,
IF($AH$4=$CL$75,'S3'!T53,
IF($AH$4=$CJ$75,'S1'!T53,
IF($AH$4=$CM$75,S3M!T53,))))</f>
        <v>10</v>
      </c>
      <c r="BH53">
        <f>IF($AH$4=$CK$75,'S2'!U53,
IF($AH$4=$CL$75,'S3'!U53,
IF($AH$4=$CJ$75,'S1'!U53,
IF($AH$4=$CM$75,S3M!U53,))))</f>
        <v>0</v>
      </c>
      <c r="BI53">
        <f>IF($AH$4=$CK$75,'S2'!V53,
IF($AH$4=$CL$75,'S3'!V53,
IF($AH$4=$CJ$75,'S1'!V53,
IF($AH$4=$CM$75,S3M!V53,))))</f>
        <v>150</v>
      </c>
      <c r="BJ53">
        <f>IF($AH$4=$CK$75,'S2'!W53,
IF($AH$4=$CL$75,'S3'!W53,
IF($AH$4=$CJ$75,'S1'!W53,
IF($AH$4=$CM$75,S3M!W53,))))</f>
        <v>0</v>
      </c>
      <c r="BK53">
        <f>IF($AH$4=$CK$75,'S2'!X53,
IF($AH$4=$CL$75,'S3'!X53,
IF($AH$4=$CJ$75,'S1'!X53,
IF($AH$4=$CM$75,S3M!X53,))))</f>
        <v>90</v>
      </c>
      <c r="BL53">
        <f>IF($AH$4=$CK$75,'S2'!Y53,
IF($AH$4=$CL$75,'S3'!Y53,
IF($AH$4=$CJ$75,'S1'!Y53,
IF($AH$4=$CM$75,S3M!Y53,))))</f>
        <v>78</v>
      </c>
      <c r="BM53">
        <f>IF($AH$4=$CK$75,'S2'!Z53,
IF($AH$4=$CL$75,'S3'!Z53,
IF($AH$4=$CJ$75,'S1'!Z53,
IF($AH$4=$CM$75,S3M!Z53,))))</f>
        <v>0</v>
      </c>
      <c r="BN53">
        <f>IF($AH$4=$CK$75,'S2'!AA53,
IF($AH$4=$CL$75,'S3'!AA53,
IF($AH$4=$CJ$75,'S1'!AA53,
IF($AH$4=$CM$75,S3M!AA53,))))</f>
        <v>0</v>
      </c>
      <c r="BO53">
        <f>IF($AH$4=$CK$75,'S2'!AB53,
IF($AH$4=$CL$75,'S3'!AB53,
IF($AH$4=$CJ$75,'S1'!AB53,
IF($AH$4=$CM$75,S3M!AB53,))))</f>
        <v>0</v>
      </c>
      <c r="BP53">
        <f>IF($AH$4=$CK$75,'S2'!AC53,
IF($AH$4=$CL$75,'S3'!AC53,
IF($AH$4=$CJ$75,'S1'!AC53,
IF($AH$4=$CM$75,S3M!AC53,))))</f>
        <v>0</v>
      </c>
      <c r="BQ53">
        <f>IF($AH$4=$CK$75,'S2'!AD38,IF($AH$4=$CL$75,'S3'!AD38,))</f>
        <v>0</v>
      </c>
      <c r="BR53"/>
      <c r="BS53"/>
      <c r="BT53"/>
      <c r="BU53"/>
      <c r="BV53"/>
      <c r="BW53"/>
      <c r="BX53"/>
      <c r="BY53"/>
      <c r="BZ53"/>
      <c r="CA53"/>
      <c r="CB53"/>
      <c r="CC53">
        <f t="shared" si="169"/>
        <v>0</v>
      </c>
      <c r="CD53">
        <f>CS46</f>
        <v>0</v>
      </c>
      <c r="CE53"/>
      <c r="CF53"/>
      <c r="CG53"/>
      <c r="CH53"/>
      <c r="CI53"/>
      <c r="CJ53"/>
      <c r="CK53"/>
      <c r="CL53"/>
      <c r="CM53"/>
      <c r="CN53"/>
      <c r="CO53"/>
      <c r="CP53"/>
      <c r="CQ53"/>
      <c r="CR53"/>
      <c r="CS53"/>
      <c r="CT53"/>
      <c r="CU53" t="str">
        <f>IF($AH$4=$CK$75,'S2'!AH9,
IF($AH$4=$CL$75,'S3'!AH9,
IF($AH$4=$CJ$75,'S1'!AH9,
IF($AH$4=$CM$75,S3M!AH9,))))</f>
        <v>SHGC / VT</v>
      </c>
      <c r="CV53" t="str">
        <f>IF($AH$4=$CK$75,'S2'!AI9,
IF($AH$4=$CL$75,'S3'!AI9,
IF($AH$4=$CJ$75,'S1'!AI9,
IF($AH$4=$CM$75,S3M!AI9,))))</f>
        <v>0.49 / 0.67</v>
      </c>
      <c r="CW53" t="str">
        <f>IF($AH$4=$CK$75,'S2'!AJ9,
IF($AH$4=$CL$75,'S3'!AJ9,
IF($AH$4=$CJ$75,'S1'!AJ9,
IF($AH$4=$CM$75,S3M!AJ9,))))</f>
        <v>0.48 / 0.66</v>
      </c>
      <c r="CX53" t="str">
        <f>IF($AH$4=$CK$75,'S2'!AK9,
IF($AH$4=$CL$75,'S3'!AK9,
IF($AH$4=$CJ$75,'S1'!AK9,
IF($AH$4=$CM$75,S3M!AK9,))))</f>
        <v>0.49 / 0.67</v>
      </c>
      <c r="CY53" t="str">
        <f>IF($AH$4=$CK$75,'S2'!AL9,
IF($AH$4=$CL$75,'S3'!AL9,
IF($AH$4=$CJ$75,'S1'!AL9,
IF($AH$4=$CM$75,S3M!AL9,))))</f>
        <v>0.48 / 0.66</v>
      </c>
      <c r="CZ53" t="str">
        <f>IF($AH$4=$CK$75,'S2'!AM9,
IF($AH$4=$CL$75,'S3'!AM9,
IF($AH$4=$CJ$75,'S1'!AM9,
IF($AH$4=$CM$75,S3M!AM9,))))</f>
        <v>0.49 / 0.66</v>
      </c>
      <c r="DA53" t="str">
        <f>IF($AH$4=$CK$75,'S2'!AN9,
IF($AH$4=$CL$75,'S3'!AN9,
IF($AH$4=$CJ$75,'S1'!AN9,
IF($AH$4=$CM$75,S3M!AN9,))))</f>
        <v>0.48 / 0.65</v>
      </c>
      <c r="DB53">
        <f>IF($AH$4=$CK$75,'S2'!AO9,
IF($AH$4=$CL$75,'S3'!AO9,
IF($AH$4=$CJ$75,'S1'!AO9,
IF($AH$4=$CM$75,S3M!AO9,))))</f>
        <v>0</v>
      </c>
      <c r="DC53">
        <f>IF($AH$4=$CK$75,'S2'!AP9,
IF($AH$4=$CL$75,'S3'!AP9,
IF($AH$4=$CJ$75,'S1'!AP9,
IF($AH$4=$CM$75,S3M!AP9,))))</f>
        <v>0</v>
      </c>
      <c r="DD53">
        <f>IF($AH$4=$CK$75,'S2'!AQ9,
IF($AH$4=$CL$75,'S3'!AQ9,
IF($AH$4=$CJ$75,'S1'!AQ9,
IF($AH$4=$CM$75,S3M!AQ9,))))</f>
        <v>0</v>
      </c>
      <c r="DE53">
        <f>IF($AH$4=$CK$75,'S2'!AR9,
IF($AH$4=$CL$75,'S3'!AR9,
IF($AH$4=$CJ$75,'S1'!AR9,
IF($AH$4=$CM$75,S3M!AR9,))))</f>
        <v>0</v>
      </c>
      <c r="DF53">
        <f>IF($AH$4=$CK$75,'S2'!AS9,
IF($AH$4=$CL$75,'S3'!AS9,
IF($AH$4=$CJ$75,'S1'!AS9,
IF($AH$4=$CM$75,S3M!AS9,))))</f>
        <v>0</v>
      </c>
      <c r="DG53">
        <f>IF($AH$4=$CK$75,'S2'!AT9,
IF($AH$4=$CL$75,'S3'!AT9,
IF($AH$4=$CJ$75,'S1'!AT9,
IF($AH$4=$CM$75,S3M!AT9,))))</f>
        <v>0</v>
      </c>
      <c r="DH53">
        <f>IF($AH$4=$CK$75,'S2'!AU9,
IF($AH$4=$CL$75,'S3'!AU9,
IF($AH$4=$CJ$75,'S1'!AU9,
IF($AH$4=$CM$75,S3M!AU9,))))</f>
        <v>0</v>
      </c>
      <c r="DI53">
        <f>IF($AH$4=$CK$75,'S2'!AV9,
IF($AH$4=$CL$75,'S3'!AV9,
IF($AH$4=$CJ$75,'S1'!AV9,
IF($AH$4=$CM$75,S3M!AV9,))))</f>
        <v>0</v>
      </c>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row>
    <row r="54" spans="1:256" s="1" customFormat="1" x14ac:dyDescent="0.2">
      <c r="A54" s="34"/>
      <c r="B54" s="34"/>
      <c r="C54" s="34"/>
      <c r="D54" s="34"/>
      <c r="E54" s="34"/>
      <c r="F54" s="34"/>
      <c r="G54" s="34"/>
      <c r="H54" s="34"/>
      <c r="I54" s="34"/>
      <c r="J54" s="34"/>
      <c r="K54" s="34"/>
      <c r="L54" s="34"/>
      <c r="M54" s="34"/>
      <c r="N54" s="34"/>
      <c r="O54" s="34"/>
      <c r="P54" s="34"/>
      <c r="Q54" s="34"/>
      <c r="R54" s="34"/>
      <c r="S54" s="34"/>
      <c r="T54" s="34"/>
      <c r="U54" s="34"/>
      <c r="V54" s="34"/>
      <c r="W54" s="34"/>
      <c r="X54" s="34"/>
      <c r="Y54" s="34"/>
      <c r="Z54" s="34"/>
      <c r="AA54" s="34"/>
      <c r="AB54" s="34"/>
      <c r="AC54" s="37" t="str">
        <f t="shared" ca="1" si="170"/>
        <v/>
      </c>
      <c r="AD54" s="37" t="str">
        <f t="shared" ca="1" si="171"/>
        <v/>
      </c>
      <c r="AE54" s="34"/>
      <c r="AF54" s="34"/>
      <c r="AG54" s="34"/>
      <c r="AH54" s="215"/>
      <c r="AI54" s="34"/>
      <c r="AJ54" s="34"/>
      <c r="AK54"/>
      <c r="AL54"/>
      <c r="AM54"/>
      <c r="AN54"/>
      <c r="AO54"/>
      <c r="AP54"/>
      <c r="AQ54"/>
      <c r="AR54"/>
      <c r="AS54"/>
      <c r="AT54"/>
      <c r="AU54"/>
      <c r="AV54"/>
      <c r="AW54"/>
      <c r="AX54"/>
      <c r="AY54"/>
      <c r="AZ54"/>
      <c r="BA54"/>
      <c r="BB54"/>
      <c r="BC54"/>
      <c r="BD54"/>
      <c r="BE54"/>
      <c r="BF54">
        <f t="shared" si="168"/>
        <v>0</v>
      </c>
      <c r="BG54">
        <f>IF($AH$4=$CK$75,'S2'!T54,
IF($AH$4=$CL$75,'S3'!T54,
IF($AH$4=$CJ$75,'S1'!T54,
IF($AH$4=$CM$75,S3M!T54,))))</f>
        <v>20</v>
      </c>
      <c r="BH54">
        <f>IF($AH$4=$CK$75,'S2'!U54,
IF($AH$4=$CL$75,'S3'!U54,
IF($AH$4=$CJ$75,'S1'!U54,
IF($AH$4=$CM$75,S3M!U54,))))</f>
        <v>0</v>
      </c>
      <c r="BI54">
        <f>IF($AH$4=$CK$75,'S2'!V54,
IF($AH$4=$CL$75,'S3'!V54,
IF($AH$4=$CJ$75,'S1'!V54,
IF($AH$4=$CM$75,S3M!V54,))))</f>
        <v>20</v>
      </c>
      <c r="BJ54">
        <f>IF($AH$4=$CK$75,'S2'!W54,
IF($AH$4=$CL$75,'S3'!W54,
IF($AH$4=$CJ$75,'S1'!W54,
IF($AH$4=$CM$75,S3M!W54,))))</f>
        <v>0</v>
      </c>
      <c r="BK54">
        <f>IF($AH$4=$CK$75,'S2'!X54,
IF($AH$4=$CL$75,'S3'!X54,
IF($AH$4=$CJ$75,'S1'!X54,
IF($AH$4=$CM$75,S3M!X54,))))</f>
        <v>77</v>
      </c>
      <c r="BL54">
        <f>IF($AH$4=$CK$75,'S2'!Y54,
IF($AH$4=$CL$75,'S3'!Y54,
IF($AH$4=$CJ$75,'S1'!Y54,
IF($AH$4=$CM$75,S3M!Y54,))))</f>
        <v>45</v>
      </c>
      <c r="BM54">
        <f>IF($AH$4=$CK$75,'S2'!Z54,
IF($AH$4=$CL$75,'S3'!Z54,
IF($AH$4=$CJ$75,'S1'!Z54,
IF($AH$4=$CM$75,S3M!Z54,))))</f>
        <v>0</v>
      </c>
      <c r="BN54">
        <f>IF($AH$4=$CK$75,'S2'!AA54,
IF($AH$4=$CL$75,'S3'!AA54,
IF($AH$4=$CJ$75,'S1'!AA54,
IF($AH$4=$CM$75,S3M!AA54,))))</f>
        <v>0</v>
      </c>
      <c r="BO54">
        <f>IF($AH$4=$CK$75,'S2'!AB54,
IF($AH$4=$CL$75,'S3'!AB54,
IF($AH$4=$CJ$75,'S1'!AB54,
IF($AH$4=$CM$75,S3M!AB54,))))</f>
        <v>0</v>
      </c>
      <c r="BP54">
        <f>IF($AH$4=$CK$75,'S2'!AC54,
IF($AH$4=$CL$75,'S3'!AC54,
IF($AH$4=$CJ$75,'S1'!AC54,
IF($AH$4=$CM$75,S3M!AC54,))))</f>
        <v>0</v>
      </c>
      <c r="BQ54">
        <f>IF($AH$4=$CK$75,'S2'!AD39,IF($AH$4=$CL$75,'S3'!AD39,))</f>
        <v>0</v>
      </c>
      <c r="BR54"/>
      <c r="BS54"/>
      <c r="BT54"/>
      <c r="BU54"/>
      <c r="BV54"/>
      <c r="BW54"/>
      <c r="BX54"/>
      <c r="BY54"/>
      <c r="BZ54"/>
      <c r="CA54"/>
      <c r="CB54"/>
      <c r="CC54">
        <f t="shared" si="169"/>
        <v>0</v>
      </c>
      <c r="CD54">
        <f>CR46</f>
        <v>0</v>
      </c>
      <c r="CE54">
        <f>SUM(CD50:CD54)</f>
        <v>0</v>
      </c>
      <c r="CF54">
        <f>SUM(CD51:CD54)</f>
        <v>0</v>
      </c>
      <c r="CG54" t="e">
        <f>CF54/AB46</f>
        <v>#DIV/0!</v>
      </c>
      <c r="CH54"/>
      <c r="CI54"/>
      <c r="CJ54">
        <f>EL58</f>
        <v>0</v>
      </c>
      <c r="CK54"/>
      <c r="CL54"/>
      <c r="CM54"/>
      <c r="CN54"/>
      <c r="CO54"/>
      <c r="CP54"/>
      <c r="CQ54"/>
      <c r="CR54"/>
      <c r="CS54"/>
      <c r="CT54"/>
      <c r="CU54">
        <f>$DR$62</f>
        <v>0</v>
      </c>
      <c r="CV54">
        <f>IF($AH$4=$CK$75,'S2'!AI10,
IF($AH$4=$CL$75,'S3'!AI10,
IF($AH$4=$CJ$75,'S1'!AI10,
IF($AH$4=$CM$75,S3M!AI10,))))</f>
        <v>0</v>
      </c>
      <c r="CW54">
        <f>IF($AH$4=$CK$75,'S2'!AJ10,
IF($AH$4=$CL$75,'S3'!AJ10,
IF($AH$4=$CJ$75,'S1'!AJ10,
IF($AH$4=$CM$75,S3M!AJ10,))))</f>
        <v>45</v>
      </c>
      <c r="CX54">
        <f>IF($AH$4=$CK$75,'S2'!AK10,
IF($AH$4=$CL$75,'S3'!AK10,
IF($AH$4=$CJ$75,'S1'!AK10,
IF($AH$4=$CM$75,S3M!AK10,))))</f>
        <v>22</v>
      </c>
      <c r="CY54">
        <f>IF($AH$4=$CK$75,'S2'!AL10,
IF($AH$4=$CL$75,'S3'!AL10,
IF($AH$4=$CJ$75,'S1'!AL10,
IF($AH$4=$CM$75,S3M!AL10,))))</f>
        <v>45</v>
      </c>
      <c r="CZ54">
        <f>IF($AH$4=$CK$75,'S2'!AM10,
IF($AH$4=$CL$75,'S3'!AM10,
IF($AH$4=$CJ$75,'S1'!AM10,
IF($AH$4=$CM$75,S3M!AM10,))))</f>
        <v>25</v>
      </c>
      <c r="DA54">
        <f>IF($AH$4=$CK$75,'S2'!AN10,
IF($AH$4=$CL$75,'S3'!AN10,
IF($AH$4=$CJ$75,'S1'!AN10,
IF($AH$4=$CM$75,S3M!AN10,))))</f>
        <v>55</v>
      </c>
      <c r="DB54">
        <f>IF($AH$4=$CK$75,'S2'!AO10,
IF($AH$4=$CL$75,'S3'!AO10,
IF($AH$4=$CJ$75,'S1'!AO10,
IF($AH$4=$CM$75,S3M!AO10,))))</f>
        <v>0</v>
      </c>
      <c r="DC54">
        <f>IF($AH$4=$CK$75,'S2'!AP10,
IF($AH$4=$CL$75,'S3'!AP10,
IF($AH$4=$CJ$75,'S1'!AP10,
IF($AH$4=$CM$75,S3M!AP10,))))</f>
        <v>0</v>
      </c>
      <c r="DD54">
        <f>IF($AH$4=$CK$75,'S2'!AQ10,
IF($AH$4=$CL$75,'S3'!AQ10,
IF($AH$4=$CJ$75,'S1'!AQ10,
IF($AH$4=$CM$75,S3M!AQ10,))))</f>
        <v>0</v>
      </c>
      <c r="DE54">
        <f>IF($AH$4=$CK$75,'S2'!AR10,
IF($AH$4=$CL$75,'S3'!AR10,
IF($AH$4=$CJ$75,'S1'!AR10,
IF($AH$4=$CM$75,S3M!AR10,))))</f>
        <v>0</v>
      </c>
      <c r="DF54">
        <f>IF($AH$4=$CK$75,'S2'!AS10,
IF($AH$4=$CL$75,'S3'!AS10,
IF($AH$4=$CJ$75,'S1'!AS10,
IF($AH$4=$CM$75,S3M!AS10,))))</f>
        <v>0</v>
      </c>
      <c r="DG54">
        <f>IF($AH$4=$CK$75,'S2'!AT10,
IF($AH$4=$CL$75,'S3'!AT10,
IF($AH$4=$CJ$75,'S1'!AT10,
IF($AH$4=$CM$75,S3M!AT10,))))</f>
        <v>0</v>
      </c>
      <c r="DH54">
        <f>IF($AH$4=$CK$75,'S2'!AU10,
IF($AH$4=$CL$75,'S3'!AU10,
IF($AH$4=$CJ$75,'S1'!AU10,
IF($AH$4=$CM$75,S3M!AU10,))))</f>
        <v>0</v>
      </c>
      <c r="DI54">
        <f>IF($AH$4=$CK$75,'S2'!AV10,
IF($AH$4=$CL$75,'S3'!AV10,
IF($AH$4=$CJ$75,'S1'!AV10,
IF($AH$4=$CM$75,S3M!AV10,))))</f>
        <v>0</v>
      </c>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row>
    <row r="55" spans="1:256" s="1" customFormat="1" ht="15" x14ac:dyDescent="0.35">
      <c r="A55" s="34"/>
      <c r="B55" s="34"/>
      <c r="C55" s="34"/>
      <c r="D55" s="34"/>
      <c r="E55" s="34"/>
      <c r="F55" s="34"/>
      <c r="G55" s="34"/>
      <c r="H55" s="34"/>
      <c r="I55" s="34"/>
      <c r="J55" s="34"/>
      <c r="K55" s="34"/>
      <c r="L55" s="34"/>
      <c r="M55" s="34"/>
      <c r="N55" s="34"/>
      <c r="O55" s="34"/>
      <c r="P55" s="34"/>
      <c r="Q55" s="34"/>
      <c r="R55" s="34"/>
      <c r="S55" s="34"/>
      <c r="T55" s="34"/>
      <c r="U55" s="34"/>
      <c r="V55" s="34"/>
      <c r="W55" s="34"/>
      <c r="X55" s="34"/>
      <c r="Y55" s="34"/>
      <c r="Z55" s="34"/>
      <c r="AA55" s="34"/>
      <c r="AB55" s="34"/>
      <c r="AC55" s="219" t="str">
        <f t="shared" ca="1" si="170"/>
        <v/>
      </c>
      <c r="AD55" s="219" t="str">
        <f t="shared" ca="1" si="171"/>
        <v/>
      </c>
      <c r="AE55" s="34"/>
      <c r="AF55" s="34"/>
      <c r="AG55" s="34"/>
      <c r="AH55" s="215"/>
      <c r="AI55" s="34"/>
      <c r="AJ55" s="34"/>
      <c r="AK55"/>
      <c r="AL55"/>
      <c r="AM55"/>
      <c r="AN55"/>
      <c r="AO55"/>
      <c r="AP55"/>
      <c r="AQ55"/>
      <c r="AR55"/>
      <c r="AS55"/>
      <c r="AT55"/>
      <c r="AU55"/>
      <c r="AV55"/>
      <c r="AW55"/>
      <c r="AX55"/>
      <c r="AY55"/>
      <c r="AZ55"/>
      <c r="BA55"/>
      <c r="BB55"/>
      <c r="BC55"/>
      <c r="BD55"/>
      <c r="BE55"/>
      <c r="BF55">
        <f t="shared" si="168"/>
        <v>0</v>
      </c>
      <c r="BG55">
        <f>IF($AH$4=$CK$75,'S2'!T55,
IF($AH$4=$CL$75,'S3'!T55,
IF($AH$4=$CJ$75,'S1'!T55,
IF($AH$4=$CM$75,S3M!T55,))))</f>
        <v>30</v>
      </c>
      <c r="BH55">
        <f>IF($AH$4=$CK$75,'S2'!U55,
IF($AH$4=$CL$75,'S3'!U55,
IF($AH$4=$CJ$75,'S1'!U55,
IF($AH$4=$CM$75,S3M!U55,))))</f>
        <v>0</v>
      </c>
      <c r="BI55">
        <f>IF($AH$4=$CK$75,'S2'!V55,
IF($AH$4=$CL$75,'S3'!V55,
IF($AH$4=$CJ$75,'S1'!V55,
IF($AH$4=$CM$75,S3M!V55,))))</f>
        <v>30</v>
      </c>
      <c r="BJ55">
        <f>IF($AH$4=$CK$75,'S2'!W55,
IF($AH$4=$CL$75,'S3'!W55,
IF($AH$4=$CJ$75,'S1'!W55,
IF($AH$4=$CM$75,S3M!W55,))))</f>
        <v>0</v>
      </c>
      <c r="BK55">
        <f>IF($AH$4=$CK$75,'S2'!X55,
IF($AH$4=$CL$75,'S3'!X55,
IF($AH$4=$CJ$75,'S1'!X55,
IF($AH$4=$CM$75,S3M!X55,))))</f>
        <v>120</v>
      </c>
      <c r="BL55">
        <f>IF($AH$4=$CK$75,'S2'!Y55,
IF($AH$4=$CL$75,'S3'!Y55,
IF($AH$4=$CJ$75,'S1'!Y55,
IF($AH$4=$CM$75,S3M!Y55,))))</f>
        <v>82.98</v>
      </c>
      <c r="BM55">
        <f>IF($AH$4=$CK$75,'S2'!Z55,
IF($AH$4=$CL$75,'S3'!Z55,
IF($AH$4=$CJ$75,'S1'!Z55,
IF($AH$4=$CM$75,S3M!Z55,))))</f>
        <v>0</v>
      </c>
      <c r="BN55">
        <f>IF($AH$4=$CK$75,'S2'!AA55,
IF($AH$4=$CL$75,'S3'!AA55,
IF($AH$4=$CJ$75,'S1'!AA55,
IF($AH$4=$CM$75,S3M!AA55,))))</f>
        <v>0</v>
      </c>
      <c r="BO55">
        <f>IF($AH$4=$CK$75,'S2'!AB55,
IF($AH$4=$CL$75,'S3'!AB55,
IF($AH$4=$CJ$75,'S1'!AB55,
IF($AH$4=$CM$75,S3M!AB55,))))</f>
        <v>0</v>
      </c>
      <c r="BP55">
        <f>IF($AH$4=$CK$75,'S2'!AC55,
IF($AH$4=$CL$75,'S3'!AC55,
IF($AH$4=$CJ$75,'S1'!AC55,
IF($AH$4=$CM$75,S3M!AC55,))))</f>
        <v>0</v>
      </c>
      <c r="BQ55">
        <f>IF($AH$4=$CK$75,'S2'!AD40,IF($AH$4=$CL$75,'S3'!AD40,))</f>
        <v>0</v>
      </c>
      <c r="BR55"/>
      <c r="BS55"/>
      <c r="BT55"/>
      <c r="BU55"/>
      <c r="BV55"/>
      <c r="BW55"/>
      <c r="BX55"/>
      <c r="BY55"/>
      <c r="BZ55"/>
      <c r="CA55"/>
      <c r="CB55"/>
      <c r="CC55">
        <f t="shared" si="169"/>
        <v>0</v>
      </c>
      <c r="CD55">
        <f>SUM(CD51:CD54)</f>
        <v>0</v>
      </c>
      <c r="CE55"/>
      <c r="CF55"/>
      <c r="CG55"/>
      <c r="CH55"/>
      <c r="CI55"/>
      <c r="CJ55" t="s">
        <v>198</v>
      </c>
      <c r="CK55" t="s">
        <v>197</v>
      </c>
      <c r="CL55"/>
      <c r="CM55"/>
      <c r="CN55"/>
      <c r="CO55"/>
      <c r="CP55"/>
      <c r="CQ55"/>
      <c r="CR55"/>
      <c r="CS55"/>
      <c r="CT55"/>
      <c r="CU55"/>
      <c r="CV55">
        <f>IF($AH$4=$CK$75,'S2'!AI11,
IF($AH$4=$CL$75,'S3'!AI11,
IF($AH$4=$CJ$75,'S1'!AI11,
IF($AH$4=$CM$75,S3M!AI11,))))</f>
        <v>0</v>
      </c>
      <c r="CW55">
        <f>IF($AH$4=$CK$75,'S2'!AJ11,
IF($AH$4=$CL$75,'S3'!AJ11,
IF($AH$4=$CJ$75,'S1'!AJ11,
IF($AH$4=$CM$75,S3M!AJ11,))))</f>
        <v>0</v>
      </c>
      <c r="CX55">
        <f>IF($AH$4=$CK$75,'S2'!AK11,
IF($AH$4=$CL$75,'S3'!AK11,
IF($AH$4=$CJ$75,'S1'!AK11,
IF($AH$4=$CM$75,S3M!AK11,))))</f>
        <v>0</v>
      </c>
      <c r="CY55">
        <f>IF($AH$4=$CK$75,'S2'!AL11,
IF($AH$4=$CL$75,'S3'!AL11,
IF($AH$4=$CJ$75,'S1'!AL11,
IF($AH$4=$CM$75,S3M!AL11,))))</f>
        <v>0</v>
      </c>
      <c r="CZ55">
        <f>IF($AH$4=$CK$75,'S2'!AM11,
IF($AH$4=$CL$75,'S3'!AM11,
IF($AH$4=$CJ$75,'S1'!AM11,
IF($AH$4=$CM$75,S3M!AM11,))))</f>
        <v>0</v>
      </c>
      <c r="DA55">
        <f>IF($AH$4=$CK$75,'S2'!AN11,
IF($AH$4=$CL$75,'S3'!AN11,
IF($AH$4=$CJ$75,'S1'!AN11,
IF($AH$4=$CM$75,S3M!AN11,))))</f>
        <v>0</v>
      </c>
      <c r="DB55">
        <f>IF($AH$4=$CK$75,'S2'!AO11,
IF($AH$4=$CL$75,'S3'!AO11,
IF($AH$4=$CJ$75,'S1'!AO11,
IF($AH$4=$CM$75,S3M!AO11,))))</f>
        <v>0</v>
      </c>
      <c r="DC55">
        <f>IF($AH$4=$CK$75,'S2'!AP11,
IF($AH$4=$CL$75,'S3'!AP11,
IF($AH$4=$CJ$75,'S1'!AP11,
IF($AH$4=$CM$75,S3M!AP11,))))</f>
        <v>0</v>
      </c>
      <c r="DD55">
        <f>IF($AH$4=$CK$75,'S2'!AQ11,
IF($AH$4=$CL$75,'S3'!AQ11,
IF($AH$4=$CJ$75,'S1'!AQ11,
IF($AH$4=$CM$75,S3M!AQ11,))))</f>
        <v>0</v>
      </c>
      <c r="DE55">
        <f>IF($AH$4=$CK$75,'S2'!AR11,
IF($AH$4=$CL$75,'S3'!AR11,
IF($AH$4=$CJ$75,'S1'!AR11,
IF($AH$4=$CM$75,S3M!AR11,))))</f>
        <v>0</v>
      </c>
      <c r="DF55">
        <f>IF($AH$4=$CK$75,'S2'!AS11,
IF($AH$4=$CL$75,'S3'!AS11,
IF($AH$4=$CJ$75,'S1'!AS11,
IF($AH$4=$CM$75,S3M!AS11,))))</f>
        <v>0</v>
      </c>
      <c r="DG55">
        <f>IF($AH$4=$CK$75,'S2'!AT11,
IF($AH$4=$CL$75,'S3'!AT11,
IF($AH$4=$CJ$75,'S1'!AT11,
IF($AH$4=$CM$75,S3M!AT11,))))</f>
        <v>0</v>
      </c>
      <c r="DH55">
        <f>IF($AH$4=$CK$75,'S2'!AU11,
IF($AH$4=$CL$75,'S3'!AU11,
IF($AH$4=$CJ$75,'S1'!AU11,
IF($AH$4=$CM$75,S3M!AU11,))))</f>
        <v>0</v>
      </c>
      <c r="DI55">
        <f>IF($AH$4=$CK$75,'S2'!AV11,
IF($AH$4=$CL$75,'S3'!AV11,
IF($AH$4=$CJ$75,'S1'!AV11,
IF($AH$4=$CM$75,S3M!AV11,))))</f>
        <v>0</v>
      </c>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row>
    <row r="56" spans="1:256" s="1" customFormat="1" x14ac:dyDescent="0.2">
      <c r="A56" s="34"/>
      <c r="B56" s="34"/>
      <c r="C56" s="34"/>
      <c r="D56" s="34"/>
      <c r="E56" s="34"/>
      <c r="F56" s="34"/>
      <c r="G56" s="34"/>
      <c r="H56" s="34"/>
      <c r="I56" s="34"/>
      <c r="J56" s="34"/>
      <c r="K56" s="34"/>
      <c r="L56" s="34"/>
      <c r="M56" s="34"/>
      <c r="N56" s="34"/>
      <c r="O56" s="34"/>
      <c r="P56" s="34"/>
      <c r="Q56" s="34"/>
      <c r="R56" s="34"/>
      <c r="S56" s="34"/>
      <c r="T56" s="34"/>
      <c r="U56" s="34"/>
      <c r="V56" s="34"/>
      <c r="W56" s="34"/>
      <c r="X56" s="34"/>
      <c r="Y56" s="34"/>
      <c r="Z56" s="34"/>
      <c r="AA56" s="34"/>
      <c r="AB56" s="34"/>
      <c r="AC56" s="37" t="str">
        <f t="shared" ca="1" si="170"/>
        <v/>
      </c>
      <c r="AD56" s="37" t="str">
        <f t="shared" ca="1" si="171"/>
        <v/>
      </c>
      <c r="AE56" s="34"/>
      <c r="AF56" s="34"/>
      <c r="AG56" s="34"/>
      <c r="AH56" s="215"/>
      <c r="AI56" s="34"/>
      <c r="AJ56" s="34"/>
      <c r="AK56"/>
      <c r="AL56"/>
      <c r="AM56"/>
      <c r="AN56"/>
      <c r="AO56"/>
      <c r="AP56"/>
      <c r="AQ56"/>
      <c r="AR56"/>
      <c r="AS56"/>
      <c r="AT56"/>
      <c r="AU56"/>
      <c r="AV56"/>
      <c r="AW56"/>
      <c r="AX56"/>
      <c r="AY56"/>
      <c r="AZ56"/>
      <c r="BA56"/>
      <c r="BB56"/>
      <c r="BC56"/>
      <c r="BD56"/>
      <c r="BE56"/>
      <c r="BF56">
        <v>2300</v>
      </c>
      <c r="BG56">
        <f>IF($AH$4=$CK$75,'S2'!T56,
IF($AH$4=$CL$75,'S3'!T56,
IF($AH$4=$CJ$75,'S1'!T56,
IF($AH$4=$CM$75,S3M!T56,))))</f>
        <v>0</v>
      </c>
      <c r="BH56">
        <f>IF($AH$4=$CK$75,'S2'!U56,
IF($AH$4=$CL$75,'S3'!U56,
IF($AH$4=$CJ$75,'S1'!U56,
IF($AH$4=$CM$75,S3M!U56,))))</f>
        <v>0</v>
      </c>
      <c r="BI56">
        <f>IF($AH$4=$CK$75,'S2'!V56,
IF($AH$4=$CL$75,'S3'!V56,
IF($AH$4=$CJ$75,'S1'!V56,
IF($AH$4=$CM$75,S3M!V56,))))</f>
        <v>0</v>
      </c>
      <c r="BJ56">
        <f>IF($AH$4=$CK$75,'S2'!W56,
IF($AH$4=$CL$75,'S3'!W56,
IF($AH$4=$CJ$75,'S1'!W56,
IF($AH$4=$CM$75,S3M!W56,))))</f>
        <v>0</v>
      </c>
      <c r="BK56">
        <f>IF($AH$4=$CK$75,'S2'!X56,
IF($AH$4=$CL$75,'S3'!X56,
IF($AH$4=$CJ$75,'S1'!X56,
IF($AH$4=$CM$75,S3M!X56,))))</f>
        <v>0</v>
      </c>
      <c r="BL56">
        <f>IF($AH$4=$CK$75,'S2'!Y56,
IF($AH$4=$CL$75,'S3'!Y56,
IF($AH$4=$CJ$75,'S1'!Y56,
IF($AH$4=$CM$75,S3M!Y56,))))</f>
        <v>0</v>
      </c>
      <c r="BM56">
        <f>IF($AH$4=$CK$75,'S2'!Z56,
IF($AH$4=$CL$75,'S3'!Z56,
IF($AH$4=$CJ$75,'S1'!Z56,
IF($AH$4=$CM$75,S3M!Z56,))))</f>
        <v>0</v>
      </c>
      <c r="BN56">
        <f>IF($AH$4=$CK$75,'S2'!AA56,
IF($AH$4=$CL$75,'S3'!AA56,
IF($AH$4=$CJ$75,'S1'!AA56,
IF($AH$4=$CM$75,S3M!AA56,))))</f>
        <v>0</v>
      </c>
      <c r="BO56">
        <f>IF($AH$4=$CK$75,'S2'!AB56,
IF($AH$4=$CL$75,'S3'!AB56,
IF($AH$4=$CJ$75,'S1'!AB56,
IF($AH$4=$CM$75,S3M!AB56,))))</f>
        <v>0</v>
      </c>
      <c r="BP56">
        <f>IF($AH$4=$CK$75,'S2'!AC56,
IF($AH$4=$CL$75,'S3'!AC56,
IF($AH$4=$CJ$75,'S1'!AC56,
IF($AH$4=$CM$75,S3M!AC56,))))</f>
        <v>0</v>
      </c>
      <c r="BQ56"/>
      <c r="BR56"/>
      <c r="BS56"/>
      <c r="BT56"/>
      <c r="BU56"/>
      <c r="BV56"/>
      <c r="BW56"/>
      <c r="BX56"/>
      <c r="BY56"/>
      <c r="BZ56"/>
      <c r="CA56"/>
      <c r="CB56"/>
      <c r="CC56">
        <f t="shared" si="169"/>
        <v>0</v>
      </c>
      <c r="CD56">
        <f>DD46</f>
        <v>0</v>
      </c>
      <c r="CE56"/>
      <c r="CF56"/>
      <c r="CG56"/>
      <c r="CH56"/>
      <c r="CI56"/>
      <c r="CJ56">
        <f>EK58</f>
        <v>0</v>
      </c>
      <c r="CK56"/>
      <c r="CL56"/>
      <c r="CM56"/>
      <c r="CN56"/>
      <c r="CO56"/>
      <c r="CP56"/>
      <c r="CQ56"/>
      <c r="CR56"/>
      <c r="CS56"/>
      <c r="CT56"/>
      <c r="CU56">
        <f>$DR$59</f>
        <v>0</v>
      </c>
      <c r="CV56">
        <f>IF($AH$4=$CK$75,'S2'!AI12,
IF($AH$4=$CL$75,'S3'!AI12,
IF($AH$4=$CJ$75,'S1'!AI12,
IF($AH$4=$CM$75,S3M!AI12,))))</f>
        <v>0.34</v>
      </c>
      <c r="CW56">
        <f>IF($AH$4=$CK$75,'S2'!AJ12,
IF($AH$4=$CL$75,'S3'!AJ12,
IF($AH$4=$CJ$75,'S1'!AJ12,
IF($AH$4=$CM$75,S3M!AJ12,))))</f>
        <v>0.33</v>
      </c>
      <c r="CX56">
        <f>IF($AH$4=$CK$75,'S2'!AK12,
IF($AH$4=$CL$75,'S3'!AK12,
IF($AH$4=$CJ$75,'S1'!AK12,
IF($AH$4=$CM$75,S3M!AK12,))))</f>
        <v>0.34</v>
      </c>
      <c r="CY56">
        <f>IF($AH$4=$CK$75,'S2'!AL12,
IF($AH$4=$CL$75,'S3'!AL12,
IF($AH$4=$CJ$75,'S1'!AL12,
IF($AH$4=$CM$75,S3M!AL12,))))</f>
        <v>0.33</v>
      </c>
      <c r="CZ56">
        <f>IF($AH$4=$CK$75,'S2'!AM12,
IF($AH$4=$CL$75,'S3'!AM12,
IF($AH$4=$CJ$75,'S1'!AM12,
IF($AH$4=$CM$75,S3M!AM12,))))</f>
        <v>0.33</v>
      </c>
      <c r="DA56">
        <f>IF($AH$4=$CK$75,'S2'!AN12,
IF($AH$4=$CL$75,'S3'!AN12,
IF($AH$4=$CJ$75,'S1'!AN12,
IF($AH$4=$CM$75,S3M!AN12,))))</f>
        <v>0.33</v>
      </c>
      <c r="DB56">
        <f>IF($AH$4=$CK$75,'S2'!AO12,
IF($AH$4=$CL$75,'S3'!AO12,
IF($AH$4=$CJ$75,'S1'!AO12,
IF($AH$4=$CM$75,S3M!AO12,))))</f>
        <v>0</v>
      </c>
      <c r="DC56">
        <f>IF($AH$4=$CK$75,'S2'!AP12,
IF($AH$4=$CL$75,'S3'!AP12,
IF($AH$4=$CJ$75,'S1'!AP12,
IF($AH$4=$CM$75,S3M!AP12,))))</f>
        <v>0</v>
      </c>
      <c r="DD56">
        <f>IF($AH$4=$CK$75,'S2'!AQ12,
IF($AH$4=$CL$75,'S3'!AQ12,
IF($AH$4=$CJ$75,'S1'!AQ12,
IF($AH$4=$CM$75,S3M!AQ12,))))</f>
        <v>0</v>
      </c>
      <c r="DE56">
        <f>IF($AH$4=$CK$75,'S2'!AR12,
IF($AH$4=$CL$75,'S3'!AR12,
IF($AH$4=$CJ$75,'S1'!AR12,
IF($AH$4=$CM$75,S3M!AR12,))))</f>
        <v>0</v>
      </c>
      <c r="DF56">
        <f>IF($AH$4=$CK$75,'S2'!AS12,
IF($AH$4=$CL$75,'S3'!AS12,
IF($AH$4=$CJ$75,'S1'!AS12,
IF($AH$4=$CM$75,S3M!AS12,))))</f>
        <v>0</v>
      </c>
      <c r="DG56">
        <f>IF($AH$4=$CK$75,'S2'!AT12,
IF($AH$4=$CL$75,'S3'!AT12,
IF($AH$4=$CJ$75,'S1'!AT12,
IF($AH$4=$CM$75,S3M!AT12,))))</f>
        <v>0</v>
      </c>
      <c r="DH56">
        <f>IF($AH$4=$CK$75,'S2'!AU12,
IF($AH$4=$CL$75,'S3'!AU12,
IF($AH$4=$CJ$75,'S1'!AU12,
IF($AH$4=$CM$75,S3M!AU12,))))</f>
        <v>0</v>
      </c>
      <c r="DI56" t="str">
        <f>IF($AH$4=$CK$75,'S2'!AV12,
IF($AH$4=$CL$75,'S3'!AV12,
IF($AH$4=$CJ$75,'S1'!AV12,
IF($AH$4=$CM$75,S3M!AV12,))))</f>
        <v>S</v>
      </c>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row>
    <row r="57" spans="1:256" s="1" customFormat="1" x14ac:dyDescent="0.2">
      <c r="A57" s="34"/>
      <c r="B57" s="34"/>
      <c r="C57" s="34"/>
      <c r="D57" s="34"/>
      <c r="E57" s="34"/>
      <c r="F57" s="34"/>
      <c r="G57" s="34"/>
      <c r="H57" s="34"/>
      <c r="I57" s="34"/>
      <c r="J57" s="34"/>
      <c r="K57" s="34"/>
      <c r="L57" s="34"/>
      <c r="M57" s="34"/>
      <c r="N57" s="34"/>
      <c r="O57" s="34"/>
      <c r="P57" s="34"/>
      <c r="Q57" s="34"/>
      <c r="R57" s="34"/>
      <c r="S57" s="34"/>
      <c r="T57" s="34"/>
      <c r="U57" s="34"/>
      <c r="V57" s="34"/>
      <c r="W57" s="34"/>
      <c r="X57" s="34"/>
      <c r="Y57" s="34"/>
      <c r="Z57" s="34"/>
      <c r="AA57" s="34"/>
      <c r="AB57" s="34"/>
      <c r="AC57" s="37" t="str">
        <f t="shared" ca="1" si="170"/>
        <v/>
      </c>
      <c r="AD57" s="37" t="str">
        <f t="shared" ca="1" si="171"/>
        <v/>
      </c>
      <c r="AE57" s="34"/>
      <c r="AF57" s="34"/>
      <c r="AG57" s="34"/>
      <c r="AH57" s="215"/>
      <c r="AI57" s="34"/>
      <c r="AJ57" s="34"/>
      <c r="AK57"/>
      <c r="AL57"/>
      <c r="AM57"/>
      <c r="AN57"/>
      <c r="AO57"/>
      <c r="AP57"/>
      <c r="AQ57"/>
      <c r="AR57"/>
      <c r="AS57"/>
      <c r="AT57"/>
      <c r="AU57"/>
      <c r="AV57"/>
      <c r="AW57"/>
      <c r="AX57"/>
      <c r="AY57"/>
      <c r="AZ57"/>
      <c r="BA57"/>
      <c r="BB57"/>
      <c r="BC57"/>
      <c r="BD57"/>
      <c r="BE57"/>
      <c r="BF57">
        <f t="shared" ref="BF57:BF71" si="172">DU70</f>
        <v>0</v>
      </c>
      <c r="BG57">
        <f>IF($AH$4=$CK$75,'S2'!T57,
IF($AH$4=$CL$75,'S3'!T57,
IF($AH$4=$CJ$75,'S1'!T57,
IF($AH$4=$CM$75,S3M!T57,))))</f>
        <v>10</v>
      </c>
      <c r="BH57">
        <f>IF($AH$4=$CK$75,'S2'!U57,
IF($AH$4=$CL$75,'S3'!U57,
IF($AH$4=$CJ$75,'S1'!U57,
IF($AH$4=$CM$75,S3M!U57,))))</f>
        <v>0</v>
      </c>
      <c r="BI57">
        <f>IF($AH$4=$CK$75,'S2'!V57,
IF($AH$4=$CL$75,'S3'!V57,
IF($AH$4=$CJ$75,'S1'!V57,
IF($AH$4=$CM$75,S3M!V57,))))</f>
        <v>90</v>
      </c>
      <c r="BJ57">
        <f>IF($AH$4=$CK$75,'S2'!W57,
IF($AH$4=$CL$75,'S3'!W57,
IF($AH$4=$CJ$75,'S1'!W57,
IF($AH$4=$CM$75,S3M!W57,))))</f>
        <v>0</v>
      </c>
      <c r="BK57">
        <f>IF($AH$4=$CK$75,'S2'!X57,
IF($AH$4=$CL$75,'S3'!X57,
IF($AH$4=$CJ$75,'S1'!X57,
IF($AH$4=$CM$75,S3M!X57,))))</f>
        <v>90</v>
      </c>
      <c r="BL57">
        <f>IF($AH$4=$CK$75,'S2'!Y57,
IF($AH$4=$CL$75,'S3'!Y57,
IF($AH$4=$CJ$75,'S1'!Y57,
IF($AH$4=$CM$75,S3M!Y57,))))</f>
        <v>450</v>
      </c>
      <c r="BM57">
        <f>IF($AH$4=$CK$75,'S2'!Z57,
IF($AH$4=$CL$75,'S3'!Z57,
IF($AH$4=$CJ$75,'S1'!Z57,
IF($AH$4=$CM$75,S3M!Z57,))))</f>
        <v>20</v>
      </c>
      <c r="BN57">
        <f>IF($AH$4=$CK$75,'S2'!AA57,
IF($AH$4=$CL$75,'S3'!AA57,
IF($AH$4=$CJ$75,'S1'!AA57,
IF($AH$4=$CM$75,S3M!AA57,))))</f>
        <v>0.25</v>
      </c>
      <c r="BO57">
        <f>IF($AH$4=$CK$75,'S2'!AB57,
IF($AH$4=$CL$75,'S3'!AB57,
IF($AH$4=$CJ$75,'S1'!AB57,
IF($AH$4=$CM$75,S3M!AB57,))))</f>
        <v>0</v>
      </c>
      <c r="BP57">
        <f>IF($AH$4=$CK$75,'S2'!AC57,
IF($AH$4=$CL$75,'S3'!AC57,
IF($AH$4=$CJ$75,'S1'!AC57,
IF($AH$4=$CM$75,S3M!AC57,))))</f>
        <v>0</v>
      </c>
      <c r="BQ57"/>
      <c r="BR57"/>
      <c r="BS57"/>
      <c r="BT57"/>
      <c r="BU57"/>
      <c r="BV57"/>
      <c r="BW57"/>
      <c r="BX57"/>
      <c r="BY57"/>
      <c r="BZ57"/>
      <c r="CA57"/>
      <c r="CB57"/>
      <c r="CC57">
        <f t="shared" si="169"/>
        <v>0</v>
      </c>
      <c r="CD57">
        <f>CB46</f>
        <v>0</v>
      </c>
      <c r="CE57"/>
      <c r="CF57"/>
      <c r="CG57"/>
      <c r="CH57"/>
      <c r="CI57"/>
      <c r="CJ57">
        <v>0</v>
      </c>
      <c r="CK57">
        <v>1</v>
      </c>
      <c r="CL57">
        <v>2</v>
      </c>
      <c r="CM57"/>
      <c r="CN57"/>
      <c r="CO57"/>
      <c r="CP57"/>
      <c r="CQ57"/>
      <c r="CR57"/>
      <c r="CS57"/>
      <c r="CT57"/>
      <c r="CU57">
        <f>$DR$60</f>
        <v>0</v>
      </c>
      <c r="CV57">
        <f>IF($AH$4=$CK$75,'S2'!AI13,
IF($AH$4=$CL$75,'S3'!AI13,
IF($AH$4=$CJ$75,'S1'!AI13,
IF($AH$4=$CM$75,S3M!AI13,))))</f>
        <v>30</v>
      </c>
      <c r="CW57">
        <f>IF($AH$4=$CK$75,'S2'!AJ13,
IF($AH$4=$CL$75,'S3'!AJ13,
IF($AH$4=$CJ$75,'S1'!AJ13,
IF($AH$4=$CM$75,S3M!AJ13,))))</f>
        <v>40</v>
      </c>
      <c r="CX57">
        <f>IF($AH$4=$CK$75,'S2'!AK13,
IF($AH$4=$CL$75,'S3'!AK13,
IF($AH$4=$CJ$75,'S1'!AK13,
IF($AH$4=$CM$75,S3M!AK13,))))</f>
        <v>35</v>
      </c>
      <c r="CY57">
        <f>IF($AH$4=$CK$75,'S2'!AL13,
IF($AH$4=$CL$75,'S3'!AL13,
IF($AH$4=$CJ$75,'S1'!AL13,
IF($AH$4=$CM$75,S3M!AL13,))))</f>
        <v>40</v>
      </c>
      <c r="CZ57">
        <f>IF($AH$4=$CK$75,'S2'!AM13,
IF($AH$4=$CL$75,'S3'!AM13,
IF($AH$4=$CJ$75,'S1'!AM13,
IF($AH$4=$CM$75,S3M!AM13,))))</f>
        <v>36.9</v>
      </c>
      <c r="DA57">
        <f>IF($AH$4=$CK$75,'S2'!AN13,
IF($AH$4=$CL$75,'S3'!AN13,
IF($AH$4=$CJ$75,'S1'!AN13,
IF($AH$4=$CM$75,S3M!AN13,))))</f>
        <v>41.9</v>
      </c>
      <c r="DB57">
        <f>IF($AH$4=$CK$75,'S2'!AO13,
IF($AH$4=$CL$75,'S3'!AO13,
IF($AH$4=$CJ$75,'S1'!AO13,
IF($AH$4=$CM$75,S3M!AO13,))))</f>
        <v>0</v>
      </c>
      <c r="DC57">
        <f>IF($AH$4=$CK$75,'S2'!AP13,
IF($AH$4=$CL$75,'S3'!AP13,
IF($AH$4=$CJ$75,'S1'!AP13,
IF($AH$4=$CM$75,S3M!AP13,))))</f>
        <v>0</v>
      </c>
      <c r="DD57">
        <f>IF($AH$4=$CK$75,'S2'!AQ13,
IF($AH$4=$CL$75,'S3'!AQ13,
IF($AH$4=$CJ$75,'S1'!AQ13,
IF($AH$4=$CM$75,S3M!AQ13,))))</f>
        <v>0</v>
      </c>
      <c r="DE57">
        <f>IF($AH$4=$CK$75,'S2'!AR13,
IF($AH$4=$CL$75,'S3'!AR13,
IF($AH$4=$CJ$75,'S1'!AR13,
IF($AH$4=$CM$75,S3M!AR13,))))</f>
        <v>0</v>
      </c>
      <c r="DF57">
        <f>IF($AH$4=$CK$75,'S2'!AS13,
IF($AH$4=$CL$75,'S3'!AS13,
IF($AH$4=$CJ$75,'S1'!AS13,
IF($AH$4=$CM$75,S3M!AS13,))))</f>
        <v>0</v>
      </c>
      <c r="DG57">
        <f>IF($AH$4=$CK$75,'S2'!AT13,
IF($AH$4=$CL$75,'S3'!AT13,
IF($AH$4=$CJ$75,'S1'!AT13,
IF($AH$4=$CM$75,S3M!AT13,))))</f>
        <v>0</v>
      </c>
      <c r="DH57">
        <f>IF($AH$4=$CK$75,'S2'!AU13,
IF($AH$4=$CL$75,'S3'!AU13,
IF($AH$4=$CJ$75,'S1'!AU13,
IF($AH$4=$CM$75,S3M!AU13,))))</f>
        <v>0</v>
      </c>
      <c r="DI57">
        <f>IF($AH$4=$CK$75,'S2'!AV13,
IF($AH$4=$CL$75,'S3'!AV13,
IF($AH$4=$CJ$75,'S1'!AV13,
IF($AH$4=$CM$75,S3M!AV13,))))</f>
        <v>0</v>
      </c>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row>
    <row r="58" spans="1:256" s="1" customFormat="1" ht="15" x14ac:dyDescent="0.35">
      <c r="A58" s="34"/>
      <c r="B58" s="34"/>
      <c r="C58" s="34"/>
      <c r="D58" s="34"/>
      <c r="E58" s="34"/>
      <c r="F58" s="34"/>
      <c r="G58" s="34"/>
      <c r="H58" s="34"/>
      <c r="I58" s="34"/>
      <c r="J58" s="34"/>
      <c r="K58" s="34"/>
      <c r="L58" s="34"/>
      <c r="M58" s="34"/>
      <c r="N58" s="34"/>
      <c r="O58" s="34"/>
      <c r="P58" s="34"/>
      <c r="Q58" s="34"/>
      <c r="R58" s="34"/>
      <c r="S58" s="34"/>
      <c r="T58" s="34"/>
      <c r="U58" s="34"/>
      <c r="V58" s="34"/>
      <c r="W58" s="34"/>
      <c r="X58" s="34"/>
      <c r="Y58" s="34"/>
      <c r="Z58" s="34"/>
      <c r="AA58" s="34"/>
      <c r="AB58" s="34"/>
      <c r="AC58" s="219" t="str">
        <f t="shared" ca="1" si="170"/>
        <v/>
      </c>
      <c r="AD58" s="219" t="str">
        <f t="shared" ca="1" si="171"/>
        <v/>
      </c>
      <c r="AE58" s="34"/>
      <c r="AF58" s="34"/>
      <c r="AG58" s="34"/>
      <c r="AH58" s="215"/>
      <c r="AI58" s="34"/>
      <c r="AJ58" s="34"/>
      <c r="AK58"/>
      <c r="AL58"/>
      <c r="AM58"/>
      <c r="AN58"/>
      <c r="AO58"/>
      <c r="AP58"/>
      <c r="AQ58"/>
      <c r="AR58"/>
      <c r="AS58"/>
      <c r="AT58"/>
      <c r="AU58"/>
      <c r="AV58"/>
      <c r="AW58"/>
      <c r="AX58"/>
      <c r="AY58"/>
      <c r="AZ58"/>
      <c r="BA58"/>
      <c r="BB58"/>
      <c r="BC58"/>
      <c r="BD58"/>
      <c r="BE58"/>
      <c r="BF58">
        <f t="shared" si="172"/>
        <v>0</v>
      </c>
      <c r="BG58">
        <f>IF($AH$4=$CK$75,'S2'!T58,
IF($AH$4=$CL$75,'S3'!T58,
IF($AH$4=$CJ$75,'S1'!T58,
IF($AH$4=$CM$75,S3M!T58,))))</f>
        <v>2</v>
      </c>
      <c r="BH58">
        <f>IF($AH$4=$CK$75,'S2'!U58,
IF($AH$4=$CL$75,'S3'!U58,
IF($AH$4=$CJ$75,'S1'!U58,
IF($AH$4=$CM$75,S3M!U58,))))</f>
        <v>0</v>
      </c>
      <c r="BI58">
        <f>IF($AH$4=$CK$75,'S2'!V58,
IF($AH$4=$CL$75,'S3'!V58,
IF($AH$4=$CJ$75,'S1'!V58,
IF($AH$4=$CM$75,S3M!V58,))))</f>
        <v>0</v>
      </c>
      <c r="BJ58">
        <f>IF($AH$4=$CK$75,'S2'!W58,
IF($AH$4=$CL$75,'S3'!W58,
IF($AH$4=$CJ$75,'S1'!W58,
IF($AH$4=$CM$75,S3M!W58,))))</f>
        <v>0</v>
      </c>
      <c r="BK58">
        <f>IF($AH$4=$CK$75,'S2'!X58,
IF($AH$4=$CL$75,'S3'!X58,
IF($AH$4=$CJ$75,'S1'!X58,
IF($AH$4=$CM$75,S3M!X58,))))</f>
        <v>0</v>
      </c>
      <c r="BL58">
        <f>IF($AH$4=$CK$75,'S2'!Y58,
IF($AH$4=$CL$75,'S3'!Y58,
IF($AH$4=$CJ$75,'S1'!Y58,
IF($AH$4=$CM$75,S3M!Y58,))))</f>
        <v>48</v>
      </c>
      <c r="BM58">
        <f>IF($AH$4=$CK$75,'S2'!Z58,
IF($AH$4=$CL$75,'S3'!Z58,
IF($AH$4=$CJ$75,'S1'!Z58,
IF($AH$4=$CM$75,S3M!Z58,))))</f>
        <v>0</v>
      </c>
      <c r="BN58">
        <f>IF($AH$4=$CK$75,'S2'!AA58,
IF($AH$4=$CL$75,'S3'!AA58,
IF($AH$4=$CJ$75,'S1'!AA58,
IF($AH$4=$CM$75,S3M!AA58,))))</f>
        <v>0</v>
      </c>
      <c r="BO58">
        <f>IF($AH$4=$CK$75,'S2'!AB58,
IF($AH$4=$CL$75,'S3'!AB58,
IF($AH$4=$CJ$75,'S1'!AB58,
IF($AH$4=$CM$75,S3M!AB58,))))</f>
        <v>0</v>
      </c>
      <c r="BP58">
        <f>IF($AH$4=$CK$75,'S2'!AC58,
IF($AH$4=$CL$75,'S3'!AC58,
IF($AH$4=$CJ$75,'S1'!AC58,
IF($AH$4=$CM$75,S3M!AC58,))))</f>
        <v>0</v>
      </c>
      <c r="BQ58"/>
      <c r="BR58"/>
      <c r="BS58"/>
      <c r="BT58"/>
      <c r="BU58"/>
      <c r="BV58"/>
      <c r="BW58"/>
      <c r="BX58"/>
      <c r="BY58"/>
      <c r="BZ58"/>
      <c r="CA58"/>
      <c r="CB58"/>
      <c r="CC58">
        <f t="shared" si="169"/>
        <v>0</v>
      </c>
      <c r="CD58">
        <f>CB46*CC1</f>
        <v>0</v>
      </c>
      <c r="CE58"/>
      <c r="CF58"/>
      <c r="CG58"/>
      <c r="CH58"/>
      <c r="CI58"/>
      <c r="CJ58">
        <f>EJ58</f>
        <v>0</v>
      </c>
      <c r="CK58"/>
      <c r="CL58"/>
      <c r="CM58"/>
      <c r="CN58"/>
      <c r="CO58"/>
      <c r="CP58"/>
      <c r="CQ58"/>
      <c r="CR58"/>
      <c r="CS58"/>
      <c r="CT58"/>
      <c r="CU58">
        <f>$DR$61</f>
        <v>0</v>
      </c>
      <c r="CV58" t="str">
        <f>IF($AH$4=$CK$75,'S2'!AI14,
IF($AH$4=$CL$75,'S3'!AI14,
IF($AH$4=$CJ$75,'S1'!AI14,
IF($AH$4=$CM$75,S3M!AI14,))))</f>
        <v>0.41 / 0.59</v>
      </c>
      <c r="CW58" t="str">
        <f>IF($AH$4=$CK$75,'S2'!AJ14,
IF($AH$4=$CL$75,'S3'!AJ14,
IF($AH$4=$CJ$75,'S1'!AJ14,
IF($AH$4=$CM$75,S3M!AJ14,))))</f>
        <v>0.40 / 0.58</v>
      </c>
      <c r="CX58" t="str">
        <f>IF($AH$4=$CK$75,'S2'!AK14,
IF($AH$4=$CL$75,'S3'!AK14,
IF($AH$4=$CJ$75,'S1'!AK14,
IF($AH$4=$CM$75,S3M!AK14,))))</f>
        <v>0.40 / 0.58</v>
      </c>
      <c r="CY58" t="str">
        <f>IF($AH$4=$CK$75,'S2'!AL14,
IF($AH$4=$CL$75,'S3'!AL14,
IF($AH$4=$CJ$75,'S1'!AL14,
IF($AH$4=$CM$75,S3M!AL14,))))</f>
        <v>0.40 / 0.58</v>
      </c>
      <c r="CZ58" t="str">
        <f>IF($AH$4=$CK$75,'S2'!AM14,
IF($AH$4=$CL$75,'S3'!AM14,
IF($AH$4=$CJ$75,'S1'!AM14,
IF($AH$4=$CM$75,S3M!AM14,))))</f>
        <v>0.41 / 0.57</v>
      </c>
      <c r="DA58" t="str">
        <f>IF($AH$4=$CK$75,'S2'!AN14,
IF($AH$4=$CL$75,'S3'!AN14,
IF($AH$4=$CJ$75,'S1'!AN14,
IF($AH$4=$CM$75,S3M!AN14,))))</f>
        <v>0.40 / 0.57</v>
      </c>
      <c r="DB58">
        <f>IF($AH$4=$CK$75,'S2'!AO14,
IF($AH$4=$CL$75,'S3'!AO14,
IF($AH$4=$CJ$75,'S1'!AO14,
IF($AH$4=$CM$75,S3M!AO14,))))</f>
        <v>0</v>
      </c>
      <c r="DC58">
        <f>IF($AH$4=$CK$75,'S2'!AP14,
IF($AH$4=$CL$75,'S3'!AP14,
IF($AH$4=$CJ$75,'S1'!AP14,
IF($AH$4=$CM$75,S3M!AP14,))))</f>
        <v>0</v>
      </c>
      <c r="DD58">
        <f>IF($AH$4=$CK$75,'S2'!AQ14,
IF($AH$4=$CL$75,'S3'!AQ14,
IF($AH$4=$CJ$75,'S1'!AQ14,
IF($AH$4=$CM$75,S3M!AQ14,))))</f>
        <v>0</v>
      </c>
      <c r="DE58">
        <f>IF($AH$4=$CK$75,'S2'!AR14,
IF($AH$4=$CL$75,'S3'!AR14,
IF($AH$4=$CJ$75,'S1'!AR14,
IF($AH$4=$CM$75,S3M!AR14,))))</f>
        <v>0</v>
      </c>
      <c r="DF58">
        <f>IF($AH$4=$CK$75,'S2'!AS14,
IF($AH$4=$CL$75,'S3'!AS14,
IF($AH$4=$CJ$75,'S1'!AS14,
IF($AH$4=$CM$75,S3M!AS14,))))</f>
        <v>0</v>
      </c>
      <c r="DG58">
        <f>IF($AH$4=$CK$75,'S2'!AT14,
IF($AH$4=$CL$75,'S3'!AT14,
IF($AH$4=$CJ$75,'S1'!AT14,
IF($AH$4=$CM$75,S3M!AT14,))))</f>
        <v>0</v>
      </c>
      <c r="DH58">
        <f>IF($AH$4=$CK$75,'S2'!AU14,
IF($AH$4=$CL$75,'S3'!AU14,
IF($AH$4=$CJ$75,'S1'!AU14,
IF($AH$4=$CM$75,S3M!AU14,))))</f>
        <v>0</v>
      </c>
      <c r="DI58">
        <f>IF($AH$4=$CK$75,'S2'!AV14,
IF($AH$4=$CL$75,'S3'!AV14,
IF($AH$4=$CJ$75,'S1'!AV14,
IF($AH$4=$CM$75,S3M!AV14,))))</f>
        <v>0</v>
      </c>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row>
    <row r="59" spans="1:256" s="1" customFormat="1" x14ac:dyDescent="0.2">
      <c r="A59" s="34"/>
      <c r="B59" s="34"/>
      <c r="C59" s="34"/>
      <c r="D59" s="34"/>
      <c r="E59" s="34"/>
      <c r="F59" s="34"/>
      <c r="G59" s="34"/>
      <c r="H59" s="34"/>
      <c r="I59" s="34"/>
      <c r="J59" s="34"/>
      <c r="K59" s="34"/>
      <c r="L59" s="34"/>
      <c r="M59" s="34"/>
      <c r="N59" s="34"/>
      <c r="O59" s="34"/>
      <c r="P59" s="34"/>
      <c r="Q59" s="34"/>
      <c r="R59" s="34"/>
      <c r="S59" s="34"/>
      <c r="T59" s="34"/>
      <c r="U59" s="34"/>
      <c r="V59" s="34"/>
      <c r="W59" s="34"/>
      <c r="X59" s="34"/>
      <c r="Y59" s="34"/>
      <c r="Z59" s="34"/>
      <c r="AA59" s="34"/>
      <c r="AB59" s="34"/>
      <c r="AC59" s="37" t="str">
        <f t="shared" ca="1" si="170"/>
        <v/>
      </c>
      <c r="AD59" s="37" t="str">
        <f t="shared" ca="1" si="171"/>
        <v/>
      </c>
      <c r="AE59" s="34"/>
      <c r="AF59" s="34"/>
      <c r="AG59" s="34"/>
      <c r="AH59" s="215"/>
      <c r="AI59" s="34"/>
      <c r="AJ59" s="34"/>
      <c r="AK59"/>
      <c r="AL59"/>
      <c r="AM59"/>
      <c r="AN59"/>
      <c r="AO59"/>
      <c r="AP59"/>
      <c r="AQ59"/>
      <c r="AR59"/>
      <c r="AS59"/>
      <c r="AT59"/>
      <c r="AU59"/>
      <c r="AV59"/>
      <c r="AW59"/>
      <c r="AX59"/>
      <c r="AY59"/>
      <c r="AZ59"/>
      <c r="BA59"/>
      <c r="BB59"/>
      <c r="BC59"/>
      <c r="BD59"/>
      <c r="BE59"/>
      <c r="BF59">
        <f t="shared" si="172"/>
        <v>0</v>
      </c>
      <c r="BG59">
        <f>IF($AH$4=$CK$75,'S2'!T59,
IF($AH$4=$CL$75,'S3'!T59,
IF($AH$4=$CJ$75,'S1'!T59,
IF($AH$4=$CM$75,S3M!T59,))))</f>
        <v>0</v>
      </c>
      <c r="BH59">
        <f>IF($AH$4=$CK$75,'S2'!U59,
IF($AH$4=$CL$75,'S3'!U59,
IF($AH$4=$CJ$75,'S1'!U59,
IF($AH$4=$CM$75,S3M!U59,))))</f>
        <v>0</v>
      </c>
      <c r="BI59">
        <f>IF($AH$4=$CK$75,'S2'!V59,
IF($AH$4=$CL$75,'S3'!V59,
IF($AH$4=$CJ$75,'S1'!V59,
IF($AH$4=$CM$75,S3M!V59,))))</f>
        <v>0</v>
      </c>
      <c r="BJ59">
        <f>IF($AH$4=$CK$75,'S2'!W59,
IF($AH$4=$CL$75,'S3'!W59,
IF($AH$4=$CJ$75,'S1'!W59,
IF($AH$4=$CM$75,S3M!W59,))))</f>
        <v>0</v>
      </c>
      <c r="BK59">
        <f>IF($AH$4=$CK$75,'S2'!X59,
IF($AH$4=$CL$75,'S3'!X59,
IF($AH$4=$CJ$75,'S1'!X59,
IF($AH$4=$CM$75,S3M!X59,))))</f>
        <v>0</v>
      </c>
      <c r="BL59">
        <f>IF($AH$4=$CK$75,'S2'!Y59,
IF($AH$4=$CL$75,'S3'!Y59,
IF($AH$4=$CJ$75,'S1'!Y59,
IF($AH$4=$CM$75,S3M!Y59,))))</f>
        <v>0</v>
      </c>
      <c r="BM59">
        <f>IF($AH$4=$CK$75,'S2'!Z59,
IF($AH$4=$CL$75,'S3'!Z59,
IF($AH$4=$CJ$75,'S1'!Z59,
IF($AH$4=$CM$75,S3M!Z59,))))</f>
        <v>0</v>
      </c>
      <c r="BN59">
        <f>IF($AH$4=$CK$75,'S2'!AA59,
IF($AH$4=$CL$75,'S3'!AA59,
IF($AH$4=$CJ$75,'S1'!AA59,
IF($AH$4=$CM$75,S3M!AA59,))))</f>
        <v>0</v>
      </c>
      <c r="BO59">
        <f>IF($AH$4=$CK$75,'S2'!AB59,
IF($AH$4=$CL$75,'S3'!AB59,
IF($AH$4=$CJ$75,'S1'!AB59,
IF($AH$4=$CM$75,S3M!AB59,))))</f>
        <v>0</v>
      </c>
      <c r="BP59">
        <f>IF($AH$4=$CK$75,'S2'!AC59,
IF($AH$4=$CL$75,'S3'!AC59,
IF($AH$4=$CJ$75,'S1'!AC59,
IF($AH$4=$CM$75,S3M!AC59,))))</f>
        <v>0</v>
      </c>
      <c r="BQ59"/>
      <c r="BR59"/>
      <c r="BS59"/>
      <c r="BT59"/>
      <c r="BU59"/>
      <c r="BV59"/>
      <c r="BW59"/>
      <c r="BX59"/>
      <c r="BY59"/>
      <c r="BZ59"/>
      <c r="CA59"/>
      <c r="CB59"/>
      <c r="CC59">
        <f t="shared" si="169"/>
        <v>0</v>
      </c>
      <c r="CD59">
        <f>DY2</f>
        <v>0</v>
      </c>
      <c r="CE59"/>
      <c r="CF59"/>
      <c r="CG59"/>
      <c r="CH59"/>
      <c r="CI59"/>
      <c r="CJ59">
        <v>0</v>
      </c>
      <c r="CK59" t="s">
        <v>139</v>
      </c>
      <c r="CL59" t="s">
        <v>138</v>
      </c>
      <c r="CM59"/>
      <c r="CN59"/>
      <c r="CO59"/>
      <c r="CP59"/>
      <c r="CQ59"/>
      <c r="CR59"/>
      <c r="CS59"/>
      <c r="CT59"/>
      <c r="CU59">
        <f>$DR$62</f>
        <v>0</v>
      </c>
      <c r="CV59">
        <f>IF($AH$4=$CK$75,'S2'!AI15,
IF($AH$4=$CL$75,'S3'!AI15,
IF($AH$4=$CJ$75,'S1'!AI15,
IF($AH$4=$CM$75,S3M!AI15,))))</f>
        <v>10</v>
      </c>
      <c r="CW59">
        <f>IF($AH$4=$CK$75,'S2'!AJ15,
IF($AH$4=$CL$75,'S3'!AJ15,
IF($AH$4=$CJ$75,'S1'!AJ15,
IF($AH$4=$CM$75,S3M!AJ15,))))</f>
        <v>55</v>
      </c>
      <c r="CX59">
        <f>IF($AH$4=$CK$75,'S2'!AK15,
IF($AH$4=$CL$75,'S3'!AK15,
IF($AH$4=$CJ$75,'S1'!AK15,
IF($AH$4=$CM$75,S3M!AK15,))))</f>
        <v>32</v>
      </c>
      <c r="CY59">
        <f>IF($AH$4=$CK$75,'S2'!AL15,
IF($AH$4=$CL$75,'S3'!AL15,
IF($AH$4=$CJ$75,'S1'!AL15,
IF($AH$4=$CM$75,S3M!AL15,))))</f>
        <v>50</v>
      </c>
      <c r="CZ59">
        <f>IF($AH$4=$CK$75,'S2'!AM15,
IF($AH$4=$CL$75,'S3'!AM15,
IF($AH$4=$CJ$75,'S1'!AM15,
IF($AH$4=$CM$75,S3M!AM15,))))</f>
        <v>35</v>
      </c>
      <c r="DA59">
        <f>IF($AH$4=$CK$75,'S2'!AN15,
IF($AH$4=$CL$75,'S3'!AN15,
IF($AH$4=$CJ$75,'S1'!AN15,
IF($AH$4=$CM$75,S3M!AN15,))))</f>
        <v>65</v>
      </c>
      <c r="DB59">
        <f>IF($AH$4=$CK$75,'S2'!AO15,
IF($AH$4=$CL$75,'S3'!AO15,
IF($AH$4=$CJ$75,'S1'!AO15,
IF($AH$4=$CM$75,S3M!AO15,))))</f>
        <v>0</v>
      </c>
      <c r="DC59">
        <f>IF($AH$4=$CK$75,'S2'!AP15,
IF($AH$4=$CL$75,'S3'!AP15,
IF($AH$4=$CJ$75,'S1'!AP15,
IF($AH$4=$CM$75,S3M!AP15,))))</f>
        <v>0</v>
      </c>
      <c r="DD59">
        <f>IF($AH$4=$CK$75,'S2'!AQ15,
IF($AH$4=$CL$75,'S3'!AQ15,
IF($AH$4=$CJ$75,'S1'!AQ15,
IF($AH$4=$CM$75,S3M!AQ15,))))</f>
        <v>0</v>
      </c>
      <c r="DE59">
        <f>IF($AH$4=$CK$75,'S2'!AR15,
IF($AH$4=$CL$75,'S3'!AR15,
IF($AH$4=$CJ$75,'S1'!AR15,
IF($AH$4=$CM$75,S3M!AR15,))))</f>
        <v>0</v>
      </c>
      <c r="DF59">
        <f>IF($AH$4=$CK$75,'S2'!AS15,
IF($AH$4=$CL$75,'S3'!AS15,
IF($AH$4=$CJ$75,'S1'!AS15,
IF($AH$4=$CM$75,S3M!AS15,))))</f>
        <v>0</v>
      </c>
      <c r="DG59">
        <f>IF($AH$4=$CK$75,'S2'!AT15,
IF($AH$4=$CL$75,'S3'!AT15,
IF($AH$4=$CJ$75,'S1'!AT15,
IF($AH$4=$CM$75,S3M!AT15,))))</f>
        <v>0</v>
      </c>
      <c r="DH59">
        <f>IF($AH$4=$CK$75,'S2'!AU15,
IF($AH$4=$CL$75,'S3'!AU15,
IF($AH$4=$CJ$75,'S1'!AU15,
IF($AH$4=$CM$75,S3M!AU15,))))</f>
        <v>0</v>
      </c>
      <c r="DI59" t="str">
        <f>IF($AH$4=$CK$75,'S2'!AV15,
IF($AH$4=$CL$75,'S3'!AV15,
IF($AH$4=$CJ$75,'S1'!AV15,
IF($AH$4=$CM$75,S3M!AV15,))))</f>
        <v>nein</v>
      </c>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row>
    <row r="60" spans="1:256" s="1" customFormat="1" x14ac:dyDescent="0.2">
      <c r="A60" s="34"/>
      <c r="B60" s="34"/>
      <c r="C60" s="34"/>
      <c r="D60" s="34"/>
      <c r="E60" s="34"/>
      <c r="F60" s="34"/>
      <c r="G60" s="34"/>
      <c r="H60" s="34"/>
      <c r="I60" s="34"/>
      <c r="J60" s="34"/>
      <c r="K60" s="34"/>
      <c r="L60" s="34"/>
      <c r="M60" s="34"/>
      <c r="N60" s="34"/>
      <c r="O60" s="34"/>
      <c r="P60" s="34"/>
      <c r="Q60" s="34"/>
      <c r="R60" s="34"/>
      <c r="S60" s="34"/>
      <c r="T60" s="34"/>
      <c r="U60" s="34"/>
      <c r="V60" s="34"/>
      <c r="W60" s="34"/>
      <c r="X60" s="34"/>
      <c r="Y60" s="34"/>
      <c r="Z60" s="34"/>
      <c r="AA60" s="34"/>
      <c r="AB60" s="34"/>
      <c r="AC60" s="37" t="str">
        <f t="shared" ca="1" si="170"/>
        <v/>
      </c>
      <c r="AD60" s="37" t="str">
        <f t="shared" ca="1" si="171"/>
        <v/>
      </c>
      <c r="AE60" s="34"/>
      <c r="AF60" s="34"/>
      <c r="AG60" s="34"/>
      <c r="AH60" s="215"/>
      <c r="AI60" s="34"/>
      <c r="AJ60" s="34"/>
      <c r="AK60"/>
      <c r="AL60"/>
      <c r="AM60"/>
      <c r="AN60"/>
      <c r="AO60"/>
      <c r="AP60"/>
      <c r="AQ60"/>
      <c r="AR60"/>
      <c r="AS60"/>
      <c r="AT60"/>
      <c r="AU60"/>
      <c r="AV60"/>
      <c r="AW60"/>
      <c r="AX60"/>
      <c r="AY60"/>
      <c r="AZ60"/>
      <c r="BA60"/>
      <c r="BB60"/>
      <c r="BC60"/>
      <c r="BD60"/>
      <c r="BE60"/>
      <c r="BF60">
        <f t="shared" si="172"/>
        <v>0</v>
      </c>
      <c r="BG60">
        <f t="shared" ref="BG60:BO60" si="173">DU62</f>
        <v>0</v>
      </c>
      <c r="BH60">
        <f t="shared" si="173"/>
        <v>0</v>
      </c>
      <c r="BI60">
        <f t="shared" si="173"/>
        <v>0</v>
      </c>
      <c r="BJ60">
        <f t="shared" si="173"/>
        <v>0</v>
      </c>
      <c r="BK60">
        <f t="shared" si="173"/>
        <v>0</v>
      </c>
      <c r="BL60">
        <f t="shared" si="173"/>
        <v>0</v>
      </c>
      <c r="BM60">
        <f t="shared" si="173"/>
        <v>0</v>
      </c>
      <c r="BN60">
        <f t="shared" si="173"/>
        <v>0</v>
      </c>
      <c r="BO60">
        <f t="shared" si="173"/>
        <v>0</v>
      </c>
      <c r="BP60"/>
      <c r="BQ60"/>
      <c r="BR60"/>
      <c r="BS60"/>
      <c r="BT60"/>
      <c r="BU60"/>
      <c r="BV60"/>
      <c r="BW60"/>
      <c r="BX60"/>
      <c r="BY60"/>
      <c r="BZ60"/>
      <c r="CA60"/>
      <c r="CB60"/>
      <c r="CC60">
        <f t="shared" si="169"/>
        <v>0</v>
      </c>
      <c r="CD60">
        <f>DZ2</f>
        <v>0</v>
      </c>
      <c r="CE60"/>
      <c r="CF60"/>
      <c r="CG60"/>
      <c r="CH60"/>
      <c r="CI60"/>
      <c r="CJ60">
        <f>EI58</f>
        <v>0</v>
      </c>
      <c r="CK60"/>
      <c r="CL60"/>
      <c r="CM60"/>
      <c r="CN60"/>
      <c r="CO60"/>
      <c r="CP60"/>
      <c r="CQ60"/>
      <c r="CR60"/>
      <c r="CS60"/>
      <c r="CT60"/>
      <c r="CU60"/>
      <c r="CV60">
        <f>IF($AH$4=$CK$75,'S2'!AI16,
IF($AH$4=$CL$75,'S3'!AI16,
IF($AH$4=$CJ$75,'S1'!AI16,
IF($AH$4=$CM$75,S3M!AI16,))))</f>
        <v>0</v>
      </c>
      <c r="CW60">
        <f>IF($AH$4=$CK$75,'S2'!AJ16,
IF($AH$4=$CL$75,'S3'!AJ16,
IF($AH$4=$CJ$75,'S1'!AJ16,
IF($AH$4=$CM$75,S3M!AJ16,))))</f>
        <v>0</v>
      </c>
      <c r="CX60">
        <f>IF($AH$4=$CK$75,'S2'!AK16,
IF($AH$4=$CL$75,'S3'!AK16,
IF($AH$4=$CJ$75,'S1'!AK16,
IF($AH$4=$CM$75,S3M!AK16,))))</f>
        <v>0</v>
      </c>
      <c r="CY60">
        <f>IF($AH$4=$CK$75,'S2'!AL16,
IF($AH$4=$CL$75,'S3'!AL16,
IF($AH$4=$CJ$75,'S1'!AL16,
IF($AH$4=$CM$75,S3M!AL16,))))</f>
        <v>0</v>
      </c>
      <c r="CZ60">
        <f>IF($AH$4=$CK$75,'S2'!AM16,
IF($AH$4=$CL$75,'S3'!AM16,
IF($AH$4=$CJ$75,'S1'!AM16,
IF($AH$4=$CM$75,S3M!AM16,))))</f>
        <v>0</v>
      </c>
      <c r="DA60">
        <f>IF($AH$4=$CK$75,'S2'!AN16,
IF($AH$4=$CL$75,'S3'!AN16,
IF($AH$4=$CJ$75,'S1'!AN16,
IF($AH$4=$CM$75,S3M!AN16,))))</f>
        <v>0</v>
      </c>
      <c r="DB60">
        <f>IF($AH$4=$CK$75,'S2'!AO16,
IF($AH$4=$CL$75,'S3'!AO16,
IF($AH$4=$CJ$75,'S1'!AO16,
IF($AH$4=$CM$75,S3M!AO16,))))</f>
        <v>0</v>
      </c>
      <c r="DC60">
        <f>IF($AH$4=$CK$75,'S2'!AP16,
IF($AH$4=$CL$75,'S3'!AP16,
IF($AH$4=$CJ$75,'S1'!AP16,
IF($AH$4=$CM$75,S3M!AP16,))))</f>
        <v>0</v>
      </c>
      <c r="DD60">
        <f>IF($AH$4=$CK$75,'S2'!AQ16,
IF($AH$4=$CL$75,'S3'!AQ16,
IF($AH$4=$CJ$75,'S1'!AQ16,
IF($AH$4=$CM$75,S3M!AQ16,))))</f>
        <v>0</v>
      </c>
      <c r="DE60">
        <f>IF($AH$4=$CK$75,'S2'!AR16,
IF($AH$4=$CL$75,'S3'!AR16,
IF($AH$4=$CJ$75,'S1'!AR16,
IF($AH$4=$CM$75,S3M!AR16,))))</f>
        <v>0</v>
      </c>
      <c r="DF60">
        <f>IF($AH$4=$CK$75,'S2'!AS16,
IF($AH$4=$CL$75,'S3'!AS16,
IF($AH$4=$CJ$75,'S1'!AS16,
IF($AH$4=$CM$75,S3M!AS16,))))</f>
        <v>0</v>
      </c>
      <c r="DG60">
        <f>IF($AH$4=$CK$75,'S2'!AT16,
IF($AH$4=$CL$75,'S3'!AT16,
IF($AH$4=$CJ$75,'S1'!AT16,
IF($AH$4=$CM$75,S3M!AT16,))))</f>
        <v>0</v>
      </c>
      <c r="DH60">
        <f>IF($AH$4=$CK$75,'S2'!AU16,
IF($AH$4=$CL$75,'S3'!AU16,
IF($AH$4=$CJ$75,'S1'!AU16,
IF($AH$4=$CM$75,S3M!AU16,))))</f>
        <v>0</v>
      </c>
      <c r="DI60">
        <f>IF($AH$4=$CK$75,'S2'!AV16,
IF($AH$4=$CL$75,'S3'!AV16,
IF($AH$4=$CJ$75,'S1'!AV16,
IF($AH$4=$CM$75,S3M!AV16,))))</f>
        <v>0</v>
      </c>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row>
    <row r="61" spans="1:256" s="1" customFormat="1" x14ac:dyDescent="0.2">
      <c r="A61" s="34"/>
      <c r="B61" s="34"/>
      <c r="C61" s="34"/>
      <c r="D61" s="34"/>
      <c r="E61" s="34"/>
      <c r="F61" s="34"/>
      <c r="G61" s="34"/>
      <c r="H61" s="34"/>
      <c r="I61" s="34"/>
      <c r="J61" s="34"/>
      <c r="K61" s="34"/>
      <c r="L61" s="34"/>
      <c r="M61" s="34"/>
      <c r="N61" s="34"/>
      <c r="O61" s="34"/>
      <c r="P61" s="34"/>
      <c r="Q61" s="34"/>
      <c r="R61" s="34"/>
      <c r="S61" s="34"/>
      <c r="T61" s="34"/>
      <c r="U61" s="34"/>
      <c r="V61" s="34"/>
      <c r="W61" s="34"/>
      <c r="X61" s="34"/>
      <c r="Y61" s="34"/>
      <c r="Z61" s="34"/>
      <c r="AA61" s="34"/>
      <c r="AB61" s="34"/>
      <c r="AC61" s="37" t="str">
        <f t="shared" ca="1" si="170"/>
        <v/>
      </c>
      <c r="AD61" s="37" t="str">
        <f t="shared" ca="1" si="171"/>
        <v/>
      </c>
      <c r="AE61" s="34"/>
      <c r="AF61" s="34"/>
      <c r="AG61" s="34"/>
      <c r="AH61" s="215"/>
      <c r="AI61" s="34"/>
      <c r="AJ61" s="34"/>
      <c r="AK61"/>
      <c r="AL61"/>
      <c r="AM61"/>
      <c r="AN61"/>
      <c r="AO61"/>
      <c r="AP61"/>
      <c r="AQ61"/>
      <c r="AR61"/>
      <c r="AS61"/>
      <c r="AT61"/>
      <c r="AU61"/>
      <c r="AV61"/>
      <c r="AW61"/>
      <c r="AX61"/>
      <c r="AY61"/>
      <c r="AZ61"/>
      <c r="BA61"/>
      <c r="BB61"/>
      <c r="BC61"/>
      <c r="BD61"/>
      <c r="BE61"/>
      <c r="BF61">
        <f t="shared" si="172"/>
        <v>0</v>
      </c>
      <c r="BG61">
        <f>IF($AH$4=$CK$75,'S2'!T61,
IF($AH$4=$CL$75,'S3'!T61,
IF($AH$4=$CJ$75,'S1'!T61,
IF($AH$4=$CM$75,S3M!T61,))))</f>
        <v>5</v>
      </c>
      <c r="BH61">
        <f>IF($AH$4=$CK$75,'S2'!U61,
IF($AH$4=$CL$75,'S3'!U61,
IF($AH$4=$CJ$75,'S1'!U61,
IF($AH$4=$CM$75,S3M!U61,))))</f>
        <v>0</v>
      </c>
      <c r="BI61">
        <f>IF($AH$4=$CK$75,'S2'!V61,
IF($AH$4=$CL$75,'S3'!V61,
IF($AH$4=$CJ$75,'S1'!V61,
IF($AH$4=$CM$75,S3M!V61,))))</f>
        <v>20</v>
      </c>
      <c r="BJ61">
        <f>IF($AH$4=$CK$75,'S2'!W61,
IF($AH$4=$CL$75,'S3'!W61,
IF($AH$4=$CJ$75,'S1'!W61,
IF($AH$4=$CM$75,S3M!W61,))))</f>
        <v>0</v>
      </c>
      <c r="BK61">
        <f>IF($AH$4=$CK$75,'S2'!X61,
IF($AH$4=$CL$75,'S3'!X61,
IF($AH$4=$CJ$75,'S1'!X61,
IF($AH$4=$CM$75,S3M!X61,))))</f>
        <v>30</v>
      </c>
      <c r="BL61">
        <f>IF($AH$4=$CK$75,'S2'!Y61,
IF($AH$4=$CL$75,'S3'!Y61,
IF($AH$4=$CJ$75,'S1'!Y61,
IF($AH$4=$CM$75,S3M!Y61,))))</f>
        <v>87</v>
      </c>
      <c r="BM61">
        <f>IF($AH$4=$CK$75,'S2'!Z61,
IF($AH$4=$CL$75,'S3'!Z61,
IF($AH$4=$CJ$75,'S1'!Z61,
IF($AH$4=$CM$75,S3M!Z61,))))</f>
        <v>0</v>
      </c>
      <c r="BN61">
        <f>IF($AH$4=$CK$75,'S2'!AA61,
IF($AH$4=$CL$75,'S3'!AA61,
IF($AH$4=$CJ$75,'S1'!AA61,
IF($AH$4=$CM$75,S3M!AA61,))))</f>
        <v>0</v>
      </c>
      <c r="BO61">
        <f>IF($AH$4=$CK$75,'S2'!AB61,
IF($AH$4=$CL$75,'S3'!AB61,
IF($AH$4=$CJ$75,'S1'!AB61,
IF($AH$4=$CM$75,S3M!AB61,))))</f>
        <v>0</v>
      </c>
      <c r="BP61">
        <f>IF($AH$4=$CK$75,'S2'!AC61,
IF($AH$4=$CL$75,'S3'!AC61,
IF($AH$4=$CJ$75,'S1'!AC61,
IF($AH$4=$CM$75,S3M!AC61,))))</f>
        <v>0</v>
      </c>
      <c r="BQ61"/>
      <c r="BR61"/>
      <c r="BS61"/>
      <c r="BT61"/>
      <c r="BU61"/>
      <c r="BV61"/>
      <c r="BW61"/>
      <c r="BX61"/>
      <c r="BY61"/>
      <c r="BZ61"/>
      <c r="CA61"/>
      <c r="CB61"/>
      <c r="CC61">
        <f t="shared" si="169"/>
        <v>0</v>
      </c>
      <c r="CD61">
        <f>EA2</f>
        <v>0</v>
      </c>
      <c r="CE61"/>
      <c r="CF61"/>
      <c r="CG61"/>
      <c r="CH61"/>
      <c r="CI61"/>
      <c r="CJ61">
        <v>0</v>
      </c>
      <c r="CK61" t="s">
        <v>198</v>
      </c>
      <c r="CL61" t="s">
        <v>241</v>
      </c>
      <c r="CM61">
        <v>2</v>
      </c>
      <c r="CN61"/>
      <c r="CO61"/>
      <c r="CP61"/>
      <c r="CQ61"/>
      <c r="CR61"/>
      <c r="CS61"/>
      <c r="CT61"/>
      <c r="CU61">
        <f>$DR$59</f>
        <v>0</v>
      </c>
      <c r="CV61">
        <f>IF($AH$4=$CK$75,'S2'!AI17,
IF($AH$4=$CL$75,'S3'!AI17,
IF($AH$4=$CJ$75,'S1'!AI17,
IF($AH$4=$CM$75,S3M!AI17,))))</f>
        <v>0.34</v>
      </c>
      <c r="CW61">
        <f>IF($AH$4=$CK$75,'S2'!AJ17,
IF($AH$4=$CL$75,'S3'!AJ17,
IF($AH$4=$CJ$75,'S1'!AJ17,
IF($AH$4=$CM$75,S3M!AJ17,))))</f>
        <v>0.33</v>
      </c>
      <c r="CX61">
        <f>IF($AH$4=$CK$75,'S2'!AK17,
IF($AH$4=$CL$75,'S3'!AK17,
IF($AH$4=$CJ$75,'S1'!AK17,
IF($AH$4=$CM$75,S3M!AK17,))))</f>
        <v>0.34</v>
      </c>
      <c r="CY61">
        <f>IF($AH$4=$CK$75,'S2'!AL17,
IF($AH$4=$CL$75,'S3'!AL17,
IF($AH$4=$CJ$75,'S1'!AL17,
IF($AH$4=$CM$75,S3M!AL17,))))</f>
        <v>0.33</v>
      </c>
      <c r="CZ61">
        <f>IF($AH$4=$CK$75,'S2'!AM17,
IF($AH$4=$CL$75,'S3'!AM17,
IF($AH$4=$CJ$75,'S1'!AM17,
IF($AH$4=$CM$75,S3M!AM17,))))</f>
        <v>0.33</v>
      </c>
      <c r="DA61">
        <f>IF($AH$4=$CK$75,'S2'!AN17,
IF($AH$4=$CL$75,'S3'!AN17,
IF($AH$4=$CJ$75,'S1'!AN17,
IF($AH$4=$CM$75,S3M!AN17,))))</f>
        <v>0.33</v>
      </c>
      <c r="DB61">
        <f>IF($AH$4=$CK$75,'S2'!AO17,
IF($AH$4=$CL$75,'S3'!AO17,
IF($AH$4=$CJ$75,'S1'!AO17,
IF($AH$4=$CM$75,S3M!AO17,))))</f>
        <v>0</v>
      </c>
      <c r="DC61">
        <f>IF($AH$4=$CK$75,'S2'!AP17,
IF($AH$4=$CL$75,'S3'!AP17,
IF($AH$4=$CJ$75,'S1'!AP17,
IF($AH$4=$CM$75,S3M!AP17,))))</f>
        <v>0</v>
      </c>
      <c r="DD61">
        <f>IF($AH$4=$CK$75,'S2'!AQ17,
IF($AH$4=$CL$75,'S3'!AQ17,
IF($AH$4=$CJ$75,'S1'!AQ17,
IF($AH$4=$CM$75,S3M!AQ17,))))</f>
        <v>0</v>
      </c>
      <c r="DE61">
        <f>IF($AH$4=$CK$75,'S2'!AR17,
IF($AH$4=$CL$75,'S3'!AR17,
IF($AH$4=$CJ$75,'S1'!AR17,
IF($AH$4=$CM$75,S3M!AR17,))))</f>
        <v>0</v>
      </c>
      <c r="DF61">
        <f>IF($AH$4=$CK$75,'S2'!AS17,
IF($AH$4=$CL$75,'S3'!AS17,
IF($AH$4=$CJ$75,'S1'!AS17,
IF($AH$4=$CM$75,S3M!AS17,))))</f>
        <v>0</v>
      </c>
      <c r="DG61">
        <f>IF($AH$4=$CK$75,'S2'!AT17,
IF($AH$4=$CL$75,'S3'!AT17,
IF($AH$4=$CJ$75,'S1'!AT17,
IF($AH$4=$CM$75,S3M!AT17,))))</f>
        <v>0</v>
      </c>
      <c r="DH61">
        <f>IF($AH$4=$CK$75,'S2'!AU17,
IF($AH$4=$CL$75,'S3'!AU17,
IF($AH$4=$CJ$75,'S1'!AU17,
IF($AH$4=$CM$75,S3M!AU17,))))</f>
        <v>0</v>
      </c>
      <c r="DI61" t="str">
        <f>IF($AH$4=$CK$75,'S2'!AV17,
IF($AH$4=$CL$75,'S3'!AV17,
IF($AH$4=$CJ$75,'S1'!AV17,
IF($AH$4=$CM$75,S3M!AV17,))))</f>
        <v xml:space="preserve">S+ </v>
      </c>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row>
    <row r="62" spans="1:256" s="1" customFormat="1" ht="15" x14ac:dyDescent="0.35">
      <c r="A62" s="34"/>
      <c r="B62" s="34"/>
      <c r="C62" s="34"/>
      <c r="D62" s="34"/>
      <c r="E62" s="34"/>
      <c r="F62" s="34"/>
      <c r="G62" s="34"/>
      <c r="H62" s="34"/>
      <c r="I62" s="34"/>
      <c r="J62" s="34"/>
      <c r="K62" s="34"/>
      <c r="L62" s="34"/>
      <c r="M62" s="34"/>
      <c r="N62" s="34"/>
      <c r="O62" s="34"/>
      <c r="P62" s="34"/>
      <c r="Q62" s="34"/>
      <c r="R62" s="34"/>
      <c r="S62" s="34"/>
      <c r="T62" s="34"/>
      <c r="U62" s="34"/>
      <c r="V62" s="34"/>
      <c r="W62" s="34"/>
      <c r="X62" s="34"/>
      <c r="Y62" s="34"/>
      <c r="Z62" s="34"/>
      <c r="AA62" s="34"/>
      <c r="AB62" s="34"/>
      <c r="AC62" s="219" t="str">
        <f t="shared" ca="1" si="170"/>
        <v/>
      </c>
      <c r="AD62" s="219" t="str">
        <f ca="1">IF($CO$68=1,CD62,"")</f>
        <v/>
      </c>
      <c r="AE62" s="34"/>
      <c r="AF62" s="34"/>
      <c r="AG62" s="34"/>
      <c r="AH62" s="34"/>
      <c r="AI62" s="34"/>
      <c r="AJ62" s="34"/>
      <c r="AK62"/>
      <c r="AL62"/>
      <c r="AM62"/>
      <c r="AN62"/>
      <c r="AO62"/>
      <c r="AP62"/>
      <c r="AQ62"/>
      <c r="AR62"/>
      <c r="AS62"/>
      <c r="AT62"/>
      <c r="AU62"/>
      <c r="AV62"/>
      <c r="AW62"/>
      <c r="AX62"/>
      <c r="AY62"/>
      <c r="AZ62"/>
      <c r="BA62"/>
      <c r="BB62"/>
      <c r="BC62"/>
      <c r="BD62"/>
      <c r="BE62"/>
      <c r="BF62">
        <f t="shared" si="172"/>
        <v>0</v>
      </c>
      <c r="BG62">
        <f>IF($AH$4=$CK$75,'S2'!T62,
IF($AH$4=$CL$75,'S3'!T62,
IF($AH$4=$CJ$75,'S1'!T62,
IF($AH$4=$CM$75,S3M!T62,))))</f>
        <v>5</v>
      </c>
      <c r="BH62">
        <f>IF($AH$4=$CK$75,'S2'!U62,
IF($AH$4=$CL$75,'S3'!U62,
IF($AH$4=$CJ$75,'S1'!U62,
IF($AH$4=$CM$75,S3M!U62,))))</f>
        <v>0</v>
      </c>
      <c r="BI62">
        <f>IF($AH$4=$CK$75,'S2'!V62,
IF($AH$4=$CL$75,'S3'!V62,
IF($AH$4=$CJ$75,'S1'!V62,
IF($AH$4=$CM$75,S3M!V62,))))</f>
        <v>30</v>
      </c>
      <c r="BJ62">
        <f>IF($AH$4=$CK$75,'S2'!W62,
IF($AH$4=$CL$75,'S3'!W62,
IF($AH$4=$CJ$75,'S1'!W62,
IF($AH$4=$CM$75,S3M!W62,))))</f>
        <v>0</v>
      </c>
      <c r="BK62">
        <f>IF($AH$4=$CK$75,'S2'!X62,
IF($AH$4=$CL$75,'S3'!X62,
IF($AH$4=$CJ$75,'S1'!X62,
IF($AH$4=$CM$75,S3M!X62,))))</f>
        <v>80</v>
      </c>
      <c r="BL62">
        <f>IF($AH$4=$CK$75,'S2'!Y62,
IF($AH$4=$CL$75,'S3'!Y62,
IF($AH$4=$CJ$75,'S1'!Y62,
IF($AH$4=$CM$75,S3M!Y62,))))</f>
        <v>153.5</v>
      </c>
      <c r="BM62">
        <f>IF($AH$4=$CK$75,'S2'!Z62,
IF($AH$4=$CL$75,'S3'!Z62,
IF($AH$4=$CJ$75,'S1'!Z62,
IF($AH$4=$CM$75,S3M!Z62,))))</f>
        <v>0</v>
      </c>
      <c r="BN62">
        <f>IF($AH$4=$CK$75,'S2'!AA62,
IF($AH$4=$CL$75,'S3'!AA62,
IF($AH$4=$CJ$75,'S1'!AA62,
IF($AH$4=$CM$75,S3M!AA62,))))</f>
        <v>0</v>
      </c>
      <c r="BO62">
        <f>IF($AH$4=$CK$75,'S2'!AB62,
IF($AH$4=$CL$75,'S3'!AB62,
IF($AH$4=$CJ$75,'S1'!AB62,
IF($AH$4=$CM$75,S3M!AB62,))))</f>
        <v>0</v>
      </c>
      <c r="BP62">
        <f>IF($AH$4=$CK$75,'S2'!AC62,
IF($AH$4=$CL$75,'S3'!AC62,
IF($AH$4=$CJ$75,'S1'!AC62,
IF($AH$4=$CM$75,S3M!AC62,))))</f>
        <v>0</v>
      </c>
      <c r="BQ62"/>
      <c r="BR62"/>
      <c r="BS62"/>
      <c r="BT62"/>
      <c r="BU62"/>
      <c r="BV62"/>
      <c r="BW62"/>
      <c r="BX62"/>
      <c r="BY62"/>
      <c r="BZ62"/>
      <c r="CA62"/>
      <c r="CB62"/>
      <c r="CC62">
        <f t="shared" si="169"/>
        <v>0</v>
      </c>
      <c r="CD62">
        <f>DX46</f>
        <v>0</v>
      </c>
      <c r="CE62"/>
      <c r="CF62"/>
      <c r="CG62"/>
      <c r="CH62"/>
      <c r="CI62"/>
      <c r="CJ62">
        <f>EH58</f>
        <v>0</v>
      </c>
      <c r="CK62"/>
      <c r="CL62"/>
      <c r="CM62"/>
      <c r="CN62"/>
      <c r="CO62"/>
      <c r="CP62"/>
      <c r="CQ62"/>
      <c r="CR62"/>
      <c r="CS62"/>
      <c r="CT62"/>
      <c r="CU62">
        <f>$DR$60</f>
        <v>0</v>
      </c>
      <c r="CV62">
        <f>IF($AH$4=$CK$75,'S2'!AI18,
IF($AH$4=$CL$75,'S3'!AI18,
IF($AH$4=$CJ$75,'S1'!AI18,
IF($AH$4=$CM$75,S3M!AI18,))))</f>
        <v>30</v>
      </c>
      <c r="CW62">
        <f>IF($AH$4=$CK$75,'S2'!AJ18,
IF($AH$4=$CL$75,'S3'!AJ18,
IF($AH$4=$CJ$75,'S1'!AJ18,
IF($AH$4=$CM$75,S3M!AJ18,))))</f>
        <v>40</v>
      </c>
      <c r="CX62">
        <f>IF($AH$4=$CK$75,'S2'!AK18,
IF($AH$4=$CL$75,'S3'!AK18,
IF($AH$4=$CJ$75,'S1'!AK18,
IF($AH$4=$CM$75,S3M!AK18,))))</f>
        <v>35</v>
      </c>
      <c r="CY62">
        <f>IF($AH$4=$CK$75,'S2'!AL18,
IF($AH$4=$CL$75,'S3'!AL18,
IF($AH$4=$CJ$75,'S1'!AL18,
IF($AH$4=$CM$75,S3M!AL18,))))</f>
        <v>40</v>
      </c>
      <c r="CZ62">
        <f>IF($AH$4=$CK$75,'S2'!AM18,
IF($AH$4=$CL$75,'S3'!AM18,
IF($AH$4=$CJ$75,'S1'!AM18,
IF($AH$4=$CM$75,S3M!AM18,))))</f>
        <v>36.9</v>
      </c>
      <c r="DA62">
        <f>IF($AH$4=$CK$75,'S2'!AN18,
IF($AH$4=$CL$75,'S3'!AN18,
IF($AH$4=$CJ$75,'S1'!AN18,
IF($AH$4=$CM$75,S3M!AN18,))))</f>
        <v>41.9</v>
      </c>
      <c r="DB62">
        <f>IF($AH$4=$CK$75,'S2'!AO18,
IF($AH$4=$CL$75,'S3'!AO18,
IF($AH$4=$CJ$75,'S1'!AO18,
IF($AH$4=$CM$75,S3M!AO18,))))</f>
        <v>0</v>
      </c>
      <c r="DC62">
        <f>IF($AH$4=$CK$75,'S2'!AP18,
IF($AH$4=$CL$75,'S3'!AP18,
IF($AH$4=$CJ$75,'S1'!AP18,
IF($AH$4=$CM$75,S3M!AP18,))))</f>
        <v>0</v>
      </c>
      <c r="DD62">
        <f>IF($AH$4=$CK$75,'S2'!AQ18,
IF($AH$4=$CL$75,'S3'!AQ18,
IF($AH$4=$CJ$75,'S1'!AQ18,
IF($AH$4=$CM$75,S3M!AQ18,))))</f>
        <v>0</v>
      </c>
      <c r="DE62">
        <f>IF($AH$4=$CK$75,'S2'!AR18,
IF($AH$4=$CL$75,'S3'!AR18,
IF($AH$4=$CJ$75,'S1'!AR18,
IF($AH$4=$CM$75,S3M!AR18,))))</f>
        <v>0</v>
      </c>
      <c r="DF62">
        <f>IF($AH$4=$CK$75,'S2'!AS18,
IF($AH$4=$CL$75,'S3'!AS18,
IF($AH$4=$CJ$75,'S1'!AS18,
IF($AH$4=$CM$75,S3M!AS18,))))</f>
        <v>0</v>
      </c>
      <c r="DG62">
        <f>IF($AH$4=$CK$75,'S2'!AT18,
IF($AH$4=$CL$75,'S3'!AT18,
IF($AH$4=$CJ$75,'S1'!AT18,
IF($AH$4=$CM$75,S3M!AT18,))))</f>
        <v>0</v>
      </c>
      <c r="DH62">
        <f>IF($AH$4=$CK$75,'S2'!AU18,
IF($AH$4=$CL$75,'S3'!AU18,
IF($AH$4=$CJ$75,'S1'!AU18,
IF($AH$4=$CM$75,S3M!AU18,))))</f>
        <v>0</v>
      </c>
      <c r="DI62">
        <f>IF($AH$4=$CK$75,'S2'!AV18,
IF($AH$4=$CL$75,'S3'!AV18,
IF($AH$4=$CJ$75,'S1'!AV18,
IF($AH$4=$CM$75,S3M!AV18,))))</f>
        <v>0</v>
      </c>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row>
    <row r="63" spans="1:256" s="1" customFormat="1" x14ac:dyDescent="0.2">
      <c r="A63" s="34"/>
      <c r="B63" s="34"/>
      <c r="C63" s="34"/>
      <c r="D63" s="34"/>
      <c r="E63" s="34"/>
      <c r="F63" s="34"/>
      <c r="G63" s="34"/>
      <c r="H63" s="34"/>
      <c r="I63" s="34"/>
      <c r="J63" s="34"/>
      <c r="K63" s="34"/>
      <c r="L63" s="34"/>
      <c r="M63" s="34"/>
      <c r="N63" s="34"/>
      <c r="O63" s="34"/>
      <c r="P63" s="34"/>
      <c r="Q63" s="34"/>
      <c r="R63" s="34"/>
      <c r="S63" s="34"/>
      <c r="T63" s="34"/>
      <c r="U63" s="34"/>
      <c r="V63" s="34"/>
      <c r="W63" s="34"/>
      <c r="X63" s="34"/>
      <c r="Y63" s="34"/>
      <c r="Z63" s="34"/>
      <c r="AA63" s="34"/>
      <c r="AB63" s="34"/>
      <c r="AC63" s="37" t="str">
        <f t="shared" ca="1" si="170"/>
        <v/>
      </c>
      <c r="AD63" s="37" t="str">
        <f t="shared" ca="1" si="171"/>
        <v/>
      </c>
      <c r="AE63" s="34"/>
      <c r="AF63" s="34"/>
      <c r="AG63" s="34"/>
      <c r="AH63" s="34"/>
      <c r="AI63" s="34"/>
      <c r="AJ63" s="34"/>
      <c r="AK63"/>
      <c r="AL63"/>
      <c r="AM63"/>
      <c r="AN63"/>
      <c r="AO63"/>
      <c r="AP63"/>
      <c r="AQ63"/>
      <c r="AR63"/>
      <c r="AS63"/>
      <c r="AT63"/>
      <c r="AU63"/>
      <c r="AV63"/>
      <c r="AW63"/>
      <c r="AX63"/>
      <c r="AY63"/>
      <c r="AZ63"/>
      <c r="BA63"/>
      <c r="BB63"/>
      <c r="BC63"/>
      <c r="BD63"/>
      <c r="BE63"/>
      <c r="BF63">
        <f t="shared" si="172"/>
        <v>0</v>
      </c>
      <c r="BG63">
        <f>IF($AH$4=$CK$75,'S2'!T63,
IF($AH$4=$CL$75,'S3'!T63,
IF($AH$4=$CJ$75,'S1'!T63,
IF($AH$4=$CM$75,S3M!T63,))))</f>
        <v>0</v>
      </c>
      <c r="BH63">
        <f>IF($AH$4=$CK$75,'S2'!U63,
IF($AH$4=$CL$75,'S3'!U63,
IF($AH$4=$CJ$75,'S1'!U63,
IF($AH$4=$CM$75,S3M!U63,))))</f>
        <v>0</v>
      </c>
      <c r="BI63">
        <f>IF($AH$4=$CK$75,'S2'!V63,
IF($AH$4=$CL$75,'S3'!V63,
IF($AH$4=$CJ$75,'S1'!V63,
IF($AH$4=$CM$75,S3M!V63,))))</f>
        <v>10</v>
      </c>
      <c r="BJ63">
        <f>IF($AH$4=$CK$75,'S2'!W63,
IF($AH$4=$CL$75,'S3'!W63,
IF($AH$4=$CJ$75,'S1'!W63,
IF($AH$4=$CM$75,S3M!W63,))))</f>
        <v>0</v>
      </c>
      <c r="BK63">
        <f>IF($AH$4=$CK$75,'S2'!X63,
IF($AH$4=$CL$75,'S3'!X63,
IF($AH$4=$CJ$75,'S1'!X63,
IF($AH$4=$CM$75,S3M!X63,))))</f>
        <v>0</v>
      </c>
      <c r="BL63">
        <f>IF($AH$4=$CK$75,'S2'!Y63,
IF($AH$4=$CL$75,'S3'!Y63,
IF($AH$4=$CJ$75,'S1'!Y63,
IF($AH$4=$CM$75,S3M!Y63,))))</f>
        <v>0</v>
      </c>
      <c r="BM63">
        <f>IF($AH$4=$CK$75,'S2'!Z63,
IF($AH$4=$CL$75,'S3'!Z63,
IF($AH$4=$CJ$75,'S1'!Z63,
IF($AH$4=$CM$75,S3M!Z63,))))</f>
        <v>0</v>
      </c>
      <c r="BN63">
        <f>IF($AH$4=$CK$75,'S2'!AA63,
IF($AH$4=$CL$75,'S3'!AA63,
IF($AH$4=$CJ$75,'S1'!AA63,
IF($AH$4=$CM$75,S3M!AA63,))))</f>
        <v>0</v>
      </c>
      <c r="BO63">
        <f>IF($AH$4=$CK$75,'S2'!AB63,
IF($AH$4=$CL$75,'S3'!AB63,
IF($AH$4=$CJ$75,'S1'!AB63,
IF($AH$4=$CM$75,S3M!AB63,))))</f>
        <v>0</v>
      </c>
      <c r="BP63">
        <f>IF($AH$4=$CK$75,'S2'!AC63,
IF($AH$4=$CL$75,'S3'!AC63,
IF($AH$4=$CJ$75,'S1'!AC63,
IF($AH$4=$CM$75,S3M!AC63,))))</f>
        <v>0</v>
      </c>
      <c r="BQ63"/>
      <c r="BR63"/>
      <c r="BS63"/>
      <c r="BT63"/>
      <c r="BU63"/>
      <c r="BV63"/>
      <c r="BW63"/>
      <c r="BX63"/>
      <c r="BY63"/>
      <c r="BZ63"/>
      <c r="CA63"/>
      <c r="CB63"/>
      <c r="CC63">
        <f t="shared" si="169"/>
        <v>0</v>
      </c>
      <c r="CD63" t="e">
        <f>CD62/AB46</f>
        <v>#DIV/0!</v>
      </c>
      <c r="CE63"/>
      <c r="CF63"/>
      <c r="CG63"/>
      <c r="CH63"/>
      <c r="CI63"/>
      <c r="CJ63" t="s">
        <v>168</v>
      </c>
      <c r="CK63" t="s">
        <v>169</v>
      </c>
      <c r="CL63" t="s">
        <v>1081</v>
      </c>
      <c r="CM63" t="s">
        <v>1082</v>
      </c>
      <c r="CN63"/>
      <c r="CO63"/>
      <c r="CP63"/>
      <c r="CQ63"/>
      <c r="CR63"/>
      <c r="CS63"/>
      <c r="CT63"/>
      <c r="CU63">
        <f>$DR$61</f>
        <v>0</v>
      </c>
      <c r="CV63" t="str">
        <f>IF($AH$4=$CK$75,'S2'!AI19,
IF($AH$4=$CL$75,'S3'!AI19,
IF($AH$4=$CJ$75,'S1'!AI19,
IF($AH$4=$CM$75,S3M!AI19,))))</f>
        <v>0.26 / 0.53</v>
      </c>
      <c r="CW63" t="str">
        <f>IF($AH$4=$CK$75,'S2'!AJ19,
IF($AH$4=$CL$75,'S3'!AJ19,
IF($AH$4=$CJ$75,'S1'!AJ19,
IF($AH$4=$CM$75,S3M!AJ19,))))</f>
        <v>0.26 / 0.52</v>
      </c>
      <c r="CX63" t="str">
        <f>IF($AH$4=$CK$75,'S2'!AK19,
IF($AH$4=$CL$75,'S3'!AK19,
IF($AH$4=$CJ$75,'S1'!AK19,
IF($AH$4=$CM$75,S3M!AK19,))))</f>
        <v>0.26 / 0.52</v>
      </c>
      <c r="CY63" t="str">
        <f>IF($AH$4=$CK$75,'S2'!AL19,
IF($AH$4=$CL$75,'S3'!AL19,
IF($AH$4=$CJ$75,'S1'!AL19,
IF($AH$4=$CM$75,S3M!AL19,))))</f>
        <v>0.26 / 0.52</v>
      </c>
      <c r="CZ63" t="str">
        <f>IF($AH$4=$CK$75,'S2'!AM19,
IF($AH$4=$CL$75,'S3'!AM19,
IF($AH$4=$CJ$75,'S1'!AM19,
IF($AH$4=$CM$75,S3M!AM19,))))</f>
        <v>0.26 / 0.52</v>
      </c>
      <c r="DA63" t="str">
        <f>IF($AH$4=$CK$75,'S2'!AN19,
IF($AH$4=$CL$75,'S3'!AN19,
IF($AH$4=$CJ$75,'S1'!AN19,
IF($AH$4=$CM$75,S3M!AN19,))))</f>
        <v>0.26 / 0.51</v>
      </c>
      <c r="DB63">
        <f>IF($AH$4=$CK$75,'S2'!AO19,
IF($AH$4=$CL$75,'S3'!AO19,
IF($AH$4=$CJ$75,'S1'!AO19,
IF($AH$4=$CM$75,S3M!AO19,))))</f>
        <v>0</v>
      </c>
      <c r="DC63">
        <f>IF($AH$4=$CK$75,'S2'!AP19,
IF($AH$4=$CL$75,'S3'!AP19,
IF($AH$4=$CJ$75,'S1'!AP19,
IF($AH$4=$CM$75,S3M!AP19,))))</f>
        <v>0</v>
      </c>
      <c r="DD63">
        <f>IF($AH$4=$CK$75,'S2'!AQ19,
IF($AH$4=$CL$75,'S3'!AQ19,
IF($AH$4=$CJ$75,'S1'!AQ19,
IF($AH$4=$CM$75,S3M!AQ19,))))</f>
        <v>0</v>
      </c>
      <c r="DE63">
        <f>IF($AH$4=$CK$75,'S2'!AR19,
IF($AH$4=$CL$75,'S3'!AR19,
IF($AH$4=$CJ$75,'S1'!AR19,
IF($AH$4=$CM$75,S3M!AR19,))))</f>
        <v>0</v>
      </c>
      <c r="DF63">
        <f>IF($AH$4=$CK$75,'S2'!AS19,
IF($AH$4=$CL$75,'S3'!AS19,
IF($AH$4=$CJ$75,'S1'!AS19,
IF($AH$4=$CM$75,S3M!AS19,))))</f>
        <v>0</v>
      </c>
      <c r="DG63">
        <f>IF($AH$4=$CK$75,'S2'!AT19,
IF($AH$4=$CL$75,'S3'!AT19,
IF($AH$4=$CJ$75,'S1'!AT19,
IF($AH$4=$CM$75,S3M!AT19,))))</f>
        <v>0</v>
      </c>
      <c r="DH63">
        <f>IF($AH$4=$CK$75,'S2'!AU19,
IF($AH$4=$CL$75,'S3'!AU19,
IF($AH$4=$CJ$75,'S1'!AU19,
IF($AH$4=$CM$75,S3M!AU19,))))</f>
        <v>0</v>
      </c>
      <c r="DI63">
        <f>IF($AH$4=$CK$75,'S2'!AV19,
IF($AH$4=$CL$75,'S3'!AV19,
IF($AH$4=$CJ$75,'S1'!AV19,
IF($AH$4=$CM$75,S3M!AV19,))))</f>
        <v>0</v>
      </c>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row>
    <row r="64" spans="1:256" s="1" customFormat="1" ht="15" x14ac:dyDescent="0.35">
      <c r="A64" s="34"/>
      <c r="B64" s="34"/>
      <c r="C64" s="34"/>
      <c r="D64" s="34"/>
      <c r="E64" s="34"/>
      <c r="F64" s="34"/>
      <c r="G64" s="34"/>
      <c r="H64" s="34"/>
      <c r="I64" s="34"/>
      <c r="J64" s="34"/>
      <c r="K64" s="34"/>
      <c r="L64" s="34"/>
      <c r="M64" s="34"/>
      <c r="N64" s="34"/>
      <c r="O64" s="34"/>
      <c r="P64" s="34"/>
      <c r="Q64" s="34"/>
      <c r="R64" s="34"/>
      <c r="S64" s="34"/>
      <c r="T64" s="34"/>
      <c r="U64" s="34"/>
      <c r="V64" s="34"/>
      <c r="W64" s="34"/>
      <c r="X64" s="34"/>
      <c r="Y64" s="34"/>
      <c r="Z64" s="34"/>
      <c r="AA64" s="34"/>
      <c r="AB64" s="34"/>
      <c r="AC64" s="219" t="str">
        <f t="shared" ca="1" si="170"/>
        <v/>
      </c>
      <c r="AD64" s="219" t="str">
        <f t="shared" ca="1" si="171"/>
        <v/>
      </c>
      <c r="AE64" s="34"/>
      <c r="AF64" s="34"/>
      <c r="AG64" s="34"/>
      <c r="AH64" s="34"/>
      <c r="AI64" s="34"/>
      <c r="AJ64" s="34"/>
      <c r="AK64"/>
      <c r="AL64"/>
      <c r="AM64"/>
      <c r="AN64"/>
      <c r="AO64"/>
      <c r="AP64"/>
      <c r="AQ64"/>
      <c r="AR64"/>
      <c r="AS64"/>
      <c r="AT64"/>
      <c r="AU64"/>
      <c r="AV64"/>
      <c r="AW64"/>
      <c r="AX64"/>
      <c r="AY64"/>
      <c r="AZ64"/>
      <c r="BA64"/>
      <c r="BB64"/>
      <c r="BC64"/>
      <c r="BD64"/>
      <c r="BE64"/>
      <c r="BF64">
        <f t="shared" si="172"/>
        <v>0</v>
      </c>
      <c r="BG64">
        <f>IF($AH$4=$CK$75,'S2'!T64,
IF($AH$4=$CL$75,'S3'!T64,
IF($AH$4=$CJ$75,'S1'!T64,
IF($AH$4=$CM$75,S3M!T64,))))</f>
        <v>0</v>
      </c>
      <c r="BH64">
        <f>IF($AH$4=$CK$75,'S2'!U64,
IF($AH$4=$CL$75,'S3'!U64,
IF($AH$4=$CJ$75,'S1'!U64,
IF($AH$4=$CM$75,S3M!U64,))))</f>
        <v>0</v>
      </c>
      <c r="BI64">
        <f>IF($AH$4=$CK$75,'S2'!V64,
IF($AH$4=$CL$75,'S3'!V64,
IF($AH$4=$CJ$75,'S1'!V64,
IF($AH$4=$CM$75,S3M!V64,))))</f>
        <v>10</v>
      </c>
      <c r="BJ64">
        <f>IF($AH$4=$CK$75,'S2'!W64,
IF($AH$4=$CL$75,'S3'!W64,
IF($AH$4=$CJ$75,'S1'!W64,
IF($AH$4=$CM$75,S3M!W64,))))</f>
        <v>0</v>
      </c>
      <c r="BK64">
        <f>IF($AH$4=$CK$75,'S2'!X64,
IF($AH$4=$CL$75,'S3'!X64,
IF($AH$4=$CJ$75,'S1'!X64,
IF($AH$4=$CM$75,S3M!X64,))))</f>
        <v>0</v>
      </c>
      <c r="BL64">
        <f>IF($AH$4=$CK$75,'S2'!Y64,
IF($AH$4=$CL$75,'S3'!Y64,
IF($AH$4=$CJ$75,'S1'!Y64,
IF($AH$4=$CM$75,S3M!Y64,))))</f>
        <v>0</v>
      </c>
      <c r="BM64">
        <f>IF($AH$4=$CK$75,'S2'!Z64,
IF($AH$4=$CL$75,'S3'!Z64,
IF($AH$4=$CJ$75,'S1'!Z64,
IF($AH$4=$CM$75,S3M!Z64,))))</f>
        <v>0</v>
      </c>
      <c r="BN64">
        <f>IF($AH$4=$CK$75,'S2'!AA64,
IF($AH$4=$CL$75,'S3'!AA64,
IF($AH$4=$CJ$75,'S1'!AA64,
IF($AH$4=$CM$75,S3M!AA64,))))</f>
        <v>0</v>
      </c>
      <c r="BO64">
        <f>IF($AH$4=$CK$75,'S2'!AB64,
IF($AH$4=$CL$75,'S3'!AB64,
IF($AH$4=$CJ$75,'S1'!AB64,
IF($AH$4=$CM$75,S3M!AB64,))))</f>
        <v>0</v>
      </c>
      <c r="BP64">
        <f>IF($AH$4=$CK$75,'S2'!AC64,
IF($AH$4=$CL$75,'S3'!AC64,
IF($AH$4=$CJ$75,'S1'!AC64,
IF($AH$4=$CM$75,S3M!AC64,))))</f>
        <v>0</v>
      </c>
      <c r="BQ64"/>
      <c r="BR64"/>
      <c r="BS64"/>
      <c r="BT64"/>
      <c r="BU64"/>
      <c r="BV64"/>
      <c r="BW64"/>
      <c r="BX64"/>
      <c r="BY64"/>
      <c r="BZ64"/>
      <c r="CA64"/>
      <c r="CB64"/>
      <c r="CC64">
        <f t="shared" si="169"/>
        <v>0</v>
      </c>
      <c r="CD64">
        <f>DH46</f>
        <v>0</v>
      </c>
      <c r="CE64"/>
      <c r="CF64"/>
      <c r="CG64"/>
      <c r="CH64"/>
      <c r="CI64"/>
      <c r="CJ64">
        <f>EG58</f>
        <v>0</v>
      </c>
      <c r="CK64"/>
      <c r="CL64"/>
      <c r="CM64"/>
      <c r="CN64"/>
      <c r="CO64"/>
      <c r="CP64"/>
      <c r="CQ64"/>
      <c r="CR64"/>
      <c r="CS64"/>
      <c r="CT64"/>
      <c r="CU64">
        <f>$DR$62</f>
        <v>0</v>
      </c>
      <c r="CV64">
        <f>IF($AH$4=$CK$75,'S2'!AI20,
IF($AH$4=$CL$75,'S3'!AI20,
IF($AH$4=$CJ$75,'S1'!AI20,
IF($AH$4=$CM$75,S3M!AI20,))))</f>
        <v>45</v>
      </c>
      <c r="CW64">
        <f>IF($AH$4=$CK$75,'S2'!AJ20,
IF($AH$4=$CL$75,'S3'!AJ20,
IF($AH$4=$CJ$75,'S1'!AJ20,
IF($AH$4=$CM$75,S3M!AJ20,))))</f>
        <v>64.900000000000006</v>
      </c>
      <c r="CX64">
        <f>IF($AH$4=$CK$75,'S2'!AK20,
IF($AH$4=$CL$75,'S3'!AK20,
IF($AH$4=$CJ$75,'S1'!AK20,
IF($AH$4=$CM$75,S3M!AK20,))))</f>
        <v>56.61</v>
      </c>
      <c r="CY64">
        <f>IF($AH$4=$CK$75,'S2'!AL20,
IF($AH$4=$CL$75,'S3'!AL20,
IF($AH$4=$CJ$75,'S1'!AL20,
IF($AH$4=$CM$75,S3M!AL20,))))</f>
        <v>63.25</v>
      </c>
      <c r="CZ64">
        <f>IF($AH$4=$CK$75,'S2'!AM20,
IF($AH$4=$CL$75,'S3'!AM20,
IF($AH$4=$CJ$75,'S1'!AM20,
IF($AH$4=$CM$75,S3M!AM20,))))</f>
        <v>83.16</v>
      </c>
      <c r="DA64">
        <f>IF($AH$4=$CK$75,'S2'!AN20,
IF($AH$4=$CL$75,'S3'!AN20,
IF($AH$4=$CJ$75,'S1'!AN20,
IF($AH$4=$CM$75,S3M!AN20,))))</f>
        <v>113.42</v>
      </c>
      <c r="DB64">
        <f>IF($AH$4=$CK$75,'S2'!AO20,
IF($AH$4=$CL$75,'S3'!AO20,
IF($AH$4=$CJ$75,'S1'!AO20,
IF($AH$4=$CM$75,S3M!AO20,))))</f>
        <v>0</v>
      </c>
      <c r="DC64">
        <f>IF($AH$4=$CK$75,'S2'!AP20,
IF($AH$4=$CL$75,'S3'!AP20,
IF($AH$4=$CJ$75,'S1'!AP20,
IF($AH$4=$CM$75,S3M!AP20,))))</f>
        <v>0</v>
      </c>
      <c r="DD64">
        <f>IF($AH$4=$CK$75,'S2'!AQ20,
IF($AH$4=$CL$75,'S3'!AQ20,
IF($AH$4=$CJ$75,'S1'!AQ20,
IF($AH$4=$CM$75,S3M!AQ20,))))</f>
        <v>0</v>
      </c>
      <c r="DE64">
        <f>IF($AH$4=$CK$75,'S2'!AR20,
IF($AH$4=$CL$75,'S3'!AR20,
IF($AH$4=$CJ$75,'S1'!AR20,
IF($AH$4=$CM$75,S3M!AR20,))))</f>
        <v>0</v>
      </c>
      <c r="DF64">
        <f>IF($AH$4=$CK$75,'S2'!AS20,
IF($AH$4=$CL$75,'S3'!AS20,
IF($AH$4=$CJ$75,'S1'!AS20,
IF($AH$4=$CM$75,S3M!AS20,))))</f>
        <v>0</v>
      </c>
      <c r="DG64">
        <f>IF($AH$4=$CK$75,'S2'!AT20,
IF($AH$4=$CL$75,'S3'!AT20,
IF($AH$4=$CJ$75,'S1'!AT20,
IF($AH$4=$CM$75,S3M!AT20,))))</f>
        <v>0</v>
      </c>
      <c r="DH64">
        <f>IF($AH$4=$CK$75,'S2'!AU20,
IF($AH$4=$CL$75,'S3'!AU20,
IF($AH$4=$CJ$75,'S1'!AU20,
IF($AH$4=$CM$75,S3M!AU20,))))</f>
        <v>0</v>
      </c>
      <c r="DI64">
        <f>IF($AH$4=$CK$75,'S2'!AV20,
IF($AH$4=$CL$75,'S3'!AV20,
IF($AH$4=$CJ$75,'S1'!AV20,
IF($AH$4=$CM$75,S3M!AV20,))))</f>
        <v>0</v>
      </c>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row>
    <row r="65" spans="1:256" s="1" customFormat="1" x14ac:dyDescent="0.2">
      <c r="A65" s="34"/>
      <c r="B65" s="34"/>
      <c r="C65" s="34"/>
      <c r="D65" s="34"/>
      <c r="E65" s="34"/>
      <c r="F65" s="34"/>
      <c r="G65" s="34"/>
      <c r="H65" s="34"/>
      <c r="I65" s="34"/>
      <c r="J65" s="34"/>
      <c r="K65" s="34"/>
      <c r="L65" s="34"/>
      <c r="M65" s="34"/>
      <c r="N65" s="34"/>
      <c r="O65" s="34"/>
      <c r="P65" s="34"/>
      <c r="Q65" s="34"/>
      <c r="R65" s="34"/>
      <c r="S65" s="34"/>
      <c r="T65" s="34"/>
      <c r="U65" s="34"/>
      <c r="V65" s="34"/>
      <c r="W65" s="34"/>
      <c r="X65" s="34"/>
      <c r="Y65" s="34"/>
      <c r="Z65" s="34"/>
      <c r="AA65" s="34"/>
      <c r="AB65" s="34"/>
      <c r="AC65" s="37" t="str">
        <f ca="1">IF($CO$68=1,CC65,"")</f>
        <v/>
      </c>
      <c r="AD65" s="37" t="str">
        <f ca="1">IF($CO$68=1,CD65,"")</f>
        <v/>
      </c>
      <c r="AE65" s="34"/>
      <c r="AF65" s="34"/>
      <c r="AG65" s="34"/>
      <c r="AH65" s="34"/>
      <c r="AI65" s="34"/>
      <c r="AJ65" s="34"/>
      <c r="AK65"/>
      <c r="AL65"/>
      <c r="AM65"/>
      <c r="AN65"/>
      <c r="AO65"/>
      <c r="AP65"/>
      <c r="AQ65"/>
      <c r="AR65"/>
      <c r="AS65"/>
      <c r="AT65"/>
      <c r="AU65"/>
      <c r="AV65"/>
      <c r="AW65"/>
      <c r="AX65"/>
      <c r="AY65"/>
      <c r="AZ65"/>
      <c r="BA65"/>
      <c r="BB65"/>
      <c r="BC65"/>
      <c r="BD65"/>
      <c r="BE65"/>
      <c r="BF65">
        <f t="shared" si="172"/>
        <v>0</v>
      </c>
      <c r="BG65">
        <f>IF($AH$4=$CK$75,'S2'!T65,
IF($AH$4=$CL$75,'S3'!T65,
IF($AH$4=$CJ$75,'S1'!T65,
IF($AH$4=$CM$75,S3M!T65,))))</f>
        <v>10</v>
      </c>
      <c r="BH65">
        <f>IF($AH$4=$CK$75,'S2'!U65,
IF($AH$4=$CL$75,'S3'!U65,
IF($AH$4=$CJ$75,'S1'!U65,
IF($AH$4=$CM$75,S3M!U65,))))</f>
        <v>0</v>
      </c>
      <c r="BI65">
        <f>IF($AH$4=$CK$75,'S2'!V65,
IF($AH$4=$CL$75,'S3'!V65,
IF($AH$4=$CJ$75,'S1'!V65,
IF($AH$4=$CM$75,S3M!V65,))))</f>
        <v>15</v>
      </c>
      <c r="BJ65">
        <f>IF($AH$4=$CK$75,'S2'!W65,
IF($AH$4=$CL$75,'S3'!W65,
IF($AH$4=$CJ$75,'S1'!W65,
IF($AH$4=$CM$75,S3M!W65,))))</f>
        <v>0</v>
      </c>
      <c r="BK65">
        <f>IF($AH$4=$CK$75,'S2'!X65,
IF($AH$4=$CL$75,'S3'!X65,
IF($AH$4=$CJ$75,'S1'!X65,
IF($AH$4=$CM$75,S3M!X65,))))</f>
        <v>20</v>
      </c>
      <c r="BL65">
        <f>IF($AH$4=$CK$75,'S2'!Y65,
IF($AH$4=$CL$75,'S3'!Y65,
IF($AH$4=$CJ$75,'S1'!Y65,
IF($AH$4=$CM$75,S3M!Y65,))))</f>
        <v>26</v>
      </c>
      <c r="BM65">
        <f>IF($AH$4=$CK$75,'S2'!Z65,
IF($AH$4=$CL$75,'S3'!Z65,
IF($AH$4=$CJ$75,'S1'!Z65,
IF($AH$4=$CM$75,S3M!Z65,))))</f>
        <v>0</v>
      </c>
      <c r="BN65">
        <f>IF($AH$4=$CK$75,'S2'!AA65,
IF($AH$4=$CL$75,'S3'!AA65,
IF($AH$4=$CJ$75,'S1'!AA65,
IF($AH$4=$CM$75,S3M!AA65,))))</f>
        <v>0</v>
      </c>
      <c r="BO65">
        <f>IF($AH$4=$CK$75,'S2'!AB65,
IF($AH$4=$CL$75,'S3'!AB65,
IF($AH$4=$CJ$75,'S1'!AB65,
IF($AH$4=$CM$75,S3M!AB65,))))</f>
        <v>0</v>
      </c>
      <c r="BP65">
        <f>IF($AH$4=$CK$75,'S2'!AC65,
IF($AH$4=$CL$75,'S3'!AC65,
IF($AH$4=$CJ$75,'S1'!AC65,
IF($AH$4=$CM$75,S3M!AC65,))))</f>
        <v>0</v>
      </c>
      <c r="BQ65"/>
      <c r="BR65"/>
      <c r="BS65"/>
      <c r="BT65"/>
      <c r="BU65"/>
      <c r="BV65"/>
      <c r="BW65"/>
      <c r="BX65"/>
      <c r="BY65"/>
      <c r="BZ65"/>
      <c r="CA65"/>
      <c r="CB65"/>
      <c r="CC65">
        <f>DY69</f>
        <v>0</v>
      </c>
      <c r="CD65">
        <f>DM46</f>
        <v>0</v>
      </c>
      <c r="CE65"/>
      <c r="CF65"/>
      <c r="CG65"/>
      <c r="CH65"/>
      <c r="CI65"/>
      <c r="CJ65" t="str">
        <f>Sprache!C2</f>
        <v>CH</v>
      </c>
      <c r="CK65" t="str">
        <f>Sprache!D2</f>
        <v>D</v>
      </c>
      <c r="CL65" t="str">
        <f>Sprache!E2</f>
        <v>E</v>
      </c>
      <c r="CM65" t="str">
        <f>Sprache!F2</f>
        <v>F</v>
      </c>
      <c r="CN65" t="str">
        <f>Sprache!G2</f>
        <v>NL</v>
      </c>
      <c r="CO65" t="str">
        <f>Sprache!H2</f>
        <v>I</v>
      </c>
      <c r="CP65" t="str">
        <f>Sprache!I2</f>
        <v>P</v>
      </c>
      <c r="CQ65" t="str">
        <f>Sprache!J2</f>
        <v>S</v>
      </c>
      <c r="CR65" t="s">
        <v>602</v>
      </c>
      <c r="CS65" t="s">
        <v>1132</v>
      </c>
      <c r="CT65"/>
      <c r="CU65"/>
      <c r="CV65">
        <f>IF($AH$4=$CK$75,'S2'!AI21,
IF($AH$4=$CL$75,'S3'!AI21,
IF($AH$4=$CJ$75,'S1'!AI21,
IF($AH$4=$CM$75,S3M!AI21,))))</f>
        <v>0</v>
      </c>
      <c r="CW65">
        <f>IF($AH$4=$CK$75,'S2'!AJ21,
IF($AH$4=$CL$75,'S3'!AJ21,
IF($AH$4=$CJ$75,'S1'!AJ21,
IF($AH$4=$CM$75,S3M!AJ21,))))</f>
        <v>0</v>
      </c>
      <c r="CX65">
        <f>IF($AH$4=$CK$75,'S2'!AK21,
IF($AH$4=$CL$75,'S3'!AK21,
IF($AH$4=$CJ$75,'S1'!AK21,
IF($AH$4=$CM$75,S3M!AK21,))))</f>
        <v>0</v>
      </c>
      <c r="CY65">
        <f>IF($AH$4=$CK$75,'S2'!AL21,
IF($AH$4=$CL$75,'S3'!AL21,
IF($AH$4=$CJ$75,'S1'!AL21,
IF($AH$4=$CM$75,S3M!AL21,))))</f>
        <v>0</v>
      </c>
      <c r="CZ65">
        <f>IF($AH$4=$CK$75,'S2'!AM21,
IF($AH$4=$CL$75,'S3'!AM21,
IF($AH$4=$CJ$75,'S1'!AM21,
IF($AH$4=$CM$75,S3M!AM21,))))</f>
        <v>0</v>
      </c>
      <c r="DA65">
        <f>IF($AH$4=$CK$75,'S2'!AN21,
IF($AH$4=$CL$75,'S3'!AN21,
IF($AH$4=$CJ$75,'S1'!AN21,
IF($AH$4=$CM$75,S3M!AN21,))))</f>
        <v>0</v>
      </c>
      <c r="DB65">
        <f>IF($AH$4=$CK$75,'S2'!AO21,
IF($AH$4=$CL$75,'S3'!AO21,
IF($AH$4=$CJ$75,'S1'!AO21,
IF($AH$4=$CM$75,S3M!AO21,))))</f>
        <v>0</v>
      </c>
      <c r="DC65">
        <f>IF($AH$4=$CK$75,'S2'!AP21,
IF($AH$4=$CL$75,'S3'!AP21,
IF($AH$4=$CJ$75,'S1'!AP21,
IF($AH$4=$CM$75,S3M!AP21,))))</f>
        <v>0</v>
      </c>
      <c r="DD65">
        <f>IF($AH$4=$CK$75,'S2'!AQ21,
IF($AH$4=$CL$75,'S3'!AQ21,
IF($AH$4=$CJ$75,'S1'!AQ21,
IF($AH$4=$CM$75,S3M!AQ21,))))</f>
        <v>0</v>
      </c>
      <c r="DE65">
        <f>IF($AH$4=$CK$75,'S2'!AR21,
IF($AH$4=$CL$75,'S3'!AR21,
IF($AH$4=$CJ$75,'S1'!AR21,
IF($AH$4=$CM$75,S3M!AR21,))))</f>
        <v>0</v>
      </c>
      <c r="DF65">
        <f>IF($AH$4=$CK$75,'S2'!AS21,
IF($AH$4=$CL$75,'S3'!AS21,
IF($AH$4=$CJ$75,'S1'!AS21,
IF($AH$4=$CM$75,S3M!AS21,))))</f>
        <v>0</v>
      </c>
      <c r="DG65">
        <f>IF($AH$4=$CK$75,'S2'!AT21,
IF($AH$4=$CL$75,'S3'!AT21,
IF($AH$4=$CJ$75,'S1'!AT21,
IF($AH$4=$CM$75,S3M!AT21,))))</f>
        <v>0</v>
      </c>
      <c r="DH65">
        <f>IF($AH$4=$CK$75,'S2'!AU21,
IF($AH$4=$CL$75,'S3'!AU21,
IF($AH$4=$CJ$75,'S1'!AU21,
IF($AH$4=$CM$75,S3M!AU21,))))</f>
        <v>0</v>
      </c>
      <c r="DI65">
        <f>IF($AH$4=$CK$75,'S2'!AV21,
IF($AH$4=$CL$75,'S3'!AV21,
IF($AH$4=$CJ$75,'S1'!AV21,
IF($AH$4=$CM$75,S3M!AV21,))))</f>
        <v>0</v>
      </c>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row>
    <row r="66" spans="1:256" s="1" customFormat="1" x14ac:dyDescent="0.2">
      <c r="A66" s="34"/>
      <c r="B66" s="34"/>
      <c r="C66" s="34"/>
      <c r="D66" s="34"/>
      <c r="E66" s="34"/>
      <c r="F66" s="34"/>
      <c r="G66" s="34"/>
      <c r="H66" s="34"/>
      <c r="I66" s="34"/>
      <c r="J66" s="34"/>
      <c r="K66" s="34"/>
      <c r="L66" s="34"/>
      <c r="M66" s="34"/>
      <c r="N66" s="34"/>
      <c r="O66" s="34"/>
      <c r="P66" s="34"/>
      <c r="Q66" s="34"/>
      <c r="R66" s="34"/>
      <c r="S66" s="34"/>
      <c r="T66" s="34"/>
      <c r="U66" s="34"/>
      <c r="V66" s="34"/>
      <c r="W66" s="34"/>
      <c r="X66" s="34"/>
      <c r="Y66" s="34"/>
      <c r="Z66" s="34"/>
      <c r="AA66" s="34"/>
      <c r="AB66" s="34"/>
      <c r="AC66" s="37" t="str">
        <f ca="1">IF($CO$68=1,CC66,"")</f>
        <v/>
      </c>
      <c r="AD66" s="37" t="str">
        <f ca="1">IF($CO$68=1,CD66,"")</f>
        <v/>
      </c>
      <c r="AE66" s="34"/>
      <c r="AF66" s="34"/>
      <c r="AG66" s="34"/>
      <c r="AH66" s="34"/>
      <c r="AI66" s="34"/>
      <c r="AJ66" s="34"/>
      <c r="AK66"/>
      <c r="AL66"/>
      <c r="AM66"/>
      <c r="AN66"/>
      <c r="AO66"/>
      <c r="AP66"/>
      <c r="AQ66"/>
      <c r="AR66"/>
      <c r="AS66"/>
      <c r="AT66"/>
      <c r="AU66"/>
      <c r="AV66"/>
      <c r="AW66"/>
      <c r="AX66"/>
      <c r="AY66"/>
      <c r="AZ66"/>
      <c r="BA66"/>
      <c r="BB66"/>
      <c r="BC66"/>
      <c r="BD66"/>
      <c r="BE66"/>
      <c r="BF66">
        <f t="shared" si="172"/>
        <v>0</v>
      </c>
      <c r="BG66">
        <f>DU62</f>
        <v>0</v>
      </c>
      <c r="BH66">
        <f>DV62</f>
        <v>0</v>
      </c>
      <c r="BI66">
        <f>DW62</f>
        <v>0</v>
      </c>
      <c r="BJ66">
        <f>DV70</f>
        <v>0</v>
      </c>
      <c r="BK66">
        <f>DW70</f>
        <v>0</v>
      </c>
      <c r="BL66">
        <f>DZ62</f>
        <v>0</v>
      </c>
      <c r="BM66">
        <f>EA62</f>
        <v>0</v>
      </c>
      <c r="BN66">
        <f>EB62</f>
        <v>0</v>
      </c>
      <c r="BO66">
        <f>EC62</f>
        <v>0</v>
      </c>
      <c r="BP66"/>
      <c r="BQ66"/>
      <c r="BR66"/>
      <c r="BS66"/>
      <c r="BT66"/>
      <c r="BU66"/>
      <c r="BV66"/>
      <c r="BW66"/>
      <c r="BX66"/>
      <c r="BY66"/>
      <c r="BZ66"/>
      <c r="CA66"/>
      <c r="CB66"/>
      <c r="CC66">
        <f>DW72</f>
        <v>0</v>
      </c>
      <c r="CD66">
        <f>DL46</f>
        <v>0</v>
      </c>
      <c r="CE66"/>
      <c r="CF66"/>
      <c r="CG66"/>
      <c r="CH66"/>
      <c r="CI66"/>
      <c r="CJ66">
        <f>EF58</f>
        <v>0</v>
      </c>
      <c r="CK66"/>
      <c r="CL66"/>
      <c r="CM66"/>
      <c r="CN66"/>
      <c r="CO66"/>
      <c r="CP66"/>
      <c r="CQ66"/>
      <c r="CR66"/>
      <c r="CS66"/>
      <c r="CT66"/>
      <c r="CU66">
        <f>$DR$59</f>
        <v>0</v>
      </c>
      <c r="CV66">
        <f>IF($AH$4=$CK$75,'S2'!AI22,
IF($AH$4=$CL$75,'S3'!AI22,
IF($AH$4=$CJ$75,'S1'!AI22,
IF($AH$4=$CM$75,S3M!AI22,))))</f>
        <v>0.34</v>
      </c>
      <c r="CW66">
        <f>IF($AH$4=$CK$75,'S2'!AJ22,
IF($AH$4=$CL$75,'S3'!AJ22,
IF($AH$4=$CJ$75,'S1'!AJ22,
IF($AH$4=$CM$75,S3M!AJ22,))))</f>
        <v>0.33</v>
      </c>
      <c r="CX66">
        <f>IF($AH$4=$CK$75,'S2'!AK22,
IF($AH$4=$CL$75,'S3'!AK22,
IF($AH$4=$CJ$75,'S1'!AK22,
IF($AH$4=$CM$75,S3M!AK22,))))</f>
        <v>0.34</v>
      </c>
      <c r="CY66">
        <f>IF($AH$4=$CK$75,'S2'!AL22,
IF($AH$4=$CL$75,'S3'!AL22,
IF($AH$4=$CJ$75,'S1'!AL22,
IF($AH$4=$CM$75,S3M!AL22,))))</f>
        <v>0.33</v>
      </c>
      <c r="CZ66">
        <f>IF($AH$4=$CK$75,'S2'!AM22,
IF($AH$4=$CL$75,'S3'!AM22,
IF($AH$4=$CJ$75,'S1'!AM22,
IF($AH$4=$CM$75,S3M!AM22,))))</f>
        <v>0.33</v>
      </c>
      <c r="DA66">
        <f>IF($AH$4=$CK$75,'S2'!AN22,
IF($AH$4=$CL$75,'S3'!AN22,
IF($AH$4=$CJ$75,'S1'!AN22,
IF($AH$4=$CM$75,S3M!AN22,))))</f>
        <v>0.33</v>
      </c>
      <c r="DB66">
        <f>IF($AH$4=$CK$75,'S2'!AO22,
IF($AH$4=$CL$75,'S3'!AO22,
IF($AH$4=$CJ$75,'S1'!AO22,
IF($AH$4=$CM$75,S3M!AO22,))))</f>
        <v>0</v>
      </c>
      <c r="DC66">
        <f>IF($AH$4=$CK$75,'S2'!AP22,
IF($AH$4=$CL$75,'S3'!AP22,
IF($AH$4=$CJ$75,'S1'!AP22,
IF($AH$4=$CM$75,S3M!AP22,))))</f>
        <v>0</v>
      </c>
      <c r="DD66">
        <f>IF($AH$4=$CK$75,'S2'!AQ22,
IF($AH$4=$CL$75,'S3'!AQ22,
IF($AH$4=$CJ$75,'S1'!AQ22,
IF($AH$4=$CM$75,S3M!AQ22,))))</f>
        <v>0</v>
      </c>
      <c r="DE66">
        <f>IF($AH$4=$CK$75,'S2'!AR22,
IF($AH$4=$CL$75,'S3'!AR22,
IF($AH$4=$CJ$75,'S1'!AR22,
IF($AH$4=$CM$75,S3M!AR22,))))</f>
        <v>0</v>
      </c>
      <c r="DF66">
        <f>IF($AH$4=$CK$75,'S2'!AS22,
IF($AH$4=$CL$75,'S3'!AS22,
IF($AH$4=$CJ$75,'S1'!AS22,
IF($AH$4=$CM$75,S3M!AS22,))))</f>
        <v>0</v>
      </c>
      <c r="DG66">
        <f>IF($AH$4=$CK$75,'S2'!AT22,
IF($AH$4=$CL$75,'S3'!AT22,
IF($AH$4=$CJ$75,'S1'!AT22,
IF($AH$4=$CM$75,S3M!AT22,))))</f>
        <v>0</v>
      </c>
      <c r="DH66">
        <f>IF($AH$4=$CK$75,'S2'!AU22,
IF($AH$4=$CL$75,'S3'!AU22,
IF($AH$4=$CJ$75,'S1'!AU22,
IF($AH$4=$CM$75,S3M!AU22,))))</f>
        <v>0</v>
      </c>
      <c r="DI66" t="str">
        <f>IF($AH$4=$CK$75,'S2'!AV22,
IF($AH$4=$CL$75,'S3'!AV22,
IF($AH$4=$CJ$75,'S1'!AV22,
IF($AH$4=$CM$75,S3M!AV22,))))</f>
        <v>S+ dark</v>
      </c>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row>
    <row r="67" spans="1:256" s="1" customFormat="1" x14ac:dyDescent="0.2">
      <c r="A67" s="34"/>
      <c r="B67" s="34"/>
      <c r="C67" s="34"/>
      <c r="D67" s="34"/>
      <c r="E67" s="34"/>
      <c r="F67" s="34"/>
      <c r="G67" s="34"/>
      <c r="H67" s="34"/>
      <c r="I67" s="34"/>
      <c r="J67" s="34"/>
      <c r="K67" s="34"/>
      <c r="L67" s="34"/>
      <c r="M67" s="34"/>
      <c r="N67" s="34"/>
      <c r="O67" s="34"/>
      <c r="P67" s="34"/>
      <c r="Q67" s="34"/>
      <c r="R67" s="34"/>
      <c r="S67" s="34"/>
      <c r="T67" s="34"/>
      <c r="U67" s="34"/>
      <c r="V67" s="34"/>
      <c r="W67" s="34"/>
      <c r="X67" s="34"/>
      <c r="Y67" s="34"/>
      <c r="Z67" s="34"/>
      <c r="AA67" s="34"/>
      <c r="AB67" s="34"/>
      <c r="AC67" s="37"/>
      <c r="AD67" s="37"/>
      <c r="AE67" s="34"/>
      <c r="AF67" s="34"/>
      <c r="AG67" s="34"/>
      <c r="AH67" s="34"/>
      <c r="AI67" s="34"/>
      <c r="AJ67" s="34"/>
      <c r="AK67"/>
      <c r="AL67"/>
      <c r="AM67"/>
      <c r="AN67"/>
      <c r="AO67"/>
      <c r="AP67"/>
      <c r="AQ67"/>
      <c r="AR67"/>
      <c r="AS67"/>
      <c r="AT67"/>
      <c r="AU67"/>
      <c r="AV67"/>
      <c r="AW67"/>
      <c r="AX67"/>
      <c r="AY67"/>
      <c r="AZ67"/>
      <c r="BA67"/>
      <c r="BB67"/>
      <c r="BC67"/>
      <c r="BD67"/>
      <c r="BE67"/>
      <c r="BF67">
        <f t="shared" si="172"/>
        <v>0</v>
      </c>
      <c r="BG67">
        <f>IF($AH$4=$CK$75,'S2'!T67,
IF($AH$4=$CL$75,'S3'!T67,
IF($AH$4=$CJ$75,'S1'!T67,
IF($AH$4=$CM$75,S3M!T67,))))</f>
        <v>5</v>
      </c>
      <c r="BH67">
        <f>IF($AH$4=$CK$75,'S2'!U67,
IF($AH$4=$CL$75,'S3'!U67,
IF($AH$4=$CJ$75,'S1'!U67,
IF($AH$4=$CM$75,S3M!U67,))))</f>
        <v>0</v>
      </c>
      <c r="BI67">
        <f>IF($AH$4=$CK$75,'S2'!V67,
IF($AH$4=$CL$75,'S3'!V67,
IF($AH$4=$CJ$75,'S1'!V67,
IF($AH$4=$CM$75,S3M!V67,))))</f>
        <v>20</v>
      </c>
      <c r="BJ67">
        <f>IF($AH$4=$CK$75,'S2'!W67,
IF($AH$4=$CL$75,'S3'!W67,
IF($AH$4=$CJ$75,'S1'!W67,
IF($AH$4=$CM$75,S3M!W67,))))</f>
        <v>10</v>
      </c>
      <c r="BK67">
        <f>IF($AH$4=$CK$75,'S2'!X67,
IF($AH$4=$CL$75,'S3'!X67,
IF($AH$4=$CJ$75,'S1'!X67,
IF($AH$4=$CM$75,S3M!X67,))))</f>
        <v>35</v>
      </c>
      <c r="BL67">
        <f>IF($AH$4=$CK$75,'S2'!Y67,
IF($AH$4=$CL$75,'S3'!Y67,
IF($AH$4=$CJ$75,'S1'!Y67,
IF($AH$4=$CM$75,S3M!Y67,))))</f>
        <v>296</v>
      </c>
      <c r="BM67">
        <f>IF($AH$4=$CK$75,'S2'!Z67,
IF($AH$4=$CL$75,'S3'!Z67,
IF($AH$4=$CJ$75,'S1'!Z67,
IF($AH$4=$CM$75,S3M!Z67,))))</f>
        <v>0</v>
      </c>
      <c r="BN67">
        <f>IF($AH$4=$CK$75,'S2'!AA67,
IF($AH$4=$CL$75,'S3'!AA67,
IF($AH$4=$CJ$75,'S1'!AA67,
IF($AH$4=$CM$75,S3M!AA67,))))</f>
        <v>0</v>
      </c>
      <c r="BO67">
        <f>IF($AH$4=$CK$75,'S2'!AB67,
IF($AH$4=$CL$75,'S3'!AB67,
IF($AH$4=$CJ$75,'S1'!AB67,
IF($AH$4=$CM$75,S3M!AB67,))))</f>
        <v>0</v>
      </c>
      <c r="BP67">
        <f>IF($AH$4=$CK$75,'S2'!AC67,
IF($AH$4=$CL$75,'S3'!AC67,
IF($AH$4=$CJ$75,'S1'!AC67,
IF($AH$4=$CM$75,S3M!AC67,))))</f>
        <v>0</v>
      </c>
      <c r="BQ67"/>
      <c r="BR67"/>
      <c r="BS67"/>
      <c r="BT67"/>
      <c r="BU67"/>
      <c r="BV67"/>
      <c r="BW67"/>
      <c r="BX67"/>
      <c r="BY67"/>
      <c r="BZ67"/>
      <c r="CA67"/>
      <c r="CB67"/>
      <c r="CC67"/>
      <c r="CD67"/>
      <c r="CE67"/>
      <c r="CF67"/>
      <c r="CG67"/>
      <c r="CH67"/>
      <c r="CI67"/>
      <c r="CJ67"/>
      <c r="CK67" t="s">
        <v>55</v>
      </c>
      <c r="CL67" t="s">
        <v>56</v>
      </c>
      <c r="CM67" t="s">
        <v>57</v>
      </c>
      <c r="CN67" t="s">
        <v>43</v>
      </c>
      <c r="CO67" t="s">
        <v>58</v>
      </c>
      <c r="CP67"/>
      <c r="CQ67"/>
      <c r="CR67"/>
      <c r="CS67"/>
      <c r="CT67"/>
      <c r="CU67">
        <f>$DR$60</f>
        <v>0</v>
      </c>
      <c r="CV67">
        <f>IF($AH$4=$CK$75,'S2'!AI23,
IF($AH$4=$CL$75,'S3'!AI23,
IF($AH$4=$CJ$75,'S1'!AI23,
IF($AH$4=$CM$75,S3M!AI23,))))</f>
        <v>30</v>
      </c>
      <c r="CW67">
        <f>IF($AH$4=$CK$75,'S2'!AJ23,
IF($AH$4=$CL$75,'S3'!AJ23,
IF($AH$4=$CJ$75,'S1'!AJ23,
IF($AH$4=$CM$75,S3M!AJ23,))))</f>
        <v>40</v>
      </c>
      <c r="CX67">
        <f>IF($AH$4=$CK$75,'S2'!AK23,
IF($AH$4=$CL$75,'S3'!AK23,
IF($AH$4=$CJ$75,'S1'!AK23,
IF($AH$4=$CM$75,S3M!AK23,))))</f>
        <v>35</v>
      </c>
      <c r="CY67">
        <f>IF($AH$4=$CK$75,'S2'!AL23,
IF($AH$4=$CL$75,'S3'!AL23,
IF($AH$4=$CJ$75,'S1'!AL23,
IF($AH$4=$CM$75,S3M!AL23,))))</f>
        <v>40</v>
      </c>
      <c r="CZ67">
        <f>IF($AH$4=$CK$75,'S2'!AM23,
IF($AH$4=$CL$75,'S3'!AM23,
IF($AH$4=$CJ$75,'S1'!AM23,
IF($AH$4=$CM$75,S3M!AM23,))))</f>
        <v>36.9</v>
      </c>
      <c r="DA67">
        <f>IF($AH$4=$CK$75,'S2'!AN23,
IF($AH$4=$CL$75,'S3'!AN23,
IF($AH$4=$CJ$75,'S1'!AN23,
IF($AH$4=$CM$75,S3M!AN23,))))</f>
        <v>41.9</v>
      </c>
      <c r="DB67">
        <f>IF($AH$4=$CK$75,'S2'!AO23,
IF($AH$4=$CL$75,'S3'!AO23,
IF($AH$4=$CJ$75,'S1'!AO23,
IF($AH$4=$CM$75,S3M!AO23,))))</f>
        <v>0</v>
      </c>
      <c r="DC67">
        <f>IF($AH$4=$CK$75,'S2'!AP23,
IF($AH$4=$CL$75,'S3'!AP23,
IF($AH$4=$CJ$75,'S1'!AP23,
IF($AH$4=$CM$75,S3M!AP23,))))</f>
        <v>0</v>
      </c>
      <c r="DD67">
        <f>IF($AH$4=$CK$75,'S2'!AQ23,
IF($AH$4=$CL$75,'S3'!AQ23,
IF($AH$4=$CJ$75,'S1'!AQ23,
IF($AH$4=$CM$75,S3M!AQ23,))))</f>
        <v>0</v>
      </c>
      <c r="DE67">
        <f>IF($AH$4=$CK$75,'S2'!AR23,
IF($AH$4=$CL$75,'S3'!AR23,
IF($AH$4=$CJ$75,'S1'!AR23,
IF($AH$4=$CM$75,S3M!AR23,))))</f>
        <v>0</v>
      </c>
      <c r="DF67">
        <f>IF($AH$4=$CK$75,'S2'!AS23,
IF($AH$4=$CL$75,'S3'!AS23,
IF($AH$4=$CJ$75,'S1'!AS23,
IF($AH$4=$CM$75,S3M!AS23,))))</f>
        <v>0</v>
      </c>
      <c r="DG67">
        <f>IF($AH$4=$CK$75,'S2'!AT23,
IF($AH$4=$CL$75,'S3'!AT23,
IF($AH$4=$CJ$75,'S1'!AT23,
IF($AH$4=$CM$75,S3M!AT23,))))</f>
        <v>0</v>
      </c>
      <c r="DH67">
        <f>IF($AH$4=$CK$75,'S2'!AU23,
IF($AH$4=$CL$75,'S3'!AU23,
IF($AH$4=$CJ$75,'S1'!AU23,
IF($AH$4=$CM$75,S3M!AU23,))))</f>
        <v>0</v>
      </c>
      <c r="DI67">
        <f>IF($AH$4=$CK$75,'S2'!AV23,
IF($AH$4=$CL$75,'S3'!AV23,
IF($AH$4=$CJ$75,'S1'!AV23,
IF($AH$4=$CM$75,S3M!AV23,))))</f>
        <v>0</v>
      </c>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row>
    <row r="68" spans="1:256" s="1" customFormat="1" x14ac:dyDescent="0.2">
      <c r="A68"/>
      <c r="B68"/>
      <c r="C68"/>
      <c r="D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f t="shared" si="172"/>
        <v>0</v>
      </c>
      <c r="BG68">
        <f>IF($AH$4=$CK$75,'S2'!T68,
IF($AH$4=$CL$75,'S3'!T68,
IF($AH$4=$CJ$75,'S1'!T68,
IF($AH$4=$CM$75,S3M!T68,))))</f>
        <v>5</v>
      </c>
      <c r="BH68">
        <f>IF($AH$4=$CK$75,'S2'!U68,
IF($AH$4=$CL$75,'S3'!U68,
IF($AH$4=$CJ$75,'S1'!U68,
IF($AH$4=$CM$75,S3M!U68,))))</f>
        <v>0</v>
      </c>
      <c r="BI68">
        <f>IF($AH$4=$CK$75,'S2'!V68,
IF($AH$4=$CL$75,'S3'!V68,
IF($AH$4=$CJ$75,'S1'!V68,
IF($AH$4=$CM$75,S3M!V68,))))</f>
        <v>30</v>
      </c>
      <c r="BJ68">
        <f>IF($AH$4=$CK$75,'S2'!W68,
IF($AH$4=$CL$75,'S3'!W68,
IF($AH$4=$CJ$75,'S1'!W68,
IF($AH$4=$CM$75,S3M!W68,))))</f>
        <v>10</v>
      </c>
      <c r="BK68">
        <f>IF($AH$4=$CK$75,'S2'!X68,
IF($AH$4=$CL$75,'S3'!X68,
IF($AH$4=$CJ$75,'S1'!X68,
IF($AH$4=$CM$75,S3M!X68,))))</f>
        <v>80</v>
      </c>
      <c r="BL68">
        <f>IF($AH$4=$CK$75,'S2'!Y68,
IF($AH$4=$CL$75,'S3'!Y68,
IF($AH$4=$CJ$75,'S1'!Y68,
IF($AH$4=$CM$75,S3M!Y68,))))</f>
        <v>296</v>
      </c>
      <c r="BM68">
        <f>IF($AH$4=$CK$75,'S2'!Z68,
IF($AH$4=$CL$75,'S3'!Z68,
IF($AH$4=$CJ$75,'S1'!Z68,
IF($AH$4=$CM$75,S3M!Z68,))))</f>
        <v>0</v>
      </c>
      <c r="BN68">
        <f>IF($AH$4=$CK$75,'S2'!AA68,
IF($AH$4=$CL$75,'S3'!AA68,
IF($AH$4=$CJ$75,'S1'!AA68,
IF($AH$4=$CM$75,S3M!AA68,))))</f>
        <v>0</v>
      </c>
      <c r="BO68">
        <f>IF($AH$4=$CK$75,'S2'!AB68,
IF($AH$4=$CL$75,'S3'!AB68,
IF($AH$4=$CJ$75,'S1'!AB68,
IF($AH$4=$CM$75,S3M!AB68,))))</f>
        <v>0</v>
      </c>
      <c r="BP68">
        <f>IF($AH$4=$CK$75,'S2'!AC68,
IF($AH$4=$CL$75,'S3'!AC68,
IF($AH$4=$CJ$75,'S1'!AC68,
IF($AH$4=$CM$75,S3M!AC68,))))</f>
        <v>0</v>
      </c>
      <c r="BQ68"/>
      <c r="BR68"/>
      <c r="BS68"/>
      <c r="BT68"/>
      <c r="BU68"/>
      <c r="BV68"/>
      <c r="BW68"/>
      <c r="BX68"/>
      <c r="BY68"/>
      <c r="BZ68"/>
      <c r="CA68"/>
      <c r="CB68"/>
      <c r="CC68" t="s">
        <v>1131</v>
      </c>
      <c r="CD68">
        <f>SUM(MONTAGE!FP7:FP47)+OPTION!F1</f>
        <v>0</v>
      </c>
      <c r="CE68"/>
      <c r="CF68"/>
      <c r="CG68"/>
      <c r="CH68"/>
      <c r="CI68"/>
      <c r="CJ68">
        <f>EE58</f>
        <v>0</v>
      </c>
      <c r="CK68"/>
      <c r="CL68"/>
      <c r="CM68"/>
      <c r="CN68"/>
      <c r="CO68" t="str">
        <f ca="1">IFERROR(
IF(CJ69="","",IF(DATE($CJ$69-13,$CK$69-12,$CL$69-11)=TODAY(),IF(CN69="8",1,""),"")),"")</f>
        <v/>
      </c>
      <c r="CP68"/>
      <c r="CQ68"/>
      <c r="CR68"/>
      <c r="CS68"/>
      <c r="CT68"/>
      <c r="CU68">
        <f>$DR$61</f>
        <v>0</v>
      </c>
      <c r="CV68" t="str">
        <f>IF($AH$4=$CK$75,'S2'!AI24,
IF($AH$4=$CL$75,'S3'!AI24,
IF($AH$4=$CJ$75,'S1'!AI24,
IF($AH$4=$CM$75,S3M!AI24,))))</f>
        <v>0.22 / 0.43</v>
      </c>
      <c r="CW68" t="str">
        <f>IF($AH$4=$CK$75,'S2'!AJ24,
IF($AH$4=$CL$75,'S3'!AJ24,
IF($AH$4=$CJ$75,'S1'!AJ24,
IF($AH$4=$CM$75,S3M!AJ24,))))</f>
        <v>0.22 / 0.42</v>
      </c>
      <c r="CX68" t="str">
        <f>IF($AH$4=$CK$75,'S2'!AK24,
IF($AH$4=$CL$75,'S3'!AK24,
IF($AH$4=$CJ$75,'S1'!AK24,
IF($AH$4=$CM$75,S3M!AK24,))))</f>
        <v>0.22 / 0.43</v>
      </c>
      <c r="CY68" t="str">
        <f>IF($AH$4=$CK$75,'S2'!AL24,
IF($AH$4=$CL$75,'S3'!AL24,
IF($AH$4=$CJ$75,'S1'!AL24,
IF($AH$4=$CM$75,S3M!AL24,))))</f>
        <v>0.22 / 0.42</v>
      </c>
      <c r="CZ68" t="str">
        <f>IF($AH$4=$CK$75,'S2'!AM24,
IF($AH$4=$CL$75,'S3'!AM24,
IF($AH$4=$CJ$75,'S1'!AM24,
IF($AH$4=$CM$75,S3M!AM24,))))</f>
        <v>0.22 / 0.42</v>
      </c>
      <c r="DA68" t="str">
        <f>IF($AH$4=$CK$75,'S2'!AN24,
IF($AH$4=$CL$75,'S3'!AN24,
IF($AH$4=$CJ$75,'S1'!AN24,
IF($AH$4=$CM$75,S3M!AN24,))))</f>
        <v>0.22 / 0.42</v>
      </c>
      <c r="DB68">
        <f>IF($AH$4=$CK$75,'S2'!AO24,
IF($AH$4=$CL$75,'S3'!AO24,
IF($AH$4=$CJ$75,'S1'!AO24,
IF($AH$4=$CM$75,S3M!AO24,))))</f>
        <v>0</v>
      </c>
      <c r="DC68">
        <f>IF($AH$4=$CK$75,'S2'!AP24,
IF($AH$4=$CL$75,'S3'!AP24,
IF($AH$4=$CJ$75,'S1'!AP24,
IF($AH$4=$CM$75,S3M!AP24,))))</f>
        <v>0</v>
      </c>
      <c r="DD68">
        <f>IF($AH$4=$CK$75,'S2'!AQ24,
IF($AH$4=$CL$75,'S3'!AQ24,
IF($AH$4=$CJ$75,'S1'!AQ24,
IF($AH$4=$CM$75,S3M!AQ24,))))</f>
        <v>0</v>
      </c>
      <c r="DE68">
        <f>IF($AH$4=$CK$75,'S2'!AR24,
IF($AH$4=$CL$75,'S3'!AR24,
IF($AH$4=$CJ$75,'S1'!AR24,
IF($AH$4=$CM$75,S3M!AR24,))))</f>
        <v>0</v>
      </c>
      <c r="DF68">
        <f>IF($AH$4=$CK$75,'S2'!AS24,
IF($AH$4=$CL$75,'S3'!AS24,
IF($AH$4=$CJ$75,'S1'!AS24,
IF($AH$4=$CM$75,S3M!AS24,))))</f>
        <v>0</v>
      </c>
      <c r="DG68">
        <f>IF($AH$4=$CK$75,'S2'!AT24,
IF($AH$4=$CL$75,'S3'!AT24,
IF($AH$4=$CJ$75,'S1'!AT24,
IF($AH$4=$CM$75,S3M!AT24,))))</f>
        <v>0</v>
      </c>
      <c r="DH68">
        <f>IF($AH$4=$CK$75,'S2'!AU24,
IF($AH$4=$CL$75,'S3'!AU24,
IF($AH$4=$CJ$75,'S1'!AU24,
IF($AH$4=$CM$75,S3M!AU24,))))</f>
        <v>0</v>
      </c>
      <c r="DI68">
        <f>IF($AH$4=$CK$75,'S2'!AV24,
IF($AH$4=$CL$75,'S3'!AV24,
IF($AH$4=$CJ$75,'S1'!AV24,
IF($AH$4=$CM$75,S3M!AV24,))))</f>
        <v>0</v>
      </c>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row>
    <row r="69" spans="1:256" s="1" customFormat="1" x14ac:dyDescent="0.2">
      <c r="A69"/>
      <c r="B69"/>
      <c r="C69"/>
      <c r="D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f t="shared" si="172"/>
        <v>0</v>
      </c>
      <c r="BG69">
        <f>IF($AH$4=$CK$75,'S2'!T69,
IF($AH$4=$CL$75,'S3'!T69,
IF($AH$4=$CJ$75,'S1'!T69,
IF($AH$4=$CM$75,S3M!T69,))))</f>
        <v>5</v>
      </c>
      <c r="BH69">
        <f>IF($AH$4=$CK$75,'S2'!U69,
IF($AH$4=$CL$75,'S3'!U69,
IF($AH$4=$CJ$75,'S1'!U69,
IF($AH$4=$CM$75,S3M!U69,))))</f>
        <v>0</v>
      </c>
      <c r="BI69">
        <f>IF($AH$4=$CK$75,'S2'!V69,
IF($AH$4=$CL$75,'S3'!V69,
IF($AH$4=$CJ$75,'S1'!V69,
IF($AH$4=$CM$75,S3M!V69,))))</f>
        <v>15</v>
      </c>
      <c r="BJ69">
        <f>IF($AH$4=$CK$75,'S2'!W69,
IF($AH$4=$CL$75,'S3'!W69,
IF($AH$4=$CJ$75,'S1'!W69,
IF($AH$4=$CM$75,S3M!W69,))))</f>
        <v>10</v>
      </c>
      <c r="BK69">
        <f>IF($AH$4=$CK$75,'S2'!X69,
IF($AH$4=$CL$75,'S3'!X69,
IF($AH$4=$CJ$75,'S1'!X69,
IF($AH$4=$CM$75,S3M!X69,))))</f>
        <v>95</v>
      </c>
      <c r="BL69">
        <f>IF($AH$4=$CK$75,'S2'!Y69,
IF($AH$4=$CL$75,'S3'!Y69,
IF($AH$4=$CJ$75,'S1'!Y69,
IF($AH$4=$CM$75,S3M!Y69,))))</f>
        <v>171</v>
      </c>
      <c r="BM69">
        <f>IF($AH$4=$CK$75,'S2'!Z69,
IF($AH$4=$CL$75,'S3'!Z69,
IF($AH$4=$CJ$75,'S1'!Z69,
IF($AH$4=$CM$75,S3M!Z69,))))</f>
        <v>0</v>
      </c>
      <c r="BN69">
        <f>IF($AH$4=$CK$75,'S2'!AA69,
IF($AH$4=$CL$75,'S3'!AA69,
IF($AH$4=$CJ$75,'S1'!AA69,
IF($AH$4=$CM$75,S3M!AA69,))))</f>
        <v>0</v>
      </c>
      <c r="BO69">
        <f>IF($AH$4=$CK$75,'S2'!AB69,
IF($AH$4=$CL$75,'S3'!AB69,
IF($AH$4=$CJ$75,'S1'!AB69,
IF($AH$4=$CM$75,S3M!AB69,))))</f>
        <v>0</v>
      </c>
      <c r="BP69">
        <f>IF($AH$4=$CK$75,'S2'!AC69,
IF($AH$4=$CL$75,'S3'!AC69,
IF($AH$4=$CJ$75,'S1'!AC69,
IF($AH$4=$CM$75,S3M!AC69,))))</f>
        <v>0</v>
      </c>
      <c r="BQ69"/>
      <c r="BR69"/>
      <c r="BS69"/>
      <c r="BT69"/>
      <c r="BU69"/>
      <c r="BV69"/>
      <c r="BW69"/>
      <c r="BX69"/>
      <c r="BY69"/>
      <c r="BZ69"/>
      <c r="CA69"/>
      <c r="CB69"/>
      <c r="CC69"/>
      <c r="CD69"/>
      <c r="CE69"/>
      <c r="CF69"/>
      <c r="CG69"/>
      <c r="CH69"/>
      <c r="CI69"/>
      <c r="CJ69" t="str">
        <f>IF(AG49="","",MID($AG$49,3,4))</f>
        <v/>
      </c>
      <c r="CK69" t="str">
        <f>MID($AG$49,8,2)</f>
        <v/>
      </c>
      <c r="CL69" t="str">
        <f>MID($AG$49,11,2)</f>
        <v/>
      </c>
      <c r="CM69" t="str">
        <f>MID($AG$49,7,1)</f>
        <v/>
      </c>
      <c r="CN69" t="str">
        <f>MID($AG$49,10,1)</f>
        <v/>
      </c>
      <c r="CO69" t="str">
        <f>IF(HLOOKUP($CH$78,$CJ$80:$CR$84,5,FALSE)=1,"OG",MID($AG$49,1,2))</f>
        <v/>
      </c>
      <c r="CP69"/>
      <c r="CQ69"/>
      <c r="CR69" t="s">
        <v>773</v>
      </c>
      <c r="CS69"/>
      <c r="CT69"/>
      <c r="CU69">
        <f>$DR$62</f>
        <v>0</v>
      </c>
      <c r="CV69">
        <f>IF($AH$4=$CK$75,'S2'!AI25,
IF($AH$4=$CL$75,'S3'!AI25,
IF($AH$4=$CJ$75,'S1'!AI25,
IF($AH$4=$CM$75,S3M!AI25,))))</f>
        <v>146.02000000000001</v>
      </c>
      <c r="CW69">
        <f>IF($AH$4=$CK$75,'S2'!AJ25,
IF($AH$4=$CL$75,'S3'!AJ25,
IF($AH$4=$CJ$75,'S1'!AJ25,
IF($AH$4=$CM$75,S3M!AJ25,))))</f>
        <v>190.94</v>
      </c>
      <c r="CX69">
        <f>IF($AH$4=$CK$75,'S2'!AK25,
IF($AH$4=$CL$75,'S3'!AK25,
IF($AH$4=$CJ$75,'S1'!AK25,
IF($AH$4=$CM$75,S3M!AK25,))))</f>
        <v>178.54</v>
      </c>
      <c r="CY69">
        <f>IF($AH$4=$CK$75,'S2'!AL25,
IF($AH$4=$CL$75,'S3'!AL25,
IF($AH$4=$CJ$75,'S1'!AL25,
IF($AH$4=$CM$75,S3M!AL25,))))</f>
        <v>178.3</v>
      </c>
      <c r="CZ69">
        <f>IF($AH$4=$CK$75,'S2'!AM25,
IF($AH$4=$CL$75,'S3'!AM25,
IF($AH$4=$CJ$75,'S1'!AM25,
IF($AH$4=$CM$75,S3M!AM25,))))</f>
        <v>150.44999999999999</v>
      </c>
      <c r="DA69">
        <f>IF($AH$4=$CK$75,'S2'!AN25,
IF($AH$4=$CL$75,'S3'!AN25,
IF($AH$4=$CJ$75,'S1'!AN25,
IF($AH$4=$CM$75,S3M!AN25,))))</f>
        <v>193.7</v>
      </c>
      <c r="DB69">
        <f>IF($AH$4=$CK$75,'S2'!AO25,
IF($AH$4=$CL$75,'S3'!AO25,
IF($AH$4=$CJ$75,'S1'!AO25,
IF($AH$4=$CM$75,S3M!AO25,))))</f>
        <v>0</v>
      </c>
      <c r="DC69">
        <f>IF($AH$4=$CK$75,'S2'!AP25,
IF($AH$4=$CL$75,'S3'!AP25,
IF($AH$4=$CJ$75,'S1'!AP25,
IF($AH$4=$CM$75,S3M!AP25,))))</f>
        <v>0</v>
      </c>
      <c r="DD69">
        <f>IF($AH$4=$CK$75,'S2'!AQ25,
IF($AH$4=$CL$75,'S3'!AQ25,
IF($AH$4=$CJ$75,'S1'!AQ25,
IF($AH$4=$CM$75,S3M!AQ25,))))</f>
        <v>0</v>
      </c>
      <c r="DE69">
        <f>IF($AH$4=$CK$75,'S2'!AR25,
IF($AH$4=$CL$75,'S3'!AR25,
IF($AH$4=$CJ$75,'S1'!AR25,
IF($AH$4=$CM$75,S3M!AR25,))))</f>
        <v>0</v>
      </c>
      <c r="DF69">
        <f>IF($AH$4=$CK$75,'S2'!AS25,
IF($AH$4=$CL$75,'S3'!AS25,
IF($AH$4=$CJ$75,'S1'!AS25,
IF($AH$4=$CM$75,S3M!AS25,))))</f>
        <v>0</v>
      </c>
      <c r="DG69">
        <f>IF($AH$4=$CK$75,'S2'!AT25,
IF($AH$4=$CL$75,'S3'!AT25,
IF($AH$4=$CJ$75,'S1'!AT25,
IF($AH$4=$CM$75,S3M!AT25,))))</f>
        <v>0</v>
      </c>
      <c r="DH69">
        <f>IF($AH$4=$CK$75,'S2'!AU25,
IF($AH$4=$CL$75,'S3'!AU25,
IF($AH$4=$CJ$75,'S1'!AU25,
IF($AH$4=$CM$75,S3M!AU25,))))</f>
        <v>0</v>
      </c>
      <c r="DI69">
        <f>IF($AH$4=$CK$75,'S2'!AV25,
IF($AH$4=$CL$75,'S3'!AV25,
IF($AH$4=$CJ$75,'S1'!AV25,
IF($AH$4=$CM$75,S3M!AV25,))))</f>
        <v>0</v>
      </c>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row>
    <row r="70" spans="1:256" s="1" customFormat="1" x14ac:dyDescent="0.2">
      <c r="A70"/>
      <c r="B70"/>
      <c r="C70"/>
      <c r="D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f t="shared" si="172"/>
        <v>0</v>
      </c>
      <c r="BG70">
        <f>IF($AH$4=$CK$75,'S2'!T70,
IF($AH$4=$CL$75,'S3'!T70,
IF($AH$4=$CJ$75,'S1'!T70,
IF($AH$4=$CM$75,S3M!T70,))))</f>
        <v>5</v>
      </c>
      <c r="BH70">
        <f>IF($AH$4=$CK$75,'S2'!U70,
IF($AH$4=$CL$75,'S3'!U70,
IF($AH$4=$CJ$75,'S1'!U70,
IF($AH$4=$CM$75,S3M!U70,))))</f>
        <v>0</v>
      </c>
      <c r="BI70">
        <f>IF($AH$4=$CK$75,'S2'!V70,
IF($AH$4=$CL$75,'S3'!V70,
IF($AH$4=$CJ$75,'S1'!V70,
IF($AH$4=$CM$75,S3M!V70,))))</f>
        <v>10</v>
      </c>
      <c r="BJ70">
        <f>IF($AH$4=$CK$75,'S2'!W70,
IF($AH$4=$CL$75,'S3'!W70,
IF($AH$4=$CJ$75,'S1'!W70,
IF($AH$4=$CM$75,S3M!W70,))))</f>
        <v>0</v>
      </c>
      <c r="BK70">
        <f>IF($AH$4=$CK$75,'S2'!X70,
IF($AH$4=$CL$75,'S3'!X70,
IF($AH$4=$CJ$75,'S1'!X70,
IF($AH$4=$CM$75,S3M!X70,))))</f>
        <v>15</v>
      </c>
      <c r="BL70">
        <f>IF($AH$4=$CK$75,'S2'!Y70,
IF($AH$4=$CL$75,'S3'!Y70,
IF($AH$4=$CJ$75,'S1'!Y70,
IF($AH$4=$CM$75,S3M!Y70,))))</f>
        <v>46</v>
      </c>
      <c r="BM70">
        <f>IF($AH$4=$CK$75,'S2'!Z70,
IF($AH$4=$CL$75,'S3'!Z70,
IF($AH$4=$CJ$75,'S1'!Z70,
IF($AH$4=$CM$75,S3M!Z70,))))</f>
        <v>0</v>
      </c>
      <c r="BN70">
        <f>IF($AH$4=$CK$75,'S2'!AA70,
IF($AH$4=$CL$75,'S3'!AA70,
IF($AH$4=$CJ$75,'S1'!AA70,
IF($AH$4=$CM$75,S3M!AA70,))))</f>
        <v>0</v>
      </c>
      <c r="BO70">
        <f>IF($AH$4=$CK$75,'S2'!AB70,
IF($AH$4=$CL$75,'S3'!AB70,
IF($AH$4=$CJ$75,'S1'!AB70,
IF($AH$4=$CM$75,S3M!AB70,))))</f>
        <v>0</v>
      </c>
      <c r="BP70">
        <f>IF($AH$4=$CK$75,'S2'!AC70,
IF($AH$4=$CL$75,'S3'!AC70,
IF($AH$4=$CJ$75,'S1'!AC70,
IF($AH$4=$CM$75,S3M!AC70,))))</f>
        <v>0</v>
      </c>
      <c r="BQ70"/>
      <c r="BR70"/>
      <c r="BS70"/>
      <c r="BT70"/>
      <c r="BU70"/>
      <c r="BV70"/>
      <c r="BW70"/>
      <c r="BX70"/>
      <c r="BY70"/>
      <c r="BZ70"/>
      <c r="CA70"/>
      <c r="CB70"/>
      <c r="CC70"/>
      <c r="CD70"/>
      <c r="CE70"/>
      <c r="CF70"/>
      <c r="CG70"/>
      <c r="CH70"/>
      <c r="CI70"/>
      <c r="CJ70"/>
      <c r="CK70"/>
      <c r="CL70"/>
      <c r="CM70"/>
      <c r="CN70"/>
      <c r="CO70"/>
      <c r="CP70"/>
      <c r="CQ70"/>
      <c r="CR70"/>
      <c r="CS70"/>
      <c r="CT70"/>
      <c r="CU70"/>
      <c r="CV70">
        <f>IF($AH$4=$CK$75,'S2'!AI26,
IF($AH$4=$CL$75,'S3'!AI26,
IF($AH$4=$CJ$75,'S1'!AI26,
IF($AH$4=$CM$75,S3M!AI26,))))</f>
        <v>0</v>
      </c>
      <c r="CW70">
        <f>IF($AH$4=$CK$75,'S2'!AJ26,
IF($AH$4=$CL$75,'S3'!AJ26,
IF($AH$4=$CJ$75,'S1'!AJ26,
IF($AH$4=$CM$75,S3M!AJ26,))))</f>
        <v>0</v>
      </c>
      <c r="CX70">
        <f>IF($AH$4=$CK$75,'S2'!AK26,
IF($AH$4=$CL$75,'S3'!AK26,
IF($AH$4=$CJ$75,'S1'!AK26,
IF($AH$4=$CM$75,S3M!AK26,))))</f>
        <v>0</v>
      </c>
      <c r="CY70">
        <f>IF($AH$4=$CK$75,'S2'!AL26,
IF($AH$4=$CL$75,'S3'!AL26,
IF($AH$4=$CJ$75,'S1'!AL26,
IF($AH$4=$CM$75,S3M!AL26,))))</f>
        <v>0</v>
      </c>
      <c r="CZ70">
        <f>IF($AH$4=$CK$75,'S2'!AM26,
IF($AH$4=$CL$75,'S3'!AM26,
IF($AH$4=$CJ$75,'S1'!AM26,
IF($AH$4=$CM$75,S3M!AM26,))))</f>
        <v>0</v>
      </c>
      <c r="DA70">
        <f>IF($AH$4=$CK$75,'S2'!AN26,
IF($AH$4=$CL$75,'S3'!AN26,
IF($AH$4=$CJ$75,'S1'!AN26,
IF($AH$4=$CM$75,S3M!AN26,))))</f>
        <v>0</v>
      </c>
      <c r="DB70">
        <f>IF($AH$4=$CK$75,'S2'!AO26,
IF($AH$4=$CL$75,'S3'!AO26,
IF($AH$4=$CJ$75,'S1'!AO26,
IF($AH$4=$CM$75,S3M!AO26,))))</f>
        <v>0</v>
      </c>
      <c r="DC70">
        <f>IF($AH$4=$CK$75,'S2'!AP26,
IF($AH$4=$CL$75,'S3'!AP26,
IF($AH$4=$CJ$75,'S1'!AP26,
IF($AH$4=$CM$75,S3M!AP26,))))</f>
        <v>0</v>
      </c>
      <c r="DD70">
        <f>IF($AH$4=$CK$75,'S2'!AQ26,
IF($AH$4=$CL$75,'S3'!AQ26,
IF($AH$4=$CJ$75,'S1'!AQ26,
IF($AH$4=$CM$75,S3M!AQ26,))))</f>
        <v>0</v>
      </c>
      <c r="DE70">
        <f>IF($AH$4=$CK$75,'S2'!AR26,
IF($AH$4=$CL$75,'S3'!AR26,
IF($AH$4=$CJ$75,'S1'!AR26,
IF($AH$4=$CM$75,S3M!AR26,))))</f>
        <v>0</v>
      </c>
      <c r="DF70">
        <f>IF($AH$4=$CK$75,'S2'!AS26,
IF($AH$4=$CL$75,'S3'!AS26,
IF($AH$4=$CJ$75,'S1'!AS26,
IF($AH$4=$CM$75,S3M!AS26,))))</f>
        <v>0</v>
      </c>
      <c r="DG70">
        <f>IF($AH$4=$CK$75,'S2'!AT26,
IF($AH$4=$CL$75,'S3'!AT26,
IF($AH$4=$CJ$75,'S1'!AT26,
IF($AH$4=$CM$75,S3M!AT26,))))</f>
        <v>0</v>
      </c>
      <c r="DH70">
        <f>IF($AH$4=$CK$75,'S2'!AU26,
IF($AH$4=$CL$75,'S3'!AU26,
IF($AH$4=$CJ$75,'S1'!AU26,
IF($AH$4=$CM$75,S3M!AU26,))))</f>
        <v>0</v>
      </c>
      <c r="DI70">
        <f>IF($AH$4=$CK$75,'S2'!AV26,
IF($AH$4=$CL$75,'S3'!AV26,
IF($AH$4=$CJ$75,'S1'!AV26,
IF($AH$4=$CM$75,S3M!AV26,))))</f>
        <v>0</v>
      </c>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row>
    <row r="71" spans="1:256" s="1" customFormat="1" x14ac:dyDescent="0.2">
      <c r="A71"/>
      <c r="B71"/>
      <c r="C71"/>
      <c r="D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f t="shared" si="172"/>
        <v>0</v>
      </c>
      <c r="BG71">
        <f>IF($AH$4=$CK$75,'S2'!T71,
IF($AH$4=$CL$75,'S3'!T71,
IF($AH$4=$CJ$75,'S1'!T71,
IF($AH$4=$CM$75,S3M!T71,))))</f>
        <v>5</v>
      </c>
      <c r="BH71">
        <f>IF($AH$4=$CK$75,'S2'!U71,
IF($AH$4=$CL$75,'S3'!U71,
IF($AH$4=$CJ$75,'S1'!U71,
IF($AH$4=$CM$75,S3M!U71,))))</f>
        <v>0</v>
      </c>
      <c r="BI71">
        <f>IF($AH$4=$CK$75,'S2'!V71,
IF($AH$4=$CL$75,'S3'!V71,
IF($AH$4=$CJ$75,'S1'!V71,
IF($AH$4=$CM$75,S3M!V71,))))</f>
        <v>10</v>
      </c>
      <c r="BJ71">
        <f>IF($AH$4=$CK$75,'S2'!W71,
IF($AH$4=$CL$75,'S3'!W71,
IF($AH$4=$CJ$75,'S1'!W71,
IF($AH$4=$CM$75,S3M!W71,))))</f>
        <v>0</v>
      </c>
      <c r="BK71">
        <f>IF($AH$4=$CK$75,'S2'!X71,
IF($AH$4=$CL$75,'S3'!X71,
IF($AH$4=$CJ$75,'S1'!X71,
IF($AH$4=$CM$75,S3M!X71,))))</f>
        <v>45</v>
      </c>
      <c r="BL71">
        <f>IF($AH$4=$CK$75,'S2'!Y71,
IF($AH$4=$CL$75,'S3'!Y71,
IF($AH$4=$CJ$75,'S1'!Y71,
IF($AH$4=$CM$75,S3M!Y71,))))</f>
        <v>60</v>
      </c>
      <c r="BM71">
        <f>IF($AH$4=$CK$75,'S2'!Z71,
IF($AH$4=$CL$75,'S3'!Z71,
IF($AH$4=$CJ$75,'S1'!Z71,
IF($AH$4=$CM$75,S3M!Z71,))))</f>
        <v>0</v>
      </c>
      <c r="BN71">
        <f>IF($AH$4=$CK$75,'S2'!AA71,
IF($AH$4=$CL$75,'S3'!AA71,
IF($AH$4=$CJ$75,'S1'!AA71,
IF($AH$4=$CM$75,S3M!AA71,))))</f>
        <v>0</v>
      </c>
      <c r="BO71">
        <f>IF($AH$4=$CK$75,'S2'!AB71,
IF($AH$4=$CL$75,'S3'!AB71,
IF($AH$4=$CJ$75,'S1'!AB71,
IF($AH$4=$CM$75,S3M!AB71,))))</f>
        <v>0</v>
      </c>
      <c r="BP71">
        <f>IF($AH$4=$CK$75,'S2'!AC71,
IF($AH$4=$CL$75,'S3'!AC71,
IF($AH$4=$CJ$75,'S1'!AC71,
IF($AH$4=$CM$75,S3M!AC71,))))</f>
        <v>0</v>
      </c>
      <c r="BQ71"/>
      <c r="BR71"/>
      <c r="BS71"/>
      <c r="BT71"/>
      <c r="BU71"/>
      <c r="BV71"/>
      <c r="BW71"/>
      <c r="BX71"/>
      <c r="BY71"/>
      <c r="BZ71"/>
      <c r="CA71"/>
      <c r="CB71"/>
      <c r="CC71"/>
      <c r="CD71"/>
      <c r="CE71"/>
      <c r="CF71"/>
      <c r="CG71"/>
      <c r="CH71"/>
      <c r="CI71"/>
      <c r="CJ71" t="str">
        <f>DI51</f>
        <v>W</v>
      </c>
      <c r="CK71" t="str">
        <f>DI56</f>
        <v>S</v>
      </c>
      <c r="CL71" t="str">
        <f>DI61</f>
        <v xml:space="preserve">S+ </v>
      </c>
      <c r="CM71" t="str">
        <f>DI66</f>
        <v>S+ dark</v>
      </c>
      <c r="CN71">
        <f>DI71</f>
        <v>0</v>
      </c>
      <c r="CO71">
        <f>DI76</f>
        <v>0</v>
      </c>
      <c r="CP71">
        <f>DI81</f>
        <v>0</v>
      </c>
      <c r="CQ71"/>
      <c r="CR71" t="s">
        <v>774</v>
      </c>
      <c r="CS71"/>
      <c r="CT71"/>
      <c r="CU71">
        <f>$DR$59</f>
        <v>0</v>
      </c>
      <c r="CV71">
        <f>IF($AH$4=$CK$75,'S2'!AI27,
IF($AH$4=$CL$75,'S3'!AI27,
IF($AH$4=$CJ$75,'S1'!AI27,
IF($AH$4=$CM$75,S3M!AI27,))))</f>
        <v>0</v>
      </c>
      <c r="CW71">
        <f>IF($AH$4=$CK$75,'S2'!AJ27,
IF($AH$4=$CL$75,'S3'!AJ27,
IF($AH$4=$CJ$75,'S1'!AJ27,
IF($AH$4=$CM$75,S3M!AJ27,))))</f>
        <v>0</v>
      </c>
      <c r="CX71">
        <f>IF($AH$4=$CK$75,'S2'!AK27,
IF($AH$4=$CL$75,'S3'!AK27,
IF($AH$4=$CJ$75,'S1'!AK27,
IF($AH$4=$CM$75,S3M!AK27,))))</f>
        <v>0</v>
      </c>
      <c r="CY71">
        <f>IF($AH$4=$CK$75,'S2'!AL27,
IF($AH$4=$CL$75,'S3'!AL27,
IF($AH$4=$CJ$75,'S1'!AL27,
IF($AH$4=$CM$75,S3M!AL27,))))</f>
        <v>0</v>
      </c>
      <c r="CZ71">
        <f>IF($AH$4=$CK$75,'S2'!AM27,
IF($AH$4=$CL$75,'S3'!AM27,
IF($AH$4=$CJ$75,'S1'!AM27,
IF($AH$4=$CM$75,S3M!AM27,))))</f>
        <v>0</v>
      </c>
      <c r="DA71">
        <f>IF($AH$4=$CK$75,'S2'!AN27,
IF($AH$4=$CL$75,'S3'!AN27,
IF($AH$4=$CJ$75,'S1'!AN27,
IF($AH$4=$CM$75,S3M!AN27,))))</f>
        <v>0</v>
      </c>
      <c r="DB71">
        <f>IF($AH$4=$CK$75,'S2'!AO27,
IF($AH$4=$CL$75,'S3'!AO27,
IF($AH$4=$CJ$75,'S1'!AO27,
IF($AH$4=$CM$75,S3M!AO27,))))</f>
        <v>0</v>
      </c>
      <c r="DC71">
        <f>IF($AH$4=$CK$75,'S2'!AP27,
IF($AH$4=$CL$75,'S3'!AP27,
IF($AH$4=$CJ$75,'S1'!AP27,
IF($AH$4=$CM$75,S3M!AP27,))))</f>
        <v>0</v>
      </c>
      <c r="DD71">
        <f>IF($AH$4=$CK$75,'S2'!AQ27,
IF($AH$4=$CL$75,'S3'!AQ27,
IF($AH$4=$CJ$75,'S1'!AQ27,
IF($AH$4=$CM$75,S3M!AQ27,))))</f>
        <v>0</v>
      </c>
      <c r="DE71">
        <f>IF($AH$4=$CK$75,'S2'!AR27,
IF($AH$4=$CL$75,'S3'!AR27,
IF($AH$4=$CJ$75,'S1'!AR27,
IF($AH$4=$CM$75,S3M!AR27,))))</f>
        <v>0</v>
      </c>
      <c r="DF71">
        <f>IF($AH$4=$CK$75,'S2'!AS27,
IF($AH$4=$CL$75,'S3'!AS27,
IF($AH$4=$CJ$75,'S1'!AS27,
IF($AH$4=$CM$75,S3M!AS27,))))</f>
        <v>0</v>
      </c>
      <c r="DG71">
        <f>IF($AH$4=$CK$75,'S2'!AT27,
IF($AH$4=$CL$75,'S3'!AT27,
IF($AH$4=$CJ$75,'S1'!AT27,
IF($AH$4=$CM$75,S3M!AT27,))))</f>
        <v>0</v>
      </c>
      <c r="DH71">
        <f>IF($AH$4=$CK$75,'S2'!AU27,
IF($AH$4=$CL$75,'S3'!AU27,
IF($AH$4=$CJ$75,'S1'!AU27,
IF($AH$4=$CM$75,S3M!AU27,))))</f>
        <v>0</v>
      </c>
      <c r="DI71">
        <f>IF($AH$4=$CK$75,'S2'!AV27,
IF($AH$4=$CL$75,'S3'!AV27,
IF($AH$4=$CJ$75,'S1'!AV27,
IF($AH$4=$CM$75,S3M!AV27,))))</f>
        <v>0</v>
      </c>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row>
    <row r="72" spans="1:256" s="1" customFormat="1" x14ac:dyDescent="0.2">
      <c r="A72"/>
      <c r="B72"/>
      <c r="C72"/>
      <c r="D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f>IF($AH$4=$CK$75,'S2'!T72,
IF($AH$4=$CL$75,'S3'!T72,
IF($AH$4=$CJ$75,'S1'!T72,
IF($AH$4=$CM$75,S3M!T72,))))</f>
        <v>0</v>
      </c>
      <c r="BH72">
        <f>IF($AH$4=$CK$75,'S2'!U72,
IF($AH$4=$CL$75,'S3'!U72,
IF($AH$4=$CJ$75,'S1'!U72,
IF($AH$4=$CM$75,S3M!U72,))))</f>
        <v>0</v>
      </c>
      <c r="BI72">
        <f>IF($AH$4=$CK$75,'S2'!V72,
IF($AH$4=$CL$75,'S3'!V72,
IF($AH$4=$CJ$75,'S1'!V72,
IF($AH$4=$CM$75,S3M!V72,))))</f>
        <v>0</v>
      </c>
      <c r="BJ72">
        <f>IF($AH$4=$CK$75,'S2'!W72,
IF($AH$4=$CL$75,'S3'!W72,
IF($AH$4=$CJ$75,'S1'!W72,
IF($AH$4=$CM$75,S3M!W72,))))</f>
        <v>0</v>
      </c>
      <c r="BK72">
        <f>IF($AH$4=$CK$75,'S2'!X72,
IF($AH$4=$CL$75,'S3'!X72,
IF($AH$4=$CJ$75,'S1'!X72,
IF($AH$4=$CM$75,S3M!X72,))))</f>
        <v>0</v>
      </c>
      <c r="BL72">
        <f>IF($AH$4=$CK$75,'S2'!Y72,
IF($AH$4=$CL$75,'S3'!Y72,
IF($AH$4=$CJ$75,'S1'!Y72,
IF($AH$4=$CM$75,S3M!Y72,))))</f>
        <v>0</v>
      </c>
      <c r="BM72">
        <f>IF($AH$4=$CK$75,'S2'!Z72,
IF($AH$4=$CL$75,'S3'!Z72,
IF($AH$4=$CJ$75,'S1'!Z72,
IF($AH$4=$CM$75,S3M!Z72,))))</f>
        <v>0</v>
      </c>
      <c r="BN72">
        <f>IF($AH$4=$CK$75,'S2'!AA72,
IF($AH$4=$CL$75,'S3'!AA72,
IF($AH$4=$CJ$75,'S1'!AA72,
IF($AH$4=$CM$75,S3M!AA72,))))</f>
        <v>0</v>
      </c>
      <c r="BO72">
        <f>IF($AH$4=$CK$75,'S2'!AB72,
IF($AH$4=$CL$75,'S3'!AB72,
IF($AH$4=$CJ$75,'S1'!AB72,
IF($AH$4=$CM$75,S3M!AB72,))))</f>
        <v>0</v>
      </c>
      <c r="BP72">
        <f>IF($AH$4=$CK$75,'S2'!AC72,
IF($AH$4=$CL$75,'S3'!AC72,
IF($AH$4=$CJ$75,'S1'!AC72,
IF($AH$4=$CM$75,S3M!AC72,))))</f>
        <v>0</v>
      </c>
      <c r="BQ72"/>
      <c r="BR72"/>
      <c r="BS72"/>
      <c r="BT72"/>
      <c r="BU72"/>
      <c r="BV72"/>
      <c r="BW72"/>
      <c r="BX72"/>
      <c r="BY72"/>
      <c r="BZ72"/>
      <c r="CA72"/>
      <c r="CB72"/>
      <c r="CC72"/>
      <c r="CD72"/>
      <c r="CE72"/>
      <c r="CF72"/>
      <c r="CG72"/>
      <c r="CH72"/>
      <c r="CI72"/>
      <c r="CJ72">
        <f>EC58</f>
        <v>0</v>
      </c>
      <c r="CK72"/>
      <c r="CL72"/>
      <c r="CM72"/>
      <c r="CN72"/>
      <c r="CO72"/>
      <c r="CP72"/>
      <c r="CQ72"/>
      <c r="CR72" t="s">
        <v>857</v>
      </c>
      <c r="CS72"/>
      <c r="CT72"/>
      <c r="CU72">
        <f>$DR$60</f>
        <v>0</v>
      </c>
      <c r="CV72">
        <f>IF($AH$4=$CK$75,'S2'!AI28,
IF($AH$4=$CL$75,'S3'!AI28,
IF($AH$4=$CJ$75,'S1'!AI28,
IF($AH$4=$CM$75,S3M!AI28,))))</f>
        <v>0</v>
      </c>
      <c r="CW72">
        <f>IF($AH$4=$CK$75,'S2'!AJ28,
IF($AH$4=$CL$75,'S3'!AJ28,
IF($AH$4=$CJ$75,'S1'!AJ28,
IF($AH$4=$CM$75,S3M!AJ28,))))</f>
        <v>0</v>
      </c>
      <c r="CX72">
        <f>IF($AH$4=$CK$75,'S2'!AK28,
IF($AH$4=$CL$75,'S3'!AK28,
IF($AH$4=$CJ$75,'S1'!AK28,
IF($AH$4=$CM$75,S3M!AK28,))))</f>
        <v>0</v>
      </c>
      <c r="CY72">
        <f>IF($AH$4=$CK$75,'S2'!AL28,
IF($AH$4=$CL$75,'S3'!AL28,
IF($AH$4=$CJ$75,'S1'!AL28,
IF($AH$4=$CM$75,S3M!AL28,))))</f>
        <v>0</v>
      </c>
      <c r="CZ72">
        <f>IF($AH$4=$CK$75,'S2'!AM28,
IF($AH$4=$CL$75,'S3'!AM28,
IF($AH$4=$CJ$75,'S1'!AM28,
IF($AH$4=$CM$75,S3M!AM28,))))</f>
        <v>0</v>
      </c>
      <c r="DA72">
        <f>IF($AH$4=$CK$75,'S2'!AN28,
IF($AH$4=$CL$75,'S3'!AN28,
IF($AH$4=$CJ$75,'S1'!AN28,
IF($AH$4=$CM$75,S3M!AN28,))))</f>
        <v>0</v>
      </c>
      <c r="DB72">
        <f>IF($AH$4=$CK$75,'S2'!AO28,
IF($AH$4=$CL$75,'S3'!AO28,
IF($AH$4=$CJ$75,'S1'!AO28,
IF($AH$4=$CM$75,S3M!AO28,))))</f>
        <v>0</v>
      </c>
      <c r="DC72">
        <f>IF($AH$4=$CK$75,'S2'!AP28,
IF($AH$4=$CL$75,'S3'!AP28,
IF($AH$4=$CJ$75,'S1'!AP28,
IF($AH$4=$CM$75,S3M!AP28,))))</f>
        <v>0</v>
      </c>
      <c r="DD72">
        <f>IF($AH$4=$CK$75,'S2'!AQ28,
IF($AH$4=$CL$75,'S3'!AQ28,
IF($AH$4=$CJ$75,'S1'!AQ28,
IF($AH$4=$CM$75,S3M!AQ28,))))</f>
        <v>0</v>
      </c>
      <c r="DE72">
        <f>IF($AH$4=$CK$75,'S2'!AR28,
IF($AH$4=$CL$75,'S3'!AR28,
IF($AH$4=$CJ$75,'S1'!AR28,
IF($AH$4=$CM$75,S3M!AR28,))))</f>
        <v>0</v>
      </c>
      <c r="DF72">
        <f>IF($AH$4=$CK$75,'S2'!AS28,
IF($AH$4=$CL$75,'S3'!AS28,
IF($AH$4=$CJ$75,'S1'!AS28,
IF($AH$4=$CM$75,S3M!AS28,))))</f>
        <v>0</v>
      </c>
      <c r="DG72">
        <f>IF($AH$4=$CK$75,'S2'!AT28,
IF($AH$4=$CL$75,'S3'!AT28,
IF($AH$4=$CJ$75,'S1'!AT28,
IF($AH$4=$CM$75,S3M!AT28,))))</f>
        <v>0</v>
      </c>
      <c r="DH72">
        <f>IF($AH$4=$CK$75,'S2'!AU28,
IF($AH$4=$CL$75,'S3'!AU28,
IF($AH$4=$CJ$75,'S1'!AU28,
IF($AH$4=$CM$75,S3M!AU28,))))</f>
        <v>0</v>
      </c>
      <c r="DI72">
        <f>IF($AH$4=$CK$75,'S2'!AV28,
IF($AH$4=$CL$75,'S3'!AV28,
IF($AH$4=$CJ$75,'S1'!AV28,
IF($AH$4=$CM$75,S3M!AV28,))))</f>
        <v>0</v>
      </c>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row>
    <row r="73" spans="1:256" s="1" customFormat="1" x14ac:dyDescent="0.2">
      <c r="A73"/>
      <c r="B73"/>
      <c r="C73"/>
      <c r="D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f>DS59</f>
        <v>0</v>
      </c>
      <c r="BG73" t="s">
        <v>878</v>
      </c>
      <c r="BH73"/>
      <c r="BI73"/>
      <c r="BJ73"/>
      <c r="BK73"/>
      <c r="BL73"/>
      <c r="BM73"/>
      <c r="BN73">
        <f>DV71</f>
        <v>0</v>
      </c>
      <c r="BO73" t="str">
        <f>CH78</f>
        <v>usd</v>
      </c>
      <c r="BP73"/>
      <c r="BQ73"/>
      <c r="BR73"/>
      <c r="BS73"/>
      <c r="BT73"/>
      <c r="BU73"/>
      <c r="BV73"/>
      <c r="BW73"/>
      <c r="BX73"/>
      <c r="BY73"/>
      <c r="BZ73"/>
      <c r="CA73"/>
      <c r="CB73"/>
      <c r="CC73"/>
      <c r="CD73"/>
      <c r="CE73"/>
      <c r="CF73"/>
      <c r="CG73"/>
      <c r="CH73"/>
      <c r="CI73"/>
      <c r="CJ73">
        <f>IF($AH$4=$CJ$75,'S1'!T85,
IF($AH$4=$CK$75,'S2'!T85,'S3'!T85))</f>
        <v>0</v>
      </c>
      <c r="CK73" t="str">
        <f>IF($AH$4=$CJ$75,'S1'!U85,
IF($AH$4=$CK$75,'S2'!U85,'S3'!U85))</f>
        <v>P</v>
      </c>
      <c r="CL73" t="str">
        <f>IF($AH$4=$CJ$75,'S1'!V85,
IF($AH$4=$CK$75,'S2'!V85,'S3'!V85))</f>
        <v>R</v>
      </c>
      <c r="CM73" t="str">
        <f>IF($AH$4=$CJ$75,'S1'!W85,
IF($AH$4=$CK$75,'S2'!W85,'S3'!W85))</f>
        <v>G</v>
      </c>
      <c r="CN73" t="str">
        <f>IF($AH$4=$CJ$75,'S1'!X85,
IF($AH$4=$CK$75,'S2'!X85,'S3'!X85))</f>
        <v>RG</v>
      </c>
      <c r="CO73">
        <f>IF($AH$4=$CJ$75,'S1'!Y85,
IF($AH$4=$CK$75,'S2'!Y85,'S3'!Y85))</f>
        <v>0</v>
      </c>
      <c r="CP73">
        <f>IF($AH$4=$CJ$75,'S1'!Z85,
IF($AH$4=$CK$75,'S2'!Z85,'S3'!Z85))</f>
        <v>0</v>
      </c>
      <c r="CQ73"/>
      <c r="CR73"/>
      <c r="CS73"/>
      <c r="CT73"/>
      <c r="CU73">
        <f>$DR$61</f>
        <v>0</v>
      </c>
      <c r="CV73">
        <f>IF($AH$4=$CK$75,'S2'!AI29,
IF($AH$4=$CL$75,'S3'!AI29,
IF($AH$4=$CJ$75,'S1'!AI29,
IF($AH$4=$CM$75,S3M!AI29,))))</f>
        <v>0</v>
      </c>
      <c r="CW73">
        <f>IF($AH$4=$CK$75,'S2'!AJ29,
IF($AH$4=$CL$75,'S3'!AJ29,
IF($AH$4=$CJ$75,'S1'!AJ29,
IF($AH$4=$CM$75,S3M!AJ29,))))</f>
        <v>0</v>
      </c>
      <c r="CX73">
        <f>IF($AH$4=$CK$75,'S2'!AK29,
IF($AH$4=$CL$75,'S3'!AK29,
IF($AH$4=$CJ$75,'S1'!AK29,
IF($AH$4=$CM$75,S3M!AK29,))))</f>
        <v>0</v>
      </c>
      <c r="CY73">
        <f>IF($AH$4=$CK$75,'S2'!AL29,
IF($AH$4=$CL$75,'S3'!AL29,
IF($AH$4=$CJ$75,'S1'!AL29,
IF($AH$4=$CM$75,S3M!AL29,))))</f>
        <v>0</v>
      </c>
      <c r="CZ73">
        <f>IF($AH$4=$CK$75,'S2'!AM29,
IF($AH$4=$CL$75,'S3'!AM29,
IF($AH$4=$CJ$75,'S1'!AM29,
IF($AH$4=$CM$75,S3M!AM29,))))</f>
        <v>0</v>
      </c>
      <c r="DA73">
        <f>IF($AH$4=$CK$75,'S2'!AN29,
IF($AH$4=$CL$75,'S3'!AN29,
IF($AH$4=$CJ$75,'S1'!AN29,
IF($AH$4=$CM$75,S3M!AN29,))))</f>
        <v>0</v>
      </c>
      <c r="DB73">
        <f>IF($AH$4=$CK$75,'S2'!AO29,
IF($AH$4=$CL$75,'S3'!AO29,
IF($AH$4=$CJ$75,'S1'!AO29,
IF($AH$4=$CM$75,S3M!AO29,))))</f>
        <v>0</v>
      </c>
      <c r="DC73">
        <f>IF($AH$4=$CK$75,'S2'!AP29,
IF($AH$4=$CL$75,'S3'!AP29,
IF($AH$4=$CJ$75,'S1'!AP29,
IF($AH$4=$CM$75,S3M!AP29,))))</f>
        <v>0</v>
      </c>
      <c r="DD73">
        <f>IF($AH$4=$CK$75,'S2'!AQ29,
IF($AH$4=$CL$75,'S3'!AQ29,
IF($AH$4=$CJ$75,'S1'!AQ29,
IF($AH$4=$CM$75,S3M!AQ29,))))</f>
        <v>0</v>
      </c>
      <c r="DE73">
        <f>IF($AH$4=$CK$75,'S2'!AR29,
IF($AH$4=$CL$75,'S3'!AR29,
IF($AH$4=$CJ$75,'S1'!AR29,
IF($AH$4=$CM$75,S3M!AR29,))))</f>
        <v>0</v>
      </c>
      <c r="DF73">
        <f>IF($AH$4=$CK$75,'S2'!AS29,
IF($AH$4=$CL$75,'S3'!AS29,
IF($AH$4=$CJ$75,'S1'!AS29,
IF($AH$4=$CM$75,S3M!AS29,))))</f>
        <v>0</v>
      </c>
      <c r="DG73">
        <f>IF($AH$4=$CK$75,'S2'!AT29,
IF($AH$4=$CL$75,'S3'!AT29,
IF($AH$4=$CJ$75,'S1'!AT29,
IF($AH$4=$CM$75,S3M!AT29,))))</f>
        <v>0</v>
      </c>
      <c r="DH73">
        <f>IF($AH$4=$CK$75,'S2'!AU29,
IF($AH$4=$CL$75,'S3'!AU29,
IF($AH$4=$CJ$75,'S1'!AU29,
IF($AH$4=$CM$75,S3M!AU29,))))</f>
        <v>0</v>
      </c>
      <c r="DI73">
        <f>IF($AH$4=$CK$75,'S2'!AV29,
IF($AH$4=$CL$75,'S3'!AV29,
IF($AH$4=$CJ$75,'S1'!AV29,
IF($AH$4=$CM$75,S3M!AV29,))))</f>
        <v>0</v>
      </c>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row>
    <row r="74" spans="1:256" s="1" customFormat="1" x14ac:dyDescent="0.2">
      <c r="A74"/>
      <c r="B74"/>
      <c r="C74"/>
      <c r="D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f>DQ81</f>
        <v>0</v>
      </c>
      <c r="BG74">
        <v>1</v>
      </c>
      <c r="BH74" t="str">
        <f>Sprache!B130</f>
        <v>E6 EV1 (20my)</v>
      </c>
      <c r="BI74"/>
      <c r="BJ74"/>
      <c r="BK74"/>
      <c r="BL74"/>
      <c r="BM74"/>
      <c r="BN74">
        <v>12</v>
      </c>
      <c r="BO74">
        <f t="shared" ref="BO74:BO83" si="174">HLOOKUP($CH$78,$CJ$80:$CR$83,3,FALSE)*BN74</f>
        <v>13.799999999999999</v>
      </c>
      <c r="BP74"/>
      <c r="BQ74"/>
      <c r="BR74"/>
      <c r="BS74"/>
      <c r="BT74"/>
      <c r="BU74"/>
      <c r="BV74"/>
      <c r="BW74"/>
      <c r="BX74"/>
      <c r="BY74"/>
      <c r="BZ74"/>
      <c r="CA74"/>
      <c r="CB74"/>
      <c r="CC74"/>
      <c r="CD74"/>
      <c r="CE74"/>
      <c r="CF74"/>
      <c r="CG74"/>
      <c r="CH74"/>
      <c r="CI74"/>
      <c r="CJ74">
        <f>IF($AH$4=$CK$75,'S2'!T86,'S3'!T86)</f>
        <v>0</v>
      </c>
      <c r="CK74">
        <f>IF($AH$4=$CK$75,'S2'!U86,'S3'!U86)</f>
        <v>0</v>
      </c>
      <c r="CL74">
        <f>IF($AH$4=$CK$75,'S2'!V86,'S3'!V86)</f>
        <v>0</v>
      </c>
      <c r="CM74" t="str">
        <f>IF($AH$4=$CK$75,'S2'!W86,'S3'!W86)</f>
        <v>nein</v>
      </c>
      <c r="CN74" t="str">
        <f>IF($AH$4=$CK$75,'S2'!X86,'S3'!X86)</f>
        <v>nein</v>
      </c>
      <c r="CO74">
        <f>IF($AH$4=$CK$75,'S2'!Y86,'S3'!Y86)</f>
        <v>0</v>
      </c>
      <c r="CP74">
        <f>IF($AH$4=$CK$75,'S2'!Z86,'S3'!Z86)</f>
        <v>0</v>
      </c>
      <c r="CQ74"/>
      <c r="CR74"/>
      <c r="CS74"/>
      <c r="CT74"/>
      <c r="CU74">
        <f>$DR$62</f>
        <v>0</v>
      </c>
      <c r="CV74">
        <f>IF($AH$4=$CK$75,'S2'!AI30,
IF($AH$4=$CL$75,'S3'!AI30,
IF($AH$4=$CJ$75,'S1'!AI30,
IF($AH$4=$CM$75,S3M!AI30,))))</f>
        <v>0</v>
      </c>
      <c r="CW74">
        <f>IF($AH$4=$CK$75,'S2'!AJ30,
IF($AH$4=$CL$75,'S3'!AJ30,
IF($AH$4=$CJ$75,'S1'!AJ30,
IF($AH$4=$CM$75,S3M!AJ30,))))</f>
        <v>0</v>
      </c>
      <c r="CX74">
        <f>IF($AH$4=$CK$75,'S2'!AK30,
IF($AH$4=$CL$75,'S3'!AK30,
IF($AH$4=$CJ$75,'S1'!AK30,
IF($AH$4=$CM$75,S3M!AK30,))))</f>
        <v>0</v>
      </c>
      <c r="CY74">
        <f>IF($AH$4=$CK$75,'S2'!AL30,
IF($AH$4=$CL$75,'S3'!AL30,
IF($AH$4=$CJ$75,'S1'!AL30,
IF($AH$4=$CM$75,S3M!AL30,))))</f>
        <v>0</v>
      </c>
      <c r="CZ74">
        <f>IF($AH$4=$CK$75,'S2'!AM30,
IF($AH$4=$CL$75,'S3'!AM30,
IF($AH$4=$CJ$75,'S1'!AM30,
IF($AH$4=$CM$75,S3M!AM30,))))</f>
        <v>0</v>
      </c>
      <c r="DA74">
        <f>IF($AH$4=$CK$75,'S2'!AN30,
IF($AH$4=$CL$75,'S3'!AN30,
IF($AH$4=$CJ$75,'S1'!AN30,
IF($AH$4=$CM$75,S3M!AN30,))))</f>
        <v>0</v>
      </c>
      <c r="DB74">
        <f>IF($AH$4=$CK$75,'S2'!AO30,
IF($AH$4=$CL$75,'S3'!AO30,
IF($AH$4=$CJ$75,'S1'!AO30,
IF($AH$4=$CM$75,S3M!AO30,))))</f>
        <v>0</v>
      </c>
      <c r="DC74">
        <f>IF($AH$4=$CK$75,'S2'!AP30,
IF($AH$4=$CL$75,'S3'!AP30,
IF($AH$4=$CJ$75,'S1'!AP30,
IF($AH$4=$CM$75,S3M!AP30,))))</f>
        <v>0</v>
      </c>
      <c r="DD74">
        <f>IF($AH$4=$CK$75,'S2'!AQ30,
IF($AH$4=$CL$75,'S3'!AQ30,
IF($AH$4=$CJ$75,'S1'!AQ30,
IF($AH$4=$CM$75,S3M!AQ30,))))</f>
        <v>0</v>
      </c>
      <c r="DE74">
        <f>IF($AH$4=$CK$75,'S2'!AR30,
IF($AH$4=$CL$75,'S3'!AR30,
IF($AH$4=$CJ$75,'S1'!AR30,
IF($AH$4=$CM$75,S3M!AR30,))))</f>
        <v>0</v>
      </c>
      <c r="DF74">
        <f>IF($AH$4=$CK$75,'S2'!AS30,
IF($AH$4=$CL$75,'S3'!AS30,
IF($AH$4=$CJ$75,'S1'!AS30,
IF($AH$4=$CM$75,S3M!AS30,))))</f>
        <v>0</v>
      </c>
      <c r="DG74">
        <f>IF($AH$4=$CK$75,'S2'!AT30,
IF($AH$4=$CL$75,'S3'!AT30,
IF($AH$4=$CJ$75,'S1'!AT30,
IF($AH$4=$CM$75,S3M!AT30,))))</f>
        <v>0</v>
      </c>
      <c r="DH74">
        <f>IF($AH$4=$CK$75,'S2'!AU30,
IF($AH$4=$CL$75,'S3'!AU30,
IF($AH$4=$CJ$75,'S1'!AU30,
IF($AH$4=$CM$75,S3M!AU30,))))</f>
        <v>0</v>
      </c>
      <c r="DI74">
        <f>IF($AH$4=$CK$75,'S2'!AV30,
IF($AH$4=$CL$75,'S3'!AV30,
IF($AH$4=$CJ$75,'S1'!AV30,
IF($AH$4=$CM$75,S3M!AV30,))))</f>
        <v>0</v>
      </c>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row>
    <row r="75" spans="1:256" s="1" customFormat="1" x14ac:dyDescent="0.2">
      <c r="A75"/>
      <c r="B75"/>
      <c r="C75"/>
      <c r="D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f>DQ82</f>
        <v>0</v>
      </c>
      <c r="BG75">
        <v>2</v>
      </c>
      <c r="BH75" t="str">
        <f>Sprache!B131</f>
        <v>E6 EV1 (25my)</v>
      </c>
      <c r="BI75"/>
      <c r="BJ75"/>
      <c r="BK75"/>
      <c r="BL75"/>
      <c r="BM75"/>
      <c r="BN75">
        <v>16</v>
      </c>
      <c r="BO75">
        <f t="shared" si="174"/>
        <v>18.399999999999999</v>
      </c>
      <c r="BP75"/>
      <c r="BQ75"/>
      <c r="BR75"/>
      <c r="BS75"/>
      <c r="BT75"/>
      <c r="BU75"/>
      <c r="BV75"/>
      <c r="BW75"/>
      <c r="BX75"/>
      <c r="BY75"/>
      <c r="BZ75"/>
      <c r="CA75"/>
      <c r="CB75"/>
      <c r="CC75"/>
      <c r="CD75"/>
      <c r="CE75"/>
      <c r="CF75"/>
      <c r="CG75"/>
      <c r="CH75"/>
      <c r="CI75"/>
      <c r="CJ75">
        <v>1</v>
      </c>
      <c r="CK75">
        <v>2</v>
      </c>
      <c r="CL75">
        <v>3</v>
      </c>
      <c r="CM75" t="s">
        <v>1078</v>
      </c>
      <c r="CN75"/>
      <c r="CO75"/>
      <c r="CP75"/>
      <c r="CQ75"/>
      <c r="CR75"/>
      <c r="CS75"/>
      <c r="CT75"/>
      <c r="CU75"/>
      <c r="CV75">
        <f>IF($AH$4=$CK$75,'S2'!AI31,
IF($AH$4=$CL$75,'S3'!AI31,
IF($AH$4=$CJ$75,'S1'!AI31,
IF($AH$4=$CM$75,S3M!AI31,))))</f>
        <v>0</v>
      </c>
      <c r="CW75">
        <f>IF($AH$4=$CK$75,'S2'!AJ31,
IF($AH$4=$CL$75,'S3'!AJ31,
IF($AH$4=$CJ$75,'S1'!AJ31,
IF($AH$4=$CM$75,S3M!AJ31,))))</f>
        <v>0</v>
      </c>
      <c r="CX75">
        <f>IF($AH$4=$CK$75,'S2'!AK31,
IF($AH$4=$CL$75,'S3'!AK31,
IF($AH$4=$CJ$75,'S1'!AK31,
IF($AH$4=$CM$75,S3M!AK31,))))</f>
        <v>0</v>
      </c>
      <c r="CY75">
        <f>IF($AH$4=$CK$75,'S2'!AL31,
IF($AH$4=$CL$75,'S3'!AL31,
IF($AH$4=$CJ$75,'S1'!AL31,
IF($AH$4=$CM$75,S3M!AL31,))))</f>
        <v>0</v>
      </c>
      <c r="CZ75">
        <f>IF($AH$4=$CK$75,'S2'!AM31,
IF($AH$4=$CL$75,'S3'!AM31,
IF($AH$4=$CJ$75,'S1'!AM31,
IF($AH$4=$CM$75,S3M!AM31,))))</f>
        <v>0</v>
      </c>
      <c r="DA75">
        <f>IF($AH$4=$CK$75,'S2'!AN31,
IF($AH$4=$CL$75,'S3'!AN31,
IF($AH$4=$CJ$75,'S1'!AN31,
IF($AH$4=$CM$75,S3M!AN31,))))</f>
        <v>0</v>
      </c>
      <c r="DB75">
        <f>IF($AH$4=$CK$75,'S2'!AO31,
IF($AH$4=$CL$75,'S3'!AO31,
IF($AH$4=$CJ$75,'S1'!AO31,
IF($AH$4=$CM$75,S3M!AO31,))))</f>
        <v>0</v>
      </c>
      <c r="DC75">
        <f>IF($AH$4=$CK$75,'S2'!AP31,
IF($AH$4=$CL$75,'S3'!AP31,
IF($AH$4=$CJ$75,'S1'!AP31,
IF($AH$4=$CM$75,S3M!AP31,))))</f>
        <v>0</v>
      </c>
      <c r="DD75">
        <f>IF($AH$4=$CK$75,'S2'!AQ31,
IF($AH$4=$CL$75,'S3'!AQ31,
IF($AH$4=$CJ$75,'S1'!AQ31,
IF($AH$4=$CM$75,S3M!AQ31,))))</f>
        <v>0</v>
      </c>
      <c r="DE75">
        <f>IF($AH$4=$CK$75,'S2'!AR31,
IF($AH$4=$CL$75,'S3'!AR31,
IF($AH$4=$CJ$75,'S1'!AR31,
IF($AH$4=$CM$75,S3M!AR31,))))</f>
        <v>0</v>
      </c>
      <c r="DF75">
        <f>IF($AH$4=$CK$75,'S2'!AS31,
IF($AH$4=$CL$75,'S3'!AS31,
IF($AH$4=$CJ$75,'S1'!AS31,
IF($AH$4=$CM$75,S3M!AS31,))))</f>
        <v>0</v>
      </c>
      <c r="DG75">
        <f>IF($AH$4=$CK$75,'S2'!AT31,
IF($AH$4=$CL$75,'S3'!AT31,
IF($AH$4=$CJ$75,'S1'!AT31,
IF($AH$4=$CM$75,S3M!AT31,))))</f>
        <v>0</v>
      </c>
      <c r="DH75">
        <f>IF($AH$4=$CK$75,'S2'!AU31,
IF($AH$4=$CL$75,'S3'!AU31,
IF($AH$4=$CJ$75,'S1'!AU31,
IF($AH$4=$CM$75,S3M!AU31,))))</f>
        <v>0</v>
      </c>
      <c r="DI75">
        <f>IF($AH$4=$CK$75,'S2'!AV31,
IF($AH$4=$CL$75,'S3'!AV31,
IF($AH$4=$CJ$75,'S1'!AV31,
IF($AH$4=$CM$75,S3M!AV31,))))</f>
        <v>0</v>
      </c>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row>
    <row r="76" spans="1:256" s="1" customFormat="1" x14ac:dyDescent="0.2">
      <c r="A76"/>
      <c r="B76"/>
      <c r="C76"/>
      <c r="D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f>DQ83</f>
        <v>0</v>
      </c>
      <c r="BG76">
        <v>3</v>
      </c>
      <c r="BH76" t="str">
        <f>Sprache!B132</f>
        <v>powder RAL / NCS</v>
      </c>
      <c r="BI76"/>
      <c r="BJ76"/>
      <c r="BK76"/>
      <c r="BL76"/>
      <c r="BM76"/>
      <c r="BN76">
        <v>30</v>
      </c>
      <c r="BO76">
        <f t="shared" si="174"/>
        <v>34.5</v>
      </c>
      <c r="BP76"/>
      <c r="BQ76"/>
      <c r="BR76"/>
      <c r="BS76"/>
      <c r="BT76"/>
      <c r="BU76"/>
      <c r="BV76"/>
      <c r="BW76"/>
      <c r="BX76"/>
      <c r="BY76"/>
      <c r="BZ76"/>
      <c r="CA76"/>
      <c r="CB76"/>
      <c r="CC76"/>
      <c r="CD76"/>
      <c r="CE76"/>
      <c r="CF76"/>
      <c r="CG76"/>
      <c r="CH76"/>
      <c r="CI76"/>
      <c r="CJ76">
        <f>DU72</f>
        <v>0</v>
      </c>
      <c r="CK76"/>
      <c r="CL76"/>
      <c r="CM76"/>
      <c r="CN76"/>
      <c r="CO76"/>
      <c r="CP76"/>
      <c r="CQ76"/>
      <c r="CR76"/>
      <c r="CS76"/>
      <c r="CT76"/>
      <c r="CU76">
        <f>$DR$59</f>
        <v>0</v>
      </c>
      <c r="CV76">
        <f>IF($AH$4=$CK$75,'S2'!AI32,
IF($AH$4=$CL$75,'S3'!AI32,
IF($AH$4=$CJ$75,'S1'!AI32,
IF($AH$4=$CM$75,S3M!AI32,))))</f>
        <v>0</v>
      </c>
      <c r="CW76">
        <f>IF($AH$4=$CK$75,'S2'!AJ32,
IF($AH$4=$CL$75,'S3'!AJ32,
IF($AH$4=$CJ$75,'S1'!AJ32,
IF($AH$4=$CM$75,S3M!AJ32,))))</f>
        <v>0</v>
      </c>
      <c r="CX76">
        <f>IF($AH$4=$CK$75,'S2'!AK32,
IF($AH$4=$CL$75,'S3'!AK32,
IF($AH$4=$CJ$75,'S1'!AK32,
IF($AH$4=$CM$75,S3M!AK32,))))</f>
        <v>0</v>
      </c>
      <c r="CY76">
        <f>IF($AH$4=$CK$75,'S2'!AL32,
IF($AH$4=$CL$75,'S3'!AL32,
IF($AH$4=$CJ$75,'S1'!AL32,
IF($AH$4=$CM$75,S3M!AL32,))))</f>
        <v>0</v>
      </c>
      <c r="CZ76">
        <f>IF($AH$4=$CK$75,'S2'!AM32,
IF($AH$4=$CL$75,'S3'!AM32,
IF($AH$4=$CJ$75,'S1'!AM32,
IF($AH$4=$CM$75,S3M!AM32,))))</f>
        <v>0</v>
      </c>
      <c r="DA76">
        <f>IF($AH$4=$CK$75,'S2'!AN32,
IF($AH$4=$CL$75,'S3'!AN32,
IF($AH$4=$CJ$75,'S1'!AN32,
IF($AH$4=$CM$75,S3M!AN32,))))</f>
        <v>0</v>
      </c>
      <c r="DB76">
        <f>IF($AH$4=$CK$75,'S2'!AO32,
IF($AH$4=$CL$75,'S3'!AO32,
IF($AH$4=$CJ$75,'S1'!AO32,
IF($AH$4=$CM$75,S3M!AO32,))))</f>
        <v>0</v>
      </c>
      <c r="DC76">
        <f>IF($AH$4=$CK$75,'S2'!AP32,
IF($AH$4=$CL$75,'S3'!AP32,
IF($AH$4=$CJ$75,'S1'!AP32,
IF($AH$4=$CM$75,S3M!AP32,))))</f>
        <v>0</v>
      </c>
      <c r="DD76">
        <f>IF($AH$4=$CK$75,'S2'!AQ32,
IF($AH$4=$CL$75,'S3'!AQ32,
IF($AH$4=$CJ$75,'S1'!AQ32,
IF($AH$4=$CM$75,S3M!AQ32,))))</f>
        <v>0</v>
      </c>
      <c r="DE76">
        <f>IF($AH$4=$CK$75,'S2'!AR32,
IF($AH$4=$CL$75,'S3'!AR32,
IF($AH$4=$CJ$75,'S1'!AR32,
IF($AH$4=$CM$75,S3M!AR32,))))</f>
        <v>0</v>
      </c>
      <c r="DF76">
        <f>IF($AH$4=$CK$75,'S2'!AS32,
IF($AH$4=$CL$75,'S3'!AS32,
IF($AH$4=$CJ$75,'S1'!AS32,
IF($AH$4=$CM$75,S3M!AS32,))))</f>
        <v>0</v>
      </c>
      <c r="DG76">
        <f>IF($AH$4=$CK$75,'S2'!AT32,
IF($AH$4=$CL$75,'S3'!AT32,
IF($AH$4=$CJ$75,'S1'!AT32,
IF($AH$4=$CM$75,S3M!AT32,))))</f>
        <v>0</v>
      </c>
      <c r="DH76">
        <f>IF($AH$4=$CK$75,'S2'!AU32,
IF($AH$4=$CL$75,'S3'!AU32,
IF($AH$4=$CJ$75,'S1'!AU32,
IF($AH$4=$CM$75,S3M!AU32,))))</f>
        <v>0</v>
      </c>
      <c r="DI76">
        <f>IF($AH$4=$CK$75,'S2'!AV32,
IF($AH$4=$CL$75,'S3'!AV32,
IF($AH$4=$CJ$75,'S1'!AV32,
IF($AH$4=$CM$75,S3M!AV32,))))</f>
        <v>0</v>
      </c>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row>
    <row r="77" spans="1:256" s="1" customFormat="1" x14ac:dyDescent="0.2">
      <c r="A77"/>
      <c r="B77"/>
      <c r="C77"/>
      <c r="D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f>DQ84</f>
        <v>0</v>
      </c>
      <c r="BG77">
        <v>4</v>
      </c>
      <c r="BH77" t="str">
        <f>Sprache!B133</f>
        <v>RAL / NCS powdercoated and predanodized</v>
      </c>
      <c r="BI77"/>
      <c r="BJ77"/>
      <c r="BK77"/>
      <c r="BL77"/>
      <c r="BM77"/>
      <c r="BN77">
        <v>35</v>
      </c>
      <c r="BO77">
        <f t="shared" si="174"/>
        <v>40.25</v>
      </c>
      <c r="BP77"/>
      <c r="BQ77"/>
      <c r="BR77"/>
      <c r="BS77"/>
      <c r="BT77"/>
      <c r="BU77"/>
      <c r="BV77"/>
      <c r="BW77"/>
      <c r="BX77"/>
      <c r="BY77"/>
      <c r="BZ77"/>
      <c r="CA77"/>
      <c r="CB77"/>
      <c r="CC77"/>
      <c r="CD77"/>
      <c r="CE77"/>
      <c r="CF77"/>
      <c r="CG77"/>
      <c r="CH77"/>
      <c r="CI77"/>
      <c r="CJ77">
        <f>IF($AH$4=$CK$75,'S2'!T85,'S3'!T85)</f>
        <v>0</v>
      </c>
      <c r="CK77">
        <v>1</v>
      </c>
      <c r="CL77">
        <v>2</v>
      </c>
      <c r="CM77" t="str">
        <f>IF($AH$4=$CK$75,'S2'!W85,'S3'!W85)</f>
        <v>G</v>
      </c>
      <c r="CN77" t="str">
        <f>IF($AH$4=$CK$75,'S2'!X85,'S3'!X85)</f>
        <v>RG</v>
      </c>
      <c r="CO77">
        <f>IF($AH$4=$CK$75,'S2'!Y85,'S3'!Y85)</f>
        <v>0</v>
      </c>
      <c r="CP77">
        <f>IF($AH$4=$CK$75,'S2'!Z85,'S3'!Z85)</f>
        <v>0</v>
      </c>
      <c r="CQ77"/>
      <c r="CR77"/>
      <c r="CS77"/>
      <c r="CT77"/>
      <c r="CU77">
        <f>$DR$60</f>
        <v>0</v>
      </c>
      <c r="CV77">
        <f>IF($AH$4=$CK$75,'S2'!AI33,
IF($AH$4=$CL$75,'S3'!AI33,
IF($AH$4=$CJ$75,'S1'!AI33,
IF($AH$4=$CM$75,S3M!AI33,))))</f>
        <v>0</v>
      </c>
      <c r="CW77">
        <f>IF($AH$4=$CK$75,'S2'!AJ33,
IF($AH$4=$CL$75,'S3'!AJ33,
IF($AH$4=$CJ$75,'S1'!AJ33,
IF($AH$4=$CM$75,S3M!AJ33,))))</f>
        <v>0</v>
      </c>
      <c r="CX77">
        <f>IF($AH$4=$CK$75,'S2'!AK33,
IF($AH$4=$CL$75,'S3'!AK33,
IF($AH$4=$CJ$75,'S1'!AK33,
IF($AH$4=$CM$75,S3M!AK33,))))</f>
        <v>0</v>
      </c>
      <c r="CY77">
        <f>IF($AH$4=$CK$75,'S2'!AL33,
IF($AH$4=$CL$75,'S3'!AL33,
IF($AH$4=$CJ$75,'S1'!AL33,
IF($AH$4=$CM$75,S3M!AL33,))))</f>
        <v>0</v>
      </c>
      <c r="CZ77">
        <f>IF($AH$4=$CK$75,'S2'!AM33,
IF($AH$4=$CL$75,'S3'!AM33,
IF($AH$4=$CJ$75,'S1'!AM33,
IF($AH$4=$CM$75,S3M!AM33,))))</f>
        <v>0</v>
      </c>
      <c r="DA77">
        <f>IF($AH$4=$CK$75,'S2'!AN33,
IF($AH$4=$CL$75,'S3'!AN33,
IF($AH$4=$CJ$75,'S1'!AN33,
IF($AH$4=$CM$75,S3M!AN33,))))</f>
        <v>0</v>
      </c>
      <c r="DB77">
        <f>IF($AH$4=$CK$75,'S2'!AO33,
IF($AH$4=$CL$75,'S3'!AO33,
IF($AH$4=$CJ$75,'S1'!AO33,
IF($AH$4=$CM$75,S3M!AO33,))))</f>
        <v>0</v>
      </c>
      <c r="DC77">
        <f>IF($AH$4=$CK$75,'S2'!AP33,
IF($AH$4=$CL$75,'S3'!AP33,
IF($AH$4=$CJ$75,'S1'!AP33,
IF($AH$4=$CM$75,S3M!AP33,))))</f>
        <v>0</v>
      </c>
      <c r="DD77">
        <f>IF($AH$4=$CK$75,'S2'!AQ33,
IF($AH$4=$CL$75,'S3'!AQ33,
IF($AH$4=$CJ$75,'S1'!AQ33,
IF($AH$4=$CM$75,S3M!AQ33,))))</f>
        <v>0</v>
      </c>
      <c r="DE77">
        <f>IF($AH$4=$CK$75,'S2'!AR33,
IF($AH$4=$CL$75,'S3'!AR33,
IF($AH$4=$CJ$75,'S1'!AR33,
IF($AH$4=$CM$75,S3M!AR33,))))</f>
        <v>0</v>
      </c>
      <c r="DF77">
        <f>IF($AH$4=$CK$75,'S2'!AS33,
IF($AH$4=$CL$75,'S3'!AS33,
IF($AH$4=$CJ$75,'S1'!AS33,
IF($AH$4=$CM$75,S3M!AS33,))))</f>
        <v>0</v>
      </c>
      <c r="DG77">
        <f>IF($AH$4=$CK$75,'S2'!AT33,
IF($AH$4=$CL$75,'S3'!AT33,
IF($AH$4=$CJ$75,'S1'!AT33,
IF($AH$4=$CM$75,S3M!AT33,))))</f>
        <v>0</v>
      </c>
      <c r="DH77">
        <f>IF($AH$4=$CK$75,'S2'!AU33,
IF($AH$4=$CL$75,'S3'!AU33,
IF($AH$4=$CJ$75,'S1'!AU33,
IF($AH$4=$CM$75,S3M!AU33,))))</f>
        <v>0</v>
      </c>
      <c r="DI77">
        <f>IF($AH$4=$CK$75,'S2'!AV33,
IF($AH$4=$CL$75,'S3'!AV33,
IF($AH$4=$CJ$75,'S1'!AV33,
IF($AH$4=$CM$75,S3M!AV33,))))</f>
        <v>0</v>
      </c>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row>
    <row r="78" spans="1:256" s="1" customFormat="1" x14ac:dyDescent="0.2">
      <c r="A78"/>
      <c r="B78"/>
      <c r="C78"/>
      <c r="D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f>DQ85</f>
        <v>0</v>
      </c>
      <c r="BG78">
        <v>5</v>
      </c>
      <c r="BH78" t="str">
        <f>Sprache!B134</f>
        <v>Colinal E6 20/25my</v>
      </c>
      <c r="BI78"/>
      <c r="BJ78"/>
      <c r="BK78"/>
      <c r="BL78"/>
      <c r="BM78"/>
      <c r="BN78">
        <v>35</v>
      </c>
      <c r="BO78">
        <f t="shared" si="174"/>
        <v>40.25</v>
      </c>
      <c r="BP78"/>
      <c r="BQ78"/>
      <c r="BR78"/>
      <c r="BS78"/>
      <c r="BT78"/>
      <c r="BU78"/>
      <c r="BV78"/>
      <c r="BW78"/>
      <c r="BX78"/>
      <c r="BY78"/>
      <c r="BZ78"/>
      <c r="CA78"/>
      <c r="CB78"/>
      <c r="CC78"/>
      <c r="CD78"/>
      <c r="CE78"/>
      <c r="CF78"/>
      <c r="CG78"/>
      <c r="CH78" t="str">
        <f>Sprache!AA1</f>
        <v>usd</v>
      </c>
      <c r="CI78"/>
      <c r="CJ78"/>
      <c r="CK78"/>
      <c r="CL78"/>
      <c r="CM78"/>
      <c r="CN78"/>
      <c r="CO78"/>
      <c r="CP78"/>
      <c r="CQ78"/>
      <c r="CR78"/>
      <c r="CS78"/>
      <c r="CT78"/>
      <c r="CU78">
        <f>$DR$61</f>
        <v>0</v>
      </c>
      <c r="CV78">
        <f>IF($AH$4=$CK$75,'S2'!AI34,
IF($AH$4=$CL$75,'S3'!AI34,
IF($AH$4=$CJ$75,'S1'!AI34,
IF($AH$4=$CM$75,S3M!AI34,))))</f>
        <v>0</v>
      </c>
      <c r="CW78">
        <f>IF($AH$4=$CK$75,'S2'!AJ34,
IF($AH$4=$CL$75,'S3'!AJ34,
IF($AH$4=$CJ$75,'S1'!AJ34,
IF($AH$4=$CM$75,S3M!AJ34,))))</f>
        <v>0</v>
      </c>
      <c r="CX78">
        <f>IF($AH$4=$CK$75,'S2'!AK34,
IF($AH$4=$CL$75,'S3'!AK34,
IF($AH$4=$CJ$75,'S1'!AK34,
IF($AH$4=$CM$75,S3M!AK34,))))</f>
        <v>0</v>
      </c>
      <c r="CY78">
        <f>IF($AH$4=$CK$75,'S2'!AL34,
IF($AH$4=$CL$75,'S3'!AL34,
IF($AH$4=$CJ$75,'S1'!AL34,
IF($AH$4=$CM$75,S3M!AL34,))))</f>
        <v>0</v>
      </c>
      <c r="CZ78">
        <f>IF($AH$4=$CK$75,'S2'!AM34,
IF($AH$4=$CL$75,'S3'!AM34,
IF($AH$4=$CJ$75,'S1'!AM34,
IF($AH$4=$CM$75,S3M!AM34,))))</f>
        <v>0</v>
      </c>
      <c r="DA78">
        <f>IF($AH$4=$CK$75,'S2'!AN34,
IF($AH$4=$CL$75,'S3'!AN34,
IF($AH$4=$CJ$75,'S1'!AN34,
IF($AH$4=$CM$75,S3M!AN34,))))</f>
        <v>0</v>
      </c>
      <c r="DB78">
        <f>IF($AH$4=$CK$75,'S2'!AO34,
IF($AH$4=$CL$75,'S3'!AO34,
IF($AH$4=$CJ$75,'S1'!AO34,
IF($AH$4=$CM$75,S3M!AO34,))))</f>
        <v>0</v>
      </c>
      <c r="DC78">
        <f>IF($AH$4=$CK$75,'S2'!AP34,
IF($AH$4=$CL$75,'S3'!AP34,
IF($AH$4=$CJ$75,'S1'!AP34,
IF($AH$4=$CM$75,S3M!AP34,))))</f>
        <v>0</v>
      </c>
      <c r="DD78">
        <f>IF($AH$4=$CK$75,'S2'!AQ34,
IF($AH$4=$CL$75,'S3'!AQ34,
IF($AH$4=$CJ$75,'S1'!AQ34,
IF($AH$4=$CM$75,S3M!AQ34,))))</f>
        <v>0</v>
      </c>
      <c r="DE78">
        <f>IF($AH$4=$CK$75,'S2'!AR34,
IF($AH$4=$CL$75,'S3'!AR34,
IF($AH$4=$CJ$75,'S1'!AR34,
IF($AH$4=$CM$75,S3M!AR34,))))</f>
        <v>0</v>
      </c>
      <c r="DF78">
        <f>IF($AH$4=$CK$75,'S2'!AS34,
IF($AH$4=$CL$75,'S3'!AS34,
IF($AH$4=$CJ$75,'S1'!AS34,
IF($AH$4=$CM$75,S3M!AS34,))))</f>
        <v>0</v>
      </c>
      <c r="DG78">
        <f>IF($AH$4=$CK$75,'S2'!AT34,
IF($AH$4=$CL$75,'S3'!AT34,
IF($AH$4=$CJ$75,'S1'!AT34,
IF($AH$4=$CM$75,S3M!AT34,))))</f>
        <v>0</v>
      </c>
      <c r="DH78">
        <f>IF($AH$4=$CK$75,'S2'!AU34,
IF($AH$4=$CL$75,'S3'!AU34,
IF($AH$4=$CJ$75,'S1'!AU34,
IF($AH$4=$CM$75,S3M!AU34,))))</f>
        <v>0</v>
      </c>
      <c r="DI78">
        <f>IF($AH$4=$CK$75,'S2'!AV34,
IF($AH$4=$CL$75,'S3'!AV34,
IF($AH$4=$CJ$75,'S1'!AV34,
IF($AH$4=$CM$75,S3M!AV34,))))</f>
        <v>0</v>
      </c>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row>
    <row r="79" spans="1:256" s="1" customFormat="1" x14ac:dyDescent="0.2">
      <c r="A79"/>
      <c r="B79"/>
      <c r="C79"/>
      <c r="D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f>DW81</f>
        <v>0</v>
      </c>
      <c r="BG79">
        <v>6</v>
      </c>
      <c r="BH79" t="str">
        <f>Sprache!B164</f>
        <v>Permalux</v>
      </c>
      <c r="BI79"/>
      <c r="BJ79"/>
      <c r="BK79"/>
      <c r="BL79"/>
      <c r="BM79"/>
      <c r="BN79">
        <v>55</v>
      </c>
      <c r="BO79">
        <f t="shared" si="174"/>
        <v>63.249999999999993</v>
      </c>
      <c r="BP79"/>
      <c r="BQ79"/>
      <c r="BR79"/>
      <c r="BS79"/>
      <c r="BT79"/>
      <c r="BU79"/>
      <c r="BV79"/>
      <c r="BW79"/>
      <c r="BX79"/>
      <c r="BY79"/>
      <c r="BZ79"/>
      <c r="CA79"/>
      <c r="CB79"/>
      <c r="CC79"/>
      <c r="CD79"/>
      <c r="CE79"/>
      <c r="CF79"/>
      <c r="CG79"/>
      <c r="CH79">
        <f>$EA$69</f>
        <v>0</v>
      </c>
      <c r="CI79"/>
      <c r="CJ79"/>
      <c r="CK79"/>
      <c r="CL79"/>
      <c r="CM79"/>
      <c r="CN79"/>
      <c r="CO79"/>
      <c r="CP79"/>
      <c r="CQ79"/>
      <c r="CR79"/>
      <c r="CS79"/>
      <c r="CT79"/>
      <c r="CU79">
        <f>$DR$62</f>
        <v>0</v>
      </c>
      <c r="CV79">
        <f>IF($AH$4=$CK$75,'S2'!AI35,
IF($AH$4=$CL$75,'S3'!AI35,
IF($AH$4=$CJ$75,'S1'!AI35,
IF($AH$4=$CM$75,S3M!AI35,))))</f>
        <v>0</v>
      </c>
      <c r="CW79">
        <f>IF($AH$4=$CK$75,'S2'!AJ35,
IF($AH$4=$CL$75,'S3'!AJ35,
IF($AH$4=$CJ$75,'S1'!AJ35,
IF($AH$4=$CM$75,S3M!AJ35,))))</f>
        <v>0</v>
      </c>
      <c r="CX79">
        <f>IF($AH$4=$CK$75,'S2'!AK35,
IF($AH$4=$CL$75,'S3'!AK35,
IF($AH$4=$CJ$75,'S1'!AK35,
IF($AH$4=$CM$75,S3M!AK35,))))</f>
        <v>0</v>
      </c>
      <c r="CY79">
        <f>IF($AH$4=$CK$75,'S2'!AL35,
IF($AH$4=$CL$75,'S3'!AL35,
IF($AH$4=$CJ$75,'S1'!AL35,
IF($AH$4=$CM$75,S3M!AL35,))))</f>
        <v>0</v>
      </c>
      <c r="CZ79">
        <f>IF($AH$4=$CK$75,'S2'!AM35,
IF($AH$4=$CL$75,'S3'!AM35,
IF($AH$4=$CJ$75,'S1'!AM35,
IF($AH$4=$CM$75,S3M!AM35,))))</f>
        <v>0</v>
      </c>
      <c r="DA79">
        <f>IF($AH$4=$CK$75,'S2'!AN35,
IF($AH$4=$CL$75,'S3'!AN35,
IF($AH$4=$CJ$75,'S1'!AN35,
IF($AH$4=$CM$75,S3M!AN35,))))</f>
        <v>0</v>
      </c>
      <c r="DB79">
        <f>IF($AH$4=$CK$75,'S2'!AO35,
IF($AH$4=$CL$75,'S3'!AO35,
IF($AH$4=$CJ$75,'S1'!AO35,
IF($AH$4=$CM$75,S3M!AO35,))))</f>
        <v>0</v>
      </c>
      <c r="DC79">
        <f>IF($AH$4=$CK$75,'S2'!AP35,
IF($AH$4=$CL$75,'S3'!AP35,
IF($AH$4=$CJ$75,'S1'!AP35,
IF($AH$4=$CM$75,S3M!AP35,))))</f>
        <v>0</v>
      </c>
      <c r="DD79">
        <f>IF($AH$4=$CK$75,'S2'!AQ35,
IF($AH$4=$CL$75,'S3'!AQ35,
IF($AH$4=$CJ$75,'S1'!AQ35,
IF($AH$4=$CM$75,S3M!AQ35,))))</f>
        <v>0</v>
      </c>
      <c r="DE79">
        <f>IF($AH$4=$CK$75,'S2'!AR35,
IF($AH$4=$CL$75,'S3'!AR35,
IF($AH$4=$CJ$75,'S1'!AR35,
IF($AH$4=$CM$75,S3M!AR35,))))</f>
        <v>0</v>
      </c>
      <c r="DF79">
        <f>IF($AH$4=$CK$75,'S2'!AS35,
IF($AH$4=$CL$75,'S3'!AS35,
IF($AH$4=$CJ$75,'S1'!AS35,
IF($AH$4=$CM$75,S3M!AS35,))))</f>
        <v>0</v>
      </c>
      <c r="DG79">
        <f>IF($AH$4=$CK$75,'S2'!AT35,
IF($AH$4=$CL$75,'S3'!AT35,
IF($AH$4=$CJ$75,'S1'!AT35,
IF($AH$4=$CM$75,S3M!AT35,))))</f>
        <v>0</v>
      </c>
      <c r="DH79">
        <f>IF($AH$4=$CK$75,'S2'!AU35,
IF($AH$4=$CL$75,'S3'!AU35,
IF($AH$4=$CJ$75,'S1'!AU35,
IF($AH$4=$CM$75,S3M!AU35,))))</f>
        <v>0</v>
      </c>
      <c r="DI79">
        <f>IF($AH$4=$CK$75,'S2'!AV35,
IF($AH$4=$CL$75,'S3'!AV35,
IF($AH$4=$CJ$75,'S1'!AV35,
IF($AH$4=$CM$75,S3M!AV35,))))</f>
        <v>0</v>
      </c>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row>
    <row r="80" spans="1:256" s="1" customFormat="1" x14ac:dyDescent="0.2">
      <c r="A80"/>
      <c r="B80"/>
      <c r="C80"/>
      <c r="D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f>DW82</f>
        <v>0</v>
      </c>
      <c r="BG80">
        <v>7</v>
      </c>
      <c r="BH80" t="str">
        <f>Sprache!B165</f>
        <v>Wood texture</v>
      </c>
      <c r="BI80"/>
      <c r="BJ80"/>
      <c r="BK80"/>
      <c r="BL80"/>
      <c r="BM80"/>
      <c r="BN80">
        <v>65</v>
      </c>
      <c r="BO80">
        <f t="shared" si="174"/>
        <v>74.75</v>
      </c>
      <c r="BP80"/>
      <c r="BQ80"/>
      <c r="BR80"/>
      <c r="BS80"/>
      <c r="BT80"/>
      <c r="BU80"/>
      <c r="BV80"/>
      <c r="BW80"/>
      <c r="BX80"/>
      <c r="BY80"/>
      <c r="BZ80"/>
      <c r="CA80"/>
      <c r="CB80"/>
      <c r="CC80"/>
      <c r="CD80"/>
      <c r="CE80"/>
      <c r="CF80"/>
      <c r="CG80"/>
      <c r="CH80">
        <f>ED4</f>
        <v>0</v>
      </c>
      <c r="CI80"/>
      <c r="CJ80" t="s">
        <v>168</v>
      </c>
      <c r="CK80" t="s">
        <v>169</v>
      </c>
      <c r="CL80" t="s">
        <v>1081</v>
      </c>
      <c r="CM80" t="s">
        <v>1082</v>
      </c>
      <c r="CN80" t="s">
        <v>1129</v>
      </c>
      <c r="CO80" t="s">
        <v>1130</v>
      </c>
      <c r="CP80" t="s">
        <v>1130</v>
      </c>
      <c r="CQ80" t="s">
        <v>1130</v>
      </c>
      <c r="CR80" t="s">
        <v>1130</v>
      </c>
      <c r="CS80"/>
      <c r="CT80"/>
      <c r="CU80"/>
      <c r="CV80">
        <f>IF($AH$4=$CK$75,'S2'!AI36,
IF($AH$4=$CL$75,'S3'!AI36,
IF($AH$4=$CJ$75,'S1'!AI36,
IF($AH$4=$CM$75,S3M!AI36,))))</f>
        <v>0</v>
      </c>
      <c r="CW80">
        <f>IF($AH$4=$CK$75,'S2'!AJ36,
IF($AH$4=$CL$75,'S3'!AJ36,
IF($AH$4=$CJ$75,'S1'!AJ36,
IF($AH$4=$CM$75,S3M!AJ36,))))</f>
        <v>0</v>
      </c>
      <c r="CX80">
        <f>IF($AH$4=$CK$75,'S2'!AK36,
IF($AH$4=$CL$75,'S3'!AK36,
IF($AH$4=$CJ$75,'S1'!AK36,
IF($AH$4=$CM$75,S3M!AK36,))))</f>
        <v>0</v>
      </c>
      <c r="CY80">
        <f>IF($AH$4=$CK$75,'S2'!AL36,
IF($AH$4=$CL$75,'S3'!AL36,
IF($AH$4=$CJ$75,'S1'!AL36,
IF($AH$4=$CM$75,S3M!AL36,))))</f>
        <v>0</v>
      </c>
      <c r="CZ80">
        <f>IF($AH$4=$CK$75,'S2'!AM36,
IF($AH$4=$CL$75,'S3'!AM36,
IF($AH$4=$CJ$75,'S1'!AM36,
IF($AH$4=$CM$75,S3M!AM36,))))</f>
        <v>0</v>
      </c>
      <c r="DA80">
        <f>IF($AH$4=$CK$75,'S2'!AN36,
IF($AH$4=$CL$75,'S3'!AN36,
IF($AH$4=$CJ$75,'S1'!AN36,
IF($AH$4=$CM$75,S3M!AN36,))))</f>
        <v>0</v>
      </c>
      <c r="DB80">
        <f>IF($AH$4=$CK$75,'S2'!AO36,
IF($AH$4=$CL$75,'S3'!AO36,
IF($AH$4=$CJ$75,'S1'!AO36,
IF($AH$4=$CM$75,S3M!AO36,))))</f>
        <v>0</v>
      </c>
      <c r="DC80">
        <f>IF($AH$4=$CK$75,'S2'!AP36,
IF($AH$4=$CL$75,'S3'!AP36,
IF($AH$4=$CJ$75,'S1'!AP36,
IF($AH$4=$CM$75,S3M!AP36,))))</f>
        <v>0</v>
      </c>
      <c r="DD80">
        <f>IF($AH$4=$CK$75,'S2'!AQ36,
IF($AH$4=$CL$75,'S3'!AQ36,
IF($AH$4=$CJ$75,'S1'!AQ36,
IF($AH$4=$CM$75,S3M!AQ36,))))</f>
        <v>0</v>
      </c>
      <c r="DE80">
        <f>IF($AH$4=$CK$75,'S2'!AR36,
IF($AH$4=$CL$75,'S3'!AR36,
IF($AH$4=$CJ$75,'S1'!AR36,
IF($AH$4=$CM$75,S3M!AR36,))))</f>
        <v>0</v>
      </c>
      <c r="DF80">
        <f>IF($AH$4=$CK$75,'S2'!AS36,
IF($AH$4=$CL$75,'S3'!AS36,
IF($AH$4=$CJ$75,'S1'!AS36,
IF($AH$4=$CM$75,S3M!AS36,))))</f>
        <v>0</v>
      </c>
      <c r="DG80">
        <f>IF($AH$4=$CK$75,'S2'!AT36,
IF($AH$4=$CL$75,'S3'!AT36,
IF($AH$4=$CJ$75,'S1'!AT36,
IF($AH$4=$CM$75,S3M!AT36,))))</f>
        <v>0</v>
      </c>
      <c r="DH80">
        <f>IF($AH$4=$CK$75,'S2'!AU36,
IF($AH$4=$CL$75,'S3'!AU36,
IF($AH$4=$CJ$75,'S1'!AU36,
IF($AH$4=$CM$75,S3M!AU36,))))</f>
        <v>0</v>
      </c>
      <c r="DI80">
        <f>IF($AH$4=$CK$75,'S2'!AV36,
IF($AH$4=$CL$75,'S3'!AV36,
IF($AH$4=$CJ$75,'S1'!AV36,
IF($AH$4=$CM$75,S3M!AV36,))))</f>
        <v>0</v>
      </c>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row>
    <row r="81" spans="1:256" s="1" customFormat="1" x14ac:dyDescent="0.2">
      <c r="A81"/>
      <c r="B81"/>
      <c r="C81"/>
      <c r="D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f>DW83</f>
        <v>0</v>
      </c>
      <c r="BG81">
        <v>8</v>
      </c>
      <c r="BH81" t="str">
        <f>Sprache!B166</f>
        <v>Price class 8</v>
      </c>
      <c r="BI81"/>
      <c r="BJ81"/>
      <c r="BK81"/>
      <c r="BL81"/>
      <c r="BM81"/>
      <c r="BN81">
        <v>42</v>
      </c>
      <c r="BO81">
        <f t="shared" si="174"/>
        <v>48.3</v>
      </c>
      <c r="BP81"/>
      <c r="BQ81"/>
      <c r="BR81"/>
      <c r="BS81"/>
      <c r="BT81"/>
      <c r="BU81"/>
      <c r="BV81"/>
      <c r="BW81"/>
      <c r="BX81"/>
      <c r="BY81"/>
      <c r="BZ81"/>
      <c r="CA81"/>
      <c r="CB81"/>
      <c r="CC81"/>
      <c r="CD81"/>
      <c r="CE81"/>
      <c r="CF81"/>
      <c r="CG81"/>
      <c r="CH81">
        <f>$EB$4</f>
        <v>0</v>
      </c>
      <c r="CI81"/>
      <c r="CJ81">
        <v>5</v>
      </c>
      <c r="CK81">
        <v>5</v>
      </c>
      <c r="CL81">
        <v>15</v>
      </c>
      <c r="CM81">
        <v>44</v>
      </c>
      <c r="CN81">
        <v>5</v>
      </c>
      <c r="CO81"/>
      <c r="CP81"/>
      <c r="CQ81"/>
      <c r="CR81"/>
      <c r="CS81"/>
      <c r="CT81"/>
      <c r="CU81">
        <f>$DR$59</f>
        <v>0</v>
      </c>
      <c r="CV81">
        <f>IF($AH$4=$CK$75,'S2'!AI37,
IF($AH$4=$CL$75,'S3'!AI37,
IF($AH$4=$CJ$75,'S1'!AI37,
IF($AH$4=$CM$75,S3M!AI37,))))</f>
        <v>0</v>
      </c>
      <c r="CW81">
        <f>IF($AH$4=$CK$75,'S2'!AJ37,
IF($AH$4=$CL$75,'S3'!AJ37,
IF($AH$4=$CJ$75,'S1'!AJ37,
IF($AH$4=$CM$75,S3M!AJ37,))))</f>
        <v>0</v>
      </c>
      <c r="CX81">
        <f>IF($AH$4=$CK$75,'S2'!AK37,
IF($AH$4=$CL$75,'S3'!AK37,
IF($AH$4=$CJ$75,'S1'!AK37,
IF($AH$4=$CM$75,S3M!AK37,))))</f>
        <v>0</v>
      </c>
      <c r="CY81">
        <f>IF($AH$4=$CK$75,'S2'!AL37,
IF($AH$4=$CL$75,'S3'!AL37,
IF($AH$4=$CJ$75,'S1'!AL37,
IF($AH$4=$CM$75,S3M!AL37,))))</f>
        <v>0</v>
      </c>
      <c r="CZ81">
        <f>IF($AH$4=$CK$75,'S2'!AM37,
IF($AH$4=$CL$75,'S3'!AM37,
IF($AH$4=$CJ$75,'S1'!AM37,
IF($AH$4=$CM$75,S3M!AM37,))))</f>
        <v>0</v>
      </c>
      <c r="DA81">
        <f>IF($AH$4=$CK$75,'S2'!AN37,
IF($AH$4=$CL$75,'S3'!AN37,
IF($AH$4=$CJ$75,'S1'!AN37,
IF($AH$4=$CM$75,S3M!AN37,))))</f>
        <v>0</v>
      </c>
      <c r="DB81">
        <f>IF($AH$4=$CK$75,'S2'!AO37,
IF($AH$4=$CL$75,'S3'!AO37,
IF($AH$4=$CJ$75,'S1'!AO37,
IF($AH$4=$CM$75,S3M!AO37,))))</f>
        <v>0</v>
      </c>
      <c r="DC81">
        <f>IF($AH$4=$CK$75,'S2'!AP37,
IF($AH$4=$CL$75,'S3'!AP37,
IF($AH$4=$CJ$75,'S1'!AP37,
IF($AH$4=$CM$75,S3M!AP37,))))</f>
        <v>0</v>
      </c>
      <c r="DD81">
        <f>IF($AH$4=$CK$75,'S2'!AQ37,
IF($AH$4=$CL$75,'S3'!AQ37,
IF($AH$4=$CJ$75,'S1'!AQ37,
IF($AH$4=$CM$75,S3M!AQ37,))))</f>
        <v>0</v>
      </c>
      <c r="DE81">
        <f>IF($AH$4=$CK$75,'S2'!AR37,
IF($AH$4=$CL$75,'S3'!AR37,
IF($AH$4=$CJ$75,'S1'!AR37,
IF($AH$4=$CM$75,S3M!AR37,))))</f>
        <v>0</v>
      </c>
      <c r="DF81">
        <f>IF($AH$4=$CK$75,'S2'!AS37,
IF($AH$4=$CL$75,'S3'!AS37,
IF($AH$4=$CJ$75,'S1'!AS37,
IF($AH$4=$CM$75,S3M!AS37,))))</f>
        <v>0</v>
      </c>
      <c r="DG81">
        <f>IF($AH$4=$CK$75,'S2'!AT37,
IF($AH$4=$CL$75,'S3'!AT37,
IF($AH$4=$CJ$75,'S1'!AT37,
IF($AH$4=$CM$75,S3M!AT37,))))</f>
        <v>0</v>
      </c>
      <c r="DH81">
        <f>IF($AH$4=$CK$75,'S2'!AU37,
IF($AH$4=$CL$75,'S3'!AU37,
IF($AH$4=$CJ$75,'S1'!AU37,
IF($AH$4=$CM$75,S3M!AU37,))))</f>
        <v>0</v>
      </c>
      <c r="DI81">
        <f>IF($AH$4=$CK$75,'S2'!AV37,
IF($AH$4=$CL$75,'S3'!AV37,
IF($AH$4=$CJ$75,'S1'!AV37,
IF($AH$4=$CM$75,S3M!AV37,))))</f>
        <v>0</v>
      </c>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row>
    <row r="82" spans="1:256" s="1" customFormat="1" x14ac:dyDescent="0.2">
      <c r="A82"/>
      <c r="B82"/>
      <c r="C82"/>
      <c r="D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f>DW84</f>
        <v>0</v>
      </c>
      <c r="BG82">
        <v>9</v>
      </c>
      <c r="BH82" t="str">
        <f>Sprache!B167</f>
        <v>Price class 9</v>
      </c>
      <c r="BI82"/>
      <c r="BJ82"/>
      <c r="BK82"/>
      <c r="BL82"/>
      <c r="BM82"/>
      <c r="BN82">
        <v>48</v>
      </c>
      <c r="BO82">
        <f t="shared" si="174"/>
        <v>55.199999999999996</v>
      </c>
      <c r="BP82"/>
      <c r="BQ82"/>
      <c r="BR82"/>
      <c r="BS82"/>
      <c r="BT82"/>
      <c r="BU82"/>
      <c r="BV82"/>
      <c r="BW82"/>
      <c r="BX82"/>
      <c r="BY82"/>
      <c r="BZ82"/>
      <c r="CA82"/>
      <c r="CB82"/>
      <c r="CC82"/>
      <c r="CD82"/>
      <c r="CE82"/>
      <c r="CF82"/>
      <c r="CG82"/>
      <c r="CH82">
        <f>$DZ$67</f>
        <v>0</v>
      </c>
      <c r="CI82"/>
      <c r="CJ82">
        <v>0.71399999999999997</v>
      </c>
      <c r="CK82">
        <v>1</v>
      </c>
      <c r="CL82">
        <v>1.2</v>
      </c>
      <c r="CM82">
        <v>1.1499999999999999</v>
      </c>
      <c r="CN82">
        <v>1.2</v>
      </c>
      <c r="CO82"/>
      <c r="CP82"/>
      <c r="CQ82"/>
      <c r="CR82"/>
      <c r="CS82"/>
      <c r="CT82"/>
      <c r="CU82">
        <f>$DR$60</f>
        <v>0</v>
      </c>
      <c r="CV82">
        <f>IF($AH$4=$CK$75,'S2'!AI38,
IF($AH$4=$CL$75,'S3'!AI38,
IF($AH$4=$CJ$75,'S1'!AI38,
IF($AH$4=$CM$75,S3M!AI38,))))</f>
        <v>0</v>
      </c>
      <c r="CW82">
        <f>IF($AH$4=$CK$75,'S2'!AJ38,
IF($AH$4=$CL$75,'S3'!AJ38,
IF($AH$4=$CJ$75,'S1'!AJ38,
IF($AH$4=$CM$75,S3M!AJ38,))))</f>
        <v>0</v>
      </c>
      <c r="CX82">
        <f>IF($AH$4=$CK$75,'S2'!AK38,
IF($AH$4=$CL$75,'S3'!AK38,
IF($AH$4=$CJ$75,'S1'!AK38,
IF($AH$4=$CM$75,S3M!AK38,))))</f>
        <v>0</v>
      </c>
      <c r="CY82">
        <f>IF($AH$4=$CK$75,'S2'!AL38,
IF($AH$4=$CL$75,'S3'!AL38,
IF($AH$4=$CJ$75,'S1'!AL38,
IF($AH$4=$CM$75,S3M!AL38,))))</f>
        <v>0</v>
      </c>
      <c r="CZ82">
        <f>IF($AH$4=$CK$75,'S2'!AM38,
IF($AH$4=$CL$75,'S3'!AM38,
IF($AH$4=$CJ$75,'S1'!AM38,
IF($AH$4=$CM$75,S3M!AM38,))))</f>
        <v>0</v>
      </c>
      <c r="DA82">
        <f>IF($AH$4=$CK$75,'S2'!AN38,
IF($AH$4=$CL$75,'S3'!AN38,
IF($AH$4=$CJ$75,'S1'!AN38,
IF($AH$4=$CM$75,S3M!AN38,))))</f>
        <v>0</v>
      </c>
      <c r="DB82">
        <f>IF($AH$4=$CK$75,'S2'!AO38,
IF($AH$4=$CL$75,'S3'!AO38,
IF($AH$4=$CJ$75,'S1'!AO38,
IF($AH$4=$CM$75,S3M!AO38,))))</f>
        <v>0</v>
      </c>
      <c r="DC82">
        <f>IF($AH$4=$CK$75,'S2'!AP38,
IF($AH$4=$CL$75,'S3'!AP38,
IF($AH$4=$CJ$75,'S1'!AP38,
IF($AH$4=$CM$75,S3M!AP38,))))</f>
        <v>0</v>
      </c>
      <c r="DD82">
        <f>IF($AH$4=$CK$75,'S2'!AQ38,
IF($AH$4=$CL$75,'S3'!AQ38,
IF($AH$4=$CJ$75,'S1'!AQ38,
IF($AH$4=$CM$75,S3M!AQ38,))))</f>
        <v>0</v>
      </c>
      <c r="DE82">
        <f>IF($AH$4=$CK$75,'S2'!AR38,
IF($AH$4=$CL$75,'S3'!AR38,
IF($AH$4=$CJ$75,'S1'!AR38,
IF($AH$4=$CM$75,S3M!AR38,))))</f>
        <v>0</v>
      </c>
      <c r="DF82">
        <f>IF($AH$4=$CK$75,'S2'!AS38,
IF($AH$4=$CL$75,'S3'!AS38,
IF($AH$4=$CJ$75,'S1'!AS38,
IF($AH$4=$CM$75,S3M!AS38,))))</f>
        <v>0</v>
      </c>
      <c r="DG82">
        <f>IF($AH$4=$CK$75,'S2'!AT38,
IF($AH$4=$CL$75,'S3'!AT38,
IF($AH$4=$CJ$75,'S1'!AT38,
IF($AH$4=$CM$75,S3M!AT38,))))</f>
        <v>0</v>
      </c>
      <c r="DH82">
        <f>IF($AH$4=$CK$75,'S2'!AU38,
IF($AH$4=$CL$75,'S3'!AU38,
IF($AH$4=$CJ$75,'S1'!AU38,
IF($AH$4=$CM$75,S3M!AU38,))))</f>
        <v>0</v>
      </c>
      <c r="DI82">
        <f>IF($AH$4=$CK$75,'S2'!AV38,
IF($AH$4=$CL$75,'S3'!AV38,
IF($AH$4=$CJ$75,'S1'!AV38,
IF($AH$4=$CM$75,S3M!AV38,))))</f>
        <v>0</v>
      </c>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row>
    <row r="83" spans="1:256" s="1" customFormat="1" x14ac:dyDescent="0.2">
      <c r="A83"/>
      <c r="B83"/>
      <c r="C83"/>
      <c r="D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f>DW85</f>
        <v>0</v>
      </c>
      <c r="BG83">
        <v>10</v>
      </c>
      <c r="BH83" t="str">
        <f>Sprache!B168</f>
        <v>Price class 10</v>
      </c>
      <c r="BI83"/>
      <c r="BJ83"/>
      <c r="BK83"/>
      <c r="BL83"/>
      <c r="BM83"/>
      <c r="BN83">
        <v>54</v>
      </c>
      <c r="BO83">
        <f t="shared" si="174"/>
        <v>62.099999999999994</v>
      </c>
      <c r="BP83"/>
      <c r="BQ83"/>
      <c r="BR83"/>
      <c r="BS83"/>
      <c r="BT83"/>
      <c r="BU83"/>
      <c r="BV83"/>
      <c r="BW83"/>
      <c r="BX83"/>
      <c r="BY83"/>
      <c r="BZ83"/>
      <c r="CA83"/>
      <c r="CB83"/>
      <c r="CC83"/>
      <c r="CD83"/>
      <c r="CE83"/>
      <c r="CF83"/>
      <c r="CG83"/>
      <c r="CH83" t="s">
        <v>1083</v>
      </c>
      <c r="CI83"/>
      <c r="CJ83" t="s">
        <v>1084</v>
      </c>
      <c r="CK83" t="s">
        <v>1084</v>
      </c>
      <c r="CL83" t="s">
        <v>1085</v>
      </c>
      <c r="CM83" t="s">
        <v>1084</v>
      </c>
      <c r="CN83" t="s">
        <v>1084</v>
      </c>
      <c r="CO83"/>
      <c r="CP83"/>
      <c r="CQ83"/>
      <c r="CR83"/>
      <c r="CS83"/>
      <c r="CT83"/>
      <c r="CU83">
        <f>$DR$61</f>
        <v>0</v>
      </c>
      <c r="CV83">
        <f>IF($AH$4=$CK$75,'S2'!AI39,
IF($AH$4=$CL$75,'S3'!AI39,
IF($AH$4=$CJ$75,'S1'!AI39,
IF($AH$4=$CM$75,S3M!AI39,))))</f>
        <v>0</v>
      </c>
      <c r="CW83">
        <f>IF($AH$4=$CK$75,'S2'!AJ39,
IF($AH$4=$CL$75,'S3'!AJ39,
IF($AH$4=$CJ$75,'S1'!AJ39,
IF($AH$4=$CM$75,S3M!AJ39,))))</f>
        <v>0</v>
      </c>
      <c r="CX83">
        <f>IF($AH$4=$CK$75,'S2'!AK39,
IF($AH$4=$CL$75,'S3'!AK39,
IF($AH$4=$CJ$75,'S1'!AK39,
IF($AH$4=$CM$75,S3M!AK39,))))</f>
        <v>0</v>
      </c>
      <c r="CY83">
        <f>IF($AH$4=$CK$75,'S2'!AL39,
IF($AH$4=$CL$75,'S3'!AL39,
IF($AH$4=$CJ$75,'S1'!AL39,
IF($AH$4=$CM$75,S3M!AL39,))))</f>
        <v>0</v>
      </c>
      <c r="CZ83">
        <f>IF($AH$4=$CK$75,'S2'!AM39,
IF($AH$4=$CL$75,'S3'!AM39,
IF($AH$4=$CJ$75,'S1'!AM39,
IF($AH$4=$CM$75,S3M!AM39,))))</f>
        <v>0</v>
      </c>
      <c r="DA83">
        <f>IF($AH$4=$CK$75,'S2'!AN39,
IF($AH$4=$CL$75,'S3'!AN39,
IF($AH$4=$CJ$75,'S1'!AN39,
IF($AH$4=$CM$75,S3M!AN39,))))</f>
        <v>0</v>
      </c>
      <c r="DB83">
        <f>IF($AH$4=$CK$75,'S2'!AO39,
IF($AH$4=$CL$75,'S3'!AO39,
IF($AH$4=$CJ$75,'S1'!AO39,
IF($AH$4=$CM$75,S3M!AO39,))))</f>
        <v>0</v>
      </c>
      <c r="DC83">
        <f>IF($AH$4=$CK$75,'S2'!AP39,
IF($AH$4=$CL$75,'S3'!AP39,
IF($AH$4=$CJ$75,'S1'!AP39,
IF($AH$4=$CM$75,S3M!AP39,))))</f>
        <v>0</v>
      </c>
      <c r="DD83">
        <f>IF($AH$4=$CK$75,'S2'!AQ39,
IF($AH$4=$CL$75,'S3'!AQ39,
IF($AH$4=$CJ$75,'S1'!AQ39,
IF($AH$4=$CM$75,S3M!AQ39,))))</f>
        <v>0</v>
      </c>
      <c r="DE83">
        <f>IF($AH$4=$CK$75,'S2'!AR39,
IF($AH$4=$CL$75,'S3'!AR39,
IF($AH$4=$CJ$75,'S1'!AR39,
IF($AH$4=$CM$75,S3M!AR39,))))</f>
        <v>0</v>
      </c>
      <c r="DF83">
        <f>IF($AH$4=$CK$75,'S2'!AS39,
IF($AH$4=$CL$75,'S3'!AS39,
IF($AH$4=$CJ$75,'S1'!AS39,
IF($AH$4=$CM$75,S3M!AS39,))))</f>
        <v>0</v>
      </c>
      <c r="DG83">
        <f>IF($AH$4=$CK$75,'S2'!AT39,
IF($AH$4=$CL$75,'S3'!AT39,
IF($AH$4=$CJ$75,'S1'!AT39,
IF($AH$4=$CM$75,S3M!AT39,))))</f>
        <v>0</v>
      </c>
      <c r="DH83">
        <f>IF($AH$4=$CK$75,'S2'!AU39,
IF($AH$4=$CL$75,'S3'!AU39,
IF($AH$4=$CJ$75,'S1'!AU39,
IF($AH$4=$CM$75,S3M!AU39,))))</f>
        <v>0</v>
      </c>
      <c r="DI83">
        <f>IF($AH$4=$CK$75,'S2'!AV39,
IF($AH$4=$CL$75,'S3'!AV39,
IF($AH$4=$CJ$75,'S1'!AV39,
IF($AH$4=$CM$75,S3M!AV39,))))</f>
        <v>0</v>
      </c>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row>
    <row r="84" spans="1:256" s="1" customFormat="1" x14ac:dyDescent="0.2">
      <c r="A84"/>
      <c r="B84"/>
      <c r="C84"/>
      <c r="D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f>$EB$66</f>
        <v>0</v>
      </c>
      <c r="CI84"/>
      <c r="CJ84"/>
      <c r="CK84"/>
      <c r="CL84">
        <v>1</v>
      </c>
      <c r="CM84"/>
      <c r="CN84"/>
      <c r="CO84"/>
      <c r="CP84"/>
      <c r="CQ84"/>
      <c r="CR84"/>
      <c r="CS84"/>
      <c r="CT84"/>
      <c r="CU84">
        <f>$DR$62</f>
        <v>0</v>
      </c>
      <c r="CV84">
        <f>IF($AH$4=$CK$75,'S2'!AI40,
IF($AH$4=$CL$75,'S3'!AI40,
IF($AH$4=$CJ$75,'S1'!AI40,
IF($AH$4=$CM$75,S3M!AI40,))))</f>
        <v>0</v>
      </c>
      <c r="CW84">
        <f>IF($AH$4=$CK$75,'S2'!AJ40,
IF($AH$4=$CL$75,'S3'!AJ40,
IF($AH$4=$CJ$75,'S1'!AJ40,
IF($AH$4=$CM$75,S3M!AJ40,))))</f>
        <v>0</v>
      </c>
      <c r="CX84">
        <f>IF($AH$4=$CK$75,'S2'!AK40,
IF($AH$4=$CL$75,'S3'!AK40,
IF($AH$4=$CJ$75,'S1'!AK40,
IF($AH$4=$CM$75,S3M!AK40,))))</f>
        <v>0</v>
      </c>
      <c r="CY84">
        <f>IF($AH$4=$CK$75,'S2'!AL40,
IF($AH$4=$CL$75,'S3'!AL40,
IF($AH$4=$CJ$75,'S1'!AL40,
IF($AH$4=$CM$75,S3M!AL40,))))</f>
        <v>0</v>
      </c>
      <c r="CZ84">
        <f>IF($AH$4=$CK$75,'S2'!AM40,
IF($AH$4=$CL$75,'S3'!AM40,
IF($AH$4=$CJ$75,'S1'!AM40,
IF($AH$4=$CM$75,S3M!AM40,))))</f>
        <v>0</v>
      </c>
      <c r="DA84">
        <f>IF($AH$4=$CK$75,'S2'!AN40,
IF($AH$4=$CL$75,'S3'!AN40,
IF($AH$4=$CJ$75,'S1'!AN40,
IF($AH$4=$CM$75,S3M!AN40,))))</f>
        <v>0</v>
      </c>
      <c r="DB84">
        <f>IF($AH$4=$CK$75,'S2'!AO40,
IF($AH$4=$CL$75,'S3'!AO40,
IF($AH$4=$CJ$75,'S1'!AO40,
IF($AH$4=$CM$75,S3M!AO40,))))</f>
        <v>0</v>
      </c>
      <c r="DC84">
        <f>IF($AH$4=$CK$75,'S2'!AP40,
IF($AH$4=$CL$75,'S3'!AP40,
IF($AH$4=$CJ$75,'S1'!AP40,
IF($AH$4=$CM$75,S3M!AP40,))))</f>
        <v>0</v>
      </c>
      <c r="DD84">
        <f>IF($AH$4=$CK$75,'S2'!AQ40,
IF($AH$4=$CL$75,'S3'!AQ40,
IF($AH$4=$CJ$75,'S1'!AQ40,
IF($AH$4=$CM$75,S3M!AQ40,))))</f>
        <v>0</v>
      </c>
      <c r="DE84">
        <f>IF($AH$4=$CK$75,'S2'!AR40,
IF($AH$4=$CL$75,'S3'!AR40,
IF($AH$4=$CJ$75,'S1'!AR40,
IF($AH$4=$CM$75,S3M!AR40,))))</f>
        <v>0</v>
      </c>
      <c r="DF84">
        <f>IF($AH$4=$CK$75,'S2'!AS40,
IF($AH$4=$CL$75,'S3'!AS40,
IF($AH$4=$CJ$75,'S1'!AS40,
IF($AH$4=$CM$75,S3M!AS40,))))</f>
        <v>0</v>
      </c>
      <c r="DG84">
        <f>IF($AH$4=$CK$75,'S2'!AT40,
IF($AH$4=$CL$75,'S3'!AT40,
IF($AH$4=$CJ$75,'S1'!AT40,
IF($AH$4=$CM$75,S3M!AT40,))))</f>
        <v>0</v>
      </c>
      <c r="DH84">
        <f>IF($AH$4=$CK$75,'S2'!AU40,
IF($AH$4=$CL$75,'S3'!AU40,
IF($AH$4=$CJ$75,'S1'!AU40,
IF($AH$4=$CM$75,S3M!AU40,))))</f>
        <v>0</v>
      </c>
      <c r="DI84">
        <f>IF($AH$4=$CK$75,'S2'!AV40,
IF($AH$4=$CL$75,'S3'!AV40,
IF($AH$4=$CJ$75,'S1'!AV40,
IF($AH$4=$CM$75,S3M!AV40,))))</f>
        <v>0</v>
      </c>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row>
    <row r="85" spans="1:256" s="1" customFormat="1" x14ac:dyDescent="0.2">
      <c r="A85"/>
      <c r="B85"/>
      <c r="C85"/>
      <c r="D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f>$DQ$80</f>
        <v>0</v>
      </c>
      <c r="CV85">
        <f>IF($AH$4=$CK$75,'S2'!AI41,
IF($AH$4=$CL$75,'S3'!AI41,
IF($AH$4=$CJ$75,'S1'!AI41,
IF($AH$4=$CM$75,S3M!AI41,))))</f>
        <v>0</v>
      </c>
      <c r="CW85">
        <f>IF($AH$4=$CK$75,'S2'!AJ41,
IF($AH$4=$CL$75,'S3'!AJ41,
IF($AH$4=$CJ$75,'S1'!AJ41,
IF($AH$4=$CM$75,S3M!AJ41,))))</f>
        <v>0</v>
      </c>
      <c r="CX85">
        <f>IF($AH$4=$CK$75,'S2'!AK41,
IF($AH$4=$CL$75,'S3'!AK41,
IF($AH$4=$CJ$75,'S1'!AK41,
IF($AH$4=$CM$75,S3M!AK41,))))</f>
        <v>0</v>
      </c>
      <c r="CY85">
        <f>IF($AH$4=$CK$75,'S2'!AL41,
IF($AH$4=$CL$75,'S3'!AL41,
IF($AH$4=$CJ$75,'S1'!AL41,
IF($AH$4=$CM$75,S3M!AL41,))))</f>
        <v>0</v>
      </c>
      <c r="CZ85">
        <f>IF($AH$4=$CK$75,'S2'!AM41,
IF($AH$4=$CL$75,'S3'!AM41,
IF($AH$4=$CJ$75,'S1'!AM41,
IF($AH$4=$CM$75,S3M!AM41,))))</f>
        <v>0</v>
      </c>
      <c r="DA85">
        <f>IF($AH$4=$CK$75,'S2'!AN41,
IF($AH$4=$CL$75,'S3'!AN41,
IF($AH$4=$CJ$75,'S1'!AN41,
IF($AH$4=$CM$75,S3M!AN41,))))</f>
        <v>0</v>
      </c>
      <c r="DB85">
        <f>IF($AH$4=$CK$75,'S2'!AO41,
IF($AH$4=$CL$75,'S3'!AO41,
IF($AH$4=$CJ$75,'S1'!AO41,
IF($AH$4=$CM$75,S3M!AO41,))))</f>
        <v>0</v>
      </c>
      <c r="DC85">
        <f>IF($AH$4=$CK$75,'S2'!AP41,
IF($AH$4=$CL$75,'S3'!AP41,
IF($AH$4=$CJ$75,'S1'!AP41,
IF($AH$4=$CM$75,S3M!AP41,))))</f>
        <v>0</v>
      </c>
      <c r="DD85">
        <f>IF($AH$4=$CK$75,'S2'!AQ41,
IF($AH$4=$CL$75,'S3'!AQ41,
IF($AH$4=$CJ$75,'S1'!AQ41,
IF($AH$4=$CM$75,S3M!AQ41,))))</f>
        <v>0</v>
      </c>
      <c r="DE85">
        <f>IF($AH$4=$CK$75,'S2'!AR41,
IF($AH$4=$CL$75,'S3'!AR41,
IF($AH$4=$CJ$75,'S1'!AR41,
IF($AH$4=$CM$75,S3M!AR41,))))</f>
        <v>0</v>
      </c>
      <c r="DF85">
        <f>IF($AH$4=$CK$75,'S2'!AS41,
IF($AH$4=$CL$75,'S3'!AS41,
IF($AH$4=$CJ$75,'S1'!AS41,
IF($AH$4=$CM$75,S3M!AS41,))))</f>
        <v>0</v>
      </c>
      <c r="DG85">
        <f>IF($AH$4=$CK$75,'S2'!AT41,
IF($AH$4=$CL$75,'S3'!AT41,
IF($AH$4=$CJ$75,'S1'!AT41,
IF($AH$4=$CM$75,S3M!AT41,))))</f>
        <v>0</v>
      </c>
      <c r="DH85">
        <f>IF($AH$4=$CK$75,'S2'!AU41,
IF($AH$4=$CL$75,'S3'!AU41,
IF($AH$4=$CJ$75,'S1'!AU41,
IF($AH$4=$CM$75,S3M!AU41,))))</f>
        <v>0</v>
      </c>
      <c r="DI85">
        <f>IF($AH$4=$CK$75,'S2'!AV41,
IF($AH$4=$CL$75,'S3'!AV41,
IF($AH$4=$CJ$75,'S1'!AV41,
IF($AH$4=$CM$75,S3M!AV41,))))</f>
        <v>0</v>
      </c>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row>
    <row r="86" spans="1:256" s="1" customFormat="1" x14ac:dyDescent="0.2">
      <c r="A86"/>
      <c r="B86"/>
      <c r="C86"/>
      <c r="D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t="s">
        <v>475</v>
      </c>
      <c r="CV86">
        <f>IF($AH$4=$CK$75,'S2'!AI42,
IF($AH$4=$CL$75,'S3'!AI42,
IF($AH$4=$CJ$75,'S1'!AI42,
IF($AH$4=$CM$75,S3M!AI42,))))</f>
        <v>0</v>
      </c>
      <c r="CW86">
        <f>IF($AH$4=$CK$75,'S2'!AJ42,
IF($AH$4=$CL$75,'S3'!AJ42,
IF($AH$4=$CJ$75,'S1'!AJ42,
IF($AH$4=$CM$75,S3M!AJ42,))))</f>
        <v>0</v>
      </c>
      <c r="CX86">
        <f>IF($AH$4=$CK$75,'S2'!AK42,
IF($AH$4=$CL$75,'S3'!AK42,
IF($AH$4=$CJ$75,'S1'!AK42,
IF($AH$4=$CM$75,S3M!AK42,))))</f>
        <v>0</v>
      </c>
      <c r="CY86">
        <f>IF($AH$4=$CK$75,'S2'!AL42,
IF($AH$4=$CL$75,'S3'!AL42,
IF($AH$4=$CJ$75,'S1'!AL42,
IF($AH$4=$CM$75,S3M!AL42,))))</f>
        <v>0</v>
      </c>
      <c r="CZ86">
        <f>IF($AH$4=$CK$75,'S2'!AM42,
IF($AH$4=$CL$75,'S3'!AM42,
IF($AH$4=$CJ$75,'S1'!AM42,
IF($AH$4=$CM$75,S3M!AM42,))))</f>
        <v>0</v>
      </c>
      <c r="DA86">
        <f>IF($AH$4=$CK$75,'S2'!AN42,
IF($AH$4=$CL$75,'S3'!AN42,
IF($AH$4=$CJ$75,'S1'!AN42,
IF($AH$4=$CM$75,S3M!AN42,))))</f>
        <v>0</v>
      </c>
      <c r="DB86">
        <f>IF($AH$4=$CK$75,'S2'!AO42,
IF($AH$4=$CL$75,'S3'!AO42,
IF($AH$4=$CJ$75,'S1'!AO42,
IF($AH$4=$CM$75,S3M!AO42,))))</f>
        <v>0</v>
      </c>
      <c r="DC86">
        <f>IF($AH$4=$CK$75,'S2'!AP42,
IF($AH$4=$CL$75,'S3'!AP42,
IF($AH$4=$CJ$75,'S1'!AP42,
IF($AH$4=$CM$75,S3M!AP42,))))</f>
        <v>0</v>
      </c>
      <c r="DD86">
        <f>IF($AH$4=$CK$75,'S2'!AQ42,
IF($AH$4=$CL$75,'S3'!AQ42,
IF($AH$4=$CJ$75,'S1'!AQ42,
IF($AH$4=$CM$75,S3M!AQ42,))))</f>
        <v>0</v>
      </c>
      <c r="DE86">
        <f>IF($AH$4=$CK$75,'S2'!AR42,
IF($AH$4=$CL$75,'S3'!AR42,
IF($AH$4=$CJ$75,'S1'!AR42,
IF($AH$4=$CM$75,S3M!AR42,))))</f>
        <v>0</v>
      </c>
      <c r="DF86">
        <f>IF($AH$4=$CK$75,'S2'!AS42,
IF($AH$4=$CL$75,'S3'!AS42,
IF($AH$4=$CJ$75,'S1'!AS42,
IF($AH$4=$CM$75,S3M!AS42,))))</f>
        <v>0</v>
      </c>
      <c r="DG86">
        <f>IF($AH$4=$CK$75,'S2'!AT42,
IF($AH$4=$CL$75,'S3'!AT42,
IF($AH$4=$CJ$75,'S1'!AT42,
IF($AH$4=$CM$75,S3M!AT42,))))</f>
        <v>0</v>
      </c>
      <c r="DH86">
        <f>IF($AH$4=$CK$75,'S2'!AU42,
IF($AH$4=$CL$75,'S3'!AU42,
IF($AH$4=$CJ$75,'S1'!AU42,
IF($AH$4=$CM$75,S3M!AU42,))))</f>
        <v>0</v>
      </c>
      <c r="DI86">
        <f>IF($AH$4=$CK$75,'S2'!AV42,
IF($AH$4=$CL$75,'S3'!AV42,
IF($AH$4=$CJ$75,'S1'!AV42,
IF($AH$4=$CM$75,S3M!AV42,))))</f>
        <v>0</v>
      </c>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row>
    <row r="87" spans="1:256" s="1" customFormat="1" x14ac:dyDescent="0.2">
      <c r="A87"/>
      <c r="B87"/>
      <c r="C87"/>
      <c r="D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f>DR79</f>
        <v>0</v>
      </c>
      <c r="CV87" t="str">
        <f>IF($AH$4=$CK$75,'S2'!AI43,
IF($AH$4=$CL$75,'S3'!AI43,
IF($AH$4=$CJ$75,'S1'!AI43,
IF($AH$4=$CM$75,S3M!AI43,))))</f>
        <v>nein</v>
      </c>
      <c r="CW87" t="str">
        <f>IF($AH$4=$CK$75,'S2'!AJ43,
IF($AH$4=$CL$75,'S3'!AJ43,
IF($AH$4=$CJ$75,'S1'!AJ43,
IF($AH$4=$CM$75,S3M!AJ43,))))</f>
        <v>nein</v>
      </c>
      <c r="CX87" t="str">
        <f>IF($AH$4=$CK$75,'S2'!AK43,
IF($AH$4=$CL$75,'S3'!AK43,
IF($AH$4=$CJ$75,'S1'!AK43,
IF($AH$4=$CM$75,S3M!AK43,))))</f>
        <v>nein</v>
      </c>
      <c r="CY87" t="str">
        <f>IF($AH$4=$CK$75,'S2'!AL43,
IF($AH$4=$CL$75,'S3'!AL43,
IF($AH$4=$CJ$75,'S1'!AL43,
IF($AH$4=$CM$75,S3M!AL43,))))</f>
        <v>nein</v>
      </c>
      <c r="CZ87">
        <f>IF($AH$4=$CK$75,'S2'!AM43,
IF($AH$4=$CL$75,'S3'!AM43,
IF($AH$4=$CJ$75,'S1'!AM43,
IF($AH$4=$CM$75,S3M!AM43,))))</f>
        <v>0</v>
      </c>
      <c r="DA87">
        <f>IF($AH$4=$CK$75,'S2'!AN43,
IF($AH$4=$CL$75,'S3'!AN43,
IF($AH$4=$CJ$75,'S1'!AN43,
IF($AH$4=$CM$75,S3M!AN43,))))</f>
        <v>0</v>
      </c>
      <c r="DB87">
        <f>IF($AH$4=$CK$75,'S2'!AO43,
IF($AH$4=$CL$75,'S3'!AO43,
IF($AH$4=$CJ$75,'S1'!AO43,
IF($AH$4=$CM$75,S3M!AO43,))))</f>
        <v>0</v>
      </c>
      <c r="DC87">
        <f>IF($AH$4=$CK$75,'S2'!AP43,
IF($AH$4=$CL$75,'S3'!AP43,
IF($AH$4=$CJ$75,'S1'!AP43,
IF($AH$4=$CM$75,S3M!AP43,))))</f>
        <v>0</v>
      </c>
      <c r="DD87">
        <f>IF($AH$4=$CK$75,'S2'!AQ43,
IF($AH$4=$CL$75,'S3'!AQ43,
IF($AH$4=$CJ$75,'S1'!AQ43,
IF($AH$4=$CM$75,S3M!AQ43,))))</f>
        <v>0</v>
      </c>
      <c r="DE87">
        <f>IF($AH$4=$CK$75,'S2'!AR43,
IF($AH$4=$CL$75,'S3'!AR43,
IF($AH$4=$CJ$75,'S1'!AR43,
IF($AH$4=$CM$75,S3M!AR43,))))</f>
        <v>0</v>
      </c>
      <c r="DF87">
        <f>IF($AH$4=$CK$75,'S2'!AS43,
IF($AH$4=$CL$75,'S3'!AS43,
IF($AH$4=$CJ$75,'S1'!AS43,
IF($AH$4=$CM$75,S3M!AS43,))))</f>
        <v>0</v>
      </c>
      <c r="DG87">
        <f>IF($AH$4=$CK$75,'S2'!AT43,
IF($AH$4=$CL$75,'S3'!AT43,
IF($AH$4=$CJ$75,'S1'!AT43,
IF($AH$4=$CM$75,S3M!AT43,))))</f>
        <v>0</v>
      </c>
      <c r="DH87">
        <f>IF($AH$4=$CK$75,'S2'!AU43,
IF($AH$4=$CL$75,'S3'!AU43,
IF($AH$4=$CJ$75,'S1'!AU43,
IF($AH$4=$CM$75,S3M!AU43,))))</f>
        <v>0</v>
      </c>
      <c r="DI87">
        <f>IF($AH$4=$CK$75,'S2'!AV43,
IF($AH$4=$CL$75,'S3'!AV43,
IF($AH$4=$CJ$75,'S1'!AV43,
IF($AH$4=$CM$75,S3M!AV43,))))</f>
        <v>0</v>
      </c>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row>
    <row r="88" spans="1:256" s="1" customFormat="1" x14ac:dyDescent="0.2">
      <c r="A88"/>
      <c r="B88"/>
      <c r="C88"/>
      <c r="D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f>DR78</f>
        <v>0</v>
      </c>
      <c r="CV88">
        <f>IF($AH$4=$CK$75,'S2'!AI44,
IF($AH$4=$CL$75,'S3'!AI44,
IF($AH$4=$CJ$75,'S1'!AI44,
IF($AH$4=$CM$75,S3M!AI44,))))</f>
        <v>0</v>
      </c>
      <c r="CW88">
        <f>IF($AH$4=$CK$75,'S2'!AJ44,
IF($AH$4=$CL$75,'S3'!AJ44,
IF($AH$4=$CJ$75,'S1'!AJ44,
IF($AH$4=$CM$75,S3M!AJ44,))))</f>
        <v>0</v>
      </c>
      <c r="CX88">
        <f>IF($AH$4=$CK$75,'S2'!AK44,
IF($AH$4=$CL$75,'S3'!AK44,
IF($AH$4=$CJ$75,'S1'!AK44,
IF($AH$4=$CM$75,S3M!AK44,))))</f>
        <v>0</v>
      </c>
      <c r="CY88">
        <f>IF($AH$4=$CK$75,'S2'!AL44,
IF($AH$4=$CL$75,'S3'!AL44,
IF($AH$4=$CJ$75,'S1'!AL44,
IF($AH$4=$CM$75,S3M!AL44,))))</f>
        <v>0</v>
      </c>
      <c r="CZ88" t="str">
        <f>IF($AH$4=$CK$75,'S2'!AM44,
IF($AH$4=$CL$75,'S3'!AM44,
IF($AH$4=$CJ$75,'S1'!AM44,
IF($AH$4=$CM$75,S3M!AM44,))))</f>
        <v>nein</v>
      </c>
      <c r="DA88" t="str">
        <f>IF($AH$4=$CK$75,'S2'!AN44,
IF($AH$4=$CL$75,'S3'!AN44,
IF($AH$4=$CJ$75,'S1'!AN44,
IF($AH$4=$CM$75,S3M!AN44,))))</f>
        <v>nein</v>
      </c>
      <c r="DB88">
        <f>IF($AH$4=$CK$75,'S2'!AO44,
IF($AH$4=$CL$75,'S3'!AO44,
IF($AH$4=$CJ$75,'S1'!AO44,
IF($AH$4=$CM$75,S3M!AO44,))))</f>
        <v>0</v>
      </c>
      <c r="DC88">
        <f>IF($AH$4=$CK$75,'S2'!AP44,
IF($AH$4=$CL$75,'S3'!AP44,
IF($AH$4=$CJ$75,'S1'!AP44,
IF($AH$4=$CM$75,S3M!AP44,))))</f>
        <v>0</v>
      </c>
      <c r="DD88">
        <f>IF($AH$4=$CK$75,'S2'!AQ44,
IF($AH$4=$CL$75,'S3'!AQ44,
IF($AH$4=$CJ$75,'S1'!AQ44,
IF($AH$4=$CM$75,S3M!AQ44,))))</f>
        <v>0</v>
      </c>
      <c r="DE88">
        <f>IF($AH$4=$CK$75,'S2'!AR44,
IF($AH$4=$CL$75,'S3'!AR44,
IF($AH$4=$CJ$75,'S1'!AR44,
IF($AH$4=$CM$75,S3M!AR44,))))</f>
        <v>0</v>
      </c>
      <c r="DF88">
        <f>IF($AH$4=$CK$75,'S2'!AS44,
IF($AH$4=$CL$75,'S3'!AS44,
IF($AH$4=$CJ$75,'S1'!AS44,
IF($AH$4=$CM$75,S3M!AS44,))))</f>
        <v>0</v>
      </c>
      <c r="DG88">
        <f>IF($AH$4=$CK$75,'S2'!AT44,
IF($AH$4=$CL$75,'S3'!AT44,
IF($AH$4=$CJ$75,'S1'!AT44,
IF($AH$4=$CM$75,S3M!AT44,))))</f>
        <v>0</v>
      </c>
      <c r="DH88">
        <f>IF($AH$4=$CK$75,'S2'!AU44,
IF($AH$4=$CL$75,'S3'!AU44,
IF($AH$4=$CJ$75,'S1'!AU44,
IF($AH$4=$CM$75,S3M!AU44,))))</f>
        <v>0</v>
      </c>
      <c r="DI88">
        <f>IF($AH$4=$CK$75,'S2'!AV44,
IF($AH$4=$CL$75,'S3'!AV44,
IF($AH$4=$CJ$75,'S1'!AV44,
IF($AH$4=$CM$75,S3M!AV44,))))</f>
        <v>0</v>
      </c>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row>
    <row r="89" spans="1:256" s="1" customFormat="1" x14ac:dyDescent="0.2">
      <c r="A89"/>
      <c r="B89"/>
      <c r="C89"/>
      <c r="D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t="str">
        <f>IF($AH$4=$CK$75,'S2'!AI45,
IF($AH$4=$CL$75,'S3'!AI45,
IF($AH$4=$CJ$75,'S1'!AI45,
IF($AH$4=$CM$75,S3M!AI45,))))</f>
        <v>6 / 6</v>
      </c>
      <c r="CW89" t="str">
        <f>IF($AH$4=$CK$75,'S2'!AJ45,
IF($AH$4=$CL$75,'S3'!AJ45,
IF($AH$4=$CJ$75,'S1'!AJ45,
IF($AH$4=$CM$75,S3M!AJ45,))))</f>
        <v>8 / 8</v>
      </c>
      <c r="CX89" t="str">
        <f>IF($AH$4=$CK$75,'S2'!AK45,
IF($AH$4=$CL$75,'S3'!AK45,
IF($AH$4=$CJ$75,'S1'!AK45,
IF($AH$4=$CM$75,S3M!AK45,))))</f>
        <v>8 / 6</v>
      </c>
      <c r="CY89" t="str">
        <f>IF($AH$4=$CK$75,'S2'!AL45,
IF($AH$4=$CL$75,'S3'!AL45,
IF($AH$4=$CJ$75,'S1'!AL45,
IF($AH$4=$CM$75,S3M!AL45,))))</f>
        <v>10 / 6</v>
      </c>
      <c r="CZ89" t="str">
        <f>IF($AH$4=$CK$75,'S2'!AM45,
IF($AH$4=$CL$75,'S3'!AM45,
IF($AH$4=$CJ$75,'S1'!AM45,
IF($AH$4=$CM$75,S3M!AM45,))))</f>
        <v>6 / 8-2</v>
      </c>
      <c r="DA89" t="str">
        <f>IF($AH$4=$CK$75,'S2'!AN45,
IF($AH$4=$CL$75,'S3'!AN45,
IF($AH$4=$CJ$75,'S1'!AN45,
IF($AH$4=$CM$75,S3M!AN45,))))</f>
        <v>8 / 8-2</v>
      </c>
      <c r="DB89">
        <f>IF($AH$4=$CK$75,'S2'!AO45,
IF($AH$4=$CL$75,'S3'!AO45,
IF($AH$4=$CJ$75,'S1'!AO45,
IF($AH$4=$CM$75,S3M!AO45,))))</f>
        <v>0</v>
      </c>
      <c r="DC89">
        <f>IF($AH$4=$CK$75,'S2'!AP45,
IF($AH$4=$CL$75,'S3'!AP45,
IF($AH$4=$CJ$75,'S1'!AP45,
IF($AH$4=$CM$75,S3M!AP45,))))</f>
        <v>0</v>
      </c>
      <c r="DD89">
        <f>IF($AH$4=$CK$75,'S2'!AQ45,
IF($AH$4=$CL$75,'S3'!AQ45,
IF($AH$4=$CJ$75,'S1'!AQ45,
IF($AH$4=$CM$75,S3M!AQ45,))))</f>
        <v>0</v>
      </c>
      <c r="DE89" t="str">
        <f>IF($AH$4=$CK$75,'S2'!AR45,
IF($AH$4=$CL$75,'S3'!AR45,
IF($AH$4=$CJ$75,'S1'!AR45,
IF($AH$4=$CM$75,S3M!AR45,))))</f>
        <v>-</v>
      </c>
      <c r="DF89" t="str">
        <f>IF($AH$4=$CK$75,'S2'!AS45,
IF($AH$4=$CL$75,'S3'!AS45,
IF($AH$4=$CJ$75,'S1'!AS45,
IF($AH$4=$CM$75,S3M!AS45,))))</f>
        <v>-</v>
      </c>
      <c r="DG89" t="str">
        <f>IF($AH$4=$CK$75,'S2'!AT45,
IF($AH$4=$CL$75,'S3'!AT45,
IF($AH$4=$CJ$75,'S1'!AT45,
IF($AH$4=$CM$75,S3M!AT45,))))</f>
        <v>-</v>
      </c>
      <c r="DH89" t="str">
        <f>IF($AH$4=$CK$75,'S2'!AU45,
IF($AH$4=$CL$75,'S3'!AU45,
IF($AH$4=$CJ$75,'S1'!AU45,
IF($AH$4=$CM$75,S3M!AU45,))))</f>
        <v>-</v>
      </c>
      <c r="DI89">
        <f>IF($AH$4=$CK$75,'S2'!AV45,
IF($AH$4=$CL$75,'S3'!AV45,
IF($AH$4=$CJ$75,'S1'!AV45,
IF($AH$4=$CM$75,S3M!AV45,))))</f>
        <v>0</v>
      </c>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row>
    <row r="90" spans="1:256" s="1" customFormat="1" x14ac:dyDescent="0.2">
      <c r="A90"/>
      <c r="B90"/>
      <c r="C90"/>
      <c r="D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f>DR66</f>
        <v>0</v>
      </c>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row>
    <row r="91" spans="1:256" s="1" customFormat="1" x14ac:dyDescent="0.2">
      <c r="A91"/>
      <c r="B91"/>
      <c r="C91"/>
      <c r="D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f>$DR$63</f>
        <v>0</v>
      </c>
      <c r="CV91">
        <f>IF($AH$4=$CK$75,'S2'!AI47,
IF($AH$4=$CL$75,'S3'!AI47,
IF($AH$4=$CJ$75,'S1'!AI47,
IF($AH$4=$CM$75,S3M!AI47,))))</f>
        <v>2300</v>
      </c>
      <c r="CW91">
        <f>IF($AH$4=$CK$75,'S2'!AJ47,
IF($AH$4=$CL$75,'S3'!AJ47,
IF($AH$4=$CJ$75,'S1'!AJ47,
IF($AH$4=$CM$75,S3M!AJ47,))))</f>
        <v>2300</v>
      </c>
      <c r="CX91">
        <f>IF($AH$4=$CK$75,'S2'!AK47,
IF($AH$4=$CL$75,'S3'!AK47,
IF($AH$4=$CJ$75,'S1'!AK47,
IF($AH$4=$CM$75,S3M!AK47,))))</f>
        <v>2300</v>
      </c>
      <c r="CY91">
        <f>IF($AH$4=$CK$75,'S2'!AL47,
IF($AH$4=$CL$75,'S3'!AL47,
IF($AH$4=$CJ$75,'S1'!AL47,
IF($AH$4=$CM$75,S3M!AL47,))))</f>
        <v>2300</v>
      </c>
      <c r="CZ91">
        <f>IF($AH$4=$CK$75,'S2'!AM47,
IF($AH$4=$CL$75,'S3'!AM47,
IF($AH$4=$CJ$75,'S1'!AM47,
IF($AH$4=$CM$75,S3M!AM47,))))</f>
        <v>2300</v>
      </c>
      <c r="DA91">
        <f>IF($AH$4=$CK$75,'S2'!AN47,
IF($AH$4=$CL$75,'S3'!AN47,
IF($AH$4=$CJ$75,'S1'!AN47,
IF($AH$4=$CM$75,S3M!AN47,))))</f>
        <v>2300</v>
      </c>
      <c r="DB91">
        <f>IF($AH$4=$CK$75,'S2'!AO47,
IF($AH$4=$CL$75,'S3'!AO47,
IF($AH$4=$CJ$75,'S1'!AO47,
IF($AH$4=$CM$75,S3M!AO47,))))</f>
        <v>0</v>
      </c>
      <c r="DC91">
        <f>IF($AH$4=$CK$75,'S2'!AP47,
IF($AH$4=$CL$75,'S3'!AP47,
IF($AH$4=$CJ$75,'S1'!AP47,
IF($AH$4=$CM$75,S3M!AP47,))))</f>
        <v>0</v>
      </c>
      <c r="DD91">
        <f>IF($AH$4=$CK$75,'S2'!AQ47,
IF($AH$4=$CL$75,'S3'!AQ47,
IF($AH$4=$CJ$75,'S1'!AQ47,
IF($AH$4=$CM$75,S3M!AQ47,))))</f>
        <v>0</v>
      </c>
      <c r="DE91">
        <f>IF($AH$4=$CK$75,'S2'!AR47,
IF($AH$4=$CL$75,'S3'!AR47,
IF($AH$4=$CJ$75,'S1'!AR47,
IF($AH$4=$CM$75,S3M!AR47,))))</f>
        <v>0</v>
      </c>
      <c r="DF91">
        <f>IF($AH$4=$CK$75,'S2'!AS47,
IF($AH$4=$CL$75,'S3'!AS47,
IF($AH$4=$CJ$75,'S1'!AS47,
IF($AH$4=$CM$75,S3M!AS47,))))</f>
        <v>0</v>
      </c>
      <c r="DG91">
        <f>IF($AH$4=$CK$75,'S2'!AT47,
IF($AH$4=$CL$75,'S3'!AT47,
IF($AH$4=$CJ$75,'S1'!AT47,
IF($AH$4=$CM$75,S3M!AT47,))))</f>
        <v>0</v>
      </c>
      <c r="DH91">
        <f>IF($AH$4=$CK$75,'S2'!AU47,
IF($AH$4=$CL$75,'S3'!AU47,
IF($AH$4=$CJ$75,'S1'!AU47,
IF($AH$4=$CM$75,S3M!AU47,))))</f>
        <v>0</v>
      </c>
      <c r="DI91">
        <f>IF($AH$4=$CK$75,'S2'!AV47,
IF($AH$4=$CL$75,'S3'!AV47,
IF($AH$4=$CJ$75,'S1'!AV47,
IF($AH$4=$CM$75,S3M!AV47,))))</f>
        <v>0</v>
      </c>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row>
    <row r="92" spans="1:256" s="1" customFormat="1" x14ac:dyDescent="0.2">
      <c r="A92"/>
      <c r="B92"/>
      <c r="C92"/>
      <c r="D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f>$DR$64</f>
        <v>0</v>
      </c>
      <c r="CV92">
        <f>IF($AH$4=$CK$75,'S2'!AI48,
IF($AH$4=$CL$75,'S3'!AI48,
IF($AH$4=$CJ$75,'S1'!AI48,
IF($AH$4=$CM$75,S3M!AI48,))))</f>
        <v>3500</v>
      </c>
      <c r="CW92">
        <f>IF($AH$4=$CK$75,'S2'!AJ48,
IF($AH$4=$CL$75,'S3'!AJ48,
IF($AH$4=$CJ$75,'S1'!AJ48,
IF($AH$4=$CM$75,S3M!AJ48,))))</f>
        <v>3500</v>
      </c>
      <c r="CX92">
        <f>IF($AH$4=$CK$75,'S2'!AK48,
IF($AH$4=$CL$75,'S3'!AK48,
IF($AH$4=$CJ$75,'S1'!AK48,
IF($AH$4=$CM$75,S3M!AK48,))))</f>
        <v>3500</v>
      </c>
      <c r="CY92">
        <f>IF($AH$4=$CK$75,'S2'!AL48,
IF($AH$4=$CL$75,'S3'!AL48,
IF($AH$4=$CJ$75,'S1'!AL48,
IF($AH$4=$CM$75,S3M!AL48,))))</f>
        <v>3500</v>
      </c>
      <c r="CZ92">
        <f>IF($AH$4=$CK$75,'S2'!AM48,
IF($AH$4=$CL$75,'S3'!AM48,
IF($AH$4=$CJ$75,'S1'!AM48,
IF($AH$4=$CM$75,S3M!AM48,))))</f>
        <v>3500</v>
      </c>
      <c r="DA92">
        <f>IF($AH$4=$CK$75,'S2'!AN48,
IF($AH$4=$CL$75,'S3'!AN48,
IF($AH$4=$CJ$75,'S1'!AN48,
IF($AH$4=$CM$75,S3M!AN48,))))</f>
        <v>3500</v>
      </c>
      <c r="DB92">
        <f>IF($AH$4=$CK$75,'S2'!AO48,
IF($AH$4=$CL$75,'S3'!AO48,
IF($AH$4=$CJ$75,'S1'!AO48,
IF($AH$4=$CM$75,S3M!AO48,))))</f>
        <v>0</v>
      </c>
      <c r="DC92">
        <f>IF($AH$4=$CK$75,'S2'!AP48,
IF($AH$4=$CL$75,'S3'!AP48,
IF($AH$4=$CJ$75,'S1'!AP48,
IF($AH$4=$CM$75,S3M!AP48,))))</f>
        <v>0</v>
      </c>
      <c r="DD92">
        <f>IF($AH$4=$CK$75,'S2'!AQ48,
IF($AH$4=$CL$75,'S3'!AQ48,
IF($AH$4=$CJ$75,'S1'!AQ48,
IF($AH$4=$CM$75,S3M!AQ48,))))</f>
        <v>0</v>
      </c>
      <c r="DE92">
        <f>IF($AH$4=$CK$75,'S2'!AR48,
IF($AH$4=$CL$75,'S3'!AR48,
IF($AH$4=$CJ$75,'S1'!AR48,
IF($AH$4=$CM$75,S3M!AR48,))))</f>
        <v>0</v>
      </c>
      <c r="DF92">
        <f>IF($AH$4=$CK$75,'S2'!AS48,
IF($AH$4=$CL$75,'S3'!AS48,
IF($AH$4=$CJ$75,'S1'!AS48,
IF($AH$4=$CM$75,S3M!AS48,))))</f>
        <v>0</v>
      </c>
      <c r="DG92">
        <f>IF($AH$4=$CK$75,'S2'!AT48,
IF($AH$4=$CL$75,'S3'!AT48,
IF($AH$4=$CJ$75,'S1'!AT48,
IF($AH$4=$CM$75,S3M!AT48,))))</f>
        <v>0</v>
      </c>
      <c r="DH92">
        <f>IF($AH$4=$CK$75,'S2'!AU48,
IF($AH$4=$CL$75,'S3'!AU48,
IF($AH$4=$CJ$75,'S1'!AU48,
IF($AH$4=$CM$75,S3M!AU48,))))</f>
        <v>0</v>
      </c>
      <c r="DI92">
        <f>IF($AH$4=$CK$75,'S2'!AV48,
IF($AH$4=$CL$75,'S3'!AV48,
IF($AH$4=$CJ$75,'S1'!AV48,
IF($AH$4=$CM$75,S3M!AV48,))))</f>
        <v>0</v>
      </c>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row>
    <row r="93" spans="1:256" s="1" customFormat="1" x14ac:dyDescent="0.2">
      <c r="A93"/>
      <c r="B93"/>
      <c r="C93"/>
      <c r="D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f>$DR$65</f>
        <v>0</v>
      </c>
      <c r="CV93">
        <f>IF($AH$4=$CK$75,'S2'!AI49,
IF($AH$4=$CL$75,'S3'!AI49,
IF($AH$4=$CJ$75,'S1'!AI49,
IF($AH$4=$CM$75,S3M!AI49,))))</f>
        <v>2300</v>
      </c>
      <c r="CW93">
        <f>IF($AH$4=$CK$75,'S2'!AJ49,
IF($AH$4=$CL$75,'S3'!AJ49,
IF($AH$4=$CJ$75,'S1'!AJ49,
IF($AH$4=$CM$75,S3M!AJ49,))))</f>
        <v>2300</v>
      </c>
      <c r="CX93">
        <f>IF($AH$4=$CK$75,'S2'!AK49,
IF($AH$4=$CL$75,'S3'!AK49,
IF($AH$4=$CJ$75,'S1'!AK49,
IF($AH$4=$CM$75,S3M!AK49,))))</f>
        <v>2300</v>
      </c>
      <c r="CY93">
        <f>IF($AH$4=$CK$75,'S2'!AL49,
IF($AH$4=$CL$75,'S3'!AL49,
IF($AH$4=$CJ$75,'S1'!AL49,
IF($AH$4=$CM$75,S3M!AL49,))))</f>
        <v>2300</v>
      </c>
      <c r="CZ93">
        <f>IF($AH$4=$CK$75,'S2'!AM49,
IF($AH$4=$CL$75,'S3'!AM49,
IF($AH$4=$CJ$75,'S1'!AM49,
IF($AH$4=$CM$75,S3M!AM49,))))</f>
        <v>2300</v>
      </c>
      <c r="DA93">
        <f>IF($AH$4=$CK$75,'S2'!AN49,
IF($AH$4=$CL$75,'S3'!AN49,
IF($AH$4=$CJ$75,'S1'!AN49,
IF($AH$4=$CM$75,S3M!AN49,))))</f>
        <v>2300</v>
      </c>
      <c r="DB93">
        <f>IF($AH$4=$CK$75,'S2'!AO49,
IF($AH$4=$CL$75,'S3'!AO49,
IF($AH$4=$CJ$75,'S1'!AO49,
IF($AH$4=$CM$75,S3M!AO49,))))</f>
        <v>0</v>
      </c>
      <c r="DC93">
        <f>IF($AH$4=$CK$75,'S2'!AP49,
IF($AH$4=$CL$75,'S3'!AP49,
IF($AH$4=$CJ$75,'S1'!AP49,
IF($AH$4=$CM$75,S3M!AP49,))))</f>
        <v>0</v>
      </c>
      <c r="DD93">
        <f>IF($AH$4=$CK$75,'S2'!AQ49,
IF($AH$4=$CL$75,'S3'!AQ49,
IF($AH$4=$CJ$75,'S1'!AQ49,
IF($AH$4=$CM$75,S3M!AQ49,))))</f>
        <v>0</v>
      </c>
      <c r="DE93">
        <f>IF($AH$4=$CK$75,'S2'!AR49,
IF($AH$4=$CL$75,'S3'!AR49,
IF($AH$4=$CJ$75,'S1'!AR49,
IF($AH$4=$CM$75,S3M!AR49,))))</f>
        <v>0</v>
      </c>
      <c r="DF93">
        <f>IF($AH$4=$CK$75,'S2'!AS49,
IF($AH$4=$CL$75,'S3'!AS49,
IF($AH$4=$CJ$75,'S1'!AS49,
IF($AH$4=$CM$75,S3M!AS49,))))</f>
        <v>0</v>
      </c>
      <c r="DG93">
        <f>IF($AH$4=$CK$75,'S2'!AT49,
IF($AH$4=$CL$75,'S3'!AT49,
IF($AH$4=$CJ$75,'S1'!AT49,
IF($AH$4=$CM$75,S3M!AT49,))))</f>
        <v>0</v>
      </c>
      <c r="DH93">
        <f>IF($AH$4=$CK$75,'S2'!AU49,
IF($AH$4=$CL$75,'S3'!AU49,
IF($AH$4=$CJ$75,'S1'!AU49,
IF($AH$4=$CM$75,S3M!AU49,))))</f>
        <v>0</v>
      </c>
      <c r="DI93">
        <f>IF($AH$4=$CK$75,'S2'!AV49,
IF($AH$4=$CL$75,'S3'!AV49,
IF($AH$4=$CJ$75,'S1'!AV49,
IF($AH$4=$CM$75,S3M!AV49,))))</f>
        <v>0</v>
      </c>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row>
    <row r="94" spans="1:256" s="1" customFormat="1" x14ac:dyDescent="0.2">
      <c r="A94"/>
      <c r="B94"/>
      <c r="C94"/>
      <c r="D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f>IF($AH$4=$CK$75,'S2'!AI50,IF($AH$4=$CL$75,'S3'!AI50,IF($AH$4=$CJ$75,'S1'!AI50,)))</f>
        <v>0</v>
      </c>
      <c r="CW94">
        <f>IF($AH$4=$CK$75,'S2'!AJ50,IF($AH$4=$CL$75,'S3'!AJ50,IF($AH$4=$CJ$75,'S1'!AJ50,)))</f>
        <v>0</v>
      </c>
      <c r="CX94">
        <f>IF($AH$4=$CK$75,'S2'!AK50,IF($AH$4=$CL$75,'S3'!AK50,IF($AH$4=$CJ$75,'S1'!AK50,)))</f>
        <v>0</v>
      </c>
      <c r="CY94">
        <f>IF($AH$4=$CK$75,'S2'!AL50,IF($AH$4=$CL$75,'S3'!AL50,IF($AH$4=$CJ$75,'S1'!AL50,)))</f>
        <v>0</v>
      </c>
      <c r="CZ94">
        <f>IF($AH$4=$CK$75,'S2'!AM50,IF($AH$4=$CL$75,'S3'!AM50,IF($AH$4=$CJ$75,'S1'!AM50,)))</f>
        <v>0</v>
      </c>
      <c r="DA94">
        <f>IF($AH$4=$CK$75,'S2'!AN50,IF($AH$4=$CL$75,'S3'!AN50,IF($AH$4=$CJ$75,'S1'!AN50,)))</f>
        <v>0</v>
      </c>
      <c r="DB94">
        <f>IF($AH$4=$CK$75,'S2'!AO50,IF($AH$4=$CL$75,'S3'!AO50,IF($AH$4=$CJ$75,'S1'!AO50,)))</f>
        <v>0</v>
      </c>
      <c r="DC94">
        <f>IF($AH$4=$CK$75,'S2'!AP50,IF($AH$4=$CL$75,'S3'!AP50,IF($AH$4=$CJ$75,'S1'!AP50,)))</f>
        <v>0</v>
      </c>
      <c r="DD94">
        <f>IF($AH$4=$CK$75,'S2'!AQ50,IF($AH$4=$CL$75,'S3'!AQ50,IF($AH$4=$CJ$75,'S1'!AQ50,)))</f>
        <v>0</v>
      </c>
      <c r="DE94">
        <f>IF($AH$4=$CK$75,'S2'!AR50,IF($AH$4=$CL$75,'S3'!AR50,IF($AH$4=$CJ$75,'S1'!AR50,)))</f>
        <v>0</v>
      </c>
      <c r="DF94">
        <f>IF($AH$4=$CK$75,'S2'!AS50,IF($AH$4=$CL$75,'S3'!AS50,IF($AH$4=$CJ$75,'S1'!AS50,)))</f>
        <v>0</v>
      </c>
      <c r="DG94">
        <f>IF($AH$4=$CK$75,'S2'!AT50,IF($AH$4=$CL$75,'S3'!AT50,IF($AH$4=$CJ$75,'S1'!AT50,)))</f>
        <v>0</v>
      </c>
      <c r="DH94">
        <f>IF($AH$4=$CK$75,'S2'!AU50,IF($AH$4=$CL$75,'S3'!AU50,IF($AH$4=$CJ$75,'S1'!AU50,)))</f>
        <v>0</v>
      </c>
      <c r="DI94">
        <f>IF($AH$4=$CK$75,'S2'!AV50,IF($AH$4=$CL$75,'S3'!AV50,IF($AH$4=$CJ$75,'S1'!AV50,)))</f>
        <v>0</v>
      </c>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row>
    <row r="95" spans="1:256" s="1" customFormat="1" x14ac:dyDescent="0.2">
      <c r="A95"/>
      <c r="B95"/>
      <c r="C95"/>
      <c r="D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f>DR67</f>
        <v>0</v>
      </c>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row>
    <row r="96" spans="1:256" s="1" customFormat="1" x14ac:dyDescent="0.2">
      <c r="A96"/>
      <c r="B96"/>
      <c r="C96"/>
      <c r="D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f>$DR$63</f>
        <v>0</v>
      </c>
      <c r="CV96">
        <f>IF($AH$4=$CK$75,'S2'!AI52,
IF($AH$4=$CL$75,'S3'!AI52,
IF($AH$4=$CJ$75,'S1'!AI52,
IF($AH$4=$CM$75,S3M!AI52,))))</f>
        <v>3500</v>
      </c>
      <c r="CW96">
        <f>IF($AH$4=$CK$75,'S2'!AJ52,
IF($AH$4=$CL$75,'S3'!AJ52,
IF($AH$4=$CJ$75,'S1'!AJ52,
IF($AH$4=$CM$75,S3M!AJ52,))))</f>
        <v>3500</v>
      </c>
      <c r="CX96">
        <f>IF($AH$4=$CK$75,'S2'!AK52,
IF($AH$4=$CL$75,'S3'!AK52,
IF($AH$4=$CJ$75,'S1'!AK52,
IF($AH$4=$CM$75,S3M!AK52,))))</f>
        <v>3500</v>
      </c>
      <c r="CY96">
        <f>IF($AH$4=$CK$75,'S2'!AL52,
IF($AH$4=$CL$75,'S3'!AL52,
IF($AH$4=$CJ$75,'S1'!AL52,
IF($AH$4=$CM$75,S3M!AL52,))))</f>
        <v>3500</v>
      </c>
      <c r="CZ96">
        <f>IF($AH$4=$CK$75,'S2'!AM52,
IF($AH$4=$CL$75,'S3'!AM52,
IF($AH$4=$CJ$75,'S1'!AM52,
IF($AH$4=$CM$75,S3M!AM52,))))</f>
        <v>3500</v>
      </c>
      <c r="DA96">
        <f>IF($AH$4=$CK$75,'S2'!AN52,
IF($AH$4=$CL$75,'S3'!AN52,
IF($AH$4=$CJ$75,'S1'!AN52,
IF($AH$4=$CM$75,S3M!AN52,))))</f>
        <v>3500</v>
      </c>
      <c r="DB96">
        <f>IF($AH$4=$CK$75,'S2'!AO52,
IF($AH$4=$CL$75,'S3'!AO52,
IF($AH$4=$CJ$75,'S1'!AO52,
IF($AH$4=$CM$75,S3M!AO52,))))</f>
        <v>0</v>
      </c>
      <c r="DC96">
        <f>IF($AH$4=$CK$75,'S2'!AP52,
IF($AH$4=$CL$75,'S3'!AP52,
IF($AH$4=$CJ$75,'S1'!AP52,
IF($AH$4=$CM$75,S3M!AP52,))))</f>
        <v>0</v>
      </c>
      <c r="DD96">
        <f>IF($AH$4=$CK$75,'S2'!AQ52,
IF($AH$4=$CL$75,'S3'!AQ52,
IF($AH$4=$CJ$75,'S1'!AQ52,
IF($AH$4=$CM$75,S3M!AQ52,))))</f>
        <v>0</v>
      </c>
      <c r="DE96">
        <f>IF($AH$4=$CK$75,'S2'!AR52,
IF($AH$4=$CL$75,'S3'!AR52,
IF($AH$4=$CJ$75,'S1'!AR52,
IF($AH$4=$CM$75,S3M!AR52,))))</f>
        <v>0</v>
      </c>
      <c r="DF96">
        <f>IF($AH$4=$CK$75,'S2'!AS52,
IF($AH$4=$CL$75,'S3'!AS52,
IF($AH$4=$CJ$75,'S1'!AS52,
IF($AH$4=$CM$75,S3M!AS52,))))</f>
        <v>0</v>
      </c>
      <c r="DG96">
        <f>IF($AH$4=$CK$75,'S2'!AT52,
IF($AH$4=$CL$75,'S3'!AT52,
IF($AH$4=$CJ$75,'S1'!AT52,
IF($AH$4=$CM$75,S3M!AT52,))))</f>
        <v>0</v>
      </c>
      <c r="DH96">
        <f>IF($AH$4=$CK$75,'S2'!AU52,
IF($AH$4=$CL$75,'S3'!AU52,
IF($AH$4=$CJ$75,'S1'!AU52,
IF($AH$4=$CM$75,S3M!AU52,))))</f>
        <v>0</v>
      </c>
      <c r="DI96">
        <f>IF($AH$4=$CK$75,'S2'!AV52,
IF($AH$4=$CL$75,'S3'!AV52,
IF($AH$4=$CJ$75,'S1'!AV52,
IF($AH$4=$CM$75,S3M!AV52,))))</f>
        <v>0</v>
      </c>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row>
    <row r="97" spans="1:256" s="1" customFormat="1" x14ac:dyDescent="0.2">
      <c r="A97"/>
      <c r="B97"/>
      <c r="C97"/>
      <c r="D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f>$DR$64</f>
        <v>0</v>
      </c>
      <c r="CV97">
        <f>IF($AH$4=$CK$75,'S2'!AI53,
IF($AH$4=$CL$75,'S3'!AI53,
IF($AH$4=$CJ$75,'S1'!AI53,
IF($AH$4=$CM$75,S3M!AI53,))))</f>
        <v>2300</v>
      </c>
      <c r="CW97">
        <f>IF($AH$4=$CK$75,'S2'!AJ53,
IF($AH$4=$CL$75,'S3'!AJ53,
IF($AH$4=$CJ$75,'S1'!AJ53,
IF($AH$4=$CM$75,S3M!AJ53,))))</f>
        <v>2300</v>
      </c>
      <c r="CX97">
        <f>IF($AH$4=$CK$75,'S2'!AK53,
IF($AH$4=$CL$75,'S3'!AK53,
IF($AH$4=$CJ$75,'S1'!AK53,
IF($AH$4=$CM$75,S3M!AK53,))))</f>
        <v>2300</v>
      </c>
      <c r="CY97">
        <f>IF($AH$4=$CK$75,'S2'!AL53,
IF($AH$4=$CL$75,'S3'!AL53,
IF($AH$4=$CJ$75,'S1'!AL53,
IF($AH$4=$CM$75,S3M!AL53,))))</f>
        <v>2300</v>
      </c>
      <c r="CZ97">
        <f>IF($AH$4=$CK$75,'S2'!AM53,
IF($AH$4=$CL$75,'S3'!AM53,
IF($AH$4=$CJ$75,'S1'!AM53,
IF($AH$4=$CM$75,S3M!AM53,))))</f>
        <v>2300</v>
      </c>
      <c r="DA97">
        <f>IF($AH$4=$CK$75,'S2'!AN53,
IF($AH$4=$CL$75,'S3'!AN53,
IF($AH$4=$CJ$75,'S1'!AN53,
IF($AH$4=$CM$75,S3M!AN53,))))</f>
        <v>2300</v>
      </c>
      <c r="DB97">
        <f>IF($AH$4=$CK$75,'S2'!AO53,
IF($AH$4=$CL$75,'S3'!AO53,
IF($AH$4=$CJ$75,'S1'!AO53,
IF($AH$4=$CM$75,S3M!AO53,))))</f>
        <v>0</v>
      </c>
      <c r="DC97">
        <f>IF($AH$4=$CK$75,'S2'!AP53,
IF($AH$4=$CL$75,'S3'!AP53,
IF($AH$4=$CJ$75,'S1'!AP53,
IF($AH$4=$CM$75,S3M!AP53,))))</f>
        <v>0</v>
      </c>
      <c r="DD97">
        <f>IF($AH$4=$CK$75,'S2'!AQ53,
IF($AH$4=$CL$75,'S3'!AQ53,
IF($AH$4=$CJ$75,'S1'!AQ53,
IF($AH$4=$CM$75,S3M!AQ53,))))</f>
        <v>0</v>
      </c>
      <c r="DE97">
        <f>IF($AH$4=$CK$75,'S2'!AR53,
IF($AH$4=$CL$75,'S3'!AR53,
IF($AH$4=$CJ$75,'S1'!AR53,
IF($AH$4=$CM$75,S3M!AR53,))))</f>
        <v>0</v>
      </c>
      <c r="DF97">
        <f>IF($AH$4=$CK$75,'S2'!AS53,
IF($AH$4=$CL$75,'S3'!AS53,
IF($AH$4=$CJ$75,'S1'!AS53,
IF($AH$4=$CM$75,S3M!AS53,))))</f>
        <v>0</v>
      </c>
      <c r="DG97">
        <f>IF($AH$4=$CK$75,'S2'!AT53,
IF($AH$4=$CL$75,'S3'!AT53,
IF($AH$4=$CJ$75,'S1'!AT53,
IF($AH$4=$CM$75,S3M!AT53,))))</f>
        <v>0</v>
      </c>
      <c r="DH97">
        <f>IF($AH$4=$CK$75,'S2'!AU53,
IF($AH$4=$CL$75,'S3'!AU53,
IF($AH$4=$CJ$75,'S1'!AU53,
IF($AH$4=$CM$75,S3M!AU53,))))</f>
        <v>0</v>
      </c>
      <c r="DI97">
        <f>IF($AH$4=$CK$75,'S2'!AV53,
IF($AH$4=$CL$75,'S3'!AV53,
IF($AH$4=$CJ$75,'S1'!AV53,
IF($AH$4=$CM$75,S3M!AV53,))))</f>
        <v>0</v>
      </c>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row>
    <row r="98" spans="1:256" s="1" customFormat="1" x14ac:dyDescent="0.2">
      <c r="A98"/>
      <c r="B98"/>
      <c r="C98"/>
      <c r="D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f>$DR$65</f>
        <v>0</v>
      </c>
      <c r="CV98">
        <f>IF($AH$4=$CK$75,'S2'!AI54,
IF($AH$4=$CL$75,'S3'!AI54,
IF($AH$4=$CJ$75,'S1'!AI54,
IF($AH$4=$CM$75,S3M!AI54,))))</f>
        <v>2300</v>
      </c>
      <c r="CW98">
        <f>IF($AH$4=$CK$75,'S2'!AJ54,
IF($AH$4=$CL$75,'S3'!AJ54,
IF($AH$4=$CJ$75,'S1'!AJ54,
IF($AH$4=$CM$75,S3M!AJ54,))))</f>
        <v>2300</v>
      </c>
      <c r="CX98">
        <f>IF($AH$4=$CK$75,'S2'!AK54,
IF($AH$4=$CL$75,'S3'!AK54,
IF($AH$4=$CJ$75,'S1'!AK54,
IF($AH$4=$CM$75,S3M!AK54,))))</f>
        <v>2300</v>
      </c>
      <c r="CY98">
        <f>IF($AH$4=$CK$75,'S2'!AL54,
IF($AH$4=$CL$75,'S3'!AL54,
IF($AH$4=$CJ$75,'S1'!AL54,
IF($AH$4=$CM$75,S3M!AL54,))))</f>
        <v>2300</v>
      </c>
      <c r="CZ98">
        <f>IF($AH$4=$CK$75,'S2'!AM54,
IF($AH$4=$CL$75,'S3'!AM54,
IF($AH$4=$CJ$75,'S1'!AM54,
IF($AH$4=$CM$75,S3M!AM54,))))</f>
        <v>2300</v>
      </c>
      <c r="DA98">
        <f>IF($AH$4=$CK$75,'S2'!AN54,
IF($AH$4=$CL$75,'S3'!AN54,
IF($AH$4=$CJ$75,'S1'!AN54,
IF($AH$4=$CM$75,S3M!AN54,))))</f>
        <v>2300</v>
      </c>
      <c r="DB98">
        <f>IF($AH$4=$CK$75,'S2'!AO54,
IF($AH$4=$CL$75,'S3'!AO54,
IF($AH$4=$CJ$75,'S1'!AO54,
IF($AH$4=$CM$75,S3M!AO54,))))</f>
        <v>0</v>
      </c>
      <c r="DC98">
        <f>IF($AH$4=$CK$75,'S2'!AP54,
IF($AH$4=$CL$75,'S3'!AP54,
IF($AH$4=$CJ$75,'S1'!AP54,
IF($AH$4=$CM$75,S3M!AP54,))))</f>
        <v>0</v>
      </c>
      <c r="DD98">
        <f>IF($AH$4=$CK$75,'S2'!AQ54,
IF($AH$4=$CL$75,'S3'!AQ54,
IF($AH$4=$CJ$75,'S1'!AQ54,
IF($AH$4=$CM$75,S3M!AQ54,))))</f>
        <v>0</v>
      </c>
      <c r="DE98">
        <f>IF($AH$4=$CK$75,'S2'!AR54,
IF($AH$4=$CL$75,'S3'!AR54,
IF($AH$4=$CJ$75,'S1'!AR54,
IF($AH$4=$CM$75,S3M!AR54,))))</f>
        <v>0</v>
      </c>
      <c r="DF98">
        <f>IF($AH$4=$CK$75,'S2'!AS54,
IF($AH$4=$CL$75,'S3'!AS54,
IF($AH$4=$CJ$75,'S1'!AS54,
IF($AH$4=$CM$75,S3M!AS54,))))</f>
        <v>0</v>
      </c>
      <c r="DG98">
        <f>IF($AH$4=$CK$75,'S2'!AT54,
IF($AH$4=$CL$75,'S3'!AT54,
IF($AH$4=$CJ$75,'S1'!AT54,
IF($AH$4=$CM$75,S3M!AT54,))))</f>
        <v>0</v>
      </c>
      <c r="DH98">
        <f>IF($AH$4=$CK$75,'S2'!AU54,
IF($AH$4=$CL$75,'S3'!AU54,
IF($AH$4=$CJ$75,'S1'!AU54,
IF($AH$4=$CM$75,S3M!AU54,))))</f>
        <v>0</v>
      </c>
      <c r="DI98">
        <f>IF($AH$4=$CK$75,'S2'!AV54,
IF($AH$4=$CL$75,'S3'!AV54,
IF($AH$4=$CJ$75,'S1'!AV54,
IF($AH$4=$CM$75,S3M!AV54,))))</f>
        <v>0</v>
      </c>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row>
    <row r="99" spans="1:256" s="1" customFormat="1" x14ac:dyDescent="0.2">
      <c r="A99"/>
      <c r="B99"/>
      <c r="C99"/>
      <c r="D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f>IF($AH$4=$CK$75,'S2'!AI55,
IF($AH$4=$CL$75,'S3'!AI55,
IF($AH$4=$CJ$75,'S1'!AI55,
IF($AH$4=$CM$75,S3M!AI55,))))</f>
        <v>0</v>
      </c>
      <c r="CW99">
        <f>IF($AH$4=$CK$75,'S2'!AJ55,
IF($AH$4=$CL$75,'S3'!AJ55,
IF($AH$4=$CJ$75,'S1'!AJ55,
IF($AH$4=$CM$75,S3M!AJ55,))))</f>
        <v>0</v>
      </c>
      <c r="CX99">
        <f>IF($AH$4=$CK$75,'S2'!AK55,
IF($AH$4=$CL$75,'S3'!AK55,
IF($AH$4=$CJ$75,'S1'!AK55,
IF($AH$4=$CM$75,S3M!AK55,))))</f>
        <v>0</v>
      </c>
      <c r="CY99">
        <f>IF($AH$4=$CK$75,'S2'!AL55,
IF($AH$4=$CL$75,'S3'!AL55,
IF($AH$4=$CJ$75,'S1'!AL55,
IF($AH$4=$CM$75,S3M!AL55,))))</f>
        <v>0</v>
      </c>
      <c r="CZ99">
        <f>IF($AH$4=$CK$75,'S2'!AM55,
IF($AH$4=$CL$75,'S3'!AM55,
IF($AH$4=$CJ$75,'S1'!AM55,
IF($AH$4=$CM$75,S3M!AM55,))))</f>
        <v>0</v>
      </c>
      <c r="DA99">
        <f>IF($AH$4=$CK$75,'S2'!AN55,
IF($AH$4=$CL$75,'S3'!AN55,
IF($AH$4=$CJ$75,'S1'!AN55,
IF($AH$4=$CM$75,S3M!AN55,))))</f>
        <v>0</v>
      </c>
      <c r="DB99">
        <f>IF($AH$4=$CK$75,'S2'!AO55,
IF($AH$4=$CL$75,'S3'!AO55,
IF($AH$4=$CJ$75,'S1'!AO55,
IF($AH$4=$CM$75,S3M!AO55,))))</f>
        <v>0</v>
      </c>
      <c r="DC99">
        <f>IF($AH$4=$CK$75,'S2'!AP55,
IF($AH$4=$CL$75,'S3'!AP55,
IF($AH$4=$CJ$75,'S1'!AP55,
IF($AH$4=$CM$75,S3M!AP55,))))</f>
        <v>0</v>
      </c>
      <c r="DD99">
        <f>IF($AH$4=$CK$75,'S2'!AQ55,
IF($AH$4=$CL$75,'S3'!AQ55,
IF($AH$4=$CJ$75,'S1'!AQ55,
IF($AH$4=$CM$75,S3M!AQ55,))))</f>
        <v>0</v>
      </c>
      <c r="DE99">
        <f>IF($AH$4=$CK$75,'S2'!AR55,
IF($AH$4=$CL$75,'S3'!AR55,
IF($AH$4=$CJ$75,'S1'!AR55,
IF($AH$4=$CM$75,S3M!AR55,))))</f>
        <v>0</v>
      </c>
      <c r="DF99">
        <f>IF($AH$4=$CK$75,'S2'!AS55,
IF($AH$4=$CL$75,'S3'!AS55,
IF($AH$4=$CJ$75,'S1'!AS55,
IF($AH$4=$CM$75,S3M!AS55,))))</f>
        <v>0</v>
      </c>
      <c r="DG99">
        <f>IF($AH$4=$CK$75,'S2'!AT55,
IF($AH$4=$CL$75,'S3'!AT55,
IF($AH$4=$CJ$75,'S1'!AT55,
IF($AH$4=$CM$75,S3M!AT55,))))</f>
        <v>0</v>
      </c>
      <c r="DH99">
        <f>IF($AH$4=$CK$75,'S2'!AU55,
IF($AH$4=$CL$75,'S3'!AU55,
IF($AH$4=$CJ$75,'S1'!AU55,
IF($AH$4=$CM$75,S3M!AU55,))))</f>
        <v>0</v>
      </c>
      <c r="DI99">
        <f>IF($AH$4=$CK$75,'S2'!AV55,
IF($AH$4=$CL$75,'S3'!AV55,
IF($AH$4=$CJ$75,'S1'!AV55,
IF($AH$4=$CM$75,S3M!AV55,))))</f>
        <v>0</v>
      </c>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row>
    <row r="100" spans="1:256" s="1" customFormat="1" x14ac:dyDescent="0.2">
      <c r="A100"/>
      <c r="B100"/>
      <c r="C100"/>
      <c r="D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f>DR68</f>
        <v>0</v>
      </c>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row>
    <row r="101" spans="1:256" s="1" customFormat="1" x14ac:dyDescent="0.2">
      <c r="A101"/>
      <c r="B101"/>
      <c r="C101"/>
      <c r="D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f>$DR$63</f>
        <v>0</v>
      </c>
      <c r="CV101">
        <f>IF($AH$4=$CK$75,'S2'!AI57,
IF($AH$4=$CL$75,'S3'!AI57,
IF($AH$4=$CJ$75,'S1'!AI57,
IF($AH$4=$CM$75,S3M!AI57,))))</f>
        <v>2300</v>
      </c>
      <c r="CW101">
        <f>IF($AH$4=$CK$75,'S2'!AJ57,
IF($AH$4=$CL$75,'S3'!AJ57,
IF($AH$4=$CJ$75,'S1'!AJ57,
IF($AH$4=$CM$75,S3M!AJ57,))))</f>
        <v>2300</v>
      </c>
      <c r="CX101">
        <f>IF($AH$4=$CK$75,'S2'!AK57,
IF($AH$4=$CL$75,'S3'!AK57,
IF($AH$4=$CJ$75,'S1'!AK57,
IF($AH$4=$CM$75,S3M!AK57,))))</f>
        <v>2300</v>
      </c>
      <c r="CY101">
        <f>IF($AH$4=$CK$75,'S2'!AL57,
IF($AH$4=$CL$75,'S3'!AL57,
IF($AH$4=$CJ$75,'S1'!AL57,
IF($AH$4=$CM$75,S3M!AL57,))))</f>
        <v>2300</v>
      </c>
      <c r="CZ101">
        <f>IF($AH$4=$CK$75,'S2'!AM57,
IF($AH$4=$CL$75,'S3'!AM57,
IF($AH$4=$CJ$75,'S1'!AM57,
IF($AH$4=$CM$75,S3M!AM57,))))</f>
        <v>2300</v>
      </c>
      <c r="DA101">
        <f>IF($AH$4=$CK$75,'S2'!AN57,
IF($AH$4=$CL$75,'S3'!AN57,
IF($AH$4=$CJ$75,'S1'!AN57,
IF($AH$4=$CM$75,S3M!AN57,))))</f>
        <v>2300</v>
      </c>
      <c r="DB101">
        <f>IF($AH$4=$CK$75,'S2'!AO57,
IF($AH$4=$CL$75,'S3'!AO57,
IF($AH$4=$CJ$75,'S1'!AO57,
IF($AH$4=$CM$75,S3M!AO57,))))</f>
        <v>0</v>
      </c>
      <c r="DC101">
        <f>IF($AH$4=$CK$75,'S2'!AP57,
IF($AH$4=$CL$75,'S3'!AP57,
IF($AH$4=$CJ$75,'S1'!AP57,
IF($AH$4=$CM$75,S3M!AP57,))))</f>
        <v>0</v>
      </c>
      <c r="DD101">
        <f>IF($AH$4=$CK$75,'S2'!AQ57,
IF($AH$4=$CL$75,'S3'!AQ57,
IF($AH$4=$CJ$75,'S1'!AQ57,
IF($AH$4=$CM$75,S3M!AQ57,))))</f>
        <v>0</v>
      </c>
      <c r="DE101">
        <f>IF($AH$4=$CK$75,'S2'!AR57,
IF($AH$4=$CL$75,'S3'!AR57,
IF($AH$4=$CJ$75,'S1'!AR57,
IF($AH$4=$CM$75,S3M!AR57,))))</f>
        <v>0</v>
      </c>
      <c r="DF101">
        <f>IF($AH$4=$CK$75,'S2'!AS57,
IF($AH$4=$CL$75,'S3'!AS57,
IF($AH$4=$CJ$75,'S1'!AS57,
IF($AH$4=$CM$75,S3M!AS57,))))</f>
        <v>0</v>
      </c>
      <c r="DG101">
        <f>IF($AH$4=$CK$75,'S2'!AT57,
IF($AH$4=$CL$75,'S3'!AT57,
IF($AH$4=$CJ$75,'S1'!AT57,
IF($AH$4=$CM$75,S3M!AT57,))))</f>
        <v>0</v>
      </c>
      <c r="DH101">
        <f>IF($AH$4=$CK$75,'S2'!AU57,
IF($AH$4=$CL$75,'S3'!AU57,
IF($AH$4=$CJ$75,'S1'!AU57,
IF($AH$4=$CM$75,S3M!AU57,))))</f>
        <v>0</v>
      </c>
      <c r="DI101">
        <f>IF($AH$4=$CK$75,'S2'!AV57,
IF($AH$4=$CL$75,'S3'!AV57,
IF($AH$4=$CJ$75,'S1'!AV57,
IF($AH$4=$CM$75,S3M!AV57,))))</f>
        <v>0</v>
      </c>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row>
    <row r="102" spans="1:256" s="1" customFormat="1" x14ac:dyDescent="0.2">
      <c r="A102"/>
      <c r="B102"/>
      <c r="C102"/>
      <c r="D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f>$DR$64</f>
        <v>0</v>
      </c>
      <c r="CV102">
        <f>IF($AH$4=$CK$75,'S2'!AI58,
IF($AH$4=$CL$75,'S3'!AI58,
IF($AH$4=$CJ$75,'S1'!AI58,
IF($AH$4=$CM$75,S3M!AI58,))))</f>
        <v>3500</v>
      </c>
      <c r="CW102">
        <f>IF($AH$4=$CK$75,'S2'!AJ58,
IF($AH$4=$CL$75,'S3'!AJ58,
IF($AH$4=$CJ$75,'S1'!AJ58,
IF($AH$4=$CM$75,S3M!AJ58,))))</f>
        <v>3500</v>
      </c>
      <c r="CX102">
        <f>IF($AH$4=$CK$75,'S2'!AK58,
IF($AH$4=$CL$75,'S3'!AK58,
IF($AH$4=$CJ$75,'S1'!AK58,
IF($AH$4=$CM$75,S3M!AK58,))))</f>
        <v>3500</v>
      </c>
      <c r="CY102">
        <f>IF($AH$4=$CK$75,'S2'!AL58,
IF($AH$4=$CL$75,'S3'!AL58,
IF($AH$4=$CJ$75,'S1'!AL58,
IF($AH$4=$CM$75,S3M!AL58,))))</f>
        <v>3500</v>
      </c>
      <c r="CZ102">
        <f>IF($AH$4=$CK$75,'S2'!AM58,
IF($AH$4=$CL$75,'S3'!AM58,
IF($AH$4=$CJ$75,'S1'!AM58,
IF($AH$4=$CM$75,S3M!AM58,))))</f>
        <v>3500</v>
      </c>
      <c r="DA102">
        <f>IF($AH$4=$CK$75,'S2'!AN58,
IF($AH$4=$CL$75,'S3'!AN58,
IF($AH$4=$CJ$75,'S1'!AN58,
IF($AH$4=$CM$75,S3M!AN58,))))</f>
        <v>3500</v>
      </c>
      <c r="DB102">
        <f>IF($AH$4=$CK$75,'S2'!AO58,
IF($AH$4=$CL$75,'S3'!AO58,
IF($AH$4=$CJ$75,'S1'!AO58,
IF($AH$4=$CM$75,S3M!AO58,))))</f>
        <v>0</v>
      </c>
      <c r="DC102">
        <f>IF($AH$4=$CK$75,'S2'!AP58,
IF($AH$4=$CL$75,'S3'!AP58,
IF($AH$4=$CJ$75,'S1'!AP58,
IF($AH$4=$CM$75,S3M!AP58,))))</f>
        <v>0</v>
      </c>
      <c r="DD102">
        <f>IF($AH$4=$CK$75,'S2'!AQ58,
IF($AH$4=$CL$75,'S3'!AQ58,
IF($AH$4=$CJ$75,'S1'!AQ58,
IF($AH$4=$CM$75,S3M!AQ58,))))</f>
        <v>0</v>
      </c>
      <c r="DE102">
        <f>IF($AH$4=$CK$75,'S2'!AR58,
IF($AH$4=$CL$75,'S3'!AR58,
IF($AH$4=$CJ$75,'S1'!AR58,
IF($AH$4=$CM$75,S3M!AR58,))))</f>
        <v>0</v>
      </c>
      <c r="DF102">
        <f>IF($AH$4=$CK$75,'S2'!AS58,
IF($AH$4=$CL$75,'S3'!AS58,
IF($AH$4=$CJ$75,'S1'!AS58,
IF($AH$4=$CM$75,S3M!AS58,))))</f>
        <v>0</v>
      </c>
      <c r="DG102">
        <f>IF($AH$4=$CK$75,'S2'!AT58,
IF($AH$4=$CL$75,'S3'!AT58,
IF($AH$4=$CJ$75,'S1'!AT58,
IF($AH$4=$CM$75,S3M!AT58,))))</f>
        <v>0</v>
      </c>
      <c r="DH102">
        <f>IF($AH$4=$CK$75,'S2'!AU58,
IF($AH$4=$CL$75,'S3'!AU58,
IF($AH$4=$CJ$75,'S1'!AU58,
IF($AH$4=$CM$75,S3M!AU58,))))</f>
        <v>0</v>
      </c>
      <c r="DI102">
        <f>IF($AH$4=$CK$75,'S2'!AV58,
IF($AH$4=$CL$75,'S3'!AV58,
IF($AH$4=$CJ$75,'S1'!AV58,
IF($AH$4=$CM$75,S3M!AV58,))))</f>
        <v>0</v>
      </c>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row>
    <row r="103" spans="1:256" s="1" customFormat="1" x14ac:dyDescent="0.2">
      <c r="A103"/>
      <c r="B103"/>
      <c r="C103"/>
      <c r="D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f>$DR$65</f>
        <v>0</v>
      </c>
      <c r="CV103">
        <f>IF($AH$4=$CK$75,'S2'!AI59,
IF($AH$4=$CL$75,'S3'!AI59,
IF($AH$4=$CJ$75,'S1'!AI59,
IF($AH$4=$CM$75,S3M!AI59,))))</f>
        <v>2300</v>
      </c>
      <c r="CW103">
        <f>IF($AH$4=$CK$75,'S2'!AJ59,
IF($AH$4=$CL$75,'S3'!AJ59,
IF($AH$4=$CJ$75,'S1'!AJ59,
IF($AH$4=$CM$75,S3M!AJ59,))))</f>
        <v>2300</v>
      </c>
      <c r="CX103">
        <f>IF($AH$4=$CK$75,'S2'!AK59,
IF($AH$4=$CL$75,'S3'!AK59,
IF($AH$4=$CJ$75,'S1'!AK59,
IF($AH$4=$CM$75,S3M!AK59,))))</f>
        <v>2300</v>
      </c>
      <c r="CY103">
        <f>IF($AH$4=$CK$75,'S2'!AL59,
IF($AH$4=$CL$75,'S3'!AL59,
IF($AH$4=$CJ$75,'S1'!AL59,
IF($AH$4=$CM$75,S3M!AL59,))))</f>
        <v>2300</v>
      </c>
      <c r="CZ103">
        <f>IF($AH$4=$CK$75,'S2'!AM59,
IF($AH$4=$CL$75,'S3'!AM59,
IF($AH$4=$CJ$75,'S1'!AM59,
IF($AH$4=$CM$75,S3M!AM59,))))</f>
        <v>2300</v>
      </c>
      <c r="DA103">
        <f>IF($AH$4=$CK$75,'S2'!AN59,
IF($AH$4=$CL$75,'S3'!AN59,
IF($AH$4=$CJ$75,'S1'!AN59,
IF($AH$4=$CM$75,S3M!AN59,))))</f>
        <v>2300</v>
      </c>
      <c r="DB103">
        <f>IF($AH$4=$CK$75,'S2'!AO59,
IF($AH$4=$CL$75,'S3'!AO59,
IF($AH$4=$CJ$75,'S1'!AO59,
IF($AH$4=$CM$75,S3M!AO59,))))</f>
        <v>0</v>
      </c>
      <c r="DC103">
        <f>IF($AH$4=$CK$75,'S2'!AP59,
IF($AH$4=$CL$75,'S3'!AP59,
IF($AH$4=$CJ$75,'S1'!AP59,
IF($AH$4=$CM$75,S3M!AP59,))))</f>
        <v>0</v>
      </c>
      <c r="DD103">
        <f>IF($AH$4=$CK$75,'S2'!AQ59,
IF($AH$4=$CL$75,'S3'!AQ59,
IF($AH$4=$CJ$75,'S1'!AQ59,
IF($AH$4=$CM$75,S3M!AQ59,))))</f>
        <v>0</v>
      </c>
      <c r="DE103">
        <f>IF($AH$4=$CK$75,'S2'!AR59,
IF($AH$4=$CL$75,'S3'!AR59,
IF($AH$4=$CJ$75,'S1'!AR59,
IF($AH$4=$CM$75,S3M!AR59,))))</f>
        <v>0</v>
      </c>
      <c r="DF103">
        <f>IF($AH$4=$CK$75,'S2'!AS59,
IF($AH$4=$CL$75,'S3'!AS59,
IF($AH$4=$CJ$75,'S1'!AS59,
IF($AH$4=$CM$75,S3M!AS59,))))</f>
        <v>0</v>
      </c>
      <c r="DG103">
        <f>IF($AH$4=$CK$75,'S2'!AT59,
IF($AH$4=$CL$75,'S3'!AT59,
IF($AH$4=$CJ$75,'S1'!AT59,
IF($AH$4=$CM$75,S3M!AT59,))))</f>
        <v>0</v>
      </c>
      <c r="DH103">
        <f>IF($AH$4=$CK$75,'S2'!AU59,
IF($AH$4=$CL$75,'S3'!AU59,
IF($AH$4=$CJ$75,'S1'!AU59,
IF($AH$4=$CM$75,S3M!AU59,))))</f>
        <v>0</v>
      </c>
      <c r="DI103">
        <f>IF($AH$4=$CK$75,'S2'!AV59,
IF($AH$4=$CL$75,'S3'!AV59,
IF($AH$4=$CJ$75,'S1'!AV59,
IF($AH$4=$CM$75,S3M!AV59,))))</f>
        <v>0</v>
      </c>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row>
    <row r="104" spans="1:256" s="1" customFormat="1" x14ac:dyDescent="0.2">
      <c r="A104"/>
      <c r="B104"/>
      <c r="C104"/>
      <c r="D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f>DU67</f>
        <v>0</v>
      </c>
      <c r="CV104">
        <f>IF($AH$4=$CK$75,'S2'!AI60,
IF($AH$4=$CL$75,'S3'!AI60,
IF($AH$4=$CJ$75,'S1'!AI60,
IF($AH$4=$CM$75,S3M!AI60,))))</f>
        <v>8</v>
      </c>
      <c r="CW104">
        <f>IF($AH$4=$CK$75,'S2'!AJ60,
IF($AH$4=$CL$75,'S3'!AJ60,
IF($AH$4=$CJ$75,'S1'!AJ60,
IF($AH$4=$CM$75,S3M!AJ60,))))</f>
        <v>8</v>
      </c>
      <c r="CX104">
        <f>IF($AH$4=$CK$75,'S2'!AK60,
IF($AH$4=$CL$75,'S3'!AK60,
IF($AH$4=$CJ$75,'S1'!AK60,
IF($AH$4=$CM$75,S3M!AK60,))))</f>
        <v>8</v>
      </c>
      <c r="CY104">
        <f>IF($AH$4=$CK$75,'S2'!AL60,
IF($AH$4=$CL$75,'S3'!AL60,
IF($AH$4=$CJ$75,'S1'!AL60,
IF($AH$4=$CM$75,S3M!AL60,))))</f>
        <v>8</v>
      </c>
      <c r="CZ104">
        <f>IF($AH$4=$CK$75,'S2'!AM60,
IF($AH$4=$CL$75,'S3'!AM60,
IF($AH$4=$CJ$75,'S1'!AM60,
IF($AH$4=$CM$75,S3M!AM60,))))</f>
        <v>8</v>
      </c>
      <c r="DA104">
        <f>IF($AH$4=$CK$75,'S2'!AN60,
IF($AH$4=$CL$75,'S3'!AN60,
IF($AH$4=$CJ$75,'S1'!AN60,
IF($AH$4=$CM$75,S3M!AN60,))))</f>
        <v>8</v>
      </c>
      <c r="DB104">
        <f>IF($AH$4=$CK$75,'S2'!AO60,
IF($AH$4=$CL$75,'S3'!AO60,
IF($AH$4=$CJ$75,'S1'!AO60,
IF($AH$4=$CM$75,S3M!AO60,))))</f>
        <v>0</v>
      </c>
      <c r="DC104">
        <f>IF($AH$4=$CK$75,'S2'!AP60,
IF($AH$4=$CL$75,'S3'!AP60,
IF($AH$4=$CJ$75,'S1'!AP60,
IF($AH$4=$CM$75,S3M!AP60,))))</f>
        <v>0</v>
      </c>
      <c r="DD104">
        <f>IF($AH$4=$CK$75,'S2'!AQ60,
IF($AH$4=$CL$75,'S3'!AQ60,
IF($AH$4=$CJ$75,'S1'!AQ60,
IF($AH$4=$CM$75,S3M!AQ60,))))</f>
        <v>0</v>
      </c>
      <c r="DE104">
        <f>IF($AH$4=$CK$75,'S2'!AR60,
IF($AH$4=$CL$75,'S3'!AR60,
IF($AH$4=$CJ$75,'S1'!AR60,
IF($AH$4=$CM$75,S3M!AR60,))))</f>
        <v>0</v>
      </c>
      <c r="DF104">
        <f>IF($AH$4=$CK$75,'S2'!AS60,
IF($AH$4=$CL$75,'S3'!AS60,
IF($AH$4=$CJ$75,'S1'!AS60,
IF($AH$4=$CM$75,S3M!AS60,))))</f>
        <v>0</v>
      </c>
      <c r="DG104">
        <f>IF($AH$4=$CK$75,'S2'!AT60,
IF($AH$4=$CL$75,'S3'!AT60,
IF($AH$4=$CJ$75,'S1'!AT60,
IF($AH$4=$CM$75,S3M!AT60,))))</f>
        <v>0</v>
      </c>
      <c r="DH104">
        <f>IF($AH$4=$CK$75,'S2'!AU60,
IF($AH$4=$CL$75,'S3'!AU60,
IF($AH$4=$CJ$75,'S1'!AU60,
IF($AH$4=$CM$75,S3M!AU60,))))</f>
        <v>0</v>
      </c>
      <c r="DI104">
        <f>IF($AH$4=$CK$75,'S2'!AV60,
IF($AH$4=$CL$75,'S3'!AV60,
IF($AH$4=$CJ$75,'S1'!AV60,
IF($AH$4=$CM$75,S3M!AV60,))))</f>
        <v>0</v>
      </c>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row>
    <row r="105" spans="1:256" s="1" customFormat="1" x14ac:dyDescent="0.2">
      <c r="A105"/>
      <c r="B105"/>
      <c r="C105"/>
      <c r="D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f>DU68</f>
        <v>0</v>
      </c>
      <c r="CV105">
        <f>IF($AH$4=$CK$75,'S2'!AI61,
IF($AH$4=$CL$75,'S3'!AI61,
IF($AH$4=$CJ$75,'S1'!AI61,
IF($AH$4=$CM$75,S3M!AI61,))))</f>
        <v>12.6</v>
      </c>
      <c r="CW105">
        <f>IF($AH$4=$CK$75,'S2'!AJ61,
IF($AH$4=$CL$75,'S3'!AJ61,
IF($AH$4=$CJ$75,'S1'!AJ61,
IF($AH$4=$CM$75,S3M!AJ61,))))</f>
        <v>12.6</v>
      </c>
      <c r="CX105">
        <f>IF($AH$4=$CK$75,'S2'!AK61,
IF($AH$4=$CL$75,'S3'!AK61,
IF($AH$4=$CJ$75,'S1'!AK61,
IF($AH$4=$CM$75,S3M!AK61,))))</f>
        <v>12.6</v>
      </c>
      <c r="CY105">
        <f>IF($AH$4=$CK$75,'S2'!AL61,
IF($AH$4=$CL$75,'S3'!AL61,
IF($AH$4=$CJ$75,'S1'!AL61,
IF($AH$4=$CM$75,S3M!AL61,))))</f>
        <v>12.6</v>
      </c>
      <c r="CZ105">
        <f>IF($AH$4=$CK$75,'S2'!AM61,
IF($AH$4=$CL$75,'S3'!AM61,
IF($AH$4=$CJ$75,'S1'!AM61,
IF($AH$4=$CM$75,S3M!AM61,))))</f>
        <v>12.6</v>
      </c>
      <c r="DA105">
        <f>IF($AH$4=$CK$75,'S2'!AN61,
IF($AH$4=$CL$75,'S3'!AN61,
IF($AH$4=$CJ$75,'S1'!AN61,
IF($AH$4=$CM$75,S3M!AN61,))))</f>
        <v>12.6</v>
      </c>
      <c r="DB105">
        <f>IF($AH$4=$CK$75,'S2'!AO61,
IF($AH$4=$CL$75,'S3'!AO61,
IF($AH$4=$CJ$75,'S1'!AO61,
IF($AH$4=$CM$75,S3M!AO61,))))</f>
        <v>0</v>
      </c>
      <c r="DC105">
        <f>IF($AH$4=$CK$75,'S2'!AP61,
IF($AH$4=$CL$75,'S3'!AP61,
IF($AH$4=$CJ$75,'S1'!AP61,
IF($AH$4=$CM$75,S3M!AP61,))))</f>
        <v>0</v>
      </c>
      <c r="DD105">
        <f>IF($AH$4=$CK$75,'S2'!AQ61,
IF($AH$4=$CL$75,'S3'!AQ61,
IF($AH$4=$CJ$75,'S1'!AQ61,
IF($AH$4=$CM$75,S3M!AQ61,))))</f>
        <v>0</v>
      </c>
      <c r="DE105">
        <f>IF($AH$4=$CK$75,'S2'!AR61,
IF($AH$4=$CL$75,'S3'!AR61,
IF($AH$4=$CJ$75,'S1'!AR61,
IF($AH$4=$CM$75,S3M!AR61,))))</f>
        <v>0</v>
      </c>
      <c r="DF105">
        <f>IF($AH$4=$CK$75,'S2'!AS61,
IF($AH$4=$CL$75,'S3'!AS61,
IF($AH$4=$CJ$75,'S1'!AS61,
IF($AH$4=$CM$75,S3M!AS61,))))</f>
        <v>0</v>
      </c>
      <c r="DG105">
        <f>IF($AH$4=$CK$75,'S2'!AT61,
IF($AH$4=$CL$75,'S3'!AT61,
IF($AH$4=$CJ$75,'S1'!AT61,
IF($AH$4=$CM$75,S3M!AT61,))))</f>
        <v>0</v>
      </c>
      <c r="DH105">
        <f>IF($AH$4=$CK$75,'S2'!AU61,
IF($AH$4=$CL$75,'S3'!AU61,
IF($AH$4=$CJ$75,'S1'!AU61,
IF($AH$4=$CM$75,S3M!AU61,))))</f>
        <v>0</v>
      </c>
      <c r="DI105">
        <f>IF($AH$4=$CK$75,'S2'!AV61,
IF($AH$4=$CL$75,'S3'!AV61,
IF($AH$4=$CJ$75,'S1'!AV61,
IF($AH$4=$CM$75,S3M!AV61,))))</f>
        <v>0</v>
      </c>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row>
    <row r="106" spans="1:256" s="1" customFormat="1" x14ac:dyDescent="0.2">
      <c r="A106"/>
      <c r="B106"/>
      <c r="C106"/>
      <c r="D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f>DZ58</f>
        <v>0</v>
      </c>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row>
    <row r="107" spans="1:256" s="1" customFormat="1" x14ac:dyDescent="0.2">
      <c r="A107"/>
      <c r="B107"/>
      <c r="C107"/>
      <c r="D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f>IF($AH$4=$CK$75,'S2'!AI63,
IF($AH$4=$CL$75,'S3'!AI63,
IF($AH$4=$CJ$75,'S1'!AI63,
IF($AH$4=$CM$75,S3M!AI63,))))</f>
        <v>0</v>
      </c>
      <c r="CW107" t="str">
        <f>IF($AH$4=$CK$75,'S2'!AJ63,
IF($AH$4=$CL$75,'S3'!AJ63,
IF($AH$4=$CJ$75,'S1'!AJ63,
IF($AH$4=$CM$75,S3M!AJ63,))))</f>
        <v>s</v>
      </c>
      <c r="CX107" t="str">
        <f>IF($AH$4=$CK$75,'S2'!AK63,
IF($AH$4=$CL$75,'S3'!AK63,
IF($AH$4=$CJ$75,'S1'!AK63,
IF($AH$4=$CM$75,S3M!AK63,))))</f>
        <v>c</v>
      </c>
      <c r="CY107">
        <f>IF($AH$4=$CK$75,'S2'!AL63,
IF($AH$4=$CL$75,'S3'!AL63,
IF($AH$4=$CJ$75,'S1'!AL63,
IF($AH$4=$CM$75,S3M!AL63,))))</f>
        <v>0</v>
      </c>
      <c r="CZ107">
        <f>IF($AH$4=$CK$75,'S2'!AM63,
IF($AH$4=$CL$75,'S3'!AM63,
IF($AH$4=$CJ$75,'S1'!AM63,
IF($AH$4=$CM$75,S3M!AM63,))))</f>
        <v>0</v>
      </c>
      <c r="DA107">
        <f>IF($AH$4=$CK$75,'S2'!AN63,
IF($AH$4=$CL$75,'S3'!AN63,
IF($AH$4=$CJ$75,'S1'!AN63,
IF($AH$4=$CM$75,S3M!AN63,))))</f>
        <v>0</v>
      </c>
      <c r="DB107">
        <f>IF($AH$4=$CK$75,'S2'!AO63,
IF($AH$4=$CL$75,'S3'!AO63,
IF($AH$4=$CJ$75,'S1'!AO63,
IF($AH$4=$CM$75,S3M!AO63,))))</f>
        <v>0</v>
      </c>
      <c r="DC107">
        <f>IF($AH$4=$CK$75,'S2'!AP63,
IF($AH$4=$CL$75,'S3'!AP63,
IF($AH$4=$CJ$75,'S1'!AP63,
IF($AH$4=$CM$75,S3M!AP63,))))</f>
        <v>0</v>
      </c>
      <c r="DD107">
        <f>IF($AH$4=$CK$75,'S2'!AQ63,
IF($AH$4=$CL$75,'S3'!AQ63,
IF($AH$4=$CJ$75,'S1'!AQ63,
IF($AH$4=$CM$75,S3M!AQ63,))))</f>
        <v>0</v>
      </c>
      <c r="DE107">
        <f>IF($AH$4=$CK$75,'S2'!AR63,
IF($AH$4=$CL$75,'S3'!AR63,
IF($AH$4=$CJ$75,'S1'!AR63,
IF($AH$4=$CM$75,S3M!AR63,))))</f>
        <v>0</v>
      </c>
      <c r="DF107">
        <f>IF($AH$4=$CK$75,'S2'!AS63,
IF($AH$4=$CL$75,'S3'!AS63,
IF($AH$4=$CJ$75,'S1'!AS63,
IF($AH$4=$CM$75,S3M!AS63,))))</f>
        <v>0</v>
      </c>
      <c r="DG107">
        <f>IF($AH$4=$CK$75,'S2'!AT63,
IF($AH$4=$CL$75,'S3'!AT63,
IF($AH$4=$CJ$75,'S1'!AT63,
IF($AH$4=$CM$75,S3M!AT63,))))</f>
        <v>0</v>
      </c>
      <c r="DH107">
        <f>IF($AH$4=$CK$75,'S2'!AU63,
IF($AH$4=$CL$75,'S3'!AU63,
IF($AH$4=$CJ$75,'S1'!AU63,
IF($AH$4=$CM$75,S3M!AU63,))))</f>
        <v>0</v>
      </c>
      <c r="DI107">
        <f>IF($AH$4=$CK$75,'S2'!AV63,
IF($AH$4=$CL$75,'S3'!AV63,
IF($AH$4=$CJ$75,'S1'!AV63,
IF($AH$4=$CM$75,S3M!AV63,))))</f>
        <v>0</v>
      </c>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row>
    <row r="108" spans="1:256" s="1" customFormat="1" x14ac:dyDescent="0.2">
      <c r="A108"/>
      <c r="B108"/>
      <c r="C108"/>
      <c r="D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f>IF($AH$4=$CK$75,'S2'!AI64,
IF($AH$4=$CL$75,'S3'!AI64,
IF($AH$4=$CJ$75,'S1'!AI64,
IF($AH$4=$CM$75,S3M!AI64,))))</f>
        <v>3200</v>
      </c>
      <c r="CW108">
        <f>IF($AH$4=$CK$75,'S2'!AJ64,
IF($AH$4=$CL$75,'S3'!AJ64,
IF($AH$4=$CJ$75,'S1'!AJ64,
IF($AH$4=$CM$75,S3M!AJ64,))))</f>
        <v>4500</v>
      </c>
      <c r="CX108">
        <f>IF($AH$4=$CK$75,'S2'!AK64,
IF($AH$4=$CL$75,'S3'!AK64,
IF($AH$4=$CJ$75,'S1'!AK64,
IF($AH$4=$CM$75,S3M!AK64,))))</f>
        <v>3600</v>
      </c>
      <c r="CY108">
        <f>IF($AH$4=$CK$75,'S2'!AL64,
IF($AH$4=$CL$75,'S3'!AL64,
IF($AH$4=$CJ$75,'S1'!AL64,
IF($AH$4=$CM$75,S3M!AL64,))))</f>
        <v>0</v>
      </c>
      <c r="CZ108">
        <f>IF($AH$4=$CK$75,'S2'!AM64,
IF($AH$4=$CL$75,'S3'!AM64,
IF($AH$4=$CJ$75,'S1'!AM64,
IF($AH$4=$CM$75,S3M!AM64,))))</f>
        <v>0</v>
      </c>
      <c r="DA108">
        <f>IF($AH$4=$CK$75,'S2'!AN64,
IF($AH$4=$CL$75,'S3'!AN64,
IF($AH$4=$CJ$75,'S1'!AN64,
IF($AH$4=$CM$75,S3M!AN64,))))</f>
        <v>0</v>
      </c>
      <c r="DB108">
        <f>IF($AH$4=$CK$75,'S2'!AO64,
IF($AH$4=$CL$75,'S3'!AO64,
IF($AH$4=$CJ$75,'S1'!AO64,
IF($AH$4=$CM$75,S3M!AO64,))))</f>
        <v>0</v>
      </c>
      <c r="DC108">
        <f>IF($AH$4=$CK$75,'S2'!AP64,
IF($AH$4=$CL$75,'S3'!AP64,
IF($AH$4=$CJ$75,'S1'!AP64,
IF($AH$4=$CM$75,S3M!AP64,))))</f>
        <v>0</v>
      </c>
      <c r="DD108">
        <f>IF($AH$4=$CK$75,'S2'!AQ64,
IF($AH$4=$CL$75,'S3'!AQ64,
IF($AH$4=$CJ$75,'S1'!AQ64,
IF($AH$4=$CM$75,S3M!AQ64,))))</f>
        <v>0</v>
      </c>
      <c r="DE108">
        <f>IF($AH$4=$CK$75,'S2'!AR64,
IF($AH$4=$CL$75,'S3'!AR64,
IF($AH$4=$CJ$75,'S1'!AR64,
IF($AH$4=$CM$75,S3M!AR64,))))</f>
        <v>0</v>
      </c>
      <c r="DF108">
        <f>IF($AH$4=$CK$75,'S2'!AS64,
IF($AH$4=$CL$75,'S3'!AS64,
IF($AH$4=$CJ$75,'S1'!AS64,
IF($AH$4=$CM$75,S3M!AS64,))))</f>
        <v>0</v>
      </c>
      <c r="DG108">
        <f>IF($AH$4=$CK$75,'S2'!AT64,
IF($AH$4=$CL$75,'S3'!AT64,
IF($AH$4=$CJ$75,'S1'!AT64,
IF($AH$4=$CM$75,S3M!AT64,))))</f>
        <v>0</v>
      </c>
      <c r="DH108">
        <f>IF($AH$4=$CK$75,'S2'!AU64,
IF($AH$4=$CL$75,'S3'!AU64,
IF($AH$4=$CJ$75,'S1'!AU64,
IF($AH$4=$CM$75,S3M!AU64,))))</f>
        <v>0</v>
      </c>
      <c r="DI108">
        <f>IF($AH$4=$CK$75,'S2'!AV64,
IF($AH$4=$CL$75,'S3'!AV64,
IF($AH$4=$CJ$75,'S1'!AV64,
IF($AH$4=$CM$75,S3M!AV64,))))</f>
        <v>0</v>
      </c>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row>
    <row r="109" spans="1:256" s="1" customFormat="1" x14ac:dyDescent="0.2">
      <c r="A109"/>
      <c r="B109"/>
      <c r="C109"/>
      <c r="D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f>IF($AH$4=$CK$75,'S2'!AI65,
IF($AH$4=$CL$75,'S3'!AI65,
IF($AH$4=$CJ$75,'S1'!AI65,
IF($AH$4=$CM$75,S3M!AI65,))))</f>
        <v>0</v>
      </c>
      <c r="CW109">
        <f>IF($AH$4=$CK$75,'S2'!AJ65,
IF($AH$4=$CL$75,'S3'!AJ65,
IF($AH$4=$CJ$75,'S1'!AJ65,
IF($AH$4=$CM$75,S3M!AJ65,))))</f>
        <v>0</v>
      </c>
      <c r="CX109">
        <f>IF($AH$4=$CK$75,'S2'!AK65,
IF($AH$4=$CL$75,'S3'!AK65,
IF($AH$4=$CJ$75,'S1'!AK65,
IF($AH$4=$CM$75,S3M!AK65,))))</f>
        <v>0</v>
      </c>
      <c r="CY109">
        <f>IF($AH$4=$CK$75,'S2'!AL65,
IF($AH$4=$CL$75,'S3'!AL65,
IF($AH$4=$CJ$75,'S1'!AL65,
IF($AH$4=$CM$75,S3M!AL65,))))</f>
        <v>0</v>
      </c>
      <c r="CZ109">
        <f>IF($AH$4=$CK$75,'S2'!AM65,
IF($AH$4=$CL$75,'S3'!AM65,
IF($AH$4=$CJ$75,'S1'!AM65,
IF($AH$4=$CM$75,S3M!AM65,))))</f>
        <v>0</v>
      </c>
      <c r="DA109">
        <f>IF($AH$4=$CK$75,'S2'!AN65,
IF($AH$4=$CL$75,'S3'!AN65,
IF($AH$4=$CJ$75,'S1'!AN65,
IF($AH$4=$CM$75,S3M!AN65,))))</f>
        <v>0</v>
      </c>
      <c r="DB109">
        <f>IF($AH$4=$CK$75,'S2'!AO65,
IF($AH$4=$CL$75,'S3'!AO65,
IF($AH$4=$CJ$75,'S1'!AO65,
IF($AH$4=$CM$75,S3M!AO65,))))</f>
        <v>0</v>
      </c>
      <c r="DC109">
        <f>IF($AH$4=$CK$75,'S2'!AP65,
IF($AH$4=$CL$75,'S3'!AP65,
IF($AH$4=$CJ$75,'S1'!AP65,
IF($AH$4=$CM$75,S3M!AP65,))))</f>
        <v>0</v>
      </c>
      <c r="DD109">
        <f>IF($AH$4=$CK$75,'S2'!AQ65,
IF($AH$4=$CL$75,'S3'!AQ65,
IF($AH$4=$CJ$75,'S1'!AQ65,
IF($AH$4=$CM$75,S3M!AQ65,))))</f>
        <v>0</v>
      </c>
      <c r="DE109">
        <f>IF($AH$4=$CK$75,'S2'!AR65,
IF($AH$4=$CL$75,'S3'!AR65,
IF($AH$4=$CJ$75,'S1'!AR65,
IF($AH$4=$CM$75,S3M!AR65,))))</f>
        <v>0</v>
      </c>
      <c r="DF109">
        <f>IF($AH$4=$CK$75,'S2'!AS65,
IF($AH$4=$CL$75,'S3'!AS65,
IF($AH$4=$CJ$75,'S1'!AS65,
IF($AH$4=$CM$75,S3M!AS65,))))</f>
        <v>0</v>
      </c>
      <c r="DG109">
        <f>IF($AH$4=$CK$75,'S2'!AT65,
IF($AH$4=$CL$75,'S3'!AT65,
IF($AH$4=$CJ$75,'S1'!AT65,
IF($AH$4=$CM$75,S3M!AT65,))))</f>
        <v>0</v>
      </c>
      <c r="DH109">
        <f>IF($AH$4=$CK$75,'S2'!AU65,
IF($AH$4=$CL$75,'S3'!AU65,
IF($AH$4=$CJ$75,'S1'!AU65,
IF($AH$4=$CM$75,S3M!AU65,))))</f>
        <v>0</v>
      </c>
      <c r="DI109">
        <f>IF($AH$4=$CK$75,'S2'!AV65,
IF($AH$4=$CL$75,'S3'!AV65,
IF($AH$4=$CJ$75,'S1'!AV65,
IF($AH$4=$CM$75,S3M!AV65,))))</f>
        <v>0</v>
      </c>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row>
    <row r="110" spans="1:256" s="1" customFormat="1" ht="30" customHeight="1" x14ac:dyDescent="0.2">
      <c r="A110"/>
      <c r="B110"/>
      <c r="C110"/>
      <c r="D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row>
    <row r="111" spans="1:256" s="1" customFormat="1" x14ac:dyDescent="0.2">
      <c r="A111"/>
      <c r="B111"/>
      <c r="C111"/>
      <c r="D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t="str">
        <f>MID($BF111,10,1)</f>
        <v/>
      </c>
      <c r="BR111" t="str">
        <f>MID($BF111,11,1)</f>
        <v/>
      </c>
      <c r="BS111" t="str">
        <f>MID($BF111,12,1)</f>
        <v/>
      </c>
      <c r="BT111" t="str">
        <f>MID($BF111,12,1)</f>
        <v/>
      </c>
      <c r="BU111" t="str">
        <f>MID($BF111,13,1)</f>
        <v/>
      </c>
      <c r="BV111" t="str">
        <f>MID($BF111,14,1)</f>
        <v/>
      </c>
      <c r="BW111" t="str">
        <f>MID($BF111,15,1)</f>
        <v/>
      </c>
      <c r="BX111" t="str">
        <f>MID($BF111,16,1)</f>
        <v/>
      </c>
      <c r="BY111" t="str">
        <f>MID($BF111,17,1)</f>
        <v/>
      </c>
      <c r="BZ111" t="str">
        <f>MID($BF111,18,1)</f>
        <v/>
      </c>
      <c r="CA111" t="str">
        <f>MID($BF111,19,1)</f>
        <v/>
      </c>
      <c r="CB111" t="str">
        <f>MID($BF111,20,1)</f>
        <v/>
      </c>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row>
    <row r="112" spans="1:256" s="1" customFormat="1" x14ac:dyDescent="0.2">
      <c r="A112"/>
      <c r="B112"/>
      <c r="C112"/>
      <c r="D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t="str">
        <f>MID($BF112,10,1)</f>
        <v/>
      </c>
      <c r="BR112" t="str">
        <f>MID($BF112,11,1)</f>
        <v/>
      </c>
      <c r="BS112" t="str">
        <f>MID($BF112,12,1)</f>
        <v/>
      </c>
      <c r="BT112" t="str">
        <f>MID($BF112,12,1)</f>
        <v/>
      </c>
      <c r="BU112" t="str">
        <f>MID($BF112,13,1)</f>
        <v/>
      </c>
      <c r="BV112" t="str">
        <f>MID($BF112,14,1)</f>
        <v/>
      </c>
      <c r="BW112" t="str">
        <f>MID($BF112,15,1)</f>
        <v/>
      </c>
      <c r="BX112" t="str">
        <f>MID($BF112,16,1)</f>
        <v/>
      </c>
      <c r="BY112" t="str">
        <f>MID($BF112,17,1)</f>
        <v/>
      </c>
      <c r="BZ112" t="str">
        <f>MID($BF112,18,1)</f>
        <v/>
      </c>
      <c r="CA112" t="str">
        <f>MID($BF112,19,1)</f>
        <v/>
      </c>
      <c r="CB112" t="str">
        <f>MID($BF112,20,1)</f>
        <v/>
      </c>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row>
    <row r="113" spans="1:256" s="52" customFormat="1" x14ac:dyDescent="0.2">
      <c r="A113"/>
      <c r="B113"/>
      <c r="C113"/>
      <c r="D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t="str">
        <f t="shared" ref="BQ113:BQ118" si="175">MID($BF113,10,1)</f>
        <v/>
      </c>
      <c r="BR113" t="str">
        <f t="shared" ref="BR113:BR118" si="176">MID($BF113,11,1)</f>
        <v/>
      </c>
      <c r="BS113" t="str">
        <f t="shared" ref="BS113:BT118" si="177">MID($BF113,12,1)</f>
        <v/>
      </c>
      <c r="BT113" t="str">
        <f t="shared" si="177"/>
        <v/>
      </c>
      <c r="BU113" t="str">
        <f t="shared" ref="BU113:BU118" si="178">MID($BF113,13,1)</f>
        <v/>
      </c>
      <c r="BV113" t="str">
        <f t="shared" ref="BV113:BV118" si="179">MID($BF113,14,1)</f>
        <v/>
      </c>
      <c r="BW113" t="str">
        <f t="shared" ref="BW113:BW118" si="180">MID($BF113,15,1)</f>
        <v/>
      </c>
      <c r="BX113" t="str">
        <f t="shared" ref="BX113:BX118" si="181">MID($BF113,16,1)</f>
        <v/>
      </c>
      <c r="BY113" t="str">
        <f t="shared" ref="BY113:BY118" si="182">MID($BF113,17,1)</f>
        <v/>
      </c>
      <c r="BZ113" t="str">
        <f t="shared" ref="BZ113:BZ118" si="183">MID($BF113,18,1)</f>
        <v/>
      </c>
      <c r="CA113" t="str">
        <f t="shared" ref="CA113:CA118" si="184">MID($BF113,19,1)</f>
        <v/>
      </c>
      <c r="CB113" t="str">
        <f t="shared" ref="CB113:CB119" si="185">MID($BF113,20,1)</f>
        <v/>
      </c>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row>
    <row r="114" spans="1:256" s="1" customFormat="1" x14ac:dyDescent="0.2">
      <c r="A114"/>
      <c r="B114"/>
      <c r="C114"/>
      <c r="D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t="str">
        <f t="shared" si="175"/>
        <v/>
      </c>
      <c r="BR114" t="str">
        <f t="shared" si="176"/>
        <v/>
      </c>
      <c r="BS114" t="str">
        <f t="shared" si="177"/>
        <v/>
      </c>
      <c r="BT114" t="str">
        <f t="shared" si="177"/>
        <v/>
      </c>
      <c r="BU114" t="str">
        <f t="shared" si="178"/>
        <v/>
      </c>
      <c r="BV114" t="str">
        <f t="shared" si="179"/>
        <v/>
      </c>
      <c r="BW114" t="str">
        <f t="shared" si="180"/>
        <v/>
      </c>
      <c r="BX114" t="str">
        <f t="shared" si="181"/>
        <v/>
      </c>
      <c r="BY114" t="str">
        <f t="shared" si="182"/>
        <v/>
      </c>
      <c r="BZ114" t="str">
        <f t="shared" si="183"/>
        <v/>
      </c>
      <c r="CA114" t="str">
        <f t="shared" si="184"/>
        <v/>
      </c>
      <c r="CB114" t="str">
        <f t="shared" si="185"/>
        <v/>
      </c>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f>IF($AH$4=$CK$75,'S2'!AH74,
IF($AH$4=$CL$75,'S3'!AH74,
IF($AH$4=$CJ$75,'S1'!AH74,
IF($AH$4=$CM$75,S3M!AH74,))))</f>
        <v>3501</v>
      </c>
      <c r="DL114">
        <f>IF($AH$4=$CK$75,'S2'!AI74,
IF($AH$4=$CL$75,'S3'!AI74,
IF($AH$4=$CJ$75,'S1'!AI74,
IF($AH$4=$CM$75,S3M!AI74,))))</f>
        <v>2501</v>
      </c>
      <c r="DM114">
        <f>IF($AH$4=$CK$75,'S2'!AJ74,
IF($AH$4=$CL$75,'S3'!AJ74,
IF($AH$4=$CJ$75,'S1'!AJ74,
IF($AH$4=$CM$75,S3M!AJ74,))))</f>
        <v>0.3</v>
      </c>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row>
    <row r="115" spans="1:256" s="1" customFormat="1" x14ac:dyDescent="0.2">
      <c r="A115"/>
      <c r="B115"/>
      <c r="C115"/>
      <c r="D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t="str">
        <f t="shared" si="175"/>
        <v/>
      </c>
      <c r="BR115" t="str">
        <f t="shared" si="176"/>
        <v/>
      </c>
      <c r="BS115" t="str">
        <f t="shared" si="177"/>
        <v/>
      </c>
      <c r="BT115" t="str">
        <f t="shared" si="177"/>
        <v/>
      </c>
      <c r="BU115" t="str">
        <f t="shared" si="178"/>
        <v/>
      </c>
      <c r="BV115" t="str">
        <f t="shared" si="179"/>
        <v/>
      </c>
      <c r="BW115" t="str">
        <f t="shared" si="180"/>
        <v/>
      </c>
      <c r="BX115" t="str">
        <f t="shared" si="181"/>
        <v/>
      </c>
      <c r="BY115" t="str">
        <f t="shared" si="182"/>
        <v/>
      </c>
      <c r="BZ115" t="str">
        <f t="shared" si="183"/>
        <v/>
      </c>
      <c r="CA115" t="str">
        <f t="shared" si="184"/>
        <v/>
      </c>
      <c r="CB115" t="str">
        <f t="shared" si="185"/>
        <v/>
      </c>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f>IF($AH$4=$CK$75,'S2'!AH75,
IF($AH$4=$CL$75,'S3'!AH75,
IF($AH$4=$CJ$75,'S1'!AH75,
IF($AH$4=$CM$75,S3M!AH75,))))</f>
        <v>3701</v>
      </c>
      <c r="DL115">
        <f>IF($AH$4=$CK$75,'S2'!AI75,
IF($AH$4=$CL$75,'S3'!AI75,
IF($AH$4=$CJ$75,'S1'!AI75,
IF($AH$4=$CM$75,S3M!AI75,))))</f>
        <v>2701</v>
      </c>
      <c r="DM115">
        <f>IF($AH$4=$CK$75,'S2'!AJ75,
IF($AH$4=$CL$75,'S3'!AJ75,
IF($AH$4=$CJ$75,'S1'!AJ75,
IF($AH$4=$CM$75,S3M!AJ75,))))</f>
        <v>0.6</v>
      </c>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row>
    <row r="116" spans="1:256" s="1" customFormat="1" x14ac:dyDescent="0.2">
      <c r="A116"/>
      <c r="B116"/>
      <c r="C116"/>
      <c r="D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t="str">
        <f t="shared" si="175"/>
        <v/>
      </c>
      <c r="BR116" t="str">
        <f t="shared" si="176"/>
        <v/>
      </c>
      <c r="BS116" t="str">
        <f t="shared" si="177"/>
        <v/>
      </c>
      <c r="BT116" t="str">
        <f t="shared" si="177"/>
        <v/>
      </c>
      <c r="BU116" t="str">
        <f t="shared" si="178"/>
        <v/>
      </c>
      <c r="BV116" t="str">
        <f t="shared" si="179"/>
        <v/>
      </c>
      <c r="BW116" t="str">
        <f t="shared" si="180"/>
        <v/>
      </c>
      <c r="BX116" t="str">
        <f t="shared" si="181"/>
        <v/>
      </c>
      <c r="BY116" t="str">
        <f t="shared" si="182"/>
        <v/>
      </c>
      <c r="BZ116" t="str">
        <f t="shared" si="183"/>
        <v/>
      </c>
      <c r="CA116" t="str">
        <f t="shared" si="184"/>
        <v/>
      </c>
      <c r="CB116" t="str">
        <f t="shared" si="185"/>
        <v/>
      </c>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f>IF($AH$4=$CK$75,'S2'!AH76,
IF($AH$4=$CL$75,'S3'!AH76,
IF($AH$4=$CJ$75,'S1'!AH76,
IF($AH$4=$CM$75,S3M!AH76,))))</f>
        <v>4001</v>
      </c>
      <c r="DL116">
        <f>IF($AH$4=$CK$75,'S2'!AI76,
IF($AH$4=$CL$75,'S3'!AI76,
IF($AH$4=$CJ$75,'S1'!AI76,
IF($AH$4=$CM$75,S3M!AI76,))))</f>
        <v>2801</v>
      </c>
      <c r="DM116">
        <f>IF($AH$4=$CK$75,'S2'!AJ76,
IF($AH$4=$CL$75,'S3'!AJ76,
IF($AH$4=$CJ$75,'S1'!AJ76,
IF($AH$4=$CM$75,S3M!AJ76,))))</f>
        <v>0.8</v>
      </c>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row>
    <row r="117" spans="1:256" s="1" customFormat="1" x14ac:dyDescent="0.2">
      <c r="A117"/>
      <c r="B117"/>
      <c r="C117"/>
      <c r="D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t="str">
        <f t="shared" si="175"/>
        <v/>
      </c>
      <c r="BR117" t="str">
        <f t="shared" si="176"/>
        <v/>
      </c>
      <c r="BS117" t="str">
        <f t="shared" si="177"/>
        <v/>
      </c>
      <c r="BT117" t="str">
        <f t="shared" si="177"/>
        <v/>
      </c>
      <c r="BU117" t="str">
        <f t="shared" si="178"/>
        <v/>
      </c>
      <c r="BV117" t="str">
        <f t="shared" si="179"/>
        <v/>
      </c>
      <c r="BW117" t="str">
        <f t="shared" si="180"/>
        <v/>
      </c>
      <c r="BX117" t="str">
        <f t="shared" si="181"/>
        <v/>
      </c>
      <c r="BY117" t="str">
        <f t="shared" si="182"/>
        <v/>
      </c>
      <c r="BZ117" t="str">
        <f t="shared" si="183"/>
        <v/>
      </c>
      <c r="CA117" t="str">
        <f t="shared" si="184"/>
        <v/>
      </c>
      <c r="CB117" t="str">
        <f t="shared" si="185"/>
        <v/>
      </c>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f>IF($AH$4=$CK$75,'S2'!AH77,
IF($AH$4=$CL$75,'S3'!AH77,
IF($AH$4=$CJ$75,'S1'!AH77,
IF($AH$4=$CM$75,S3M!AH77,))))</f>
        <v>4001</v>
      </c>
      <c r="DL117">
        <f>IF($AH$4=$CK$75,'S2'!AI77,
IF($AH$4=$CL$75,'S3'!AI77,
IF($AH$4=$CJ$75,'S1'!AI77,
IF($AH$4=$CM$75,S3M!AI77,))))</f>
        <v>3001</v>
      </c>
      <c r="DM117">
        <f>IF($AH$4=$CK$75,'S2'!AJ77,
IF($AH$4=$CL$75,'S3'!AJ77,
IF($AH$4=$CJ$75,'S1'!AJ77,
IF($AH$4=$CM$75,S3M!AJ77,))))</f>
        <v>1</v>
      </c>
      <c r="DN117"/>
      <c r="DO117"/>
      <c r="DP117">
        <f>DW73</f>
        <v>0</v>
      </c>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row>
    <row r="118" spans="1:256" s="1" customFormat="1" x14ac:dyDescent="0.2">
      <c r="A118"/>
      <c r="B118"/>
      <c r="C118"/>
      <c r="D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t="s">
        <v>221</v>
      </c>
      <c r="BK118" t="s">
        <v>222</v>
      </c>
      <c r="BL118" t="s">
        <v>223</v>
      </c>
      <c r="BM118"/>
      <c r="BN118"/>
      <c r="BO118"/>
      <c r="BP118"/>
      <c r="BQ118" t="str">
        <f t="shared" si="175"/>
        <v/>
      </c>
      <c r="BR118" t="str">
        <f t="shared" si="176"/>
        <v/>
      </c>
      <c r="BS118" t="str">
        <f t="shared" si="177"/>
        <v/>
      </c>
      <c r="BT118" t="str">
        <f t="shared" si="177"/>
        <v/>
      </c>
      <c r="BU118" t="str">
        <f t="shared" si="178"/>
        <v/>
      </c>
      <c r="BV118" t="str">
        <f t="shared" si="179"/>
        <v/>
      </c>
      <c r="BW118" t="str">
        <f t="shared" si="180"/>
        <v/>
      </c>
      <c r="BX118" t="str">
        <f t="shared" si="181"/>
        <v/>
      </c>
      <c r="BY118" t="str">
        <f t="shared" si="182"/>
        <v/>
      </c>
      <c r="BZ118" t="str">
        <f t="shared" si="183"/>
        <v/>
      </c>
      <c r="CA118" t="str">
        <f t="shared" si="184"/>
        <v/>
      </c>
      <c r="CB118" t="str">
        <f t="shared" si="185"/>
        <v/>
      </c>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f>DX73</f>
        <v>0</v>
      </c>
      <c r="DK118">
        <f>DY73</f>
        <v>0</v>
      </c>
      <c r="DL118" t="s">
        <v>936</v>
      </c>
      <c r="DM118"/>
      <c r="DN118">
        <f>DY73</f>
        <v>0</v>
      </c>
      <c r="DO118"/>
      <c r="DP118">
        <f>DX73</f>
        <v>0</v>
      </c>
      <c r="DQ118"/>
      <c r="DR118">
        <f>DY73</f>
        <v>0</v>
      </c>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row>
    <row r="119" spans="1:256" s="1" customFormat="1" x14ac:dyDescent="0.2">
      <c r="A119"/>
      <c r="B119"/>
      <c r="C119"/>
      <c r="D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t="s">
        <v>244</v>
      </c>
      <c r="BB119" t="s">
        <v>243</v>
      </c>
      <c r="BC119" t="s">
        <v>242</v>
      </c>
      <c r="BD119" t="s">
        <v>220</v>
      </c>
      <c r="BE119" t="s">
        <v>219</v>
      </c>
      <c r="BF119" t="s">
        <v>164</v>
      </c>
      <c r="BG119" t="s">
        <v>0</v>
      </c>
      <c r="BH119" t="s">
        <v>160</v>
      </c>
      <c r="BI119" t="s">
        <v>159</v>
      </c>
      <c r="BJ119"/>
      <c r="BK119" t="s">
        <v>223</v>
      </c>
      <c r="BL119"/>
      <c r="BM119"/>
      <c r="BN119"/>
      <c r="BO119"/>
      <c r="BP119"/>
      <c r="BQ119"/>
      <c r="BR119"/>
      <c r="BS119"/>
      <c r="BT119"/>
      <c r="BU119"/>
      <c r="BV119"/>
      <c r="BW119"/>
      <c r="BX119"/>
      <c r="BY119"/>
      <c r="BZ119"/>
      <c r="CA119"/>
      <c r="CB119" t="str">
        <f t="shared" si="185"/>
        <v/>
      </c>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f>DW74</f>
        <v>0</v>
      </c>
      <c r="DJ119">
        <f>DX74</f>
        <v>0</v>
      </c>
      <c r="DK119">
        <f>DY74</f>
        <v>0</v>
      </c>
      <c r="DL119">
        <f>DW75</f>
        <v>0</v>
      </c>
      <c r="DM119">
        <f>DX75</f>
        <v>0</v>
      </c>
      <c r="DN119">
        <f>DW75</f>
        <v>0</v>
      </c>
      <c r="DO119">
        <f>DX75</f>
        <v>0</v>
      </c>
      <c r="DP119">
        <f>DW75</f>
        <v>0</v>
      </c>
      <c r="DQ119">
        <f>DX75</f>
        <v>0</v>
      </c>
      <c r="DR119">
        <f>DW75</f>
        <v>0</v>
      </c>
      <c r="DS119">
        <f>DX75</f>
        <v>0</v>
      </c>
      <c r="DT119">
        <f>DX73</f>
        <v>0</v>
      </c>
      <c r="DU119">
        <f>DY73</f>
        <v>0</v>
      </c>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row>
    <row r="120" spans="1:256" s="1" customFormat="1" x14ac:dyDescent="0.2">
      <c r="A120"/>
      <c r="B120"/>
      <c r="C120"/>
      <c r="D120"/>
      <c r="P120"/>
      <c r="Q120"/>
      <c r="R120"/>
      <c r="S120"/>
      <c r="T120"/>
      <c r="U120"/>
      <c r="V120"/>
      <c r="W120"/>
      <c r="X120"/>
      <c r="Y120"/>
      <c r="Z120"/>
      <c r="AA120"/>
      <c r="AB120"/>
      <c r="AC120"/>
      <c r="AD120"/>
      <c r="AE120"/>
      <c r="AF120"/>
      <c r="AG120"/>
      <c r="AH120"/>
      <c r="AI120"/>
      <c r="AJ120"/>
      <c r="AK120"/>
      <c r="AL120"/>
      <c r="AM120"/>
      <c r="AN120"/>
      <c r="AO120">
        <v>1</v>
      </c>
      <c r="AP120" t="str">
        <f t="shared" ref="AP120:AQ123" si="186">CV120</f>
        <v/>
      </c>
      <c r="AQ120" t="str">
        <f t="shared" si="186"/>
        <v/>
      </c>
      <c r="AR120" t="str">
        <f>CONCATENATE(CX120,CZ120)</f>
        <v/>
      </c>
      <c r="AS120"/>
      <c r="AT120"/>
      <c r="AU120"/>
      <c r="AV120"/>
      <c r="AW120"/>
      <c r="AX120">
        <f>P5</f>
        <v>0</v>
      </c>
      <c r="AY120">
        <f>BD5-IF(BB120=1,1,)-IF(BC120=1,1,)</f>
        <v>0</v>
      </c>
      <c r="AZ120">
        <f>IF(BB120+BC121=10,1,IF(BC120+BB121=10,1,))</f>
        <v>0</v>
      </c>
      <c r="BA120">
        <f>IF(BB120+BC121=2,1,IF(BC120+BB121=2,1,))</f>
        <v>0</v>
      </c>
      <c r="BB120">
        <f>IF(BG120="F",IF(P5="L",1,IF(P5=2,1,)),IF(BG120="R",IF(P5="L",5,IF(P5="2",5,)),))</f>
        <v>0</v>
      </c>
      <c r="BC120">
        <f>IF(MID(CONCATENATE(CA120,BZ120,BY120,BX120,BW120,BV120,BU120,BT120,BS120,BR120,BQ120,BP120,BO120,BN120,BM120,BL120,BK120,BJ120,BI120,BH120,BG120),1,1)="F",IF(P5="R",1,IF(P5=2,1,)),
IF(MID(CONCATENATE(CA120,BZ120,BY120,BX120,BW120,BV120,BU120,BT120,BS120,BR120,BQ120,BP120,BO120,BN120,BM120,BL120,BK120,BJ120,BI120,BH120,BG120),1,1)="L",5,))</f>
        <v>0</v>
      </c>
      <c r="BD120">
        <f>IF($BH$119=CC120,1,)</f>
        <v>0</v>
      </c>
      <c r="BE120">
        <f>IF(MID(CONCATENATE(CA120,BZ120,BY120,BX120,BW120,BV120,BU120,BT120,BS120,BR120,BQ120,BP120,BO120,BN120,BM120,BL120,BK120,BJ120,BI120,BH120,BG120),1,1)="R",1,)</f>
        <v>0</v>
      </c>
      <c r="BF120" t="str">
        <f>T(Q5)</f>
        <v/>
      </c>
      <c r="BG120" t="str">
        <f t="shared" ref="BG120:BG160" si="187">MID($BF120,1,1)</f>
        <v/>
      </c>
      <c r="BH120" t="str">
        <f>MID($BF120,2,1)</f>
        <v/>
      </c>
      <c r="BI120" t="str">
        <f>MID($BF120,3,1)</f>
        <v/>
      </c>
      <c r="BJ120" t="str">
        <f>MID($BF120,4,1)</f>
        <v/>
      </c>
      <c r="BK120" t="str">
        <f>MID($BF120,5,1)</f>
        <v/>
      </c>
      <c r="BL120" t="str">
        <f>MID($BF120,6,1)</f>
        <v/>
      </c>
      <c r="BM120" t="str">
        <f>MID($BF120,7,1)</f>
        <v/>
      </c>
      <c r="BN120" t="str">
        <f>MID($BF120,8,1)</f>
        <v/>
      </c>
      <c r="BO120" t="str">
        <f>MID($BF120,9,1)</f>
        <v/>
      </c>
      <c r="BP120" t="str">
        <f>MID($BF120,10,1)</f>
        <v/>
      </c>
      <c r="BQ120" t="str">
        <f>MID($BF120,11,1)</f>
        <v/>
      </c>
      <c r="BR120" t="str">
        <f>MID($BF120,12,1)</f>
        <v/>
      </c>
      <c r="BS120" t="str">
        <f>MID($BF120,13,1)</f>
        <v/>
      </c>
      <c r="BT120" t="str">
        <f>MID($BF120,14,1)</f>
        <v/>
      </c>
      <c r="BU120" t="str">
        <f>MID($BF120,15,1)</f>
        <v/>
      </c>
      <c r="BV120" t="str">
        <f>MID($BF120,16,1)</f>
        <v/>
      </c>
      <c r="BW120" t="str">
        <f>MID($BF120,17,1)</f>
        <v/>
      </c>
      <c r="BX120" t="str">
        <f>MID($BF120,18,1)</f>
        <v/>
      </c>
      <c r="BY120" t="str">
        <f>MID($BF120,19,1)</f>
        <v/>
      </c>
      <c r="BZ120" t="str">
        <f>MID($BF120,20,1)</f>
        <v/>
      </c>
      <c r="CA120" t="str">
        <f>MID($BF120,21,1)</f>
        <v/>
      </c>
      <c r="CB120" t="str">
        <f>IF(BD120=1,$BK$119,"")</f>
        <v/>
      </c>
      <c r="CC120" t="str">
        <f t="shared" ref="CC120:CW120" si="188">IF(BG120="","",IF(BG120="f",$BG$119,IF(BG120="l",$BH$119,IF(BG120="r",$BI$119,1))))</f>
        <v/>
      </c>
      <c r="CD120" t="str">
        <f t="shared" si="188"/>
        <v/>
      </c>
      <c r="CE120" t="str">
        <f t="shared" si="188"/>
        <v/>
      </c>
      <c r="CF120" t="str">
        <f t="shared" si="188"/>
        <v/>
      </c>
      <c r="CG120" t="str">
        <f t="shared" si="188"/>
        <v/>
      </c>
      <c r="CH120" t="str">
        <f t="shared" si="188"/>
        <v/>
      </c>
      <c r="CI120" t="str">
        <f t="shared" si="188"/>
        <v/>
      </c>
      <c r="CJ120" t="str">
        <f t="shared" si="188"/>
        <v/>
      </c>
      <c r="CK120" t="str">
        <f t="shared" si="188"/>
        <v/>
      </c>
      <c r="CL120" t="str">
        <f t="shared" si="188"/>
        <v/>
      </c>
      <c r="CM120" t="str">
        <f t="shared" si="188"/>
        <v/>
      </c>
      <c r="CN120" t="str">
        <f t="shared" si="188"/>
        <v/>
      </c>
      <c r="CO120" t="str">
        <f t="shared" si="188"/>
        <v/>
      </c>
      <c r="CP120" t="str">
        <f t="shared" si="188"/>
        <v/>
      </c>
      <c r="CQ120" t="str">
        <f t="shared" si="188"/>
        <v/>
      </c>
      <c r="CR120" t="str">
        <f t="shared" si="188"/>
        <v/>
      </c>
      <c r="CS120" t="str">
        <f t="shared" si="188"/>
        <v/>
      </c>
      <c r="CT120" t="str">
        <f t="shared" si="188"/>
        <v/>
      </c>
      <c r="CU120" t="str">
        <f t="shared" si="188"/>
        <v/>
      </c>
      <c r="CV120" t="str">
        <f t="shared" si="188"/>
        <v/>
      </c>
      <c r="CW120" t="str">
        <f t="shared" si="188"/>
        <v/>
      </c>
      <c r="CX120" t="str">
        <f>CONCATENATE(CB120,CC120,CD120,CE120,CF120,CG120,CH120,CI120,CJ120,CK120,CL120,CM120,CN120,CO120,CP120,CQ120,CR120,CS120,CT120,CU120,CV120,CW120)</f>
        <v/>
      </c>
      <c r="CY120">
        <f>SUM(CC120:CW120)</f>
        <v>0</v>
      </c>
      <c r="CZ120" t="str">
        <f>IF(BE120=1,$BK$119,"")</f>
        <v/>
      </c>
      <c r="DA120"/>
      <c r="DB120"/>
      <c r="DC120"/>
      <c r="DD120"/>
      <c r="DE120"/>
      <c r="DF120"/>
      <c r="DG120"/>
      <c r="DH120"/>
      <c r="DI120" t="str">
        <f>IF($AQ5&gt;200,$AQ5,"")</f>
        <v/>
      </c>
      <c r="DJ120">
        <f>IFERROR(EJ5,"")</f>
        <v>0</v>
      </c>
      <c r="DK120">
        <f>IFERROR(IF(EK5=0,EJ5,EK5),"")</f>
        <v>0</v>
      </c>
      <c r="DL120">
        <f>MAX(DI120:DJ120)</f>
        <v>0</v>
      </c>
      <c r="DM120">
        <f>MIN(DI120:DJ120)</f>
        <v>0</v>
      </c>
      <c r="DN120">
        <f>MAX(DI120,DK120)</f>
        <v>0</v>
      </c>
      <c r="DO120">
        <f>MIN(DI120,DK120)</f>
        <v>0</v>
      </c>
      <c r="DP120">
        <f>IFERROR(LOOKUP(DL120,$DK$114:$DK$116,$DM$114:$DM$116),)</f>
        <v>0</v>
      </c>
      <c r="DQ120">
        <f>IFERROR(LOOKUP(DM120,$DL$114:$DL$117,$DM$114:$DM$117),)</f>
        <v>0</v>
      </c>
      <c r="DR120">
        <f>IFERROR(LOOKUP(DN120,$DK$114:$DK$116,$DM$114:$DM$116),)</f>
        <v>0</v>
      </c>
      <c r="DS120">
        <f>IFERROR(LOOKUP(DO120,$DL$114:$DL$117,$DM$114:$DM$117),)</f>
        <v>0</v>
      </c>
      <c r="DT120">
        <f>MAX(DP120:DQ120)</f>
        <v>0</v>
      </c>
      <c r="DU120">
        <f>MAX(DR120:DS120)</f>
        <v>0</v>
      </c>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row>
    <row r="121" spans="1:256" s="1" customFormat="1" x14ac:dyDescent="0.2">
      <c r="A121"/>
      <c r="B121"/>
      <c r="C121"/>
      <c r="D121"/>
      <c r="P121"/>
      <c r="Q121"/>
      <c r="R121"/>
      <c r="S121"/>
      <c r="T121"/>
      <c r="U121"/>
      <c r="V121"/>
      <c r="W121"/>
      <c r="X121"/>
      <c r="Y121"/>
      <c r="Z121"/>
      <c r="AA121"/>
      <c r="AB121"/>
      <c r="AC121"/>
      <c r="AD121"/>
      <c r="AE121"/>
      <c r="AF121"/>
      <c r="AG121"/>
      <c r="AH121"/>
      <c r="AI121"/>
      <c r="AJ121"/>
      <c r="AK121"/>
      <c r="AL121"/>
      <c r="AM121"/>
      <c r="AN121"/>
      <c r="AO121">
        <v>2</v>
      </c>
      <c r="AP121" t="str">
        <f t="shared" si="186"/>
        <v/>
      </c>
      <c r="AQ121" t="str">
        <f t="shared" si="186"/>
        <v/>
      </c>
      <c r="AR121" t="str">
        <f>CONCATENATE(CX121,CZ121)</f>
        <v/>
      </c>
      <c r="AS121"/>
      <c r="AT121"/>
      <c r="AU121"/>
      <c r="AV121"/>
      <c r="AW121"/>
      <c r="AX121">
        <f>P6</f>
        <v>0</v>
      </c>
      <c r="AY121">
        <f>BD6-IF(BB121=1,1,)-IF(BC121=1,1,)</f>
        <v>0</v>
      </c>
      <c r="AZ121">
        <f>IF(BB121+BC122=10,1,IF(BC121+BB122=10,1,))</f>
        <v>0</v>
      </c>
      <c r="BA121">
        <f>IF(BB121+BC122=2,1,IF(BC121+BB122=2,1,))</f>
        <v>0</v>
      </c>
      <c r="BB121">
        <f>IF(BG121="F",IF(P6="L",1,IF(P6=2,1,)),IF(BG121="R",IF(P6="L",5,IF(P6="2",5,)),))</f>
        <v>0</v>
      </c>
      <c r="BC121">
        <f>IF(MID(CONCATENATE(CA121,BZ121,BY121,BX121,BW121,BV121,BU121,BT121,BS121,BR121,BQ121,BP121,BO121,BN121,BM121,BL121,BK121,BJ121,BI121,BH121,BG121),1,1)="F",IF(P6="R",1,IF(P6=2,1,)),
IF(MID(CONCATENATE(CA121,BZ121,BY121,BX121,BW121,BV121,BU121,BT121,BS121,BR121,BQ121,BP121,BO121,BN121,BM121,BL121,BK121,BJ121,BI121,BH121,BG121),1,1)="L",5,))</f>
        <v>0</v>
      </c>
      <c r="BD121">
        <f>IF($BH$119=CC121,1,)</f>
        <v>0</v>
      </c>
      <c r="BE121">
        <f>IF(MID(CONCATENATE(CA121,BZ121,BY121,BX121,BW121,BV121,BU121,BT121,BS121,BR121,BQ121,BP121,BO121,BN121,BM121,BL121,BK121,BJ121,BI121,BH121,BG121),1,1)="R",1,)</f>
        <v>0</v>
      </c>
      <c r="BF121" t="str">
        <f>T(Q6)</f>
        <v/>
      </c>
      <c r="BG121" t="str">
        <f t="shared" si="187"/>
        <v/>
      </c>
      <c r="BH121" t="str">
        <f t="shared" ref="BH121:BH160" si="189">MID($BF121,2,1)</f>
        <v/>
      </c>
      <c r="BI121" t="str">
        <f t="shared" ref="BI121:BI160" si="190">MID($BF121,3,1)</f>
        <v/>
      </c>
      <c r="BJ121" t="str">
        <f t="shared" ref="BJ121:BJ160" si="191">MID($BF121,4,1)</f>
        <v/>
      </c>
      <c r="BK121" t="str">
        <f t="shared" ref="BK121:BK160" si="192">MID($BF121,5,1)</f>
        <v/>
      </c>
      <c r="BL121" t="str">
        <f t="shared" ref="BL121:BL160" si="193">MID($BF121,6,1)</f>
        <v/>
      </c>
      <c r="BM121" t="str">
        <f t="shared" ref="BM121:BM160" si="194">MID($BF121,7,1)</f>
        <v/>
      </c>
      <c r="BN121" t="str">
        <f t="shared" ref="BN121:BN160" si="195">MID($BF121,8,1)</f>
        <v/>
      </c>
      <c r="BO121" t="str">
        <f t="shared" ref="BO121:BO160" si="196">MID($BF121,9,1)</f>
        <v/>
      </c>
      <c r="BP121" t="str">
        <f t="shared" ref="BP121:BP160" si="197">MID($BF121,10,1)</f>
        <v/>
      </c>
      <c r="BQ121" t="str">
        <f t="shared" ref="BQ121:BQ160" si="198">MID($BF121,11,1)</f>
        <v/>
      </c>
      <c r="BR121" t="str">
        <f t="shared" ref="BR121:BR160" si="199">MID($BF121,12,1)</f>
        <v/>
      </c>
      <c r="BS121" t="str">
        <f t="shared" ref="BS121:BS160" si="200">MID($BF121,13,1)</f>
        <v/>
      </c>
      <c r="BT121" t="str">
        <f t="shared" ref="BT121:BT160" si="201">MID($BF121,14,1)</f>
        <v/>
      </c>
      <c r="BU121" t="str">
        <f t="shared" ref="BU121:BU160" si="202">MID($BF121,15,1)</f>
        <v/>
      </c>
      <c r="BV121" t="str">
        <f t="shared" ref="BV121:BV160" si="203">MID($BF121,16,1)</f>
        <v/>
      </c>
      <c r="BW121" t="str">
        <f t="shared" ref="BW121:BW160" si="204">MID($BF121,17,1)</f>
        <v/>
      </c>
      <c r="BX121" t="str">
        <f t="shared" ref="BX121:BX160" si="205">MID($BF121,18,1)</f>
        <v/>
      </c>
      <c r="BY121" t="str">
        <f t="shared" ref="BY121:BY160" si="206">MID($BF121,19,1)</f>
        <v/>
      </c>
      <c r="BZ121" t="str">
        <f t="shared" ref="BZ121:BZ160" si="207">MID($BF121,20,1)</f>
        <v/>
      </c>
      <c r="CA121" t="str">
        <f t="shared" ref="CA121:CA160" si="208">MID($BF121,21,1)</f>
        <v/>
      </c>
      <c r="CB121" t="str">
        <f>IF(BD121=1,$BK$119,"")</f>
        <v/>
      </c>
      <c r="CC121" t="str">
        <f t="shared" ref="CC121:CL123" si="209">IF(BG121="","",IF(BG121="f",$BG$119,IF(BG121="l",$BH$119,IF(BG121="r",$BI$119,1))))</f>
        <v/>
      </c>
      <c r="CD121" t="str">
        <f t="shared" si="209"/>
        <v/>
      </c>
      <c r="CE121" t="str">
        <f t="shared" si="209"/>
        <v/>
      </c>
      <c r="CF121" t="str">
        <f t="shared" si="209"/>
        <v/>
      </c>
      <c r="CG121" t="str">
        <f t="shared" si="209"/>
        <v/>
      </c>
      <c r="CH121" t="str">
        <f t="shared" si="209"/>
        <v/>
      </c>
      <c r="CI121" t="str">
        <f t="shared" si="209"/>
        <v/>
      </c>
      <c r="CJ121" t="str">
        <f t="shared" si="209"/>
        <v/>
      </c>
      <c r="CK121" t="str">
        <f t="shared" si="209"/>
        <v/>
      </c>
      <c r="CL121" t="str">
        <f t="shared" si="209"/>
        <v/>
      </c>
      <c r="CM121" t="str">
        <f t="shared" ref="CM121:CV123" si="210">IF(BQ121="","",IF(BQ121="f",$BG$119,IF(BQ121="l",$BH$119,IF(BQ121="r",$BI$119,1))))</f>
        <v/>
      </c>
      <c r="CN121" t="str">
        <f t="shared" si="210"/>
        <v/>
      </c>
      <c r="CO121" t="str">
        <f t="shared" si="210"/>
        <v/>
      </c>
      <c r="CP121" t="str">
        <f t="shared" si="210"/>
        <v/>
      </c>
      <c r="CQ121" t="str">
        <f t="shared" si="210"/>
        <v/>
      </c>
      <c r="CR121" t="str">
        <f t="shared" si="210"/>
        <v/>
      </c>
      <c r="CS121" t="str">
        <f t="shared" si="210"/>
        <v/>
      </c>
      <c r="CT121" t="str">
        <f t="shared" si="210"/>
        <v/>
      </c>
      <c r="CU121" t="str">
        <f t="shared" si="210"/>
        <v/>
      </c>
      <c r="CV121" t="str">
        <f t="shared" si="210"/>
        <v/>
      </c>
      <c r="CW121" t="str">
        <f>IF(CA121="","",IF(CA121="f",$BG$119,IF(CA121="l",$BH$119,IF(CA121="r",$BI$119,1))))</f>
        <v/>
      </c>
      <c r="CX121" t="str">
        <f>CONCATENATE(CB121,CC121,CD121,CE121,CF121,CG121,CH121,CI121,CJ121,CK121,CL121,CM121,CN121,CO121,CP121,CQ121,CR121,CS121,CT121,CU121,CV121,CW121)</f>
        <v/>
      </c>
      <c r="CY121">
        <f>SUM(CC121:CW121)</f>
        <v>0</v>
      </c>
      <c r="CZ121" t="str">
        <f>IF(BE121=1,$BK$119,"")</f>
        <v/>
      </c>
      <c r="DA121"/>
      <c r="DB121"/>
      <c r="DC121"/>
      <c r="DD121"/>
      <c r="DE121"/>
      <c r="DF121"/>
      <c r="DG121"/>
      <c r="DH121"/>
      <c r="DI121" t="str">
        <f>IF($AQ6&gt;200,$AQ6,"")</f>
        <v/>
      </c>
      <c r="DJ121">
        <f>IFERROR(EJ6,"")</f>
        <v>0</v>
      </c>
      <c r="DK121">
        <f>IFERROR(IF(EK6=0,EJ6,EK6),"")</f>
        <v>0</v>
      </c>
      <c r="DL121">
        <f>MAX(DI121:DJ121)</f>
        <v>0</v>
      </c>
      <c r="DM121">
        <f>MIN(DI121:DJ121)</f>
        <v>0</v>
      </c>
      <c r="DN121">
        <f>MAX(DI121,DK121)</f>
        <v>0</v>
      </c>
      <c r="DO121">
        <f>MIN(DI121,DK121)</f>
        <v>0</v>
      </c>
      <c r="DP121">
        <f>IFERROR(LOOKUP(DL121,$DK$114:$DK$116,$DM$114:$DM$116),)</f>
        <v>0</v>
      </c>
      <c r="DQ121">
        <f>IFERROR(LOOKUP(DM121,$DL$114:$DL$117,$DM$114:$DM$117),)</f>
        <v>0</v>
      </c>
      <c r="DR121">
        <f>IFERROR(LOOKUP(DN121,$DK$114:$DK$116,$DM$114:$DM$116),)</f>
        <v>0</v>
      </c>
      <c r="DS121">
        <f>IFERROR(LOOKUP(DO121,$DL$114:$DL$117,$DM$114:$DM$117),)</f>
        <v>0</v>
      </c>
      <c r="DT121">
        <f>MAX(DP121:DQ121)</f>
        <v>0</v>
      </c>
      <c r="DU121">
        <f>MAX(DR121:DS121)</f>
        <v>0</v>
      </c>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row>
    <row r="122" spans="1:256" s="1" customFormat="1" x14ac:dyDescent="0.2">
      <c r="A122"/>
      <c r="B122"/>
      <c r="C122"/>
      <c r="D122"/>
      <c r="P122"/>
      <c r="Q122"/>
      <c r="R122"/>
      <c r="S122"/>
      <c r="T122"/>
      <c r="U122"/>
      <c r="V122"/>
      <c r="W122"/>
      <c r="X122"/>
      <c r="Y122"/>
      <c r="Z122"/>
      <c r="AA122"/>
      <c r="AB122"/>
      <c r="AC122"/>
      <c r="AD122"/>
      <c r="AE122"/>
      <c r="AF122"/>
      <c r="AG122"/>
      <c r="AH122"/>
      <c r="AI122"/>
      <c r="AJ122"/>
      <c r="AK122"/>
      <c r="AL122"/>
      <c r="AM122"/>
      <c r="AN122"/>
      <c r="AO122">
        <v>3</v>
      </c>
      <c r="AP122" t="str">
        <f t="shared" si="186"/>
        <v/>
      </c>
      <c r="AQ122" t="str">
        <f t="shared" si="186"/>
        <v/>
      </c>
      <c r="AR122" t="str">
        <f>CONCATENATE(CX122,CZ122)</f>
        <v/>
      </c>
      <c r="AS122"/>
      <c r="AT122"/>
      <c r="AU122"/>
      <c r="AV122"/>
      <c r="AW122"/>
      <c r="AX122">
        <f>P7</f>
        <v>0</v>
      </c>
      <c r="AY122">
        <f>BD7-IF(BB122=1,1,)-IF(BC122=1,1,)</f>
        <v>0</v>
      </c>
      <c r="AZ122">
        <f>IF(BB122+BC123=10,1,IF(BC122+BB123=10,1,))</f>
        <v>0</v>
      </c>
      <c r="BA122">
        <f>IF(BB122+BC123=2,1,IF(BC122+BB123=2,1,))</f>
        <v>0</v>
      </c>
      <c r="BB122">
        <f>IF(BG122="F",IF(P7="L",1,IF(P7=2,1,)),IF(BG122="R",IF(P7="L",5,IF(P7="2",5,)),))</f>
        <v>0</v>
      </c>
      <c r="BC122">
        <f>IF(MID(CONCATENATE(CA122,BZ122,BY122,BX122,BW122,BV122,BU122,BT122,BS122,BR122,BQ122,BP122,BO122,BN122,BM122,BL122,BK122,BJ122,BI122,BH122,BG122),1,1)="F",IF(P7="R",1,IF(P7=2,1,)),
IF(MID(CONCATENATE(CA122,BZ122,BY122,BX122,BW122,BV122,BU122,BT122,BS122,BR122,BQ122,BP122,BO122,BN122,BM122,BL122,BK122,BJ122,BI122,BH122,BG122),1,1)="L",5,))</f>
        <v>0</v>
      </c>
      <c r="BD122">
        <f>IF($BH$119=CC122,1,)</f>
        <v>0</v>
      </c>
      <c r="BE122">
        <f>IF(MID(CONCATENATE(CA122,BZ122,BY122,BX122,BW122,BV122,BU122,BT122,BS122,BR122,BQ122,BP122,BO122,BN122,BM122,BL122,BK122,BJ122,BI122,BH122,BG122),1,1)="R",1,)</f>
        <v>0</v>
      </c>
      <c r="BF122" t="str">
        <f>T(Q7)</f>
        <v/>
      </c>
      <c r="BG122" t="str">
        <f t="shared" si="187"/>
        <v/>
      </c>
      <c r="BH122" t="str">
        <f t="shared" si="189"/>
        <v/>
      </c>
      <c r="BI122" t="str">
        <f t="shared" si="190"/>
        <v/>
      </c>
      <c r="BJ122" t="str">
        <f t="shared" si="191"/>
        <v/>
      </c>
      <c r="BK122" t="str">
        <f t="shared" si="192"/>
        <v/>
      </c>
      <c r="BL122" t="str">
        <f t="shared" si="193"/>
        <v/>
      </c>
      <c r="BM122" t="str">
        <f t="shared" si="194"/>
        <v/>
      </c>
      <c r="BN122" t="str">
        <f t="shared" si="195"/>
        <v/>
      </c>
      <c r="BO122" t="str">
        <f t="shared" si="196"/>
        <v/>
      </c>
      <c r="BP122" t="str">
        <f t="shared" si="197"/>
        <v/>
      </c>
      <c r="BQ122" t="str">
        <f t="shared" si="198"/>
        <v/>
      </c>
      <c r="BR122" t="str">
        <f t="shared" si="199"/>
        <v/>
      </c>
      <c r="BS122" t="str">
        <f t="shared" si="200"/>
        <v/>
      </c>
      <c r="BT122" t="str">
        <f t="shared" si="201"/>
        <v/>
      </c>
      <c r="BU122" t="str">
        <f t="shared" si="202"/>
        <v/>
      </c>
      <c r="BV122" t="str">
        <f t="shared" si="203"/>
        <v/>
      </c>
      <c r="BW122" t="str">
        <f t="shared" si="204"/>
        <v/>
      </c>
      <c r="BX122" t="str">
        <f t="shared" si="205"/>
        <v/>
      </c>
      <c r="BY122" t="str">
        <f t="shared" si="206"/>
        <v/>
      </c>
      <c r="BZ122" t="str">
        <f t="shared" si="207"/>
        <v/>
      </c>
      <c r="CA122" t="str">
        <f t="shared" si="208"/>
        <v/>
      </c>
      <c r="CB122" t="str">
        <f>IF(BD122=1,$BK$119,"")</f>
        <v/>
      </c>
      <c r="CC122" t="str">
        <f t="shared" si="209"/>
        <v/>
      </c>
      <c r="CD122" t="str">
        <f t="shared" si="209"/>
        <v/>
      </c>
      <c r="CE122" t="str">
        <f t="shared" si="209"/>
        <v/>
      </c>
      <c r="CF122" t="str">
        <f t="shared" si="209"/>
        <v/>
      </c>
      <c r="CG122" t="str">
        <f t="shared" si="209"/>
        <v/>
      </c>
      <c r="CH122" t="str">
        <f t="shared" si="209"/>
        <v/>
      </c>
      <c r="CI122" t="str">
        <f t="shared" si="209"/>
        <v/>
      </c>
      <c r="CJ122" t="str">
        <f t="shared" si="209"/>
        <v/>
      </c>
      <c r="CK122" t="str">
        <f t="shared" si="209"/>
        <v/>
      </c>
      <c r="CL122" t="str">
        <f t="shared" si="209"/>
        <v/>
      </c>
      <c r="CM122" t="str">
        <f t="shared" si="210"/>
        <v/>
      </c>
      <c r="CN122" t="str">
        <f t="shared" si="210"/>
        <v/>
      </c>
      <c r="CO122" t="str">
        <f t="shared" si="210"/>
        <v/>
      </c>
      <c r="CP122" t="str">
        <f t="shared" si="210"/>
        <v/>
      </c>
      <c r="CQ122" t="str">
        <f t="shared" si="210"/>
        <v/>
      </c>
      <c r="CR122" t="str">
        <f t="shared" si="210"/>
        <v/>
      </c>
      <c r="CS122" t="str">
        <f t="shared" si="210"/>
        <v/>
      </c>
      <c r="CT122" t="str">
        <f t="shared" si="210"/>
        <v/>
      </c>
      <c r="CU122" t="str">
        <f t="shared" si="210"/>
        <v/>
      </c>
      <c r="CV122" t="str">
        <f t="shared" si="210"/>
        <v/>
      </c>
      <c r="CW122" t="str">
        <f>IF(CA122="","",IF(CA122="f",$BG$119,IF(CA122="l",$BH$119,IF(CA122="r",$BI$119,1))))</f>
        <v/>
      </c>
      <c r="CX122" t="str">
        <f>CONCATENATE(CB122,CC122,CD122,CE122,CF122,CG122,CH122,CI122,CJ122,CK122,CL122,CM122,CN122,CO122,CP122,CQ122,CR122,CS122,CT122,CU122,CV122,CW122)</f>
        <v/>
      </c>
      <c r="CY122">
        <f>SUM(CC122:CW122)</f>
        <v>0</v>
      </c>
      <c r="CZ122" t="str">
        <f>IF(BE122=1,$BK$119,"")</f>
        <v/>
      </c>
      <c r="DA122"/>
      <c r="DB122"/>
      <c r="DC122"/>
      <c r="DD122"/>
      <c r="DE122"/>
      <c r="DF122"/>
      <c r="DG122"/>
      <c r="DH122"/>
      <c r="DI122" t="str">
        <f>IF($AQ7&gt;200,$AQ7,"")</f>
        <v/>
      </c>
      <c r="DJ122">
        <f>IFERROR(EJ7,"")</f>
        <v>0</v>
      </c>
      <c r="DK122">
        <f>IFERROR(IF(EK7=0,EJ7,EK7),"")</f>
        <v>0</v>
      </c>
      <c r="DL122">
        <f>MAX(DI122:DJ122)</f>
        <v>0</v>
      </c>
      <c r="DM122">
        <f>MIN(DI122:DJ122)</f>
        <v>0</v>
      </c>
      <c r="DN122">
        <f>MAX(DI122,DK122)</f>
        <v>0</v>
      </c>
      <c r="DO122">
        <f>MIN(DI122,DK122)</f>
        <v>0</v>
      </c>
      <c r="DP122">
        <f>IFERROR(LOOKUP(DL122,$DK$114:$DK$116,$DM$114:$DM$116),)</f>
        <v>0</v>
      </c>
      <c r="DQ122">
        <f>IFERROR(LOOKUP(DM122,$DL$114:$DL$117,$DM$114:$DM$117),)</f>
        <v>0</v>
      </c>
      <c r="DR122">
        <f>IFERROR(LOOKUP(DN122,$DK$114:$DK$116,$DM$114:$DM$116),)</f>
        <v>0</v>
      </c>
      <c r="DS122">
        <f>IFERROR(LOOKUP(DO122,$DL$114:$DL$117,$DM$114:$DM$117),)</f>
        <v>0</v>
      </c>
      <c r="DT122">
        <f>MAX(DP122:DQ122)</f>
        <v>0</v>
      </c>
      <c r="DU122">
        <f>MAX(DR122:DS122)</f>
        <v>0</v>
      </c>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row>
    <row r="123" spans="1:256" s="1" customFormat="1" x14ac:dyDescent="0.2">
      <c r="A123"/>
      <c r="B123"/>
      <c r="C123"/>
      <c r="D123"/>
      <c r="P123"/>
      <c r="Q123"/>
      <c r="R123"/>
      <c r="S123"/>
      <c r="T123"/>
      <c r="U123"/>
      <c r="V123"/>
      <c r="W123"/>
      <c r="X123"/>
      <c r="Y123"/>
      <c r="Z123"/>
      <c r="AA123"/>
      <c r="AB123"/>
      <c r="AC123"/>
      <c r="AD123"/>
      <c r="AE123"/>
      <c r="AF123"/>
      <c r="AG123"/>
      <c r="AH123"/>
      <c r="AI123"/>
      <c r="AJ123"/>
      <c r="AK123"/>
      <c r="AL123"/>
      <c r="AM123"/>
      <c r="AN123"/>
      <c r="AO123">
        <v>4</v>
      </c>
      <c r="AP123" t="str">
        <f t="shared" si="186"/>
        <v/>
      </c>
      <c r="AQ123" t="str">
        <f t="shared" si="186"/>
        <v/>
      </c>
      <c r="AR123" t="str">
        <f>CONCATENATE(CX123,CZ123)</f>
        <v/>
      </c>
      <c r="AS123"/>
      <c r="AT123"/>
      <c r="AU123"/>
      <c r="AV123"/>
      <c r="AW123"/>
      <c r="AX123">
        <f>P8</f>
        <v>0</v>
      </c>
      <c r="AY123">
        <f>BD8-IF(BB123=1,1,)-IF(BC123=1,1,)</f>
        <v>0</v>
      </c>
      <c r="AZ123">
        <f>IF(BB123+BC124=10,1,IF(BC123+BB124=10,1,))</f>
        <v>0</v>
      </c>
      <c r="BA123">
        <f>IF(BB123+BC124=2,1,IF(BC123+BB124=2,1,))</f>
        <v>0</v>
      </c>
      <c r="BB123">
        <f>IF(BG123="F",IF(P8="L",1,IF(P8=2,1,)),IF(BG123="R",IF(P8="L",5,IF(P8="2",5,)),))</f>
        <v>0</v>
      </c>
      <c r="BC123">
        <f>IF(MID(CONCATENATE(CA123,BZ123,BY123,BX123,BW123,BV123,BU123,BT123,BS123,BR123,BQ123,BP123,BO123,BN123,BM123,BL123,BK123,BJ123,BI123,BH123,BG123),1,1)="F",IF(P8="R",1,IF(P8=2,1,)),
IF(MID(CONCATENATE(CA123,BZ123,BY123,BX123,BW123,BV123,BU123,BT123,BS123,BR123,BQ123,BP123,BO123,BN123,BM123,BL123,BK123,BJ123,BI123,BH123,BG123),1,1)="L",5,))</f>
        <v>0</v>
      </c>
      <c r="BD123">
        <f>IF($BH$119=CC123,1,)</f>
        <v>0</v>
      </c>
      <c r="BE123">
        <f>IF(MID(CONCATENATE(CA123,BZ123,BY123,BX123,BW123,BV123,BU123,BT123,BS123,BR123,BQ123,BP123,BO123,BN123,BM123,BL123,BK123,BJ123,BI123,BH123,BG123),1,1)="R",1,)</f>
        <v>0</v>
      </c>
      <c r="BF123" t="str">
        <f>T(Q8)</f>
        <v/>
      </c>
      <c r="BG123" t="str">
        <f t="shared" si="187"/>
        <v/>
      </c>
      <c r="BH123" t="str">
        <f t="shared" si="189"/>
        <v/>
      </c>
      <c r="BI123" t="str">
        <f t="shared" si="190"/>
        <v/>
      </c>
      <c r="BJ123" t="str">
        <f t="shared" si="191"/>
        <v/>
      </c>
      <c r="BK123" t="str">
        <f t="shared" si="192"/>
        <v/>
      </c>
      <c r="BL123" t="str">
        <f t="shared" si="193"/>
        <v/>
      </c>
      <c r="BM123" t="str">
        <f t="shared" si="194"/>
        <v/>
      </c>
      <c r="BN123" t="str">
        <f t="shared" si="195"/>
        <v/>
      </c>
      <c r="BO123" t="str">
        <f t="shared" si="196"/>
        <v/>
      </c>
      <c r="BP123" t="str">
        <f t="shared" si="197"/>
        <v/>
      </c>
      <c r="BQ123" t="str">
        <f t="shared" si="198"/>
        <v/>
      </c>
      <c r="BR123" t="str">
        <f t="shared" si="199"/>
        <v/>
      </c>
      <c r="BS123" t="str">
        <f t="shared" si="200"/>
        <v/>
      </c>
      <c r="BT123" t="str">
        <f t="shared" si="201"/>
        <v/>
      </c>
      <c r="BU123" t="str">
        <f t="shared" si="202"/>
        <v/>
      </c>
      <c r="BV123" t="str">
        <f t="shared" si="203"/>
        <v/>
      </c>
      <c r="BW123" t="str">
        <f t="shared" si="204"/>
        <v/>
      </c>
      <c r="BX123" t="str">
        <f t="shared" si="205"/>
        <v/>
      </c>
      <c r="BY123" t="str">
        <f t="shared" si="206"/>
        <v/>
      </c>
      <c r="BZ123" t="str">
        <f t="shared" si="207"/>
        <v/>
      </c>
      <c r="CA123" t="str">
        <f t="shared" si="208"/>
        <v/>
      </c>
      <c r="CB123" t="str">
        <f>IF(BD123=1,$BK$119,"")</f>
        <v/>
      </c>
      <c r="CC123" t="str">
        <f t="shared" si="209"/>
        <v/>
      </c>
      <c r="CD123" t="str">
        <f t="shared" si="209"/>
        <v/>
      </c>
      <c r="CE123" t="str">
        <f t="shared" si="209"/>
        <v/>
      </c>
      <c r="CF123" t="str">
        <f t="shared" si="209"/>
        <v/>
      </c>
      <c r="CG123" t="str">
        <f t="shared" si="209"/>
        <v/>
      </c>
      <c r="CH123" t="str">
        <f t="shared" si="209"/>
        <v/>
      </c>
      <c r="CI123" t="str">
        <f t="shared" si="209"/>
        <v/>
      </c>
      <c r="CJ123" t="str">
        <f t="shared" si="209"/>
        <v/>
      </c>
      <c r="CK123" t="str">
        <f t="shared" si="209"/>
        <v/>
      </c>
      <c r="CL123" t="str">
        <f t="shared" si="209"/>
        <v/>
      </c>
      <c r="CM123" t="str">
        <f t="shared" si="210"/>
        <v/>
      </c>
      <c r="CN123" t="str">
        <f t="shared" si="210"/>
        <v/>
      </c>
      <c r="CO123" t="str">
        <f t="shared" si="210"/>
        <v/>
      </c>
      <c r="CP123" t="str">
        <f t="shared" si="210"/>
        <v/>
      </c>
      <c r="CQ123" t="str">
        <f t="shared" si="210"/>
        <v/>
      </c>
      <c r="CR123" t="str">
        <f t="shared" si="210"/>
        <v/>
      </c>
      <c r="CS123" t="str">
        <f t="shared" si="210"/>
        <v/>
      </c>
      <c r="CT123" t="str">
        <f t="shared" si="210"/>
        <v/>
      </c>
      <c r="CU123" t="str">
        <f t="shared" si="210"/>
        <v/>
      </c>
      <c r="CV123" t="str">
        <f t="shared" si="210"/>
        <v/>
      </c>
      <c r="CW123" t="str">
        <f>IF(CA123="","",IF(CA123="f",$BG$119,IF(CA123="l",$BH$119,IF(CA123="r",$BI$119,1))))</f>
        <v/>
      </c>
      <c r="CX123" t="str">
        <f>CONCATENATE(CB123,CC123,CD123,CE123,CF123,CG123,CH123,CI123,CJ123,CK123,CL123,CM123,CN123,CO123,CP123,CQ123,CR123,CS123,CT123,CU123,CV123,CW123)</f>
        <v/>
      </c>
      <c r="CY123">
        <f>SUM(CC123:CW123)</f>
        <v>0</v>
      </c>
      <c r="CZ123" t="str">
        <f>IF(BE123=1,$BK$119,"")</f>
        <v/>
      </c>
      <c r="DA123"/>
      <c r="DB123"/>
      <c r="DC123"/>
      <c r="DD123"/>
      <c r="DE123"/>
      <c r="DF123"/>
      <c r="DG123"/>
      <c r="DH123"/>
      <c r="DI123" t="str">
        <f>IF($AQ8&gt;200,$AQ8,"")</f>
        <v/>
      </c>
      <c r="DJ123">
        <f>IFERROR(EJ8,"")</f>
        <v>0</v>
      </c>
      <c r="DK123">
        <f>IFERROR(IF(EK8=0,EJ8,EK8),"")</f>
        <v>0</v>
      </c>
      <c r="DL123">
        <f>MAX(DI123:DJ123)</f>
        <v>0</v>
      </c>
      <c r="DM123">
        <f>MIN(DI123:DJ123)</f>
        <v>0</v>
      </c>
      <c r="DN123">
        <f>MAX(DI123,DK123)</f>
        <v>0</v>
      </c>
      <c r="DO123">
        <f>MIN(DI123,DK123)</f>
        <v>0</v>
      </c>
      <c r="DP123">
        <f>IFERROR(LOOKUP(DL123,$DK$114:$DK$116,$DM$114:$DM$116),)</f>
        <v>0</v>
      </c>
      <c r="DQ123">
        <f>IFERROR(LOOKUP(DM123,$DL$114:$DL$117,$DM$114:$DM$117),)</f>
        <v>0</v>
      </c>
      <c r="DR123">
        <f>IFERROR(LOOKUP(DN123,$DK$114:$DK$116,$DM$114:$DM$116),)</f>
        <v>0</v>
      </c>
      <c r="DS123">
        <f>IFERROR(LOOKUP(DO123,$DL$114:$DL$117,$DM$114:$DM$117),)</f>
        <v>0</v>
      </c>
      <c r="DT123">
        <f>MAX(DP123:DQ123)</f>
        <v>0</v>
      </c>
      <c r="DU123">
        <f>MAX(DR123:DS123)</f>
        <v>0</v>
      </c>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row>
    <row r="124" spans="1:256" s="1" customFormat="1" x14ac:dyDescent="0.2">
      <c r="A124"/>
      <c r="B124"/>
      <c r="C124"/>
      <c r="D124"/>
      <c r="P124"/>
      <c r="Q124"/>
      <c r="R124"/>
      <c r="S124"/>
      <c r="T124"/>
      <c r="U124"/>
      <c r="V124"/>
      <c r="W124"/>
      <c r="X124"/>
      <c r="Y124"/>
      <c r="Z124"/>
      <c r="AA124"/>
      <c r="AB124"/>
      <c r="AC124"/>
      <c r="AD124"/>
      <c r="AE124"/>
      <c r="AF124"/>
      <c r="AG124"/>
      <c r="AH124"/>
      <c r="AI124"/>
      <c r="AJ124"/>
      <c r="AK124"/>
      <c r="AL124"/>
      <c r="AM124"/>
      <c r="AN124"/>
      <c r="AO124">
        <v>5</v>
      </c>
      <c r="AP124" t="str">
        <f t="shared" ref="AP124:AP160" si="211">CV124</f>
        <v/>
      </c>
      <c r="AQ124" t="str">
        <f t="shared" ref="AQ124:AQ160" si="212">CW124</f>
        <v/>
      </c>
      <c r="AR124" t="str">
        <f t="shared" ref="AR124:AR160" si="213">CONCATENATE(CX124,CZ124)</f>
        <v/>
      </c>
      <c r="AS124"/>
      <c r="AT124"/>
      <c r="AU124"/>
      <c r="AV124"/>
      <c r="AW124"/>
      <c r="AX124">
        <f t="shared" ref="AX124:AX160" si="214">P9</f>
        <v>0</v>
      </c>
      <c r="AY124">
        <f t="shared" ref="AY124:AY160" si="215">BD9-IF(BB124=1,1,)-IF(BC124=1,1,)</f>
        <v>0</v>
      </c>
      <c r="AZ124">
        <f t="shared" ref="AZ124:AZ160" si="216">IF(BB124+BC125=10,1,IF(BC124+BB125=10,1,))</f>
        <v>0</v>
      </c>
      <c r="BA124">
        <f t="shared" ref="BA124:BA160" si="217">IF(BB124+BC125=2,1,IF(BC124+BB125=2,1,))</f>
        <v>0</v>
      </c>
      <c r="BB124">
        <f t="shared" ref="BB124:BB160" si="218">IF(BG124="F",IF(P9="L",1,IF(P9=2,1,)),IF(BG124="R",IF(P9="L",5,IF(P9="2",5,)),))</f>
        <v>0</v>
      </c>
      <c r="BC124">
        <f t="shared" ref="BC124:BC160" si="219">IF(MID(CONCATENATE(CA124,BZ124,BY124,BX124,BW124,BV124,BU124,BT124,BS124,BR124,BQ124,BP124,BO124,BN124,BM124,BL124,BK124,BJ124,BI124,BH124,BG124),1,1)="F",IF(P9="R",1,IF(P9=2,1,)),
IF(MID(CONCATENATE(CA124,BZ124,BY124,BX124,BW124,BV124,BU124,BT124,BS124,BR124,BQ124,BP124,BO124,BN124,BM124,BL124,BK124,BJ124,BI124,BH124,BG124),1,1)="L",5,))</f>
        <v>0</v>
      </c>
      <c r="BD124">
        <f t="shared" ref="BD124:BD160" si="220">IF($BH$119=CC124,1,)</f>
        <v>0</v>
      </c>
      <c r="BE124">
        <f t="shared" ref="BE124:BE160" si="221">IF(MID(CONCATENATE(CA124,BZ124,BY124,BX124,BW124,BV124,BU124,BT124,BS124,BR124,BQ124,BP124,BO124,BN124,BM124,BL124,BK124,BJ124,BI124,BH124,BG124),1,1)="R",1,)</f>
        <v>0</v>
      </c>
      <c r="BF124" t="str">
        <f t="shared" ref="BF124:BF160" si="222">T(Q9)</f>
        <v/>
      </c>
      <c r="BG124" t="str">
        <f t="shared" si="187"/>
        <v/>
      </c>
      <c r="BH124" t="str">
        <f t="shared" si="189"/>
        <v/>
      </c>
      <c r="BI124" t="str">
        <f t="shared" si="190"/>
        <v/>
      </c>
      <c r="BJ124" t="str">
        <f t="shared" si="191"/>
        <v/>
      </c>
      <c r="BK124" t="str">
        <f t="shared" si="192"/>
        <v/>
      </c>
      <c r="BL124" t="str">
        <f t="shared" si="193"/>
        <v/>
      </c>
      <c r="BM124" t="str">
        <f t="shared" si="194"/>
        <v/>
      </c>
      <c r="BN124" t="str">
        <f t="shared" si="195"/>
        <v/>
      </c>
      <c r="BO124" t="str">
        <f t="shared" si="196"/>
        <v/>
      </c>
      <c r="BP124" t="str">
        <f t="shared" si="197"/>
        <v/>
      </c>
      <c r="BQ124" t="str">
        <f t="shared" si="198"/>
        <v/>
      </c>
      <c r="BR124" t="str">
        <f t="shared" si="199"/>
        <v/>
      </c>
      <c r="BS124" t="str">
        <f t="shared" si="200"/>
        <v/>
      </c>
      <c r="BT124" t="str">
        <f t="shared" si="201"/>
        <v/>
      </c>
      <c r="BU124" t="str">
        <f t="shared" si="202"/>
        <v/>
      </c>
      <c r="BV124" t="str">
        <f t="shared" si="203"/>
        <v/>
      </c>
      <c r="BW124" t="str">
        <f t="shared" si="204"/>
        <v/>
      </c>
      <c r="BX124" t="str">
        <f t="shared" si="205"/>
        <v/>
      </c>
      <c r="BY124" t="str">
        <f t="shared" si="206"/>
        <v/>
      </c>
      <c r="BZ124" t="str">
        <f t="shared" si="207"/>
        <v/>
      </c>
      <c r="CA124" t="str">
        <f t="shared" si="208"/>
        <v/>
      </c>
      <c r="CB124" t="str">
        <f t="shared" ref="CB124:CB160" si="223">IF(BD124=1,$BK$119,"")</f>
        <v/>
      </c>
      <c r="CC124" t="str">
        <f t="shared" ref="CC124:CC160" si="224">IF(BG124="","",IF(BG124="f",$BG$119,IF(BG124="l",$BH$119,IF(BG124="r",$BI$119,1))))</f>
        <v/>
      </c>
      <c r="CD124" t="str">
        <f t="shared" ref="CD124:CD160" si="225">IF(BH124="","",IF(BH124="f",$BG$119,IF(BH124="l",$BH$119,IF(BH124="r",$BI$119,1))))</f>
        <v/>
      </c>
      <c r="CE124" t="str">
        <f t="shared" ref="CE124:CE160" si="226">IF(BI124="","",IF(BI124="f",$BG$119,IF(BI124="l",$BH$119,IF(BI124="r",$BI$119,1))))</f>
        <v/>
      </c>
      <c r="CF124" t="str">
        <f t="shared" ref="CF124:CF160" si="227">IF(BJ124="","",IF(BJ124="f",$BG$119,IF(BJ124="l",$BH$119,IF(BJ124="r",$BI$119,1))))</f>
        <v/>
      </c>
      <c r="CG124" t="str">
        <f t="shared" ref="CG124:CG160" si="228">IF(BK124="","",IF(BK124="f",$BG$119,IF(BK124="l",$BH$119,IF(BK124="r",$BI$119,1))))</f>
        <v/>
      </c>
      <c r="CH124" t="str">
        <f t="shared" ref="CH124:CH160" si="229">IF(BL124="","",IF(BL124="f",$BG$119,IF(BL124="l",$BH$119,IF(BL124="r",$BI$119,1))))</f>
        <v/>
      </c>
      <c r="CI124" t="str">
        <f t="shared" ref="CI124:CI160" si="230">IF(BM124="","",IF(BM124="f",$BG$119,IF(BM124="l",$BH$119,IF(BM124="r",$BI$119,1))))</f>
        <v/>
      </c>
      <c r="CJ124" t="str">
        <f t="shared" ref="CJ124:CJ160" si="231">IF(BN124="","",IF(BN124="f",$BG$119,IF(BN124="l",$BH$119,IF(BN124="r",$BI$119,1))))</f>
        <v/>
      </c>
      <c r="CK124" t="str">
        <f t="shared" ref="CK124:CK160" si="232">IF(BO124="","",IF(BO124="f",$BG$119,IF(BO124="l",$BH$119,IF(BO124="r",$BI$119,1))))</f>
        <v/>
      </c>
      <c r="CL124" t="str">
        <f t="shared" ref="CL124:CL160" si="233">IF(BP124="","",IF(BP124="f",$BG$119,IF(BP124="l",$BH$119,IF(BP124="r",$BI$119,1))))</f>
        <v/>
      </c>
      <c r="CM124" t="str">
        <f t="shared" ref="CM124:CM160" si="234">IF(BQ124="","",IF(BQ124="f",$BG$119,IF(BQ124="l",$BH$119,IF(BQ124="r",$BI$119,1))))</f>
        <v/>
      </c>
      <c r="CN124" t="str">
        <f t="shared" ref="CN124:CN160" si="235">IF(BR124="","",IF(BR124="f",$BG$119,IF(BR124="l",$BH$119,IF(BR124="r",$BI$119,1))))</f>
        <v/>
      </c>
      <c r="CO124" t="str">
        <f t="shared" ref="CO124:CO160" si="236">IF(BS124="","",IF(BS124="f",$BG$119,IF(BS124="l",$BH$119,IF(BS124="r",$BI$119,1))))</f>
        <v/>
      </c>
      <c r="CP124" t="str">
        <f t="shared" ref="CP124:CP160" si="237">IF(BT124="","",IF(BT124="f",$BG$119,IF(BT124="l",$BH$119,IF(BT124="r",$BI$119,1))))</f>
        <v/>
      </c>
      <c r="CQ124" t="str">
        <f t="shared" ref="CQ124:CQ160" si="238">IF(BU124="","",IF(BU124="f",$BG$119,IF(BU124="l",$BH$119,IF(BU124="r",$BI$119,1))))</f>
        <v/>
      </c>
      <c r="CR124" t="str">
        <f t="shared" ref="CR124:CR160" si="239">IF(BV124="","",IF(BV124="f",$BG$119,IF(BV124="l",$BH$119,IF(BV124="r",$BI$119,1))))</f>
        <v/>
      </c>
      <c r="CS124" t="str">
        <f t="shared" ref="CS124:CS160" si="240">IF(BW124="","",IF(BW124="f",$BG$119,IF(BW124="l",$BH$119,IF(BW124="r",$BI$119,1))))</f>
        <v/>
      </c>
      <c r="CT124" t="str">
        <f t="shared" ref="CT124:CT160" si="241">IF(BX124="","",IF(BX124="f",$BG$119,IF(BX124="l",$BH$119,IF(BX124="r",$BI$119,1))))</f>
        <v/>
      </c>
      <c r="CU124" t="str">
        <f t="shared" ref="CU124:CU160" si="242">IF(BY124="","",IF(BY124="f",$BG$119,IF(BY124="l",$BH$119,IF(BY124="r",$BI$119,1))))</f>
        <v/>
      </c>
      <c r="CV124" t="str">
        <f t="shared" ref="CV124:CV160" si="243">IF(BZ124="","",IF(BZ124="f",$BG$119,IF(BZ124="l",$BH$119,IF(BZ124="r",$BI$119,1))))</f>
        <v/>
      </c>
      <c r="CW124" t="str">
        <f t="shared" ref="CW124:CW160" si="244">IF(CA124="","",IF(CA124="f",$BG$119,IF(CA124="l",$BH$119,IF(CA124="r",$BI$119,1))))</f>
        <v/>
      </c>
      <c r="CX124" t="str">
        <f t="shared" ref="CX124:CX160" si="245">CONCATENATE(CB124,CC124,CD124,CE124,CF124,CG124,CH124,CI124,CJ124,CK124,CL124,CM124,CN124,CO124,CP124,CQ124,CR124,CS124,CT124,CU124,CV124,CW124)</f>
        <v/>
      </c>
      <c r="CY124">
        <f t="shared" ref="CY124:CY160" si="246">SUM(CC124:CW124)</f>
        <v>0</v>
      </c>
      <c r="CZ124" t="str">
        <f t="shared" ref="CZ124:CZ160" si="247">IF(BE124=1,$BK$119,"")</f>
        <v/>
      </c>
      <c r="DA124"/>
      <c r="DB124"/>
      <c r="DC124"/>
      <c r="DD124"/>
      <c r="DE124"/>
      <c r="DF124"/>
      <c r="DG124"/>
      <c r="DH124"/>
      <c r="DI124" t="str">
        <f t="shared" ref="DI124:DI160" si="248">IF($AQ9&gt;200,$AQ9,"")</f>
        <v/>
      </c>
      <c r="DJ124">
        <f t="shared" ref="DJ124:DJ160" si="249">IFERROR(EJ9,"")</f>
        <v>0</v>
      </c>
      <c r="DK124">
        <f t="shared" ref="DK124:DK160" si="250">IFERROR(IF(EK9=0,EJ9,EK9),"")</f>
        <v>0</v>
      </c>
      <c r="DL124">
        <f t="shared" ref="DL124:DL160" si="251">MAX(DI124:DJ124)</f>
        <v>0</v>
      </c>
      <c r="DM124">
        <f t="shared" ref="DM124:DM160" si="252">MIN(DI124:DJ124)</f>
        <v>0</v>
      </c>
      <c r="DN124">
        <f t="shared" ref="DN124:DN160" si="253">MAX(DI124,DK124)</f>
        <v>0</v>
      </c>
      <c r="DO124">
        <f t="shared" ref="DO124:DO160" si="254">MIN(DI124,DK124)</f>
        <v>0</v>
      </c>
      <c r="DP124">
        <f t="shared" ref="DP124:DP160" si="255">IFERROR(LOOKUP(DL124,$DK$114:$DK$116,$DM$114:$DM$116),)</f>
        <v>0</v>
      </c>
      <c r="DQ124">
        <f t="shared" ref="DQ124:DQ160" si="256">IFERROR(LOOKUP(DM124,$DL$114:$DL$117,$DM$114:$DM$117),)</f>
        <v>0</v>
      </c>
      <c r="DR124">
        <f t="shared" ref="DR124:DR160" si="257">IFERROR(LOOKUP(DN124,$DK$114:$DK$116,$DM$114:$DM$116),)</f>
        <v>0</v>
      </c>
      <c r="DS124">
        <f t="shared" ref="DS124:DS160" si="258">IFERROR(LOOKUP(DO124,$DL$114:$DL$117,$DM$114:$DM$117),)</f>
        <v>0</v>
      </c>
      <c r="DT124">
        <f t="shared" ref="DT124:DT160" si="259">MAX(DP124:DQ124)</f>
        <v>0</v>
      </c>
      <c r="DU124">
        <f t="shared" ref="DU124:DU160" si="260">MAX(DR124:DS124)</f>
        <v>0</v>
      </c>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row>
    <row r="125" spans="1:256" s="1" customFormat="1" x14ac:dyDescent="0.2">
      <c r="A125"/>
      <c r="B125"/>
      <c r="C125"/>
      <c r="D125"/>
      <c r="P125"/>
      <c r="Q125"/>
      <c r="R125"/>
      <c r="S125"/>
      <c r="T125"/>
      <c r="U125"/>
      <c r="V125"/>
      <c r="W125"/>
      <c r="X125"/>
      <c r="Y125"/>
      <c r="Z125"/>
      <c r="AA125"/>
      <c r="AB125"/>
      <c r="AC125"/>
      <c r="AD125"/>
      <c r="AE125"/>
      <c r="AF125"/>
      <c r="AG125"/>
      <c r="AH125"/>
      <c r="AI125"/>
      <c r="AJ125"/>
      <c r="AK125"/>
      <c r="AL125"/>
      <c r="AM125"/>
      <c r="AN125"/>
      <c r="AO125">
        <v>6</v>
      </c>
      <c r="AP125" t="str">
        <f t="shared" si="211"/>
        <v/>
      </c>
      <c r="AQ125" t="str">
        <f t="shared" si="212"/>
        <v/>
      </c>
      <c r="AR125" t="str">
        <f t="shared" si="213"/>
        <v/>
      </c>
      <c r="AS125"/>
      <c r="AT125"/>
      <c r="AU125"/>
      <c r="AV125"/>
      <c r="AW125"/>
      <c r="AX125">
        <f t="shared" si="214"/>
        <v>0</v>
      </c>
      <c r="AY125">
        <f t="shared" si="215"/>
        <v>0</v>
      </c>
      <c r="AZ125">
        <f t="shared" si="216"/>
        <v>0</v>
      </c>
      <c r="BA125">
        <f t="shared" si="217"/>
        <v>0</v>
      </c>
      <c r="BB125">
        <f t="shared" si="218"/>
        <v>0</v>
      </c>
      <c r="BC125">
        <f t="shared" si="219"/>
        <v>0</v>
      </c>
      <c r="BD125">
        <f t="shared" si="220"/>
        <v>0</v>
      </c>
      <c r="BE125">
        <f t="shared" si="221"/>
        <v>0</v>
      </c>
      <c r="BF125" t="str">
        <f t="shared" si="222"/>
        <v/>
      </c>
      <c r="BG125" t="str">
        <f t="shared" si="187"/>
        <v/>
      </c>
      <c r="BH125" t="str">
        <f t="shared" si="189"/>
        <v/>
      </c>
      <c r="BI125" t="str">
        <f t="shared" si="190"/>
        <v/>
      </c>
      <c r="BJ125" t="str">
        <f t="shared" si="191"/>
        <v/>
      </c>
      <c r="BK125" t="str">
        <f t="shared" si="192"/>
        <v/>
      </c>
      <c r="BL125" t="str">
        <f t="shared" si="193"/>
        <v/>
      </c>
      <c r="BM125" t="str">
        <f t="shared" si="194"/>
        <v/>
      </c>
      <c r="BN125" t="str">
        <f t="shared" si="195"/>
        <v/>
      </c>
      <c r="BO125" t="str">
        <f t="shared" si="196"/>
        <v/>
      </c>
      <c r="BP125" t="str">
        <f t="shared" si="197"/>
        <v/>
      </c>
      <c r="BQ125" t="str">
        <f t="shared" si="198"/>
        <v/>
      </c>
      <c r="BR125" t="str">
        <f t="shared" si="199"/>
        <v/>
      </c>
      <c r="BS125" t="str">
        <f t="shared" si="200"/>
        <v/>
      </c>
      <c r="BT125" t="str">
        <f t="shared" si="201"/>
        <v/>
      </c>
      <c r="BU125" t="str">
        <f t="shared" si="202"/>
        <v/>
      </c>
      <c r="BV125" t="str">
        <f t="shared" si="203"/>
        <v/>
      </c>
      <c r="BW125" t="str">
        <f t="shared" si="204"/>
        <v/>
      </c>
      <c r="BX125" t="str">
        <f t="shared" si="205"/>
        <v/>
      </c>
      <c r="BY125" t="str">
        <f t="shared" si="206"/>
        <v/>
      </c>
      <c r="BZ125" t="str">
        <f t="shared" si="207"/>
        <v/>
      </c>
      <c r="CA125" t="str">
        <f t="shared" si="208"/>
        <v/>
      </c>
      <c r="CB125" t="str">
        <f t="shared" si="223"/>
        <v/>
      </c>
      <c r="CC125" t="str">
        <f t="shared" si="224"/>
        <v/>
      </c>
      <c r="CD125" t="str">
        <f t="shared" si="225"/>
        <v/>
      </c>
      <c r="CE125" t="str">
        <f t="shared" si="226"/>
        <v/>
      </c>
      <c r="CF125" t="str">
        <f t="shared" si="227"/>
        <v/>
      </c>
      <c r="CG125" t="str">
        <f t="shared" si="228"/>
        <v/>
      </c>
      <c r="CH125" t="str">
        <f t="shared" si="229"/>
        <v/>
      </c>
      <c r="CI125" t="str">
        <f t="shared" si="230"/>
        <v/>
      </c>
      <c r="CJ125" t="str">
        <f t="shared" si="231"/>
        <v/>
      </c>
      <c r="CK125" t="str">
        <f t="shared" si="232"/>
        <v/>
      </c>
      <c r="CL125" t="str">
        <f t="shared" si="233"/>
        <v/>
      </c>
      <c r="CM125" t="str">
        <f t="shared" si="234"/>
        <v/>
      </c>
      <c r="CN125" t="str">
        <f t="shared" si="235"/>
        <v/>
      </c>
      <c r="CO125" t="str">
        <f t="shared" si="236"/>
        <v/>
      </c>
      <c r="CP125" t="str">
        <f t="shared" si="237"/>
        <v/>
      </c>
      <c r="CQ125" t="str">
        <f t="shared" si="238"/>
        <v/>
      </c>
      <c r="CR125" t="str">
        <f t="shared" si="239"/>
        <v/>
      </c>
      <c r="CS125" t="str">
        <f t="shared" si="240"/>
        <v/>
      </c>
      <c r="CT125" t="str">
        <f t="shared" si="241"/>
        <v/>
      </c>
      <c r="CU125" t="str">
        <f t="shared" si="242"/>
        <v/>
      </c>
      <c r="CV125" t="str">
        <f t="shared" si="243"/>
        <v/>
      </c>
      <c r="CW125" t="str">
        <f t="shared" si="244"/>
        <v/>
      </c>
      <c r="CX125" t="str">
        <f t="shared" si="245"/>
        <v/>
      </c>
      <c r="CY125">
        <f t="shared" si="246"/>
        <v>0</v>
      </c>
      <c r="CZ125" t="str">
        <f t="shared" si="247"/>
        <v/>
      </c>
      <c r="DA125"/>
      <c r="DB125"/>
      <c r="DC125"/>
      <c r="DD125"/>
      <c r="DE125"/>
      <c r="DF125"/>
      <c r="DG125"/>
      <c r="DH125"/>
      <c r="DI125" t="str">
        <f t="shared" si="248"/>
        <v/>
      </c>
      <c r="DJ125">
        <f t="shared" si="249"/>
        <v>0</v>
      </c>
      <c r="DK125">
        <f t="shared" si="250"/>
        <v>0</v>
      </c>
      <c r="DL125">
        <f t="shared" si="251"/>
        <v>0</v>
      </c>
      <c r="DM125">
        <f t="shared" si="252"/>
        <v>0</v>
      </c>
      <c r="DN125">
        <f t="shared" si="253"/>
        <v>0</v>
      </c>
      <c r="DO125">
        <f t="shared" si="254"/>
        <v>0</v>
      </c>
      <c r="DP125">
        <f t="shared" si="255"/>
        <v>0</v>
      </c>
      <c r="DQ125">
        <f t="shared" si="256"/>
        <v>0</v>
      </c>
      <c r="DR125">
        <f t="shared" si="257"/>
        <v>0</v>
      </c>
      <c r="DS125">
        <f t="shared" si="258"/>
        <v>0</v>
      </c>
      <c r="DT125">
        <f t="shared" si="259"/>
        <v>0</v>
      </c>
      <c r="DU125">
        <f t="shared" si="260"/>
        <v>0</v>
      </c>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row>
    <row r="126" spans="1:256" s="1" customFormat="1" x14ac:dyDescent="0.2">
      <c r="A126"/>
      <c r="B126"/>
      <c r="C126"/>
      <c r="D126"/>
      <c r="P126"/>
      <c r="Q126"/>
      <c r="R126"/>
      <c r="S126"/>
      <c r="T126"/>
      <c r="U126"/>
      <c r="V126"/>
      <c r="W126"/>
      <c r="X126"/>
      <c r="Y126"/>
      <c r="Z126"/>
      <c r="AA126"/>
      <c r="AB126"/>
      <c r="AC126"/>
      <c r="AD126"/>
      <c r="AE126"/>
      <c r="AF126"/>
      <c r="AG126"/>
      <c r="AH126"/>
      <c r="AI126"/>
      <c r="AJ126"/>
      <c r="AK126"/>
      <c r="AL126"/>
      <c r="AM126"/>
      <c r="AN126"/>
      <c r="AO126">
        <v>7</v>
      </c>
      <c r="AP126" t="str">
        <f t="shared" si="211"/>
        <v/>
      </c>
      <c r="AQ126" t="str">
        <f t="shared" si="212"/>
        <v/>
      </c>
      <c r="AR126" t="str">
        <f t="shared" si="213"/>
        <v/>
      </c>
      <c r="AS126"/>
      <c r="AT126"/>
      <c r="AU126"/>
      <c r="AV126"/>
      <c r="AW126"/>
      <c r="AX126">
        <f t="shared" si="214"/>
        <v>0</v>
      </c>
      <c r="AY126">
        <f t="shared" si="215"/>
        <v>0</v>
      </c>
      <c r="AZ126">
        <f t="shared" si="216"/>
        <v>0</v>
      </c>
      <c r="BA126">
        <f t="shared" si="217"/>
        <v>0</v>
      </c>
      <c r="BB126">
        <f t="shared" si="218"/>
        <v>0</v>
      </c>
      <c r="BC126">
        <f t="shared" si="219"/>
        <v>0</v>
      </c>
      <c r="BD126">
        <f t="shared" si="220"/>
        <v>0</v>
      </c>
      <c r="BE126">
        <f t="shared" si="221"/>
        <v>0</v>
      </c>
      <c r="BF126" t="str">
        <f t="shared" si="222"/>
        <v/>
      </c>
      <c r="BG126" t="str">
        <f t="shared" si="187"/>
        <v/>
      </c>
      <c r="BH126" t="str">
        <f t="shared" si="189"/>
        <v/>
      </c>
      <c r="BI126" t="str">
        <f t="shared" si="190"/>
        <v/>
      </c>
      <c r="BJ126" t="str">
        <f t="shared" si="191"/>
        <v/>
      </c>
      <c r="BK126" t="str">
        <f t="shared" si="192"/>
        <v/>
      </c>
      <c r="BL126" t="str">
        <f t="shared" si="193"/>
        <v/>
      </c>
      <c r="BM126" t="str">
        <f t="shared" si="194"/>
        <v/>
      </c>
      <c r="BN126" t="str">
        <f t="shared" si="195"/>
        <v/>
      </c>
      <c r="BO126" t="str">
        <f t="shared" si="196"/>
        <v/>
      </c>
      <c r="BP126" t="str">
        <f t="shared" si="197"/>
        <v/>
      </c>
      <c r="BQ126" t="str">
        <f t="shared" si="198"/>
        <v/>
      </c>
      <c r="BR126" t="str">
        <f t="shared" si="199"/>
        <v/>
      </c>
      <c r="BS126" t="str">
        <f t="shared" si="200"/>
        <v/>
      </c>
      <c r="BT126" t="str">
        <f t="shared" si="201"/>
        <v/>
      </c>
      <c r="BU126" t="str">
        <f t="shared" si="202"/>
        <v/>
      </c>
      <c r="BV126" t="str">
        <f t="shared" si="203"/>
        <v/>
      </c>
      <c r="BW126" t="str">
        <f t="shared" si="204"/>
        <v/>
      </c>
      <c r="BX126" t="str">
        <f t="shared" si="205"/>
        <v/>
      </c>
      <c r="BY126" t="str">
        <f t="shared" si="206"/>
        <v/>
      </c>
      <c r="BZ126" t="str">
        <f t="shared" si="207"/>
        <v/>
      </c>
      <c r="CA126" t="str">
        <f t="shared" si="208"/>
        <v/>
      </c>
      <c r="CB126" t="str">
        <f t="shared" si="223"/>
        <v/>
      </c>
      <c r="CC126" t="str">
        <f t="shared" si="224"/>
        <v/>
      </c>
      <c r="CD126" t="str">
        <f t="shared" si="225"/>
        <v/>
      </c>
      <c r="CE126" t="str">
        <f t="shared" si="226"/>
        <v/>
      </c>
      <c r="CF126" t="str">
        <f t="shared" si="227"/>
        <v/>
      </c>
      <c r="CG126" t="str">
        <f t="shared" si="228"/>
        <v/>
      </c>
      <c r="CH126" t="str">
        <f t="shared" si="229"/>
        <v/>
      </c>
      <c r="CI126" t="str">
        <f t="shared" si="230"/>
        <v/>
      </c>
      <c r="CJ126" t="str">
        <f t="shared" si="231"/>
        <v/>
      </c>
      <c r="CK126" t="str">
        <f t="shared" si="232"/>
        <v/>
      </c>
      <c r="CL126" t="str">
        <f t="shared" si="233"/>
        <v/>
      </c>
      <c r="CM126" t="str">
        <f t="shared" si="234"/>
        <v/>
      </c>
      <c r="CN126" t="str">
        <f t="shared" si="235"/>
        <v/>
      </c>
      <c r="CO126" t="str">
        <f t="shared" si="236"/>
        <v/>
      </c>
      <c r="CP126" t="str">
        <f t="shared" si="237"/>
        <v/>
      </c>
      <c r="CQ126" t="str">
        <f t="shared" si="238"/>
        <v/>
      </c>
      <c r="CR126" t="str">
        <f t="shared" si="239"/>
        <v/>
      </c>
      <c r="CS126" t="str">
        <f t="shared" si="240"/>
        <v/>
      </c>
      <c r="CT126" t="str">
        <f t="shared" si="241"/>
        <v/>
      </c>
      <c r="CU126" t="str">
        <f t="shared" si="242"/>
        <v/>
      </c>
      <c r="CV126" t="str">
        <f t="shared" si="243"/>
        <v/>
      </c>
      <c r="CW126" t="str">
        <f t="shared" si="244"/>
        <v/>
      </c>
      <c r="CX126" t="str">
        <f t="shared" si="245"/>
        <v/>
      </c>
      <c r="CY126">
        <f t="shared" si="246"/>
        <v>0</v>
      </c>
      <c r="CZ126" t="str">
        <f t="shared" si="247"/>
        <v/>
      </c>
      <c r="DA126"/>
      <c r="DB126"/>
      <c r="DC126"/>
      <c r="DD126"/>
      <c r="DE126"/>
      <c r="DF126"/>
      <c r="DG126"/>
      <c r="DH126"/>
      <c r="DI126" t="str">
        <f t="shared" si="248"/>
        <v/>
      </c>
      <c r="DJ126">
        <f t="shared" si="249"/>
        <v>0</v>
      </c>
      <c r="DK126">
        <f t="shared" si="250"/>
        <v>0</v>
      </c>
      <c r="DL126">
        <f t="shared" si="251"/>
        <v>0</v>
      </c>
      <c r="DM126">
        <f t="shared" si="252"/>
        <v>0</v>
      </c>
      <c r="DN126">
        <f t="shared" si="253"/>
        <v>0</v>
      </c>
      <c r="DO126">
        <f t="shared" si="254"/>
        <v>0</v>
      </c>
      <c r="DP126">
        <f t="shared" si="255"/>
        <v>0</v>
      </c>
      <c r="DQ126">
        <f t="shared" si="256"/>
        <v>0</v>
      </c>
      <c r="DR126">
        <f t="shared" si="257"/>
        <v>0</v>
      </c>
      <c r="DS126">
        <f t="shared" si="258"/>
        <v>0</v>
      </c>
      <c r="DT126">
        <f t="shared" si="259"/>
        <v>0</v>
      </c>
      <c r="DU126">
        <f t="shared" si="260"/>
        <v>0</v>
      </c>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row>
    <row r="127" spans="1:256" s="1" customFormat="1" x14ac:dyDescent="0.2">
      <c r="A127"/>
      <c r="B127"/>
      <c r="C127"/>
      <c r="D127"/>
      <c r="P127"/>
      <c r="Q127"/>
      <c r="R127"/>
      <c r="S127"/>
      <c r="T127"/>
      <c r="U127"/>
      <c r="V127"/>
      <c r="W127"/>
      <c r="X127"/>
      <c r="Y127"/>
      <c r="Z127"/>
      <c r="AA127"/>
      <c r="AB127"/>
      <c r="AC127"/>
      <c r="AD127"/>
      <c r="AE127"/>
      <c r="AF127"/>
      <c r="AG127"/>
      <c r="AH127"/>
      <c r="AI127"/>
      <c r="AJ127"/>
      <c r="AK127"/>
      <c r="AL127"/>
      <c r="AM127"/>
      <c r="AN127"/>
      <c r="AO127">
        <v>8</v>
      </c>
      <c r="AP127" t="str">
        <f t="shared" si="211"/>
        <v/>
      </c>
      <c r="AQ127" t="str">
        <f t="shared" si="212"/>
        <v/>
      </c>
      <c r="AR127" t="str">
        <f t="shared" si="213"/>
        <v/>
      </c>
      <c r="AS127"/>
      <c r="AT127"/>
      <c r="AU127"/>
      <c r="AV127"/>
      <c r="AW127"/>
      <c r="AX127">
        <f t="shared" si="214"/>
        <v>0</v>
      </c>
      <c r="AY127">
        <f t="shared" si="215"/>
        <v>0</v>
      </c>
      <c r="AZ127">
        <f t="shared" si="216"/>
        <v>0</v>
      </c>
      <c r="BA127">
        <f t="shared" si="217"/>
        <v>0</v>
      </c>
      <c r="BB127">
        <f t="shared" si="218"/>
        <v>0</v>
      </c>
      <c r="BC127">
        <f t="shared" si="219"/>
        <v>0</v>
      </c>
      <c r="BD127">
        <f t="shared" si="220"/>
        <v>0</v>
      </c>
      <c r="BE127">
        <f t="shared" si="221"/>
        <v>0</v>
      </c>
      <c r="BF127" t="str">
        <f t="shared" si="222"/>
        <v/>
      </c>
      <c r="BG127" t="str">
        <f t="shared" si="187"/>
        <v/>
      </c>
      <c r="BH127" t="str">
        <f t="shared" si="189"/>
        <v/>
      </c>
      <c r="BI127" t="str">
        <f t="shared" si="190"/>
        <v/>
      </c>
      <c r="BJ127" t="str">
        <f t="shared" si="191"/>
        <v/>
      </c>
      <c r="BK127" t="str">
        <f t="shared" si="192"/>
        <v/>
      </c>
      <c r="BL127" t="str">
        <f t="shared" si="193"/>
        <v/>
      </c>
      <c r="BM127" t="str">
        <f t="shared" si="194"/>
        <v/>
      </c>
      <c r="BN127" t="str">
        <f t="shared" si="195"/>
        <v/>
      </c>
      <c r="BO127" t="str">
        <f t="shared" si="196"/>
        <v/>
      </c>
      <c r="BP127" t="str">
        <f t="shared" si="197"/>
        <v/>
      </c>
      <c r="BQ127" t="str">
        <f t="shared" si="198"/>
        <v/>
      </c>
      <c r="BR127" t="str">
        <f t="shared" si="199"/>
        <v/>
      </c>
      <c r="BS127" t="str">
        <f t="shared" si="200"/>
        <v/>
      </c>
      <c r="BT127" t="str">
        <f t="shared" si="201"/>
        <v/>
      </c>
      <c r="BU127" t="str">
        <f t="shared" si="202"/>
        <v/>
      </c>
      <c r="BV127" t="str">
        <f t="shared" si="203"/>
        <v/>
      </c>
      <c r="BW127" t="str">
        <f t="shared" si="204"/>
        <v/>
      </c>
      <c r="BX127" t="str">
        <f t="shared" si="205"/>
        <v/>
      </c>
      <c r="BY127" t="str">
        <f t="shared" si="206"/>
        <v/>
      </c>
      <c r="BZ127" t="str">
        <f t="shared" si="207"/>
        <v/>
      </c>
      <c r="CA127" t="str">
        <f t="shared" si="208"/>
        <v/>
      </c>
      <c r="CB127" t="str">
        <f t="shared" si="223"/>
        <v/>
      </c>
      <c r="CC127" t="str">
        <f t="shared" si="224"/>
        <v/>
      </c>
      <c r="CD127" t="str">
        <f t="shared" si="225"/>
        <v/>
      </c>
      <c r="CE127" t="str">
        <f t="shared" si="226"/>
        <v/>
      </c>
      <c r="CF127" t="str">
        <f t="shared" si="227"/>
        <v/>
      </c>
      <c r="CG127" t="str">
        <f t="shared" si="228"/>
        <v/>
      </c>
      <c r="CH127" t="str">
        <f t="shared" si="229"/>
        <v/>
      </c>
      <c r="CI127" t="str">
        <f t="shared" si="230"/>
        <v/>
      </c>
      <c r="CJ127" t="str">
        <f t="shared" si="231"/>
        <v/>
      </c>
      <c r="CK127" t="str">
        <f t="shared" si="232"/>
        <v/>
      </c>
      <c r="CL127" t="str">
        <f t="shared" si="233"/>
        <v/>
      </c>
      <c r="CM127" t="str">
        <f t="shared" si="234"/>
        <v/>
      </c>
      <c r="CN127" t="str">
        <f t="shared" si="235"/>
        <v/>
      </c>
      <c r="CO127" t="str">
        <f t="shared" si="236"/>
        <v/>
      </c>
      <c r="CP127" t="str">
        <f t="shared" si="237"/>
        <v/>
      </c>
      <c r="CQ127" t="str">
        <f t="shared" si="238"/>
        <v/>
      </c>
      <c r="CR127" t="str">
        <f t="shared" si="239"/>
        <v/>
      </c>
      <c r="CS127" t="str">
        <f t="shared" si="240"/>
        <v/>
      </c>
      <c r="CT127" t="str">
        <f t="shared" si="241"/>
        <v/>
      </c>
      <c r="CU127" t="str">
        <f t="shared" si="242"/>
        <v/>
      </c>
      <c r="CV127" t="str">
        <f t="shared" si="243"/>
        <v/>
      </c>
      <c r="CW127" t="str">
        <f t="shared" si="244"/>
        <v/>
      </c>
      <c r="CX127" t="str">
        <f t="shared" si="245"/>
        <v/>
      </c>
      <c r="CY127">
        <f t="shared" si="246"/>
        <v>0</v>
      </c>
      <c r="CZ127" t="str">
        <f t="shared" si="247"/>
        <v/>
      </c>
      <c r="DA127"/>
      <c r="DB127"/>
      <c r="DC127"/>
      <c r="DD127"/>
      <c r="DE127"/>
      <c r="DF127"/>
      <c r="DG127"/>
      <c r="DH127"/>
      <c r="DI127" t="str">
        <f t="shared" si="248"/>
        <v/>
      </c>
      <c r="DJ127">
        <f t="shared" si="249"/>
        <v>0</v>
      </c>
      <c r="DK127">
        <f t="shared" si="250"/>
        <v>0</v>
      </c>
      <c r="DL127">
        <f t="shared" si="251"/>
        <v>0</v>
      </c>
      <c r="DM127">
        <f t="shared" si="252"/>
        <v>0</v>
      </c>
      <c r="DN127">
        <f t="shared" si="253"/>
        <v>0</v>
      </c>
      <c r="DO127">
        <f t="shared" si="254"/>
        <v>0</v>
      </c>
      <c r="DP127">
        <f t="shared" si="255"/>
        <v>0</v>
      </c>
      <c r="DQ127">
        <f t="shared" si="256"/>
        <v>0</v>
      </c>
      <c r="DR127">
        <f t="shared" si="257"/>
        <v>0</v>
      </c>
      <c r="DS127">
        <f t="shared" si="258"/>
        <v>0</v>
      </c>
      <c r="DT127">
        <f t="shared" si="259"/>
        <v>0</v>
      </c>
      <c r="DU127">
        <f t="shared" si="260"/>
        <v>0</v>
      </c>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row>
    <row r="128" spans="1:256" s="1" customFormat="1" x14ac:dyDescent="0.2">
      <c r="A128"/>
      <c r="B128"/>
      <c r="C128"/>
      <c r="D128"/>
      <c r="P128"/>
      <c r="Q128"/>
      <c r="R128"/>
      <c r="S128"/>
      <c r="T128"/>
      <c r="U128"/>
      <c r="V128"/>
      <c r="W128"/>
      <c r="X128"/>
      <c r="Y128"/>
      <c r="Z128"/>
      <c r="AA128"/>
      <c r="AB128"/>
      <c r="AC128"/>
      <c r="AD128"/>
      <c r="AE128"/>
      <c r="AF128"/>
      <c r="AG128"/>
      <c r="AH128"/>
      <c r="AI128"/>
      <c r="AJ128"/>
      <c r="AK128"/>
      <c r="AL128"/>
      <c r="AM128"/>
      <c r="AN128"/>
      <c r="AO128">
        <v>9</v>
      </c>
      <c r="AP128" t="str">
        <f t="shared" si="211"/>
        <v/>
      </c>
      <c r="AQ128" t="str">
        <f t="shared" si="212"/>
        <v/>
      </c>
      <c r="AR128" t="str">
        <f t="shared" si="213"/>
        <v/>
      </c>
      <c r="AS128"/>
      <c r="AT128"/>
      <c r="AU128"/>
      <c r="AV128"/>
      <c r="AW128"/>
      <c r="AX128">
        <f t="shared" si="214"/>
        <v>0</v>
      </c>
      <c r="AY128">
        <f t="shared" si="215"/>
        <v>0</v>
      </c>
      <c r="AZ128">
        <f t="shared" si="216"/>
        <v>0</v>
      </c>
      <c r="BA128">
        <f t="shared" si="217"/>
        <v>0</v>
      </c>
      <c r="BB128">
        <f t="shared" si="218"/>
        <v>0</v>
      </c>
      <c r="BC128">
        <f t="shared" si="219"/>
        <v>0</v>
      </c>
      <c r="BD128">
        <f t="shared" si="220"/>
        <v>0</v>
      </c>
      <c r="BE128">
        <f t="shared" si="221"/>
        <v>0</v>
      </c>
      <c r="BF128" t="str">
        <f t="shared" si="222"/>
        <v/>
      </c>
      <c r="BG128" t="str">
        <f t="shared" si="187"/>
        <v/>
      </c>
      <c r="BH128" t="str">
        <f t="shared" si="189"/>
        <v/>
      </c>
      <c r="BI128" t="str">
        <f t="shared" si="190"/>
        <v/>
      </c>
      <c r="BJ128" t="str">
        <f t="shared" si="191"/>
        <v/>
      </c>
      <c r="BK128" t="str">
        <f t="shared" si="192"/>
        <v/>
      </c>
      <c r="BL128" t="str">
        <f t="shared" si="193"/>
        <v/>
      </c>
      <c r="BM128" t="str">
        <f t="shared" si="194"/>
        <v/>
      </c>
      <c r="BN128" t="str">
        <f t="shared" si="195"/>
        <v/>
      </c>
      <c r="BO128" t="str">
        <f t="shared" si="196"/>
        <v/>
      </c>
      <c r="BP128" t="str">
        <f t="shared" si="197"/>
        <v/>
      </c>
      <c r="BQ128" t="str">
        <f t="shared" si="198"/>
        <v/>
      </c>
      <c r="BR128" t="str">
        <f t="shared" si="199"/>
        <v/>
      </c>
      <c r="BS128" t="str">
        <f t="shared" si="200"/>
        <v/>
      </c>
      <c r="BT128" t="str">
        <f t="shared" si="201"/>
        <v/>
      </c>
      <c r="BU128" t="str">
        <f t="shared" si="202"/>
        <v/>
      </c>
      <c r="BV128" t="str">
        <f t="shared" si="203"/>
        <v/>
      </c>
      <c r="BW128" t="str">
        <f t="shared" si="204"/>
        <v/>
      </c>
      <c r="BX128" t="str">
        <f t="shared" si="205"/>
        <v/>
      </c>
      <c r="BY128" t="str">
        <f t="shared" si="206"/>
        <v/>
      </c>
      <c r="BZ128" t="str">
        <f t="shared" si="207"/>
        <v/>
      </c>
      <c r="CA128" t="str">
        <f t="shared" si="208"/>
        <v/>
      </c>
      <c r="CB128" t="str">
        <f t="shared" si="223"/>
        <v/>
      </c>
      <c r="CC128" t="str">
        <f t="shared" si="224"/>
        <v/>
      </c>
      <c r="CD128" t="str">
        <f t="shared" si="225"/>
        <v/>
      </c>
      <c r="CE128" t="str">
        <f t="shared" si="226"/>
        <v/>
      </c>
      <c r="CF128" t="str">
        <f t="shared" si="227"/>
        <v/>
      </c>
      <c r="CG128" t="str">
        <f t="shared" si="228"/>
        <v/>
      </c>
      <c r="CH128" t="str">
        <f t="shared" si="229"/>
        <v/>
      </c>
      <c r="CI128" t="str">
        <f t="shared" si="230"/>
        <v/>
      </c>
      <c r="CJ128" t="str">
        <f t="shared" si="231"/>
        <v/>
      </c>
      <c r="CK128" t="str">
        <f t="shared" si="232"/>
        <v/>
      </c>
      <c r="CL128" t="str">
        <f t="shared" si="233"/>
        <v/>
      </c>
      <c r="CM128" t="str">
        <f t="shared" si="234"/>
        <v/>
      </c>
      <c r="CN128" t="str">
        <f t="shared" si="235"/>
        <v/>
      </c>
      <c r="CO128" t="str">
        <f t="shared" si="236"/>
        <v/>
      </c>
      <c r="CP128" t="str">
        <f t="shared" si="237"/>
        <v/>
      </c>
      <c r="CQ128" t="str">
        <f t="shared" si="238"/>
        <v/>
      </c>
      <c r="CR128" t="str">
        <f t="shared" si="239"/>
        <v/>
      </c>
      <c r="CS128" t="str">
        <f t="shared" si="240"/>
        <v/>
      </c>
      <c r="CT128" t="str">
        <f t="shared" si="241"/>
        <v/>
      </c>
      <c r="CU128" t="str">
        <f t="shared" si="242"/>
        <v/>
      </c>
      <c r="CV128" t="str">
        <f t="shared" si="243"/>
        <v/>
      </c>
      <c r="CW128" t="str">
        <f t="shared" si="244"/>
        <v/>
      </c>
      <c r="CX128" t="str">
        <f t="shared" si="245"/>
        <v/>
      </c>
      <c r="CY128">
        <f t="shared" si="246"/>
        <v>0</v>
      </c>
      <c r="CZ128" t="str">
        <f t="shared" si="247"/>
        <v/>
      </c>
      <c r="DA128"/>
      <c r="DB128"/>
      <c r="DC128"/>
      <c r="DD128"/>
      <c r="DE128"/>
      <c r="DF128"/>
      <c r="DG128"/>
      <c r="DH128"/>
      <c r="DI128" t="str">
        <f t="shared" si="248"/>
        <v/>
      </c>
      <c r="DJ128">
        <f t="shared" si="249"/>
        <v>0</v>
      </c>
      <c r="DK128">
        <f t="shared" si="250"/>
        <v>0</v>
      </c>
      <c r="DL128">
        <f t="shared" si="251"/>
        <v>0</v>
      </c>
      <c r="DM128">
        <f t="shared" si="252"/>
        <v>0</v>
      </c>
      <c r="DN128">
        <f t="shared" si="253"/>
        <v>0</v>
      </c>
      <c r="DO128">
        <f t="shared" si="254"/>
        <v>0</v>
      </c>
      <c r="DP128">
        <f t="shared" si="255"/>
        <v>0</v>
      </c>
      <c r="DQ128">
        <f t="shared" si="256"/>
        <v>0</v>
      </c>
      <c r="DR128">
        <f t="shared" si="257"/>
        <v>0</v>
      </c>
      <c r="DS128">
        <f t="shared" si="258"/>
        <v>0</v>
      </c>
      <c r="DT128">
        <f t="shared" si="259"/>
        <v>0</v>
      </c>
      <c r="DU128">
        <f t="shared" si="260"/>
        <v>0</v>
      </c>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row>
    <row r="129" spans="1:256" s="1" customFormat="1" x14ac:dyDescent="0.2">
      <c r="A129"/>
      <c r="B129"/>
      <c r="C129"/>
      <c r="D129"/>
      <c r="P129"/>
      <c r="Q129"/>
      <c r="R129"/>
      <c r="S129"/>
      <c r="T129"/>
      <c r="U129"/>
      <c r="V129"/>
      <c r="W129"/>
      <c r="X129"/>
      <c r="Y129"/>
      <c r="Z129"/>
      <c r="AA129"/>
      <c r="AB129"/>
      <c r="AC129"/>
      <c r="AD129"/>
      <c r="AE129"/>
      <c r="AF129"/>
      <c r="AG129"/>
      <c r="AH129"/>
      <c r="AI129"/>
      <c r="AJ129"/>
      <c r="AK129"/>
      <c r="AL129"/>
      <c r="AM129"/>
      <c r="AN129"/>
      <c r="AO129">
        <v>10</v>
      </c>
      <c r="AP129" t="str">
        <f t="shared" si="211"/>
        <v/>
      </c>
      <c r="AQ129" t="str">
        <f t="shared" si="212"/>
        <v/>
      </c>
      <c r="AR129" t="str">
        <f t="shared" si="213"/>
        <v/>
      </c>
      <c r="AS129"/>
      <c r="AT129"/>
      <c r="AU129"/>
      <c r="AV129"/>
      <c r="AW129"/>
      <c r="AX129">
        <f t="shared" si="214"/>
        <v>0</v>
      </c>
      <c r="AY129">
        <f t="shared" si="215"/>
        <v>0</v>
      </c>
      <c r="AZ129">
        <f t="shared" si="216"/>
        <v>0</v>
      </c>
      <c r="BA129">
        <f t="shared" si="217"/>
        <v>0</v>
      </c>
      <c r="BB129">
        <f t="shared" si="218"/>
        <v>0</v>
      </c>
      <c r="BC129">
        <f t="shared" si="219"/>
        <v>0</v>
      </c>
      <c r="BD129">
        <f t="shared" si="220"/>
        <v>0</v>
      </c>
      <c r="BE129">
        <f t="shared" si="221"/>
        <v>0</v>
      </c>
      <c r="BF129" t="str">
        <f t="shared" si="222"/>
        <v/>
      </c>
      <c r="BG129" t="str">
        <f t="shared" si="187"/>
        <v/>
      </c>
      <c r="BH129" t="str">
        <f t="shared" si="189"/>
        <v/>
      </c>
      <c r="BI129" t="str">
        <f t="shared" si="190"/>
        <v/>
      </c>
      <c r="BJ129" t="str">
        <f t="shared" si="191"/>
        <v/>
      </c>
      <c r="BK129" t="str">
        <f t="shared" si="192"/>
        <v/>
      </c>
      <c r="BL129" t="str">
        <f t="shared" si="193"/>
        <v/>
      </c>
      <c r="BM129" t="str">
        <f t="shared" si="194"/>
        <v/>
      </c>
      <c r="BN129" t="str">
        <f t="shared" si="195"/>
        <v/>
      </c>
      <c r="BO129" t="str">
        <f t="shared" si="196"/>
        <v/>
      </c>
      <c r="BP129" t="str">
        <f t="shared" si="197"/>
        <v/>
      </c>
      <c r="BQ129" t="str">
        <f t="shared" si="198"/>
        <v/>
      </c>
      <c r="BR129" t="str">
        <f t="shared" si="199"/>
        <v/>
      </c>
      <c r="BS129" t="str">
        <f t="shared" si="200"/>
        <v/>
      </c>
      <c r="BT129" t="str">
        <f t="shared" si="201"/>
        <v/>
      </c>
      <c r="BU129" t="str">
        <f t="shared" si="202"/>
        <v/>
      </c>
      <c r="BV129" t="str">
        <f t="shared" si="203"/>
        <v/>
      </c>
      <c r="BW129" t="str">
        <f t="shared" si="204"/>
        <v/>
      </c>
      <c r="BX129" t="str">
        <f t="shared" si="205"/>
        <v/>
      </c>
      <c r="BY129" t="str">
        <f t="shared" si="206"/>
        <v/>
      </c>
      <c r="BZ129" t="str">
        <f t="shared" si="207"/>
        <v/>
      </c>
      <c r="CA129" t="str">
        <f t="shared" si="208"/>
        <v/>
      </c>
      <c r="CB129" t="str">
        <f t="shared" si="223"/>
        <v/>
      </c>
      <c r="CC129" t="str">
        <f t="shared" si="224"/>
        <v/>
      </c>
      <c r="CD129" t="str">
        <f t="shared" si="225"/>
        <v/>
      </c>
      <c r="CE129" t="str">
        <f t="shared" si="226"/>
        <v/>
      </c>
      <c r="CF129" t="str">
        <f t="shared" si="227"/>
        <v/>
      </c>
      <c r="CG129" t="str">
        <f t="shared" si="228"/>
        <v/>
      </c>
      <c r="CH129" t="str">
        <f t="shared" si="229"/>
        <v/>
      </c>
      <c r="CI129" t="str">
        <f t="shared" si="230"/>
        <v/>
      </c>
      <c r="CJ129" t="str">
        <f t="shared" si="231"/>
        <v/>
      </c>
      <c r="CK129" t="str">
        <f t="shared" si="232"/>
        <v/>
      </c>
      <c r="CL129" t="str">
        <f t="shared" si="233"/>
        <v/>
      </c>
      <c r="CM129" t="str">
        <f t="shared" si="234"/>
        <v/>
      </c>
      <c r="CN129" t="str">
        <f t="shared" si="235"/>
        <v/>
      </c>
      <c r="CO129" t="str">
        <f t="shared" si="236"/>
        <v/>
      </c>
      <c r="CP129" t="str">
        <f t="shared" si="237"/>
        <v/>
      </c>
      <c r="CQ129" t="str">
        <f t="shared" si="238"/>
        <v/>
      </c>
      <c r="CR129" t="str">
        <f t="shared" si="239"/>
        <v/>
      </c>
      <c r="CS129" t="str">
        <f t="shared" si="240"/>
        <v/>
      </c>
      <c r="CT129" t="str">
        <f t="shared" si="241"/>
        <v/>
      </c>
      <c r="CU129" t="str">
        <f t="shared" si="242"/>
        <v/>
      </c>
      <c r="CV129" t="str">
        <f t="shared" si="243"/>
        <v/>
      </c>
      <c r="CW129" t="str">
        <f t="shared" si="244"/>
        <v/>
      </c>
      <c r="CX129" t="str">
        <f t="shared" si="245"/>
        <v/>
      </c>
      <c r="CY129">
        <f t="shared" si="246"/>
        <v>0</v>
      </c>
      <c r="CZ129" t="str">
        <f t="shared" si="247"/>
        <v/>
      </c>
      <c r="DA129"/>
      <c r="DB129"/>
      <c r="DC129"/>
      <c r="DD129"/>
      <c r="DE129"/>
      <c r="DF129"/>
      <c r="DG129"/>
      <c r="DH129"/>
      <c r="DI129" t="str">
        <f t="shared" si="248"/>
        <v/>
      </c>
      <c r="DJ129">
        <f t="shared" si="249"/>
        <v>0</v>
      </c>
      <c r="DK129">
        <f t="shared" si="250"/>
        <v>0</v>
      </c>
      <c r="DL129">
        <f t="shared" si="251"/>
        <v>0</v>
      </c>
      <c r="DM129">
        <f t="shared" si="252"/>
        <v>0</v>
      </c>
      <c r="DN129">
        <f t="shared" si="253"/>
        <v>0</v>
      </c>
      <c r="DO129">
        <f t="shared" si="254"/>
        <v>0</v>
      </c>
      <c r="DP129">
        <f t="shared" si="255"/>
        <v>0</v>
      </c>
      <c r="DQ129">
        <f t="shared" si="256"/>
        <v>0</v>
      </c>
      <c r="DR129">
        <f t="shared" si="257"/>
        <v>0</v>
      </c>
      <c r="DS129">
        <f t="shared" si="258"/>
        <v>0</v>
      </c>
      <c r="DT129">
        <f t="shared" si="259"/>
        <v>0</v>
      </c>
      <c r="DU129">
        <f t="shared" si="260"/>
        <v>0</v>
      </c>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row>
    <row r="130" spans="1:256" s="1" customFormat="1" x14ac:dyDescent="0.2">
      <c r="A130"/>
      <c r="B130"/>
      <c r="C130"/>
      <c r="D130"/>
      <c r="P130"/>
      <c r="Q130"/>
      <c r="R130"/>
      <c r="S130"/>
      <c r="T130"/>
      <c r="U130"/>
      <c r="V130"/>
      <c r="W130"/>
      <c r="X130"/>
      <c r="Y130"/>
      <c r="Z130"/>
      <c r="AA130"/>
      <c r="AB130"/>
      <c r="AC130"/>
      <c r="AD130"/>
      <c r="AE130"/>
      <c r="AF130"/>
      <c r="AG130"/>
      <c r="AH130"/>
      <c r="AI130"/>
      <c r="AJ130"/>
      <c r="AK130"/>
      <c r="AL130"/>
      <c r="AM130"/>
      <c r="AN130"/>
      <c r="AO130">
        <v>11</v>
      </c>
      <c r="AP130" t="str">
        <f t="shared" si="211"/>
        <v/>
      </c>
      <c r="AQ130" t="str">
        <f t="shared" si="212"/>
        <v/>
      </c>
      <c r="AR130" t="str">
        <f t="shared" si="213"/>
        <v/>
      </c>
      <c r="AS130"/>
      <c r="AT130"/>
      <c r="AU130"/>
      <c r="AV130"/>
      <c r="AW130"/>
      <c r="AX130">
        <f t="shared" si="214"/>
        <v>0</v>
      </c>
      <c r="AY130">
        <f t="shared" si="215"/>
        <v>0</v>
      </c>
      <c r="AZ130">
        <f t="shared" si="216"/>
        <v>0</v>
      </c>
      <c r="BA130">
        <f t="shared" si="217"/>
        <v>0</v>
      </c>
      <c r="BB130">
        <f t="shared" si="218"/>
        <v>0</v>
      </c>
      <c r="BC130">
        <f t="shared" si="219"/>
        <v>0</v>
      </c>
      <c r="BD130">
        <f t="shared" si="220"/>
        <v>0</v>
      </c>
      <c r="BE130">
        <f t="shared" si="221"/>
        <v>0</v>
      </c>
      <c r="BF130" t="str">
        <f t="shared" si="222"/>
        <v/>
      </c>
      <c r="BG130" t="str">
        <f t="shared" si="187"/>
        <v/>
      </c>
      <c r="BH130" t="str">
        <f t="shared" si="189"/>
        <v/>
      </c>
      <c r="BI130" t="str">
        <f t="shared" si="190"/>
        <v/>
      </c>
      <c r="BJ130" t="str">
        <f t="shared" si="191"/>
        <v/>
      </c>
      <c r="BK130" t="str">
        <f t="shared" si="192"/>
        <v/>
      </c>
      <c r="BL130" t="str">
        <f t="shared" si="193"/>
        <v/>
      </c>
      <c r="BM130" t="str">
        <f t="shared" si="194"/>
        <v/>
      </c>
      <c r="BN130" t="str">
        <f t="shared" si="195"/>
        <v/>
      </c>
      <c r="BO130" t="str">
        <f t="shared" si="196"/>
        <v/>
      </c>
      <c r="BP130" t="str">
        <f t="shared" si="197"/>
        <v/>
      </c>
      <c r="BQ130" t="str">
        <f t="shared" si="198"/>
        <v/>
      </c>
      <c r="BR130" t="str">
        <f t="shared" si="199"/>
        <v/>
      </c>
      <c r="BS130" t="str">
        <f t="shared" si="200"/>
        <v/>
      </c>
      <c r="BT130" t="str">
        <f t="shared" si="201"/>
        <v/>
      </c>
      <c r="BU130" t="str">
        <f t="shared" si="202"/>
        <v/>
      </c>
      <c r="BV130" t="str">
        <f t="shared" si="203"/>
        <v/>
      </c>
      <c r="BW130" t="str">
        <f t="shared" si="204"/>
        <v/>
      </c>
      <c r="BX130" t="str">
        <f t="shared" si="205"/>
        <v/>
      </c>
      <c r="BY130" t="str">
        <f t="shared" si="206"/>
        <v/>
      </c>
      <c r="BZ130" t="str">
        <f t="shared" si="207"/>
        <v/>
      </c>
      <c r="CA130" t="str">
        <f t="shared" si="208"/>
        <v/>
      </c>
      <c r="CB130" t="str">
        <f t="shared" si="223"/>
        <v/>
      </c>
      <c r="CC130" t="str">
        <f t="shared" si="224"/>
        <v/>
      </c>
      <c r="CD130" t="str">
        <f t="shared" si="225"/>
        <v/>
      </c>
      <c r="CE130" t="str">
        <f t="shared" si="226"/>
        <v/>
      </c>
      <c r="CF130" t="str">
        <f t="shared" si="227"/>
        <v/>
      </c>
      <c r="CG130" t="str">
        <f t="shared" si="228"/>
        <v/>
      </c>
      <c r="CH130" t="str">
        <f t="shared" si="229"/>
        <v/>
      </c>
      <c r="CI130" t="str">
        <f t="shared" si="230"/>
        <v/>
      </c>
      <c r="CJ130" t="str">
        <f t="shared" si="231"/>
        <v/>
      </c>
      <c r="CK130" t="str">
        <f t="shared" si="232"/>
        <v/>
      </c>
      <c r="CL130" t="str">
        <f t="shared" si="233"/>
        <v/>
      </c>
      <c r="CM130" t="str">
        <f t="shared" si="234"/>
        <v/>
      </c>
      <c r="CN130" t="str">
        <f t="shared" si="235"/>
        <v/>
      </c>
      <c r="CO130" t="str">
        <f t="shared" si="236"/>
        <v/>
      </c>
      <c r="CP130" t="str">
        <f t="shared" si="237"/>
        <v/>
      </c>
      <c r="CQ130" t="str">
        <f t="shared" si="238"/>
        <v/>
      </c>
      <c r="CR130" t="str">
        <f t="shared" si="239"/>
        <v/>
      </c>
      <c r="CS130" t="str">
        <f t="shared" si="240"/>
        <v/>
      </c>
      <c r="CT130" t="str">
        <f t="shared" si="241"/>
        <v/>
      </c>
      <c r="CU130" t="str">
        <f t="shared" si="242"/>
        <v/>
      </c>
      <c r="CV130" t="str">
        <f t="shared" si="243"/>
        <v/>
      </c>
      <c r="CW130" t="str">
        <f t="shared" si="244"/>
        <v/>
      </c>
      <c r="CX130" t="str">
        <f t="shared" si="245"/>
        <v/>
      </c>
      <c r="CY130">
        <f t="shared" si="246"/>
        <v>0</v>
      </c>
      <c r="CZ130" t="str">
        <f t="shared" si="247"/>
        <v/>
      </c>
      <c r="DA130"/>
      <c r="DB130"/>
      <c r="DC130"/>
      <c r="DD130"/>
      <c r="DE130"/>
      <c r="DF130"/>
      <c r="DG130"/>
      <c r="DH130"/>
      <c r="DI130" t="str">
        <f t="shared" si="248"/>
        <v/>
      </c>
      <c r="DJ130">
        <f t="shared" si="249"/>
        <v>0</v>
      </c>
      <c r="DK130">
        <f t="shared" si="250"/>
        <v>0</v>
      </c>
      <c r="DL130">
        <f t="shared" si="251"/>
        <v>0</v>
      </c>
      <c r="DM130">
        <f t="shared" si="252"/>
        <v>0</v>
      </c>
      <c r="DN130">
        <f t="shared" si="253"/>
        <v>0</v>
      </c>
      <c r="DO130">
        <f t="shared" si="254"/>
        <v>0</v>
      </c>
      <c r="DP130">
        <f t="shared" si="255"/>
        <v>0</v>
      </c>
      <c r="DQ130">
        <f t="shared" si="256"/>
        <v>0</v>
      </c>
      <c r="DR130">
        <f t="shared" si="257"/>
        <v>0</v>
      </c>
      <c r="DS130">
        <f t="shared" si="258"/>
        <v>0</v>
      </c>
      <c r="DT130">
        <f t="shared" si="259"/>
        <v>0</v>
      </c>
      <c r="DU130">
        <f t="shared" si="260"/>
        <v>0</v>
      </c>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row>
    <row r="131" spans="1:256" s="1" customFormat="1" x14ac:dyDescent="0.2">
      <c r="A131"/>
      <c r="B131"/>
      <c r="C131"/>
      <c r="D131"/>
      <c r="P131"/>
      <c r="Q131"/>
      <c r="R131"/>
      <c r="S131"/>
      <c r="T131"/>
      <c r="U131"/>
      <c r="V131"/>
      <c r="W131"/>
      <c r="X131"/>
      <c r="Y131"/>
      <c r="Z131"/>
      <c r="AA131"/>
      <c r="AB131"/>
      <c r="AC131"/>
      <c r="AD131"/>
      <c r="AE131"/>
      <c r="AF131"/>
      <c r="AG131"/>
      <c r="AH131"/>
      <c r="AI131"/>
      <c r="AJ131"/>
      <c r="AK131"/>
      <c r="AL131"/>
      <c r="AM131"/>
      <c r="AN131"/>
      <c r="AO131">
        <v>12</v>
      </c>
      <c r="AP131" t="str">
        <f t="shared" si="211"/>
        <v/>
      </c>
      <c r="AQ131" t="str">
        <f t="shared" si="212"/>
        <v/>
      </c>
      <c r="AR131" t="str">
        <f t="shared" si="213"/>
        <v/>
      </c>
      <c r="AS131"/>
      <c r="AT131"/>
      <c r="AU131"/>
      <c r="AV131"/>
      <c r="AW131"/>
      <c r="AX131">
        <f t="shared" si="214"/>
        <v>0</v>
      </c>
      <c r="AY131">
        <f t="shared" si="215"/>
        <v>0</v>
      </c>
      <c r="AZ131">
        <f t="shared" si="216"/>
        <v>0</v>
      </c>
      <c r="BA131">
        <f t="shared" si="217"/>
        <v>0</v>
      </c>
      <c r="BB131">
        <f t="shared" si="218"/>
        <v>0</v>
      </c>
      <c r="BC131">
        <f t="shared" si="219"/>
        <v>0</v>
      </c>
      <c r="BD131">
        <f t="shared" si="220"/>
        <v>0</v>
      </c>
      <c r="BE131">
        <f t="shared" si="221"/>
        <v>0</v>
      </c>
      <c r="BF131" t="str">
        <f t="shared" si="222"/>
        <v/>
      </c>
      <c r="BG131" t="str">
        <f t="shared" si="187"/>
        <v/>
      </c>
      <c r="BH131" t="str">
        <f t="shared" si="189"/>
        <v/>
      </c>
      <c r="BI131" t="str">
        <f t="shared" si="190"/>
        <v/>
      </c>
      <c r="BJ131" t="str">
        <f t="shared" si="191"/>
        <v/>
      </c>
      <c r="BK131" t="str">
        <f t="shared" si="192"/>
        <v/>
      </c>
      <c r="BL131" t="str">
        <f t="shared" si="193"/>
        <v/>
      </c>
      <c r="BM131" t="str">
        <f t="shared" si="194"/>
        <v/>
      </c>
      <c r="BN131" t="str">
        <f t="shared" si="195"/>
        <v/>
      </c>
      <c r="BO131" t="str">
        <f t="shared" si="196"/>
        <v/>
      </c>
      <c r="BP131" t="str">
        <f t="shared" si="197"/>
        <v/>
      </c>
      <c r="BQ131" t="str">
        <f t="shared" si="198"/>
        <v/>
      </c>
      <c r="BR131" t="str">
        <f t="shared" si="199"/>
        <v/>
      </c>
      <c r="BS131" t="str">
        <f t="shared" si="200"/>
        <v/>
      </c>
      <c r="BT131" t="str">
        <f t="shared" si="201"/>
        <v/>
      </c>
      <c r="BU131" t="str">
        <f t="shared" si="202"/>
        <v/>
      </c>
      <c r="BV131" t="str">
        <f t="shared" si="203"/>
        <v/>
      </c>
      <c r="BW131" t="str">
        <f t="shared" si="204"/>
        <v/>
      </c>
      <c r="BX131" t="str">
        <f t="shared" si="205"/>
        <v/>
      </c>
      <c r="BY131" t="str">
        <f t="shared" si="206"/>
        <v/>
      </c>
      <c r="BZ131" t="str">
        <f t="shared" si="207"/>
        <v/>
      </c>
      <c r="CA131" t="str">
        <f t="shared" si="208"/>
        <v/>
      </c>
      <c r="CB131" t="str">
        <f t="shared" si="223"/>
        <v/>
      </c>
      <c r="CC131" t="str">
        <f t="shared" si="224"/>
        <v/>
      </c>
      <c r="CD131" t="str">
        <f t="shared" si="225"/>
        <v/>
      </c>
      <c r="CE131" t="str">
        <f t="shared" si="226"/>
        <v/>
      </c>
      <c r="CF131" t="str">
        <f t="shared" si="227"/>
        <v/>
      </c>
      <c r="CG131" t="str">
        <f t="shared" si="228"/>
        <v/>
      </c>
      <c r="CH131" t="str">
        <f t="shared" si="229"/>
        <v/>
      </c>
      <c r="CI131" t="str">
        <f t="shared" si="230"/>
        <v/>
      </c>
      <c r="CJ131" t="str">
        <f t="shared" si="231"/>
        <v/>
      </c>
      <c r="CK131" t="str">
        <f t="shared" si="232"/>
        <v/>
      </c>
      <c r="CL131" t="str">
        <f t="shared" si="233"/>
        <v/>
      </c>
      <c r="CM131" t="str">
        <f t="shared" si="234"/>
        <v/>
      </c>
      <c r="CN131" t="str">
        <f t="shared" si="235"/>
        <v/>
      </c>
      <c r="CO131" t="str">
        <f t="shared" si="236"/>
        <v/>
      </c>
      <c r="CP131" t="str">
        <f t="shared" si="237"/>
        <v/>
      </c>
      <c r="CQ131" t="str">
        <f t="shared" si="238"/>
        <v/>
      </c>
      <c r="CR131" t="str">
        <f t="shared" si="239"/>
        <v/>
      </c>
      <c r="CS131" t="str">
        <f t="shared" si="240"/>
        <v/>
      </c>
      <c r="CT131" t="str">
        <f t="shared" si="241"/>
        <v/>
      </c>
      <c r="CU131" t="str">
        <f t="shared" si="242"/>
        <v/>
      </c>
      <c r="CV131" t="str">
        <f t="shared" si="243"/>
        <v/>
      </c>
      <c r="CW131" t="str">
        <f t="shared" si="244"/>
        <v/>
      </c>
      <c r="CX131" t="str">
        <f t="shared" si="245"/>
        <v/>
      </c>
      <c r="CY131">
        <f t="shared" si="246"/>
        <v>0</v>
      </c>
      <c r="CZ131" t="str">
        <f t="shared" si="247"/>
        <v/>
      </c>
      <c r="DA131"/>
      <c r="DB131"/>
      <c r="DC131"/>
      <c r="DD131"/>
      <c r="DE131"/>
      <c r="DF131"/>
      <c r="DG131"/>
      <c r="DH131"/>
      <c r="DI131" t="str">
        <f t="shared" si="248"/>
        <v/>
      </c>
      <c r="DJ131">
        <f t="shared" si="249"/>
        <v>0</v>
      </c>
      <c r="DK131">
        <f t="shared" si="250"/>
        <v>0</v>
      </c>
      <c r="DL131">
        <f t="shared" si="251"/>
        <v>0</v>
      </c>
      <c r="DM131">
        <f t="shared" si="252"/>
        <v>0</v>
      </c>
      <c r="DN131">
        <f t="shared" si="253"/>
        <v>0</v>
      </c>
      <c r="DO131">
        <f t="shared" si="254"/>
        <v>0</v>
      </c>
      <c r="DP131">
        <f t="shared" si="255"/>
        <v>0</v>
      </c>
      <c r="DQ131">
        <f t="shared" si="256"/>
        <v>0</v>
      </c>
      <c r="DR131">
        <f t="shared" si="257"/>
        <v>0</v>
      </c>
      <c r="DS131">
        <f t="shared" si="258"/>
        <v>0</v>
      </c>
      <c r="DT131">
        <f t="shared" si="259"/>
        <v>0</v>
      </c>
      <c r="DU131">
        <f t="shared" si="260"/>
        <v>0</v>
      </c>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row>
    <row r="132" spans="1:256" s="1" customFormat="1" x14ac:dyDescent="0.2">
      <c r="A132"/>
      <c r="B132"/>
      <c r="C132"/>
      <c r="D132"/>
      <c r="P132"/>
      <c r="Q132"/>
      <c r="R132"/>
      <c r="S132"/>
      <c r="T132"/>
      <c r="U132"/>
      <c r="V132"/>
      <c r="W132"/>
      <c r="X132"/>
      <c r="Y132"/>
      <c r="Z132"/>
      <c r="AA132"/>
      <c r="AB132"/>
      <c r="AC132"/>
      <c r="AD132"/>
      <c r="AE132"/>
      <c r="AF132"/>
      <c r="AG132"/>
      <c r="AH132"/>
      <c r="AI132"/>
      <c r="AJ132"/>
      <c r="AK132"/>
      <c r="AL132"/>
      <c r="AM132"/>
      <c r="AN132"/>
      <c r="AO132">
        <v>13</v>
      </c>
      <c r="AP132" t="str">
        <f t="shared" si="211"/>
        <v/>
      </c>
      <c r="AQ132" t="str">
        <f t="shared" si="212"/>
        <v/>
      </c>
      <c r="AR132" t="str">
        <f t="shared" si="213"/>
        <v/>
      </c>
      <c r="AS132"/>
      <c r="AT132"/>
      <c r="AU132"/>
      <c r="AV132"/>
      <c r="AW132"/>
      <c r="AX132">
        <f t="shared" si="214"/>
        <v>0</v>
      </c>
      <c r="AY132">
        <f t="shared" si="215"/>
        <v>0</v>
      </c>
      <c r="AZ132">
        <f t="shared" si="216"/>
        <v>0</v>
      </c>
      <c r="BA132">
        <f t="shared" si="217"/>
        <v>0</v>
      </c>
      <c r="BB132">
        <f t="shared" si="218"/>
        <v>0</v>
      </c>
      <c r="BC132">
        <f t="shared" si="219"/>
        <v>0</v>
      </c>
      <c r="BD132">
        <f t="shared" si="220"/>
        <v>0</v>
      </c>
      <c r="BE132">
        <f t="shared" si="221"/>
        <v>0</v>
      </c>
      <c r="BF132" t="str">
        <f t="shared" si="222"/>
        <v/>
      </c>
      <c r="BG132" t="str">
        <f t="shared" si="187"/>
        <v/>
      </c>
      <c r="BH132" t="str">
        <f t="shared" si="189"/>
        <v/>
      </c>
      <c r="BI132" t="str">
        <f t="shared" si="190"/>
        <v/>
      </c>
      <c r="BJ132" t="str">
        <f t="shared" si="191"/>
        <v/>
      </c>
      <c r="BK132" t="str">
        <f t="shared" si="192"/>
        <v/>
      </c>
      <c r="BL132" t="str">
        <f t="shared" si="193"/>
        <v/>
      </c>
      <c r="BM132" t="str">
        <f t="shared" si="194"/>
        <v/>
      </c>
      <c r="BN132" t="str">
        <f t="shared" si="195"/>
        <v/>
      </c>
      <c r="BO132" t="str">
        <f t="shared" si="196"/>
        <v/>
      </c>
      <c r="BP132" t="str">
        <f t="shared" si="197"/>
        <v/>
      </c>
      <c r="BQ132" t="str">
        <f t="shared" si="198"/>
        <v/>
      </c>
      <c r="BR132" t="str">
        <f t="shared" si="199"/>
        <v/>
      </c>
      <c r="BS132" t="str">
        <f t="shared" si="200"/>
        <v/>
      </c>
      <c r="BT132" t="str">
        <f t="shared" si="201"/>
        <v/>
      </c>
      <c r="BU132" t="str">
        <f t="shared" si="202"/>
        <v/>
      </c>
      <c r="BV132" t="str">
        <f t="shared" si="203"/>
        <v/>
      </c>
      <c r="BW132" t="str">
        <f t="shared" si="204"/>
        <v/>
      </c>
      <c r="BX132" t="str">
        <f t="shared" si="205"/>
        <v/>
      </c>
      <c r="BY132" t="str">
        <f t="shared" si="206"/>
        <v/>
      </c>
      <c r="BZ132" t="str">
        <f t="shared" si="207"/>
        <v/>
      </c>
      <c r="CA132" t="str">
        <f t="shared" si="208"/>
        <v/>
      </c>
      <c r="CB132" t="str">
        <f t="shared" si="223"/>
        <v/>
      </c>
      <c r="CC132" t="str">
        <f t="shared" si="224"/>
        <v/>
      </c>
      <c r="CD132" t="str">
        <f t="shared" si="225"/>
        <v/>
      </c>
      <c r="CE132" t="str">
        <f t="shared" si="226"/>
        <v/>
      </c>
      <c r="CF132" t="str">
        <f t="shared" si="227"/>
        <v/>
      </c>
      <c r="CG132" t="str">
        <f t="shared" si="228"/>
        <v/>
      </c>
      <c r="CH132" t="str">
        <f t="shared" si="229"/>
        <v/>
      </c>
      <c r="CI132" t="str">
        <f t="shared" si="230"/>
        <v/>
      </c>
      <c r="CJ132" t="str">
        <f t="shared" si="231"/>
        <v/>
      </c>
      <c r="CK132" t="str">
        <f t="shared" si="232"/>
        <v/>
      </c>
      <c r="CL132" t="str">
        <f t="shared" si="233"/>
        <v/>
      </c>
      <c r="CM132" t="str">
        <f t="shared" si="234"/>
        <v/>
      </c>
      <c r="CN132" t="str">
        <f t="shared" si="235"/>
        <v/>
      </c>
      <c r="CO132" t="str">
        <f t="shared" si="236"/>
        <v/>
      </c>
      <c r="CP132" t="str">
        <f t="shared" si="237"/>
        <v/>
      </c>
      <c r="CQ132" t="str">
        <f t="shared" si="238"/>
        <v/>
      </c>
      <c r="CR132" t="str">
        <f t="shared" si="239"/>
        <v/>
      </c>
      <c r="CS132" t="str">
        <f t="shared" si="240"/>
        <v/>
      </c>
      <c r="CT132" t="str">
        <f t="shared" si="241"/>
        <v/>
      </c>
      <c r="CU132" t="str">
        <f t="shared" si="242"/>
        <v/>
      </c>
      <c r="CV132" t="str">
        <f t="shared" si="243"/>
        <v/>
      </c>
      <c r="CW132" t="str">
        <f t="shared" si="244"/>
        <v/>
      </c>
      <c r="CX132" t="str">
        <f t="shared" si="245"/>
        <v/>
      </c>
      <c r="CY132">
        <f t="shared" si="246"/>
        <v>0</v>
      </c>
      <c r="CZ132" t="str">
        <f t="shared" si="247"/>
        <v/>
      </c>
      <c r="DA132"/>
      <c r="DB132"/>
      <c r="DC132"/>
      <c r="DD132"/>
      <c r="DE132"/>
      <c r="DF132"/>
      <c r="DG132"/>
      <c r="DH132"/>
      <c r="DI132" t="str">
        <f t="shared" si="248"/>
        <v/>
      </c>
      <c r="DJ132">
        <f t="shared" si="249"/>
        <v>0</v>
      </c>
      <c r="DK132">
        <f t="shared" si="250"/>
        <v>0</v>
      </c>
      <c r="DL132">
        <f t="shared" si="251"/>
        <v>0</v>
      </c>
      <c r="DM132">
        <f t="shared" si="252"/>
        <v>0</v>
      </c>
      <c r="DN132">
        <f t="shared" si="253"/>
        <v>0</v>
      </c>
      <c r="DO132">
        <f t="shared" si="254"/>
        <v>0</v>
      </c>
      <c r="DP132">
        <f t="shared" si="255"/>
        <v>0</v>
      </c>
      <c r="DQ132">
        <f t="shared" si="256"/>
        <v>0</v>
      </c>
      <c r="DR132">
        <f t="shared" si="257"/>
        <v>0</v>
      </c>
      <c r="DS132">
        <f t="shared" si="258"/>
        <v>0</v>
      </c>
      <c r="DT132">
        <f t="shared" si="259"/>
        <v>0</v>
      </c>
      <c r="DU132">
        <f t="shared" si="260"/>
        <v>0</v>
      </c>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row>
    <row r="133" spans="1:256" s="1" customFormat="1" x14ac:dyDescent="0.2">
      <c r="A133"/>
      <c r="B133"/>
      <c r="C133"/>
      <c r="D133"/>
      <c r="P133"/>
      <c r="Q133"/>
      <c r="R133"/>
      <c r="S133"/>
      <c r="T133"/>
      <c r="U133"/>
      <c r="V133"/>
      <c r="W133"/>
      <c r="X133"/>
      <c r="Y133"/>
      <c r="Z133"/>
      <c r="AA133"/>
      <c r="AB133"/>
      <c r="AC133"/>
      <c r="AD133"/>
      <c r="AE133"/>
      <c r="AF133"/>
      <c r="AG133"/>
      <c r="AH133"/>
      <c r="AI133"/>
      <c r="AJ133"/>
      <c r="AK133"/>
      <c r="AL133"/>
      <c r="AM133"/>
      <c r="AN133"/>
      <c r="AO133">
        <v>14</v>
      </c>
      <c r="AP133" t="str">
        <f t="shared" si="211"/>
        <v/>
      </c>
      <c r="AQ133" t="str">
        <f t="shared" si="212"/>
        <v/>
      </c>
      <c r="AR133" t="str">
        <f t="shared" si="213"/>
        <v/>
      </c>
      <c r="AS133"/>
      <c r="AT133"/>
      <c r="AU133"/>
      <c r="AV133"/>
      <c r="AW133"/>
      <c r="AX133">
        <f t="shared" si="214"/>
        <v>0</v>
      </c>
      <c r="AY133">
        <f t="shared" si="215"/>
        <v>0</v>
      </c>
      <c r="AZ133">
        <f t="shared" si="216"/>
        <v>0</v>
      </c>
      <c r="BA133">
        <f t="shared" si="217"/>
        <v>0</v>
      </c>
      <c r="BB133">
        <f t="shared" si="218"/>
        <v>0</v>
      </c>
      <c r="BC133">
        <f t="shared" si="219"/>
        <v>0</v>
      </c>
      <c r="BD133">
        <f t="shared" si="220"/>
        <v>0</v>
      </c>
      <c r="BE133">
        <f t="shared" si="221"/>
        <v>0</v>
      </c>
      <c r="BF133" t="str">
        <f t="shared" si="222"/>
        <v/>
      </c>
      <c r="BG133" t="str">
        <f t="shared" si="187"/>
        <v/>
      </c>
      <c r="BH133" t="str">
        <f t="shared" si="189"/>
        <v/>
      </c>
      <c r="BI133" t="str">
        <f t="shared" si="190"/>
        <v/>
      </c>
      <c r="BJ133" t="str">
        <f t="shared" si="191"/>
        <v/>
      </c>
      <c r="BK133" t="str">
        <f t="shared" si="192"/>
        <v/>
      </c>
      <c r="BL133" t="str">
        <f t="shared" si="193"/>
        <v/>
      </c>
      <c r="BM133" t="str">
        <f t="shared" si="194"/>
        <v/>
      </c>
      <c r="BN133" t="str">
        <f t="shared" si="195"/>
        <v/>
      </c>
      <c r="BO133" t="str">
        <f t="shared" si="196"/>
        <v/>
      </c>
      <c r="BP133" t="str">
        <f t="shared" si="197"/>
        <v/>
      </c>
      <c r="BQ133" t="str">
        <f t="shared" si="198"/>
        <v/>
      </c>
      <c r="BR133" t="str">
        <f t="shared" si="199"/>
        <v/>
      </c>
      <c r="BS133" t="str">
        <f t="shared" si="200"/>
        <v/>
      </c>
      <c r="BT133" t="str">
        <f t="shared" si="201"/>
        <v/>
      </c>
      <c r="BU133" t="str">
        <f t="shared" si="202"/>
        <v/>
      </c>
      <c r="BV133" t="str">
        <f t="shared" si="203"/>
        <v/>
      </c>
      <c r="BW133" t="str">
        <f t="shared" si="204"/>
        <v/>
      </c>
      <c r="BX133" t="str">
        <f t="shared" si="205"/>
        <v/>
      </c>
      <c r="BY133" t="str">
        <f t="shared" si="206"/>
        <v/>
      </c>
      <c r="BZ133" t="str">
        <f t="shared" si="207"/>
        <v/>
      </c>
      <c r="CA133" t="str">
        <f t="shared" si="208"/>
        <v/>
      </c>
      <c r="CB133" t="str">
        <f t="shared" si="223"/>
        <v/>
      </c>
      <c r="CC133" t="str">
        <f t="shared" si="224"/>
        <v/>
      </c>
      <c r="CD133" t="str">
        <f t="shared" si="225"/>
        <v/>
      </c>
      <c r="CE133" t="str">
        <f t="shared" si="226"/>
        <v/>
      </c>
      <c r="CF133" t="str">
        <f t="shared" si="227"/>
        <v/>
      </c>
      <c r="CG133" t="str">
        <f t="shared" si="228"/>
        <v/>
      </c>
      <c r="CH133" t="str">
        <f t="shared" si="229"/>
        <v/>
      </c>
      <c r="CI133" t="str">
        <f t="shared" si="230"/>
        <v/>
      </c>
      <c r="CJ133" t="str">
        <f t="shared" si="231"/>
        <v/>
      </c>
      <c r="CK133" t="str">
        <f t="shared" si="232"/>
        <v/>
      </c>
      <c r="CL133" t="str">
        <f t="shared" si="233"/>
        <v/>
      </c>
      <c r="CM133" t="str">
        <f t="shared" si="234"/>
        <v/>
      </c>
      <c r="CN133" t="str">
        <f t="shared" si="235"/>
        <v/>
      </c>
      <c r="CO133" t="str">
        <f t="shared" si="236"/>
        <v/>
      </c>
      <c r="CP133" t="str">
        <f t="shared" si="237"/>
        <v/>
      </c>
      <c r="CQ133" t="str">
        <f t="shared" si="238"/>
        <v/>
      </c>
      <c r="CR133" t="str">
        <f t="shared" si="239"/>
        <v/>
      </c>
      <c r="CS133" t="str">
        <f t="shared" si="240"/>
        <v/>
      </c>
      <c r="CT133" t="str">
        <f t="shared" si="241"/>
        <v/>
      </c>
      <c r="CU133" t="str">
        <f t="shared" si="242"/>
        <v/>
      </c>
      <c r="CV133" t="str">
        <f t="shared" si="243"/>
        <v/>
      </c>
      <c r="CW133" t="str">
        <f t="shared" si="244"/>
        <v/>
      </c>
      <c r="CX133" t="str">
        <f t="shared" si="245"/>
        <v/>
      </c>
      <c r="CY133">
        <f t="shared" si="246"/>
        <v>0</v>
      </c>
      <c r="CZ133" t="str">
        <f t="shared" si="247"/>
        <v/>
      </c>
      <c r="DA133"/>
      <c r="DB133"/>
      <c r="DC133"/>
      <c r="DD133"/>
      <c r="DE133"/>
      <c r="DF133"/>
      <c r="DG133"/>
      <c r="DH133"/>
      <c r="DI133" t="str">
        <f t="shared" si="248"/>
        <v/>
      </c>
      <c r="DJ133">
        <f t="shared" si="249"/>
        <v>0</v>
      </c>
      <c r="DK133">
        <f t="shared" si="250"/>
        <v>0</v>
      </c>
      <c r="DL133">
        <f t="shared" si="251"/>
        <v>0</v>
      </c>
      <c r="DM133">
        <f t="shared" si="252"/>
        <v>0</v>
      </c>
      <c r="DN133">
        <f t="shared" si="253"/>
        <v>0</v>
      </c>
      <c r="DO133">
        <f t="shared" si="254"/>
        <v>0</v>
      </c>
      <c r="DP133">
        <f t="shared" si="255"/>
        <v>0</v>
      </c>
      <c r="DQ133">
        <f t="shared" si="256"/>
        <v>0</v>
      </c>
      <c r="DR133">
        <f t="shared" si="257"/>
        <v>0</v>
      </c>
      <c r="DS133">
        <f t="shared" si="258"/>
        <v>0</v>
      </c>
      <c r="DT133">
        <f t="shared" si="259"/>
        <v>0</v>
      </c>
      <c r="DU133">
        <f t="shared" si="260"/>
        <v>0</v>
      </c>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row>
    <row r="134" spans="1:256" s="1" customFormat="1" x14ac:dyDescent="0.2">
      <c r="A134"/>
      <c r="B134"/>
      <c r="C134"/>
      <c r="D134"/>
      <c r="P134"/>
      <c r="Q134"/>
      <c r="R134"/>
      <c r="S134"/>
      <c r="T134"/>
      <c r="U134"/>
      <c r="V134"/>
      <c r="W134"/>
      <c r="X134"/>
      <c r="Y134"/>
      <c r="Z134"/>
      <c r="AA134"/>
      <c r="AB134"/>
      <c r="AC134"/>
      <c r="AD134"/>
      <c r="AE134"/>
      <c r="AF134"/>
      <c r="AG134"/>
      <c r="AH134"/>
      <c r="AI134"/>
      <c r="AJ134"/>
      <c r="AK134"/>
      <c r="AL134"/>
      <c r="AM134"/>
      <c r="AN134"/>
      <c r="AO134">
        <v>15</v>
      </c>
      <c r="AP134" t="str">
        <f t="shared" si="211"/>
        <v/>
      </c>
      <c r="AQ134" t="str">
        <f t="shared" si="212"/>
        <v/>
      </c>
      <c r="AR134" t="str">
        <f t="shared" si="213"/>
        <v/>
      </c>
      <c r="AS134"/>
      <c r="AT134"/>
      <c r="AU134"/>
      <c r="AV134"/>
      <c r="AW134"/>
      <c r="AX134">
        <f t="shared" si="214"/>
        <v>0</v>
      </c>
      <c r="AY134">
        <f t="shared" si="215"/>
        <v>0</v>
      </c>
      <c r="AZ134">
        <f t="shared" si="216"/>
        <v>0</v>
      </c>
      <c r="BA134">
        <f t="shared" si="217"/>
        <v>0</v>
      </c>
      <c r="BB134">
        <f t="shared" si="218"/>
        <v>0</v>
      </c>
      <c r="BC134">
        <f t="shared" si="219"/>
        <v>0</v>
      </c>
      <c r="BD134">
        <f t="shared" si="220"/>
        <v>0</v>
      </c>
      <c r="BE134">
        <f t="shared" si="221"/>
        <v>0</v>
      </c>
      <c r="BF134" t="str">
        <f t="shared" si="222"/>
        <v/>
      </c>
      <c r="BG134" t="str">
        <f t="shared" si="187"/>
        <v/>
      </c>
      <c r="BH134" t="str">
        <f t="shared" si="189"/>
        <v/>
      </c>
      <c r="BI134" t="str">
        <f t="shared" si="190"/>
        <v/>
      </c>
      <c r="BJ134" t="str">
        <f t="shared" si="191"/>
        <v/>
      </c>
      <c r="BK134" t="str">
        <f t="shared" si="192"/>
        <v/>
      </c>
      <c r="BL134" t="str">
        <f t="shared" si="193"/>
        <v/>
      </c>
      <c r="BM134" t="str">
        <f t="shared" si="194"/>
        <v/>
      </c>
      <c r="BN134" t="str">
        <f t="shared" si="195"/>
        <v/>
      </c>
      <c r="BO134" t="str">
        <f t="shared" si="196"/>
        <v/>
      </c>
      <c r="BP134" t="str">
        <f t="shared" si="197"/>
        <v/>
      </c>
      <c r="BQ134" t="str">
        <f t="shared" si="198"/>
        <v/>
      </c>
      <c r="BR134" t="str">
        <f t="shared" si="199"/>
        <v/>
      </c>
      <c r="BS134" t="str">
        <f t="shared" si="200"/>
        <v/>
      </c>
      <c r="BT134" t="str">
        <f t="shared" si="201"/>
        <v/>
      </c>
      <c r="BU134" t="str">
        <f t="shared" si="202"/>
        <v/>
      </c>
      <c r="BV134" t="str">
        <f t="shared" si="203"/>
        <v/>
      </c>
      <c r="BW134" t="str">
        <f t="shared" si="204"/>
        <v/>
      </c>
      <c r="BX134" t="str">
        <f t="shared" si="205"/>
        <v/>
      </c>
      <c r="BY134" t="str">
        <f t="shared" si="206"/>
        <v/>
      </c>
      <c r="BZ134" t="str">
        <f t="shared" si="207"/>
        <v/>
      </c>
      <c r="CA134" t="str">
        <f t="shared" si="208"/>
        <v/>
      </c>
      <c r="CB134" t="str">
        <f t="shared" si="223"/>
        <v/>
      </c>
      <c r="CC134" t="str">
        <f t="shared" si="224"/>
        <v/>
      </c>
      <c r="CD134" t="str">
        <f t="shared" si="225"/>
        <v/>
      </c>
      <c r="CE134" t="str">
        <f t="shared" si="226"/>
        <v/>
      </c>
      <c r="CF134" t="str">
        <f t="shared" si="227"/>
        <v/>
      </c>
      <c r="CG134" t="str">
        <f t="shared" si="228"/>
        <v/>
      </c>
      <c r="CH134" t="str">
        <f t="shared" si="229"/>
        <v/>
      </c>
      <c r="CI134" t="str">
        <f t="shared" si="230"/>
        <v/>
      </c>
      <c r="CJ134" t="str">
        <f t="shared" si="231"/>
        <v/>
      </c>
      <c r="CK134" t="str">
        <f t="shared" si="232"/>
        <v/>
      </c>
      <c r="CL134" t="str">
        <f t="shared" si="233"/>
        <v/>
      </c>
      <c r="CM134" t="str">
        <f t="shared" si="234"/>
        <v/>
      </c>
      <c r="CN134" t="str">
        <f t="shared" si="235"/>
        <v/>
      </c>
      <c r="CO134" t="str">
        <f t="shared" si="236"/>
        <v/>
      </c>
      <c r="CP134" t="str">
        <f t="shared" si="237"/>
        <v/>
      </c>
      <c r="CQ134" t="str">
        <f t="shared" si="238"/>
        <v/>
      </c>
      <c r="CR134" t="str">
        <f t="shared" si="239"/>
        <v/>
      </c>
      <c r="CS134" t="str">
        <f t="shared" si="240"/>
        <v/>
      </c>
      <c r="CT134" t="str">
        <f t="shared" si="241"/>
        <v/>
      </c>
      <c r="CU134" t="str">
        <f t="shared" si="242"/>
        <v/>
      </c>
      <c r="CV134" t="str">
        <f t="shared" si="243"/>
        <v/>
      </c>
      <c r="CW134" t="str">
        <f t="shared" si="244"/>
        <v/>
      </c>
      <c r="CX134" t="str">
        <f t="shared" si="245"/>
        <v/>
      </c>
      <c r="CY134">
        <f t="shared" si="246"/>
        <v>0</v>
      </c>
      <c r="CZ134" t="str">
        <f t="shared" si="247"/>
        <v/>
      </c>
      <c r="DA134"/>
      <c r="DB134"/>
      <c r="DC134"/>
      <c r="DD134"/>
      <c r="DE134"/>
      <c r="DF134"/>
      <c r="DG134"/>
      <c r="DH134"/>
      <c r="DI134" t="str">
        <f t="shared" si="248"/>
        <v/>
      </c>
      <c r="DJ134">
        <f t="shared" si="249"/>
        <v>0</v>
      </c>
      <c r="DK134">
        <f t="shared" si="250"/>
        <v>0</v>
      </c>
      <c r="DL134">
        <f t="shared" si="251"/>
        <v>0</v>
      </c>
      <c r="DM134">
        <f t="shared" si="252"/>
        <v>0</v>
      </c>
      <c r="DN134">
        <f t="shared" si="253"/>
        <v>0</v>
      </c>
      <c r="DO134">
        <f t="shared" si="254"/>
        <v>0</v>
      </c>
      <c r="DP134">
        <f t="shared" si="255"/>
        <v>0</v>
      </c>
      <c r="DQ134">
        <f t="shared" si="256"/>
        <v>0</v>
      </c>
      <c r="DR134">
        <f t="shared" si="257"/>
        <v>0</v>
      </c>
      <c r="DS134">
        <f t="shared" si="258"/>
        <v>0</v>
      </c>
      <c r="DT134">
        <f t="shared" si="259"/>
        <v>0</v>
      </c>
      <c r="DU134">
        <f t="shared" si="260"/>
        <v>0</v>
      </c>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row>
    <row r="135" spans="1:256" s="1" customFormat="1" x14ac:dyDescent="0.2">
      <c r="A135"/>
      <c r="B135"/>
      <c r="C135"/>
      <c r="D135"/>
      <c r="P135"/>
      <c r="Q135"/>
      <c r="R135"/>
      <c r="S135"/>
      <c r="T135"/>
      <c r="U135"/>
      <c r="V135"/>
      <c r="W135"/>
      <c r="X135"/>
      <c r="Y135"/>
      <c r="Z135"/>
      <c r="AA135"/>
      <c r="AB135"/>
      <c r="AC135"/>
      <c r="AD135"/>
      <c r="AE135"/>
      <c r="AF135"/>
      <c r="AG135"/>
      <c r="AH135"/>
      <c r="AI135"/>
      <c r="AJ135"/>
      <c r="AK135"/>
      <c r="AL135"/>
      <c r="AM135"/>
      <c r="AN135"/>
      <c r="AO135">
        <v>16</v>
      </c>
      <c r="AP135" t="str">
        <f t="shared" si="211"/>
        <v/>
      </c>
      <c r="AQ135" t="str">
        <f t="shared" si="212"/>
        <v/>
      </c>
      <c r="AR135" t="str">
        <f t="shared" si="213"/>
        <v/>
      </c>
      <c r="AS135"/>
      <c r="AT135"/>
      <c r="AU135"/>
      <c r="AV135"/>
      <c r="AW135"/>
      <c r="AX135">
        <f t="shared" si="214"/>
        <v>0</v>
      </c>
      <c r="AY135">
        <f t="shared" si="215"/>
        <v>0</v>
      </c>
      <c r="AZ135">
        <f t="shared" si="216"/>
        <v>0</v>
      </c>
      <c r="BA135">
        <f t="shared" si="217"/>
        <v>0</v>
      </c>
      <c r="BB135">
        <f t="shared" si="218"/>
        <v>0</v>
      </c>
      <c r="BC135">
        <f t="shared" si="219"/>
        <v>0</v>
      </c>
      <c r="BD135">
        <f t="shared" si="220"/>
        <v>0</v>
      </c>
      <c r="BE135">
        <f t="shared" si="221"/>
        <v>0</v>
      </c>
      <c r="BF135" t="str">
        <f t="shared" si="222"/>
        <v/>
      </c>
      <c r="BG135" t="str">
        <f t="shared" si="187"/>
        <v/>
      </c>
      <c r="BH135" t="str">
        <f t="shared" si="189"/>
        <v/>
      </c>
      <c r="BI135" t="str">
        <f t="shared" si="190"/>
        <v/>
      </c>
      <c r="BJ135" t="str">
        <f t="shared" si="191"/>
        <v/>
      </c>
      <c r="BK135" t="str">
        <f t="shared" si="192"/>
        <v/>
      </c>
      <c r="BL135" t="str">
        <f t="shared" si="193"/>
        <v/>
      </c>
      <c r="BM135" t="str">
        <f t="shared" si="194"/>
        <v/>
      </c>
      <c r="BN135" t="str">
        <f t="shared" si="195"/>
        <v/>
      </c>
      <c r="BO135" t="str">
        <f t="shared" si="196"/>
        <v/>
      </c>
      <c r="BP135" t="str">
        <f t="shared" si="197"/>
        <v/>
      </c>
      <c r="BQ135" t="str">
        <f t="shared" si="198"/>
        <v/>
      </c>
      <c r="BR135" t="str">
        <f t="shared" si="199"/>
        <v/>
      </c>
      <c r="BS135" t="str">
        <f t="shared" si="200"/>
        <v/>
      </c>
      <c r="BT135" t="str">
        <f t="shared" si="201"/>
        <v/>
      </c>
      <c r="BU135" t="str">
        <f t="shared" si="202"/>
        <v/>
      </c>
      <c r="BV135" t="str">
        <f t="shared" si="203"/>
        <v/>
      </c>
      <c r="BW135" t="str">
        <f t="shared" si="204"/>
        <v/>
      </c>
      <c r="BX135" t="str">
        <f t="shared" si="205"/>
        <v/>
      </c>
      <c r="BY135" t="str">
        <f t="shared" si="206"/>
        <v/>
      </c>
      <c r="BZ135" t="str">
        <f t="shared" si="207"/>
        <v/>
      </c>
      <c r="CA135" t="str">
        <f t="shared" si="208"/>
        <v/>
      </c>
      <c r="CB135" t="str">
        <f t="shared" si="223"/>
        <v/>
      </c>
      <c r="CC135" t="str">
        <f t="shared" si="224"/>
        <v/>
      </c>
      <c r="CD135" t="str">
        <f t="shared" si="225"/>
        <v/>
      </c>
      <c r="CE135" t="str">
        <f t="shared" si="226"/>
        <v/>
      </c>
      <c r="CF135" t="str">
        <f t="shared" si="227"/>
        <v/>
      </c>
      <c r="CG135" t="str">
        <f t="shared" si="228"/>
        <v/>
      </c>
      <c r="CH135" t="str">
        <f t="shared" si="229"/>
        <v/>
      </c>
      <c r="CI135" t="str">
        <f t="shared" si="230"/>
        <v/>
      </c>
      <c r="CJ135" t="str">
        <f t="shared" si="231"/>
        <v/>
      </c>
      <c r="CK135" t="str">
        <f t="shared" si="232"/>
        <v/>
      </c>
      <c r="CL135" t="str">
        <f t="shared" si="233"/>
        <v/>
      </c>
      <c r="CM135" t="str">
        <f t="shared" si="234"/>
        <v/>
      </c>
      <c r="CN135" t="str">
        <f t="shared" si="235"/>
        <v/>
      </c>
      <c r="CO135" t="str">
        <f t="shared" si="236"/>
        <v/>
      </c>
      <c r="CP135" t="str">
        <f t="shared" si="237"/>
        <v/>
      </c>
      <c r="CQ135" t="str">
        <f t="shared" si="238"/>
        <v/>
      </c>
      <c r="CR135" t="str">
        <f t="shared" si="239"/>
        <v/>
      </c>
      <c r="CS135" t="str">
        <f t="shared" si="240"/>
        <v/>
      </c>
      <c r="CT135" t="str">
        <f t="shared" si="241"/>
        <v/>
      </c>
      <c r="CU135" t="str">
        <f t="shared" si="242"/>
        <v/>
      </c>
      <c r="CV135" t="str">
        <f t="shared" si="243"/>
        <v/>
      </c>
      <c r="CW135" t="str">
        <f t="shared" si="244"/>
        <v/>
      </c>
      <c r="CX135" t="str">
        <f t="shared" si="245"/>
        <v/>
      </c>
      <c r="CY135">
        <f t="shared" si="246"/>
        <v>0</v>
      </c>
      <c r="CZ135" t="str">
        <f t="shared" si="247"/>
        <v/>
      </c>
      <c r="DA135"/>
      <c r="DB135"/>
      <c r="DC135"/>
      <c r="DD135"/>
      <c r="DE135"/>
      <c r="DF135"/>
      <c r="DG135"/>
      <c r="DH135"/>
      <c r="DI135" t="str">
        <f t="shared" si="248"/>
        <v/>
      </c>
      <c r="DJ135">
        <f t="shared" si="249"/>
        <v>0</v>
      </c>
      <c r="DK135">
        <f t="shared" si="250"/>
        <v>0</v>
      </c>
      <c r="DL135">
        <f t="shared" si="251"/>
        <v>0</v>
      </c>
      <c r="DM135">
        <f t="shared" si="252"/>
        <v>0</v>
      </c>
      <c r="DN135">
        <f t="shared" si="253"/>
        <v>0</v>
      </c>
      <c r="DO135">
        <f t="shared" si="254"/>
        <v>0</v>
      </c>
      <c r="DP135">
        <f t="shared" si="255"/>
        <v>0</v>
      </c>
      <c r="DQ135">
        <f t="shared" si="256"/>
        <v>0</v>
      </c>
      <c r="DR135">
        <f t="shared" si="257"/>
        <v>0</v>
      </c>
      <c r="DS135">
        <f t="shared" si="258"/>
        <v>0</v>
      </c>
      <c r="DT135">
        <f t="shared" si="259"/>
        <v>0</v>
      </c>
      <c r="DU135">
        <f t="shared" si="260"/>
        <v>0</v>
      </c>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row>
    <row r="136" spans="1:256" s="1" customFormat="1" x14ac:dyDescent="0.2">
      <c r="A136"/>
      <c r="B136"/>
      <c r="C136"/>
      <c r="D136"/>
      <c r="P136"/>
      <c r="Q136"/>
      <c r="R136"/>
      <c r="S136"/>
      <c r="T136"/>
      <c r="U136"/>
      <c r="V136"/>
      <c r="W136"/>
      <c r="X136"/>
      <c r="Y136"/>
      <c r="Z136"/>
      <c r="AA136"/>
      <c r="AB136"/>
      <c r="AC136"/>
      <c r="AD136"/>
      <c r="AE136"/>
      <c r="AF136"/>
      <c r="AG136"/>
      <c r="AH136"/>
      <c r="AI136"/>
      <c r="AJ136"/>
      <c r="AK136"/>
      <c r="AL136"/>
      <c r="AM136"/>
      <c r="AN136"/>
      <c r="AO136">
        <v>17</v>
      </c>
      <c r="AP136" t="str">
        <f t="shared" si="211"/>
        <v/>
      </c>
      <c r="AQ136" t="str">
        <f t="shared" si="212"/>
        <v/>
      </c>
      <c r="AR136" t="str">
        <f t="shared" si="213"/>
        <v/>
      </c>
      <c r="AS136"/>
      <c r="AT136"/>
      <c r="AU136"/>
      <c r="AV136"/>
      <c r="AW136"/>
      <c r="AX136">
        <f t="shared" si="214"/>
        <v>0</v>
      </c>
      <c r="AY136">
        <f t="shared" si="215"/>
        <v>0</v>
      </c>
      <c r="AZ136">
        <f t="shared" si="216"/>
        <v>0</v>
      </c>
      <c r="BA136">
        <f t="shared" si="217"/>
        <v>0</v>
      </c>
      <c r="BB136">
        <f t="shared" si="218"/>
        <v>0</v>
      </c>
      <c r="BC136">
        <f t="shared" si="219"/>
        <v>0</v>
      </c>
      <c r="BD136">
        <f t="shared" si="220"/>
        <v>0</v>
      </c>
      <c r="BE136">
        <f t="shared" si="221"/>
        <v>0</v>
      </c>
      <c r="BF136" t="str">
        <f t="shared" si="222"/>
        <v/>
      </c>
      <c r="BG136" t="str">
        <f t="shared" si="187"/>
        <v/>
      </c>
      <c r="BH136" t="str">
        <f t="shared" si="189"/>
        <v/>
      </c>
      <c r="BI136" t="str">
        <f t="shared" si="190"/>
        <v/>
      </c>
      <c r="BJ136" t="str">
        <f t="shared" si="191"/>
        <v/>
      </c>
      <c r="BK136" t="str">
        <f t="shared" si="192"/>
        <v/>
      </c>
      <c r="BL136" t="str">
        <f t="shared" si="193"/>
        <v/>
      </c>
      <c r="BM136" t="str">
        <f t="shared" si="194"/>
        <v/>
      </c>
      <c r="BN136" t="str">
        <f t="shared" si="195"/>
        <v/>
      </c>
      <c r="BO136" t="str">
        <f t="shared" si="196"/>
        <v/>
      </c>
      <c r="BP136" t="str">
        <f t="shared" si="197"/>
        <v/>
      </c>
      <c r="BQ136" t="str">
        <f t="shared" si="198"/>
        <v/>
      </c>
      <c r="BR136" t="str">
        <f t="shared" si="199"/>
        <v/>
      </c>
      <c r="BS136" t="str">
        <f t="shared" si="200"/>
        <v/>
      </c>
      <c r="BT136" t="str">
        <f t="shared" si="201"/>
        <v/>
      </c>
      <c r="BU136" t="str">
        <f t="shared" si="202"/>
        <v/>
      </c>
      <c r="BV136" t="str">
        <f t="shared" si="203"/>
        <v/>
      </c>
      <c r="BW136" t="str">
        <f t="shared" si="204"/>
        <v/>
      </c>
      <c r="BX136" t="str">
        <f t="shared" si="205"/>
        <v/>
      </c>
      <c r="BY136" t="str">
        <f t="shared" si="206"/>
        <v/>
      </c>
      <c r="BZ136" t="str">
        <f t="shared" si="207"/>
        <v/>
      </c>
      <c r="CA136" t="str">
        <f t="shared" si="208"/>
        <v/>
      </c>
      <c r="CB136" t="str">
        <f t="shared" si="223"/>
        <v/>
      </c>
      <c r="CC136" t="str">
        <f t="shared" si="224"/>
        <v/>
      </c>
      <c r="CD136" t="str">
        <f t="shared" si="225"/>
        <v/>
      </c>
      <c r="CE136" t="str">
        <f t="shared" si="226"/>
        <v/>
      </c>
      <c r="CF136" t="str">
        <f t="shared" si="227"/>
        <v/>
      </c>
      <c r="CG136" t="str">
        <f t="shared" si="228"/>
        <v/>
      </c>
      <c r="CH136" t="str">
        <f t="shared" si="229"/>
        <v/>
      </c>
      <c r="CI136" t="str">
        <f t="shared" si="230"/>
        <v/>
      </c>
      <c r="CJ136" t="str">
        <f t="shared" si="231"/>
        <v/>
      </c>
      <c r="CK136" t="str">
        <f t="shared" si="232"/>
        <v/>
      </c>
      <c r="CL136" t="str">
        <f t="shared" si="233"/>
        <v/>
      </c>
      <c r="CM136" t="str">
        <f t="shared" si="234"/>
        <v/>
      </c>
      <c r="CN136" t="str">
        <f t="shared" si="235"/>
        <v/>
      </c>
      <c r="CO136" t="str">
        <f t="shared" si="236"/>
        <v/>
      </c>
      <c r="CP136" t="str">
        <f t="shared" si="237"/>
        <v/>
      </c>
      <c r="CQ136" t="str">
        <f t="shared" si="238"/>
        <v/>
      </c>
      <c r="CR136" t="str">
        <f t="shared" si="239"/>
        <v/>
      </c>
      <c r="CS136" t="str">
        <f t="shared" si="240"/>
        <v/>
      </c>
      <c r="CT136" t="str">
        <f t="shared" si="241"/>
        <v/>
      </c>
      <c r="CU136" t="str">
        <f t="shared" si="242"/>
        <v/>
      </c>
      <c r="CV136" t="str">
        <f t="shared" si="243"/>
        <v/>
      </c>
      <c r="CW136" t="str">
        <f t="shared" si="244"/>
        <v/>
      </c>
      <c r="CX136" t="str">
        <f t="shared" si="245"/>
        <v/>
      </c>
      <c r="CY136">
        <f t="shared" si="246"/>
        <v>0</v>
      </c>
      <c r="CZ136" t="str">
        <f t="shared" si="247"/>
        <v/>
      </c>
      <c r="DA136"/>
      <c r="DB136"/>
      <c r="DC136"/>
      <c r="DD136"/>
      <c r="DE136"/>
      <c r="DF136"/>
      <c r="DG136"/>
      <c r="DH136"/>
      <c r="DI136" t="str">
        <f t="shared" si="248"/>
        <v/>
      </c>
      <c r="DJ136">
        <f t="shared" si="249"/>
        <v>0</v>
      </c>
      <c r="DK136">
        <f t="shared" si="250"/>
        <v>0</v>
      </c>
      <c r="DL136">
        <f t="shared" si="251"/>
        <v>0</v>
      </c>
      <c r="DM136">
        <f t="shared" si="252"/>
        <v>0</v>
      </c>
      <c r="DN136">
        <f t="shared" si="253"/>
        <v>0</v>
      </c>
      <c r="DO136">
        <f t="shared" si="254"/>
        <v>0</v>
      </c>
      <c r="DP136">
        <f t="shared" si="255"/>
        <v>0</v>
      </c>
      <c r="DQ136">
        <f t="shared" si="256"/>
        <v>0</v>
      </c>
      <c r="DR136">
        <f t="shared" si="257"/>
        <v>0</v>
      </c>
      <c r="DS136">
        <f t="shared" si="258"/>
        <v>0</v>
      </c>
      <c r="DT136">
        <f t="shared" si="259"/>
        <v>0</v>
      </c>
      <c r="DU136">
        <f t="shared" si="260"/>
        <v>0</v>
      </c>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row>
    <row r="137" spans="1:256" s="1" customFormat="1" x14ac:dyDescent="0.2">
      <c r="A137"/>
      <c r="B137"/>
      <c r="C137"/>
      <c r="D137"/>
      <c r="P137"/>
      <c r="Q137"/>
      <c r="R137"/>
      <c r="S137"/>
      <c r="T137"/>
      <c r="U137"/>
      <c r="V137"/>
      <c r="W137"/>
      <c r="X137"/>
      <c r="Y137"/>
      <c r="Z137"/>
      <c r="AA137"/>
      <c r="AB137"/>
      <c r="AC137"/>
      <c r="AD137"/>
      <c r="AE137"/>
      <c r="AF137"/>
      <c r="AG137"/>
      <c r="AH137"/>
      <c r="AI137"/>
      <c r="AJ137"/>
      <c r="AK137"/>
      <c r="AL137"/>
      <c r="AM137"/>
      <c r="AN137"/>
      <c r="AO137">
        <v>18</v>
      </c>
      <c r="AP137" t="str">
        <f t="shared" si="211"/>
        <v/>
      </c>
      <c r="AQ137" t="str">
        <f t="shared" si="212"/>
        <v/>
      </c>
      <c r="AR137" t="str">
        <f t="shared" si="213"/>
        <v/>
      </c>
      <c r="AS137"/>
      <c r="AT137"/>
      <c r="AU137"/>
      <c r="AV137"/>
      <c r="AW137"/>
      <c r="AX137">
        <f t="shared" si="214"/>
        <v>0</v>
      </c>
      <c r="AY137">
        <f t="shared" si="215"/>
        <v>0</v>
      </c>
      <c r="AZ137">
        <f t="shared" si="216"/>
        <v>0</v>
      </c>
      <c r="BA137">
        <f t="shared" si="217"/>
        <v>0</v>
      </c>
      <c r="BB137">
        <f t="shared" si="218"/>
        <v>0</v>
      </c>
      <c r="BC137">
        <f t="shared" si="219"/>
        <v>0</v>
      </c>
      <c r="BD137">
        <f t="shared" si="220"/>
        <v>0</v>
      </c>
      <c r="BE137">
        <f t="shared" si="221"/>
        <v>0</v>
      </c>
      <c r="BF137" t="str">
        <f t="shared" si="222"/>
        <v/>
      </c>
      <c r="BG137" t="str">
        <f t="shared" si="187"/>
        <v/>
      </c>
      <c r="BH137" t="str">
        <f t="shared" si="189"/>
        <v/>
      </c>
      <c r="BI137" t="str">
        <f t="shared" si="190"/>
        <v/>
      </c>
      <c r="BJ137" t="str">
        <f t="shared" si="191"/>
        <v/>
      </c>
      <c r="BK137" t="str">
        <f t="shared" si="192"/>
        <v/>
      </c>
      <c r="BL137" t="str">
        <f t="shared" si="193"/>
        <v/>
      </c>
      <c r="BM137" t="str">
        <f t="shared" si="194"/>
        <v/>
      </c>
      <c r="BN137" t="str">
        <f t="shared" si="195"/>
        <v/>
      </c>
      <c r="BO137" t="str">
        <f t="shared" si="196"/>
        <v/>
      </c>
      <c r="BP137" t="str">
        <f t="shared" si="197"/>
        <v/>
      </c>
      <c r="BQ137" t="str">
        <f t="shared" si="198"/>
        <v/>
      </c>
      <c r="BR137" t="str">
        <f t="shared" si="199"/>
        <v/>
      </c>
      <c r="BS137" t="str">
        <f t="shared" si="200"/>
        <v/>
      </c>
      <c r="BT137" t="str">
        <f t="shared" si="201"/>
        <v/>
      </c>
      <c r="BU137" t="str">
        <f t="shared" si="202"/>
        <v/>
      </c>
      <c r="BV137" t="str">
        <f t="shared" si="203"/>
        <v/>
      </c>
      <c r="BW137" t="str">
        <f t="shared" si="204"/>
        <v/>
      </c>
      <c r="BX137" t="str">
        <f t="shared" si="205"/>
        <v/>
      </c>
      <c r="BY137" t="str">
        <f t="shared" si="206"/>
        <v/>
      </c>
      <c r="BZ137" t="str">
        <f t="shared" si="207"/>
        <v/>
      </c>
      <c r="CA137" t="str">
        <f t="shared" si="208"/>
        <v/>
      </c>
      <c r="CB137" t="str">
        <f t="shared" si="223"/>
        <v/>
      </c>
      <c r="CC137" t="str">
        <f t="shared" si="224"/>
        <v/>
      </c>
      <c r="CD137" t="str">
        <f t="shared" si="225"/>
        <v/>
      </c>
      <c r="CE137" t="str">
        <f t="shared" si="226"/>
        <v/>
      </c>
      <c r="CF137" t="str">
        <f t="shared" si="227"/>
        <v/>
      </c>
      <c r="CG137" t="str">
        <f t="shared" si="228"/>
        <v/>
      </c>
      <c r="CH137" t="str">
        <f t="shared" si="229"/>
        <v/>
      </c>
      <c r="CI137" t="str">
        <f t="shared" si="230"/>
        <v/>
      </c>
      <c r="CJ137" t="str">
        <f t="shared" si="231"/>
        <v/>
      </c>
      <c r="CK137" t="str">
        <f t="shared" si="232"/>
        <v/>
      </c>
      <c r="CL137" t="str">
        <f t="shared" si="233"/>
        <v/>
      </c>
      <c r="CM137" t="str">
        <f t="shared" si="234"/>
        <v/>
      </c>
      <c r="CN137" t="str">
        <f t="shared" si="235"/>
        <v/>
      </c>
      <c r="CO137" t="str">
        <f t="shared" si="236"/>
        <v/>
      </c>
      <c r="CP137" t="str">
        <f t="shared" si="237"/>
        <v/>
      </c>
      <c r="CQ137" t="str">
        <f t="shared" si="238"/>
        <v/>
      </c>
      <c r="CR137" t="str">
        <f t="shared" si="239"/>
        <v/>
      </c>
      <c r="CS137" t="str">
        <f t="shared" si="240"/>
        <v/>
      </c>
      <c r="CT137" t="str">
        <f t="shared" si="241"/>
        <v/>
      </c>
      <c r="CU137" t="str">
        <f t="shared" si="242"/>
        <v/>
      </c>
      <c r="CV137" t="str">
        <f t="shared" si="243"/>
        <v/>
      </c>
      <c r="CW137" t="str">
        <f t="shared" si="244"/>
        <v/>
      </c>
      <c r="CX137" t="str">
        <f t="shared" si="245"/>
        <v/>
      </c>
      <c r="CY137">
        <f t="shared" si="246"/>
        <v>0</v>
      </c>
      <c r="CZ137" t="str">
        <f t="shared" si="247"/>
        <v/>
      </c>
      <c r="DA137"/>
      <c r="DB137"/>
      <c r="DC137"/>
      <c r="DD137"/>
      <c r="DE137"/>
      <c r="DF137"/>
      <c r="DG137"/>
      <c r="DH137"/>
      <c r="DI137" t="str">
        <f t="shared" si="248"/>
        <v/>
      </c>
      <c r="DJ137">
        <f t="shared" si="249"/>
        <v>0</v>
      </c>
      <c r="DK137">
        <f t="shared" si="250"/>
        <v>0</v>
      </c>
      <c r="DL137">
        <f t="shared" si="251"/>
        <v>0</v>
      </c>
      <c r="DM137">
        <f t="shared" si="252"/>
        <v>0</v>
      </c>
      <c r="DN137">
        <f t="shared" si="253"/>
        <v>0</v>
      </c>
      <c r="DO137">
        <f t="shared" si="254"/>
        <v>0</v>
      </c>
      <c r="DP137">
        <f t="shared" si="255"/>
        <v>0</v>
      </c>
      <c r="DQ137">
        <f t="shared" si="256"/>
        <v>0</v>
      </c>
      <c r="DR137">
        <f t="shared" si="257"/>
        <v>0</v>
      </c>
      <c r="DS137">
        <f t="shared" si="258"/>
        <v>0</v>
      </c>
      <c r="DT137">
        <f t="shared" si="259"/>
        <v>0</v>
      </c>
      <c r="DU137">
        <f t="shared" si="260"/>
        <v>0</v>
      </c>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row>
    <row r="138" spans="1:256" s="1" customFormat="1" x14ac:dyDescent="0.2">
      <c r="A138"/>
      <c r="B138"/>
      <c r="C138"/>
      <c r="D138"/>
      <c r="P138"/>
      <c r="Q138"/>
      <c r="R138"/>
      <c r="S138"/>
      <c r="T138"/>
      <c r="U138"/>
      <c r="V138"/>
      <c r="W138"/>
      <c r="X138"/>
      <c r="Y138"/>
      <c r="Z138"/>
      <c r="AA138"/>
      <c r="AB138"/>
      <c r="AC138"/>
      <c r="AD138"/>
      <c r="AE138"/>
      <c r="AF138"/>
      <c r="AG138"/>
      <c r="AH138"/>
      <c r="AI138"/>
      <c r="AJ138"/>
      <c r="AK138"/>
      <c r="AL138"/>
      <c r="AM138"/>
      <c r="AN138"/>
      <c r="AO138">
        <v>19</v>
      </c>
      <c r="AP138" t="str">
        <f t="shared" si="211"/>
        <v/>
      </c>
      <c r="AQ138" t="str">
        <f t="shared" si="212"/>
        <v/>
      </c>
      <c r="AR138" t="str">
        <f t="shared" si="213"/>
        <v/>
      </c>
      <c r="AS138"/>
      <c r="AT138"/>
      <c r="AU138"/>
      <c r="AV138"/>
      <c r="AW138"/>
      <c r="AX138">
        <f t="shared" si="214"/>
        <v>0</v>
      </c>
      <c r="AY138">
        <f t="shared" si="215"/>
        <v>0</v>
      </c>
      <c r="AZ138">
        <f t="shared" si="216"/>
        <v>0</v>
      </c>
      <c r="BA138">
        <f t="shared" si="217"/>
        <v>0</v>
      </c>
      <c r="BB138">
        <f t="shared" si="218"/>
        <v>0</v>
      </c>
      <c r="BC138">
        <f t="shared" si="219"/>
        <v>0</v>
      </c>
      <c r="BD138">
        <f t="shared" si="220"/>
        <v>0</v>
      </c>
      <c r="BE138">
        <f t="shared" si="221"/>
        <v>0</v>
      </c>
      <c r="BF138" t="str">
        <f t="shared" si="222"/>
        <v/>
      </c>
      <c r="BG138" t="str">
        <f t="shared" si="187"/>
        <v/>
      </c>
      <c r="BH138" t="str">
        <f t="shared" si="189"/>
        <v/>
      </c>
      <c r="BI138" t="str">
        <f t="shared" si="190"/>
        <v/>
      </c>
      <c r="BJ138" t="str">
        <f t="shared" si="191"/>
        <v/>
      </c>
      <c r="BK138" t="str">
        <f t="shared" si="192"/>
        <v/>
      </c>
      <c r="BL138" t="str">
        <f t="shared" si="193"/>
        <v/>
      </c>
      <c r="BM138" t="str">
        <f t="shared" si="194"/>
        <v/>
      </c>
      <c r="BN138" t="str">
        <f t="shared" si="195"/>
        <v/>
      </c>
      <c r="BO138" t="str">
        <f t="shared" si="196"/>
        <v/>
      </c>
      <c r="BP138" t="str">
        <f t="shared" si="197"/>
        <v/>
      </c>
      <c r="BQ138" t="str">
        <f t="shared" si="198"/>
        <v/>
      </c>
      <c r="BR138" t="str">
        <f t="shared" si="199"/>
        <v/>
      </c>
      <c r="BS138" t="str">
        <f t="shared" si="200"/>
        <v/>
      </c>
      <c r="BT138" t="str">
        <f t="shared" si="201"/>
        <v/>
      </c>
      <c r="BU138" t="str">
        <f t="shared" si="202"/>
        <v/>
      </c>
      <c r="BV138" t="str">
        <f t="shared" si="203"/>
        <v/>
      </c>
      <c r="BW138" t="str">
        <f t="shared" si="204"/>
        <v/>
      </c>
      <c r="BX138" t="str">
        <f t="shared" si="205"/>
        <v/>
      </c>
      <c r="BY138" t="str">
        <f t="shared" si="206"/>
        <v/>
      </c>
      <c r="BZ138" t="str">
        <f t="shared" si="207"/>
        <v/>
      </c>
      <c r="CA138" t="str">
        <f t="shared" si="208"/>
        <v/>
      </c>
      <c r="CB138" t="str">
        <f t="shared" si="223"/>
        <v/>
      </c>
      <c r="CC138" t="str">
        <f t="shared" si="224"/>
        <v/>
      </c>
      <c r="CD138" t="str">
        <f t="shared" si="225"/>
        <v/>
      </c>
      <c r="CE138" t="str">
        <f t="shared" si="226"/>
        <v/>
      </c>
      <c r="CF138" t="str">
        <f t="shared" si="227"/>
        <v/>
      </c>
      <c r="CG138" t="str">
        <f t="shared" si="228"/>
        <v/>
      </c>
      <c r="CH138" t="str">
        <f t="shared" si="229"/>
        <v/>
      </c>
      <c r="CI138" t="str">
        <f t="shared" si="230"/>
        <v/>
      </c>
      <c r="CJ138" t="str">
        <f t="shared" si="231"/>
        <v/>
      </c>
      <c r="CK138" t="str">
        <f t="shared" si="232"/>
        <v/>
      </c>
      <c r="CL138" t="str">
        <f t="shared" si="233"/>
        <v/>
      </c>
      <c r="CM138" t="str">
        <f t="shared" si="234"/>
        <v/>
      </c>
      <c r="CN138" t="str">
        <f t="shared" si="235"/>
        <v/>
      </c>
      <c r="CO138" t="str">
        <f t="shared" si="236"/>
        <v/>
      </c>
      <c r="CP138" t="str">
        <f t="shared" si="237"/>
        <v/>
      </c>
      <c r="CQ138" t="str">
        <f t="shared" si="238"/>
        <v/>
      </c>
      <c r="CR138" t="str">
        <f t="shared" si="239"/>
        <v/>
      </c>
      <c r="CS138" t="str">
        <f t="shared" si="240"/>
        <v/>
      </c>
      <c r="CT138" t="str">
        <f t="shared" si="241"/>
        <v/>
      </c>
      <c r="CU138" t="str">
        <f t="shared" si="242"/>
        <v/>
      </c>
      <c r="CV138" t="str">
        <f t="shared" si="243"/>
        <v/>
      </c>
      <c r="CW138" t="str">
        <f t="shared" si="244"/>
        <v/>
      </c>
      <c r="CX138" t="str">
        <f t="shared" si="245"/>
        <v/>
      </c>
      <c r="CY138">
        <f t="shared" si="246"/>
        <v>0</v>
      </c>
      <c r="CZ138" t="str">
        <f t="shared" si="247"/>
        <v/>
      </c>
      <c r="DA138"/>
      <c r="DB138"/>
      <c r="DC138"/>
      <c r="DD138"/>
      <c r="DE138"/>
      <c r="DF138"/>
      <c r="DG138"/>
      <c r="DH138"/>
      <c r="DI138" t="str">
        <f t="shared" si="248"/>
        <v/>
      </c>
      <c r="DJ138">
        <f t="shared" si="249"/>
        <v>0</v>
      </c>
      <c r="DK138">
        <f t="shared" si="250"/>
        <v>0</v>
      </c>
      <c r="DL138">
        <f t="shared" si="251"/>
        <v>0</v>
      </c>
      <c r="DM138">
        <f t="shared" si="252"/>
        <v>0</v>
      </c>
      <c r="DN138">
        <f t="shared" si="253"/>
        <v>0</v>
      </c>
      <c r="DO138">
        <f t="shared" si="254"/>
        <v>0</v>
      </c>
      <c r="DP138">
        <f t="shared" si="255"/>
        <v>0</v>
      </c>
      <c r="DQ138">
        <f t="shared" si="256"/>
        <v>0</v>
      </c>
      <c r="DR138">
        <f t="shared" si="257"/>
        <v>0</v>
      </c>
      <c r="DS138">
        <f t="shared" si="258"/>
        <v>0</v>
      </c>
      <c r="DT138">
        <f t="shared" si="259"/>
        <v>0</v>
      </c>
      <c r="DU138">
        <f t="shared" si="260"/>
        <v>0</v>
      </c>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c r="IU138"/>
      <c r="IV138"/>
    </row>
    <row r="139" spans="1:256" s="1" customFormat="1" x14ac:dyDescent="0.2">
      <c r="A139"/>
      <c r="B139"/>
      <c r="C139"/>
      <c r="D139"/>
      <c r="P139"/>
      <c r="Q139"/>
      <c r="R139"/>
      <c r="S139"/>
      <c r="T139"/>
      <c r="U139"/>
      <c r="V139"/>
      <c r="W139"/>
      <c r="X139"/>
      <c r="Y139"/>
      <c r="Z139"/>
      <c r="AA139"/>
      <c r="AB139"/>
      <c r="AC139"/>
      <c r="AD139"/>
      <c r="AE139"/>
      <c r="AF139"/>
      <c r="AG139"/>
      <c r="AH139"/>
      <c r="AI139"/>
      <c r="AJ139"/>
      <c r="AK139"/>
      <c r="AL139"/>
      <c r="AM139"/>
      <c r="AN139"/>
      <c r="AO139">
        <v>20</v>
      </c>
      <c r="AP139" t="str">
        <f t="shared" si="211"/>
        <v/>
      </c>
      <c r="AQ139" t="str">
        <f t="shared" si="212"/>
        <v/>
      </c>
      <c r="AR139" t="str">
        <f t="shared" si="213"/>
        <v/>
      </c>
      <c r="AS139"/>
      <c r="AT139"/>
      <c r="AU139"/>
      <c r="AV139"/>
      <c r="AW139"/>
      <c r="AX139">
        <f t="shared" si="214"/>
        <v>0</v>
      </c>
      <c r="AY139">
        <f t="shared" si="215"/>
        <v>0</v>
      </c>
      <c r="AZ139">
        <f t="shared" si="216"/>
        <v>0</v>
      </c>
      <c r="BA139">
        <f t="shared" si="217"/>
        <v>0</v>
      </c>
      <c r="BB139">
        <f t="shared" si="218"/>
        <v>0</v>
      </c>
      <c r="BC139">
        <f t="shared" si="219"/>
        <v>0</v>
      </c>
      <c r="BD139">
        <f t="shared" si="220"/>
        <v>0</v>
      </c>
      <c r="BE139">
        <f t="shared" si="221"/>
        <v>0</v>
      </c>
      <c r="BF139" t="str">
        <f t="shared" si="222"/>
        <v/>
      </c>
      <c r="BG139" t="str">
        <f t="shared" si="187"/>
        <v/>
      </c>
      <c r="BH139" t="str">
        <f t="shared" si="189"/>
        <v/>
      </c>
      <c r="BI139" t="str">
        <f t="shared" si="190"/>
        <v/>
      </c>
      <c r="BJ139" t="str">
        <f t="shared" si="191"/>
        <v/>
      </c>
      <c r="BK139" t="str">
        <f t="shared" si="192"/>
        <v/>
      </c>
      <c r="BL139" t="str">
        <f t="shared" si="193"/>
        <v/>
      </c>
      <c r="BM139" t="str">
        <f t="shared" si="194"/>
        <v/>
      </c>
      <c r="BN139" t="str">
        <f t="shared" si="195"/>
        <v/>
      </c>
      <c r="BO139" t="str">
        <f t="shared" si="196"/>
        <v/>
      </c>
      <c r="BP139" t="str">
        <f t="shared" si="197"/>
        <v/>
      </c>
      <c r="BQ139" t="str">
        <f t="shared" si="198"/>
        <v/>
      </c>
      <c r="BR139" t="str">
        <f t="shared" si="199"/>
        <v/>
      </c>
      <c r="BS139" t="str">
        <f t="shared" si="200"/>
        <v/>
      </c>
      <c r="BT139" t="str">
        <f t="shared" si="201"/>
        <v/>
      </c>
      <c r="BU139" t="str">
        <f t="shared" si="202"/>
        <v/>
      </c>
      <c r="BV139" t="str">
        <f t="shared" si="203"/>
        <v/>
      </c>
      <c r="BW139" t="str">
        <f t="shared" si="204"/>
        <v/>
      </c>
      <c r="BX139" t="str">
        <f t="shared" si="205"/>
        <v/>
      </c>
      <c r="BY139" t="str">
        <f t="shared" si="206"/>
        <v/>
      </c>
      <c r="BZ139" t="str">
        <f t="shared" si="207"/>
        <v/>
      </c>
      <c r="CA139" t="str">
        <f t="shared" si="208"/>
        <v/>
      </c>
      <c r="CB139" t="str">
        <f t="shared" si="223"/>
        <v/>
      </c>
      <c r="CC139" t="str">
        <f t="shared" si="224"/>
        <v/>
      </c>
      <c r="CD139" t="str">
        <f t="shared" si="225"/>
        <v/>
      </c>
      <c r="CE139" t="str">
        <f t="shared" si="226"/>
        <v/>
      </c>
      <c r="CF139" t="str">
        <f t="shared" si="227"/>
        <v/>
      </c>
      <c r="CG139" t="str">
        <f t="shared" si="228"/>
        <v/>
      </c>
      <c r="CH139" t="str">
        <f t="shared" si="229"/>
        <v/>
      </c>
      <c r="CI139" t="str">
        <f t="shared" si="230"/>
        <v/>
      </c>
      <c r="CJ139" t="str">
        <f t="shared" si="231"/>
        <v/>
      </c>
      <c r="CK139" t="str">
        <f t="shared" si="232"/>
        <v/>
      </c>
      <c r="CL139" t="str">
        <f t="shared" si="233"/>
        <v/>
      </c>
      <c r="CM139" t="str">
        <f t="shared" si="234"/>
        <v/>
      </c>
      <c r="CN139" t="str">
        <f t="shared" si="235"/>
        <v/>
      </c>
      <c r="CO139" t="str">
        <f t="shared" si="236"/>
        <v/>
      </c>
      <c r="CP139" t="str">
        <f t="shared" si="237"/>
        <v/>
      </c>
      <c r="CQ139" t="str">
        <f t="shared" si="238"/>
        <v/>
      </c>
      <c r="CR139" t="str">
        <f t="shared" si="239"/>
        <v/>
      </c>
      <c r="CS139" t="str">
        <f t="shared" si="240"/>
        <v/>
      </c>
      <c r="CT139" t="str">
        <f t="shared" si="241"/>
        <v/>
      </c>
      <c r="CU139" t="str">
        <f t="shared" si="242"/>
        <v/>
      </c>
      <c r="CV139" t="str">
        <f t="shared" si="243"/>
        <v/>
      </c>
      <c r="CW139" t="str">
        <f t="shared" si="244"/>
        <v/>
      </c>
      <c r="CX139" t="str">
        <f t="shared" si="245"/>
        <v/>
      </c>
      <c r="CY139">
        <f t="shared" si="246"/>
        <v>0</v>
      </c>
      <c r="CZ139" t="str">
        <f t="shared" si="247"/>
        <v/>
      </c>
      <c r="DA139"/>
      <c r="DB139"/>
      <c r="DC139"/>
      <c r="DD139"/>
      <c r="DE139"/>
      <c r="DF139"/>
      <c r="DG139"/>
      <c r="DH139"/>
      <c r="DI139" t="str">
        <f t="shared" si="248"/>
        <v/>
      </c>
      <c r="DJ139">
        <f t="shared" si="249"/>
        <v>0</v>
      </c>
      <c r="DK139">
        <f t="shared" si="250"/>
        <v>0</v>
      </c>
      <c r="DL139">
        <f t="shared" si="251"/>
        <v>0</v>
      </c>
      <c r="DM139">
        <f t="shared" si="252"/>
        <v>0</v>
      </c>
      <c r="DN139">
        <f t="shared" si="253"/>
        <v>0</v>
      </c>
      <c r="DO139">
        <f t="shared" si="254"/>
        <v>0</v>
      </c>
      <c r="DP139">
        <f t="shared" si="255"/>
        <v>0</v>
      </c>
      <c r="DQ139">
        <f t="shared" si="256"/>
        <v>0</v>
      </c>
      <c r="DR139">
        <f t="shared" si="257"/>
        <v>0</v>
      </c>
      <c r="DS139">
        <f t="shared" si="258"/>
        <v>0</v>
      </c>
      <c r="DT139">
        <f t="shared" si="259"/>
        <v>0</v>
      </c>
      <c r="DU139">
        <f t="shared" si="260"/>
        <v>0</v>
      </c>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c r="IU139"/>
      <c r="IV139"/>
    </row>
    <row r="140" spans="1:256" s="1" customFormat="1" x14ac:dyDescent="0.2">
      <c r="A140"/>
      <c r="B140"/>
      <c r="C140"/>
      <c r="D140"/>
      <c r="P140"/>
      <c r="Q140"/>
      <c r="R140"/>
      <c r="S140"/>
      <c r="T140"/>
      <c r="U140"/>
      <c r="V140"/>
      <c r="W140"/>
      <c r="X140"/>
      <c r="Y140"/>
      <c r="Z140"/>
      <c r="AA140"/>
      <c r="AB140"/>
      <c r="AC140"/>
      <c r="AD140"/>
      <c r="AE140"/>
      <c r="AF140"/>
      <c r="AG140"/>
      <c r="AH140"/>
      <c r="AI140"/>
      <c r="AJ140"/>
      <c r="AK140"/>
      <c r="AL140"/>
      <c r="AM140"/>
      <c r="AN140"/>
      <c r="AO140">
        <v>21</v>
      </c>
      <c r="AP140" t="str">
        <f t="shared" si="211"/>
        <v/>
      </c>
      <c r="AQ140" t="str">
        <f t="shared" si="212"/>
        <v/>
      </c>
      <c r="AR140" t="str">
        <f t="shared" si="213"/>
        <v/>
      </c>
      <c r="AS140"/>
      <c r="AT140"/>
      <c r="AU140"/>
      <c r="AV140"/>
      <c r="AW140"/>
      <c r="AX140">
        <f t="shared" si="214"/>
        <v>0</v>
      </c>
      <c r="AY140">
        <f t="shared" si="215"/>
        <v>0</v>
      </c>
      <c r="AZ140">
        <f t="shared" si="216"/>
        <v>0</v>
      </c>
      <c r="BA140">
        <f t="shared" si="217"/>
        <v>0</v>
      </c>
      <c r="BB140">
        <f t="shared" si="218"/>
        <v>0</v>
      </c>
      <c r="BC140">
        <f t="shared" si="219"/>
        <v>0</v>
      </c>
      <c r="BD140">
        <f t="shared" si="220"/>
        <v>0</v>
      </c>
      <c r="BE140">
        <f t="shared" si="221"/>
        <v>0</v>
      </c>
      <c r="BF140" t="str">
        <f t="shared" si="222"/>
        <v/>
      </c>
      <c r="BG140" t="str">
        <f t="shared" si="187"/>
        <v/>
      </c>
      <c r="BH140" t="str">
        <f t="shared" si="189"/>
        <v/>
      </c>
      <c r="BI140" t="str">
        <f t="shared" si="190"/>
        <v/>
      </c>
      <c r="BJ140" t="str">
        <f t="shared" si="191"/>
        <v/>
      </c>
      <c r="BK140" t="str">
        <f t="shared" si="192"/>
        <v/>
      </c>
      <c r="BL140" t="str">
        <f t="shared" si="193"/>
        <v/>
      </c>
      <c r="BM140" t="str">
        <f t="shared" si="194"/>
        <v/>
      </c>
      <c r="BN140" t="str">
        <f t="shared" si="195"/>
        <v/>
      </c>
      <c r="BO140" t="str">
        <f t="shared" si="196"/>
        <v/>
      </c>
      <c r="BP140" t="str">
        <f t="shared" si="197"/>
        <v/>
      </c>
      <c r="BQ140" t="str">
        <f t="shared" si="198"/>
        <v/>
      </c>
      <c r="BR140" t="str">
        <f t="shared" si="199"/>
        <v/>
      </c>
      <c r="BS140" t="str">
        <f t="shared" si="200"/>
        <v/>
      </c>
      <c r="BT140" t="str">
        <f t="shared" si="201"/>
        <v/>
      </c>
      <c r="BU140" t="str">
        <f t="shared" si="202"/>
        <v/>
      </c>
      <c r="BV140" t="str">
        <f t="shared" si="203"/>
        <v/>
      </c>
      <c r="BW140" t="str">
        <f t="shared" si="204"/>
        <v/>
      </c>
      <c r="BX140" t="str">
        <f t="shared" si="205"/>
        <v/>
      </c>
      <c r="BY140" t="str">
        <f t="shared" si="206"/>
        <v/>
      </c>
      <c r="BZ140" t="str">
        <f t="shared" si="207"/>
        <v/>
      </c>
      <c r="CA140" t="str">
        <f t="shared" si="208"/>
        <v/>
      </c>
      <c r="CB140" t="str">
        <f t="shared" si="223"/>
        <v/>
      </c>
      <c r="CC140" t="str">
        <f t="shared" si="224"/>
        <v/>
      </c>
      <c r="CD140" t="str">
        <f t="shared" si="225"/>
        <v/>
      </c>
      <c r="CE140" t="str">
        <f t="shared" si="226"/>
        <v/>
      </c>
      <c r="CF140" t="str">
        <f t="shared" si="227"/>
        <v/>
      </c>
      <c r="CG140" t="str">
        <f t="shared" si="228"/>
        <v/>
      </c>
      <c r="CH140" t="str">
        <f t="shared" si="229"/>
        <v/>
      </c>
      <c r="CI140" t="str">
        <f t="shared" si="230"/>
        <v/>
      </c>
      <c r="CJ140" t="str">
        <f t="shared" si="231"/>
        <v/>
      </c>
      <c r="CK140" t="str">
        <f t="shared" si="232"/>
        <v/>
      </c>
      <c r="CL140" t="str">
        <f t="shared" si="233"/>
        <v/>
      </c>
      <c r="CM140" t="str">
        <f t="shared" si="234"/>
        <v/>
      </c>
      <c r="CN140" t="str">
        <f t="shared" si="235"/>
        <v/>
      </c>
      <c r="CO140" t="str">
        <f t="shared" si="236"/>
        <v/>
      </c>
      <c r="CP140" t="str">
        <f t="shared" si="237"/>
        <v/>
      </c>
      <c r="CQ140" t="str">
        <f t="shared" si="238"/>
        <v/>
      </c>
      <c r="CR140" t="str">
        <f t="shared" si="239"/>
        <v/>
      </c>
      <c r="CS140" t="str">
        <f t="shared" si="240"/>
        <v/>
      </c>
      <c r="CT140" t="str">
        <f t="shared" si="241"/>
        <v/>
      </c>
      <c r="CU140" t="str">
        <f t="shared" si="242"/>
        <v/>
      </c>
      <c r="CV140" t="str">
        <f t="shared" si="243"/>
        <v/>
      </c>
      <c r="CW140" t="str">
        <f t="shared" si="244"/>
        <v/>
      </c>
      <c r="CX140" t="str">
        <f t="shared" si="245"/>
        <v/>
      </c>
      <c r="CY140">
        <f t="shared" si="246"/>
        <v>0</v>
      </c>
      <c r="CZ140" t="str">
        <f t="shared" si="247"/>
        <v/>
      </c>
      <c r="DA140"/>
      <c r="DB140"/>
      <c r="DC140"/>
      <c r="DD140"/>
      <c r="DE140"/>
      <c r="DF140"/>
      <c r="DG140"/>
      <c r="DH140"/>
      <c r="DI140" t="str">
        <f t="shared" si="248"/>
        <v/>
      </c>
      <c r="DJ140">
        <f t="shared" si="249"/>
        <v>0</v>
      </c>
      <c r="DK140">
        <f t="shared" si="250"/>
        <v>0</v>
      </c>
      <c r="DL140">
        <f t="shared" si="251"/>
        <v>0</v>
      </c>
      <c r="DM140">
        <f t="shared" si="252"/>
        <v>0</v>
      </c>
      <c r="DN140">
        <f t="shared" si="253"/>
        <v>0</v>
      </c>
      <c r="DO140">
        <f t="shared" si="254"/>
        <v>0</v>
      </c>
      <c r="DP140">
        <f t="shared" si="255"/>
        <v>0</v>
      </c>
      <c r="DQ140">
        <f t="shared" si="256"/>
        <v>0</v>
      </c>
      <c r="DR140">
        <f t="shared" si="257"/>
        <v>0</v>
      </c>
      <c r="DS140">
        <f t="shared" si="258"/>
        <v>0</v>
      </c>
      <c r="DT140">
        <f t="shared" si="259"/>
        <v>0</v>
      </c>
      <c r="DU140">
        <f t="shared" si="260"/>
        <v>0</v>
      </c>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row>
    <row r="141" spans="1:256" s="1" customFormat="1" x14ac:dyDescent="0.2">
      <c r="A141"/>
      <c r="B141"/>
      <c r="C141"/>
      <c r="D141"/>
      <c r="P141"/>
      <c r="Q141"/>
      <c r="R141"/>
      <c r="S141"/>
      <c r="T141"/>
      <c r="U141"/>
      <c r="V141"/>
      <c r="W141"/>
      <c r="X141"/>
      <c r="Y141"/>
      <c r="Z141"/>
      <c r="AA141"/>
      <c r="AB141"/>
      <c r="AC141"/>
      <c r="AD141"/>
      <c r="AE141"/>
      <c r="AF141"/>
      <c r="AG141"/>
      <c r="AH141"/>
      <c r="AI141"/>
      <c r="AJ141"/>
      <c r="AK141"/>
      <c r="AL141"/>
      <c r="AM141"/>
      <c r="AN141"/>
      <c r="AO141">
        <v>22</v>
      </c>
      <c r="AP141" t="str">
        <f t="shared" si="211"/>
        <v/>
      </c>
      <c r="AQ141" t="str">
        <f t="shared" si="212"/>
        <v/>
      </c>
      <c r="AR141" t="str">
        <f t="shared" si="213"/>
        <v/>
      </c>
      <c r="AS141"/>
      <c r="AT141"/>
      <c r="AU141"/>
      <c r="AV141"/>
      <c r="AW141"/>
      <c r="AX141">
        <f t="shared" si="214"/>
        <v>0</v>
      </c>
      <c r="AY141">
        <f t="shared" si="215"/>
        <v>0</v>
      </c>
      <c r="AZ141">
        <f t="shared" si="216"/>
        <v>0</v>
      </c>
      <c r="BA141">
        <f t="shared" si="217"/>
        <v>0</v>
      </c>
      <c r="BB141">
        <f t="shared" si="218"/>
        <v>0</v>
      </c>
      <c r="BC141">
        <f t="shared" si="219"/>
        <v>0</v>
      </c>
      <c r="BD141">
        <f t="shared" si="220"/>
        <v>0</v>
      </c>
      <c r="BE141">
        <f t="shared" si="221"/>
        <v>0</v>
      </c>
      <c r="BF141" t="str">
        <f t="shared" si="222"/>
        <v/>
      </c>
      <c r="BG141" t="str">
        <f t="shared" si="187"/>
        <v/>
      </c>
      <c r="BH141" t="str">
        <f t="shared" si="189"/>
        <v/>
      </c>
      <c r="BI141" t="str">
        <f t="shared" si="190"/>
        <v/>
      </c>
      <c r="BJ141" t="str">
        <f t="shared" si="191"/>
        <v/>
      </c>
      <c r="BK141" t="str">
        <f t="shared" si="192"/>
        <v/>
      </c>
      <c r="BL141" t="str">
        <f t="shared" si="193"/>
        <v/>
      </c>
      <c r="BM141" t="str">
        <f t="shared" si="194"/>
        <v/>
      </c>
      <c r="BN141" t="str">
        <f t="shared" si="195"/>
        <v/>
      </c>
      <c r="BO141" t="str">
        <f t="shared" si="196"/>
        <v/>
      </c>
      <c r="BP141" t="str">
        <f t="shared" si="197"/>
        <v/>
      </c>
      <c r="BQ141" t="str">
        <f t="shared" si="198"/>
        <v/>
      </c>
      <c r="BR141" t="str">
        <f t="shared" si="199"/>
        <v/>
      </c>
      <c r="BS141" t="str">
        <f t="shared" si="200"/>
        <v/>
      </c>
      <c r="BT141" t="str">
        <f t="shared" si="201"/>
        <v/>
      </c>
      <c r="BU141" t="str">
        <f t="shared" si="202"/>
        <v/>
      </c>
      <c r="BV141" t="str">
        <f t="shared" si="203"/>
        <v/>
      </c>
      <c r="BW141" t="str">
        <f t="shared" si="204"/>
        <v/>
      </c>
      <c r="BX141" t="str">
        <f t="shared" si="205"/>
        <v/>
      </c>
      <c r="BY141" t="str">
        <f t="shared" si="206"/>
        <v/>
      </c>
      <c r="BZ141" t="str">
        <f t="shared" si="207"/>
        <v/>
      </c>
      <c r="CA141" t="str">
        <f t="shared" si="208"/>
        <v/>
      </c>
      <c r="CB141" t="str">
        <f t="shared" si="223"/>
        <v/>
      </c>
      <c r="CC141" t="str">
        <f t="shared" si="224"/>
        <v/>
      </c>
      <c r="CD141" t="str">
        <f t="shared" si="225"/>
        <v/>
      </c>
      <c r="CE141" t="str">
        <f t="shared" si="226"/>
        <v/>
      </c>
      <c r="CF141" t="str">
        <f t="shared" si="227"/>
        <v/>
      </c>
      <c r="CG141" t="str">
        <f t="shared" si="228"/>
        <v/>
      </c>
      <c r="CH141" t="str">
        <f t="shared" si="229"/>
        <v/>
      </c>
      <c r="CI141" t="str">
        <f t="shared" si="230"/>
        <v/>
      </c>
      <c r="CJ141" t="str">
        <f t="shared" si="231"/>
        <v/>
      </c>
      <c r="CK141" t="str">
        <f t="shared" si="232"/>
        <v/>
      </c>
      <c r="CL141" t="str">
        <f t="shared" si="233"/>
        <v/>
      </c>
      <c r="CM141" t="str">
        <f t="shared" si="234"/>
        <v/>
      </c>
      <c r="CN141" t="str">
        <f t="shared" si="235"/>
        <v/>
      </c>
      <c r="CO141" t="str">
        <f t="shared" si="236"/>
        <v/>
      </c>
      <c r="CP141" t="str">
        <f t="shared" si="237"/>
        <v/>
      </c>
      <c r="CQ141" t="str">
        <f t="shared" si="238"/>
        <v/>
      </c>
      <c r="CR141" t="str">
        <f t="shared" si="239"/>
        <v/>
      </c>
      <c r="CS141" t="str">
        <f t="shared" si="240"/>
        <v/>
      </c>
      <c r="CT141" t="str">
        <f t="shared" si="241"/>
        <v/>
      </c>
      <c r="CU141" t="str">
        <f t="shared" si="242"/>
        <v/>
      </c>
      <c r="CV141" t="str">
        <f t="shared" si="243"/>
        <v/>
      </c>
      <c r="CW141" t="str">
        <f t="shared" si="244"/>
        <v/>
      </c>
      <c r="CX141" t="str">
        <f t="shared" si="245"/>
        <v/>
      </c>
      <c r="CY141">
        <f t="shared" si="246"/>
        <v>0</v>
      </c>
      <c r="CZ141" t="str">
        <f t="shared" si="247"/>
        <v/>
      </c>
      <c r="DA141"/>
      <c r="DB141"/>
      <c r="DC141"/>
      <c r="DD141"/>
      <c r="DE141"/>
      <c r="DF141"/>
      <c r="DG141"/>
      <c r="DH141"/>
      <c r="DI141" t="str">
        <f t="shared" si="248"/>
        <v/>
      </c>
      <c r="DJ141">
        <f t="shared" si="249"/>
        <v>0</v>
      </c>
      <c r="DK141">
        <f t="shared" si="250"/>
        <v>0</v>
      </c>
      <c r="DL141">
        <f t="shared" si="251"/>
        <v>0</v>
      </c>
      <c r="DM141">
        <f t="shared" si="252"/>
        <v>0</v>
      </c>
      <c r="DN141">
        <f t="shared" si="253"/>
        <v>0</v>
      </c>
      <c r="DO141">
        <f t="shared" si="254"/>
        <v>0</v>
      </c>
      <c r="DP141">
        <f t="shared" si="255"/>
        <v>0</v>
      </c>
      <c r="DQ141">
        <f t="shared" si="256"/>
        <v>0</v>
      </c>
      <c r="DR141">
        <f t="shared" si="257"/>
        <v>0</v>
      </c>
      <c r="DS141">
        <f t="shared" si="258"/>
        <v>0</v>
      </c>
      <c r="DT141">
        <f t="shared" si="259"/>
        <v>0</v>
      </c>
      <c r="DU141">
        <f t="shared" si="260"/>
        <v>0</v>
      </c>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row>
    <row r="142" spans="1:256" s="1" customFormat="1" x14ac:dyDescent="0.2">
      <c r="A142"/>
      <c r="B142"/>
      <c r="C142"/>
      <c r="D142"/>
      <c r="P142"/>
      <c r="Q142"/>
      <c r="R142"/>
      <c r="S142"/>
      <c r="T142"/>
      <c r="U142"/>
      <c r="V142"/>
      <c r="W142"/>
      <c r="X142"/>
      <c r="Y142"/>
      <c r="Z142"/>
      <c r="AA142"/>
      <c r="AB142"/>
      <c r="AC142"/>
      <c r="AD142"/>
      <c r="AE142"/>
      <c r="AF142"/>
      <c r="AG142"/>
      <c r="AH142"/>
      <c r="AI142"/>
      <c r="AJ142"/>
      <c r="AK142"/>
      <c r="AL142"/>
      <c r="AM142"/>
      <c r="AN142"/>
      <c r="AO142">
        <v>23</v>
      </c>
      <c r="AP142" t="str">
        <f t="shared" si="211"/>
        <v/>
      </c>
      <c r="AQ142" t="str">
        <f t="shared" si="212"/>
        <v/>
      </c>
      <c r="AR142" t="str">
        <f t="shared" si="213"/>
        <v/>
      </c>
      <c r="AS142"/>
      <c r="AT142"/>
      <c r="AU142"/>
      <c r="AV142"/>
      <c r="AW142"/>
      <c r="AX142">
        <f t="shared" si="214"/>
        <v>0</v>
      </c>
      <c r="AY142">
        <f t="shared" si="215"/>
        <v>0</v>
      </c>
      <c r="AZ142">
        <f t="shared" si="216"/>
        <v>0</v>
      </c>
      <c r="BA142">
        <f t="shared" si="217"/>
        <v>0</v>
      </c>
      <c r="BB142">
        <f t="shared" si="218"/>
        <v>0</v>
      </c>
      <c r="BC142">
        <f t="shared" si="219"/>
        <v>0</v>
      </c>
      <c r="BD142">
        <f t="shared" si="220"/>
        <v>0</v>
      </c>
      <c r="BE142">
        <f t="shared" si="221"/>
        <v>0</v>
      </c>
      <c r="BF142" t="str">
        <f t="shared" si="222"/>
        <v/>
      </c>
      <c r="BG142" t="str">
        <f t="shared" si="187"/>
        <v/>
      </c>
      <c r="BH142" t="str">
        <f t="shared" si="189"/>
        <v/>
      </c>
      <c r="BI142" t="str">
        <f t="shared" si="190"/>
        <v/>
      </c>
      <c r="BJ142" t="str">
        <f t="shared" si="191"/>
        <v/>
      </c>
      <c r="BK142" t="str">
        <f t="shared" si="192"/>
        <v/>
      </c>
      <c r="BL142" t="str">
        <f t="shared" si="193"/>
        <v/>
      </c>
      <c r="BM142" t="str">
        <f t="shared" si="194"/>
        <v/>
      </c>
      <c r="BN142" t="str">
        <f t="shared" si="195"/>
        <v/>
      </c>
      <c r="BO142" t="str">
        <f t="shared" si="196"/>
        <v/>
      </c>
      <c r="BP142" t="str">
        <f t="shared" si="197"/>
        <v/>
      </c>
      <c r="BQ142" t="str">
        <f t="shared" si="198"/>
        <v/>
      </c>
      <c r="BR142" t="str">
        <f t="shared" si="199"/>
        <v/>
      </c>
      <c r="BS142" t="str">
        <f t="shared" si="200"/>
        <v/>
      </c>
      <c r="BT142" t="str">
        <f t="shared" si="201"/>
        <v/>
      </c>
      <c r="BU142" t="str">
        <f t="shared" si="202"/>
        <v/>
      </c>
      <c r="BV142" t="str">
        <f t="shared" si="203"/>
        <v/>
      </c>
      <c r="BW142" t="str">
        <f t="shared" si="204"/>
        <v/>
      </c>
      <c r="BX142" t="str">
        <f t="shared" si="205"/>
        <v/>
      </c>
      <c r="BY142" t="str">
        <f t="shared" si="206"/>
        <v/>
      </c>
      <c r="BZ142" t="str">
        <f t="shared" si="207"/>
        <v/>
      </c>
      <c r="CA142" t="str">
        <f t="shared" si="208"/>
        <v/>
      </c>
      <c r="CB142" t="str">
        <f t="shared" si="223"/>
        <v/>
      </c>
      <c r="CC142" t="str">
        <f t="shared" si="224"/>
        <v/>
      </c>
      <c r="CD142" t="str">
        <f t="shared" si="225"/>
        <v/>
      </c>
      <c r="CE142" t="str">
        <f t="shared" si="226"/>
        <v/>
      </c>
      <c r="CF142" t="str">
        <f t="shared" si="227"/>
        <v/>
      </c>
      <c r="CG142" t="str">
        <f t="shared" si="228"/>
        <v/>
      </c>
      <c r="CH142" t="str">
        <f t="shared" si="229"/>
        <v/>
      </c>
      <c r="CI142" t="str">
        <f t="shared" si="230"/>
        <v/>
      </c>
      <c r="CJ142" t="str">
        <f t="shared" si="231"/>
        <v/>
      </c>
      <c r="CK142" t="str">
        <f t="shared" si="232"/>
        <v/>
      </c>
      <c r="CL142" t="str">
        <f t="shared" si="233"/>
        <v/>
      </c>
      <c r="CM142" t="str">
        <f t="shared" si="234"/>
        <v/>
      </c>
      <c r="CN142" t="str">
        <f t="shared" si="235"/>
        <v/>
      </c>
      <c r="CO142" t="str">
        <f t="shared" si="236"/>
        <v/>
      </c>
      <c r="CP142" t="str">
        <f t="shared" si="237"/>
        <v/>
      </c>
      <c r="CQ142" t="str">
        <f t="shared" si="238"/>
        <v/>
      </c>
      <c r="CR142" t="str">
        <f t="shared" si="239"/>
        <v/>
      </c>
      <c r="CS142" t="str">
        <f t="shared" si="240"/>
        <v/>
      </c>
      <c r="CT142" t="str">
        <f t="shared" si="241"/>
        <v/>
      </c>
      <c r="CU142" t="str">
        <f t="shared" si="242"/>
        <v/>
      </c>
      <c r="CV142" t="str">
        <f t="shared" si="243"/>
        <v/>
      </c>
      <c r="CW142" t="str">
        <f t="shared" si="244"/>
        <v/>
      </c>
      <c r="CX142" t="str">
        <f t="shared" si="245"/>
        <v/>
      </c>
      <c r="CY142">
        <f t="shared" si="246"/>
        <v>0</v>
      </c>
      <c r="CZ142" t="str">
        <f t="shared" si="247"/>
        <v/>
      </c>
      <c r="DA142"/>
      <c r="DB142"/>
      <c r="DC142"/>
      <c r="DD142"/>
      <c r="DE142"/>
      <c r="DF142"/>
      <c r="DG142"/>
      <c r="DH142"/>
      <c r="DI142" t="str">
        <f t="shared" si="248"/>
        <v/>
      </c>
      <c r="DJ142">
        <f t="shared" si="249"/>
        <v>0</v>
      </c>
      <c r="DK142">
        <f t="shared" si="250"/>
        <v>0</v>
      </c>
      <c r="DL142">
        <f t="shared" si="251"/>
        <v>0</v>
      </c>
      <c r="DM142">
        <f t="shared" si="252"/>
        <v>0</v>
      </c>
      <c r="DN142">
        <f t="shared" si="253"/>
        <v>0</v>
      </c>
      <c r="DO142">
        <f t="shared" si="254"/>
        <v>0</v>
      </c>
      <c r="DP142">
        <f t="shared" si="255"/>
        <v>0</v>
      </c>
      <c r="DQ142">
        <f t="shared" si="256"/>
        <v>0</v>
      </c>
      <c r="DR142">
        <f t="shared" si="257"/>
        <v>0</v>
      </c>
      <c r="DS142">
        <f t="shared" si="258"/>
        <v>0</v>
      </c>
      <c r="DT142">
        <f t="shared" si="259"/>
        <v>0</v>
      </c>
      <c r="DU142">
        <f t="shared" si="260"/>
        <v>0</v>
      </c>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row>
    <row r="143" spans="1:256" s="1" customFormat="1" x14ac:dyDescent="0.2">
      <c r="A143"/>
      <c r="B143"/>
      <c r="C143"/>
      <c r="D143"/>
      <c r="P143"/>
      <c r="Q143"/>
      <c r="R143"/>
      <c r="S143"/>
      <c r="T143"/>
      <c r="U143"/>
      <c r="V143"/>
      <c r="W143"/>
      <c r="X143"/>
      <c r="Y143"/>
      <c r="Z143"/>
      <c r="AA143"/>
      <c r="AB143"/>
      <c r="AC143"/>
      <c r="AD143"/>
      <c r="AE143"/>
      <c r="AF143"/>
      <c r="AG143"/>
      <c r="AH143"/>
      <c r="AI143"/>
      <c r="AJ143"/>
      <c r="AK143"/>
      <c r="AL143"/>
      <c r="AM143"/>
      <c r="AN143"/>
      <c r="AO143">
        <v>24</v>
      </c>
      <c r="AP143" t="str">
        <f t="shared" si="211"/>
        <v/>
      </c>
      <c r="AQ143" t="str">
        <f t="shared" si="212"/>
        <v/>
      </c>
      <c r="AR143" t="str">
        <f t="shared" si="213"/>
        <v/>
      </c>
      <c r="AS143"/>
      <c r="AT143"/>
      <c r="AU143"/>
      <c r="AV143"/>
      <c r="AW143"/>
      <c r="AX143">
        <f t="shared" si="214"/>
        <v>0</v>
      </c>
      <c r="AY143">
        <f t="shared" si="215"/>
        <v>0</v>
      </c>
      <c r="AZ143">
        <f t="shared" si="216"/>
        <v>0</v>
      </c>
      <c r="BA143">
        <f t="shared" si="217"/>
        <v>0</v>
      </c>
      <c r="BB143">
        <f t="shared" si="218"/>
        <v>0</v>
      </c>
      <c r="BC143">
        <f t="shared" si="219"/>
        <v>0</v>
      </c>
      <c r="BD143">
        <f t="shared" si="220"/>
        <v>0</v>
      </c>
      <c r="BE143">
        <f t="shared" si="221"/>
        <v>0</v>
      </c>
      <c r="BF143" t="str">
        <f t="shared" si="222"/>
        <v/>
      </c>
      <c r="BG143" t="str">
        <f t="shared" si="187"/>
        <v/>
      </c>
      <c r="BH143" t="str">
        <f t="shared" si="189"/>
        <v/>
      </c>
      <c r="BI143" t="str">
        <f t="shared" si="190"/>
        <v/>
      </c>
      <c r="BJ143" t="str">
        <f t="shared" si="191"/>
        <v/>
      </c>
      <c r="BK143" t="str">
        <f t="shared" si="192"/>
        <v/>
      </c>
      <c r="BL143" t="str">
        <f t="shared" si="193"/>
        <v/>
      </c>
      <c r="BM143" t="str">
        <f t="shared" si="194"/>
        <v/>
      </c>
      <c r="BN143" t="str">
        <f t="shared" si="195"/>
        <v/>
      </c>
      <c r="BO143" t="str">
        <f t="shared" si="196"/>
        <v/>
      </c>
      <c r="BP143" t="str">
        <f t="shared" si="197"/>
        <v/>
      </c>
      <c r="BQ143" t="str">
        <f t="shared" si="198"/>
        <v/>
      </c>
      <c r="BR143" t="str">
        <f t="shared" si="199"/>
        <v/>
      </c>
      <c r="BS143" t="str">
        <f t="shared" si="200"/>
        <v/>
      </c>
      <c r="BT143" t="str">
        <f t="shared" si="201"/>
        <v/>
      </c>
      <c r="BU143" t="str">
        <f t="shared" si="202"/>
        <v/>
      </c>
      <c r="BV143" t="str">
        <f t="shared" si="203"/>
        <v/>
      </c>
      <c r="BW143" t="str">
        <f t="shared" si="204"/>
        <v/>
      </c>
      <c r="BX143" t="str">
        <f t="shared" si="205"/>
        <v/>
      </c>
      <c r="BY143" t="str">
        <f t="shared" si="206"/>
        <v/>
      </c>
      <c r="BZ143" t="str">
        <f t="shared" si="207"/>
        <v/>
      </c>
      <c r="CA143" t="str">
        <f t="shared" si="208"/>
        <v/>
      </c>
      <c r="CB143" t="str">
        <f t="shared" si="223"/>
        <v/>
      </c>
      <c r="CC143" t="str">
        <f t="shared" si="224"/>
        <v/>
      </c>
      <c r="CD143" t="str">
        <f t="shared" si="225"/>
        <v/>
      </c>
      <c r="CE143" t="str">
        <f t="shared" si="226"/>
        <v/>
      </c>
      <c r="CF143" t="str">
        <f t="shared" si="227"/>
        <v/>
      </c>
      <c r="CG143" t="str">
        <f t="shared" si="228"/>
        <v/>
      </c>
      <c r="CH143" t="str">
        <f t="shared" si="229"/>
        <v/>
      </c>
      <c r="CI143" t="str">
        <f t="shared" si="230"/>
        <v/>
      </c>
      <c r="CJ143" t="str">
        <f t="shared" si="231"/>
        <v/>
      </c>
      <c r="CK143" t="str">
        <f t="shared" si="232"/>
        <v/>
      </c>
      <c r="CL143" t="str">
        <f t="shared" si="233"/>
        <v/>
      </c>
      <c r="CM143" t="str">
        <f t="shared" si="234"/>
        <v/>
      </c>
      <c r="CN143" t="str">
        <f t="shared" si="235"/>
        <v/>
      </c>
      <c r="CO143" t="str">
        <f t="shared" si="236"/>
        <v/>
      </c>
      <c r="CP143" t="str">
        <f t="shared" si="237"/>
        <v/>
      </c>
      <c r="CQ143" t="str">
        <f t="shared" si="238"/>
        <v/>
      </c>
      <c r="CR143" t="str">
        <f t="shared" si="239"/>
        <v/>
      </c>
      <c r="CS143" t="str">
        <f t="shared" si="240"/>
        <v/>
      </c>
      <c r="CT143" t="str">
        <f t="shared" si="241"/>
        <v/>
      </c>
      <c r="CU143" t="str">
        <f t="shared" si="242"/>
        <v/>
      </c>
      <c r="CV143" t="str">
        <f t="shared" si="243"/>
        <v/>
      </c>
      <c r="CW143" t="str">
        <f t="shared" si="244"/>
        <v/>
      </c>
      <c r="CX143" t="str">
        <f t="shared" si="245"/>
        <v/>
      </c>
      <c r="CY143">
        <f t="shared" si="246"/>
        <v>0</v>
      </c>
      <c r="CZ143" t="str">
        <f t="shared" si="247"/>
        <v/>
      </c>
      <c r="DA143"/>
      <c r="DB143"/>
      <c r="DC143"/>
      <c r="DD143"/>
      <c r="DE143"/>
      <c r="DF143"/>
      <c r="DG143"/>
      <c r="DH143"/>
      <c r="DI143" t="str">
        <f t="shared" si="248"/>
        <v/>
      </c>
      <c r="DJ143">
        <f t="shared" si="249"/>
        <v>0</v>
      </c>
      <c r="DK143">
        <f t="shared" si="250"/>
        <v>0</v>
      </c>
      <c r="DL143">
        <f t="shared" si="251"/>
        <v>0</v>
      </c>
      <c r="DM143">
        <f t="shared" si="252"/>
        <v>0</v>
      </c>
      <c r="DN143">
        <f t="shared" si="253"/>
        <v>0</v>
      </c>
      <c r="DO143">
        <f t="shared" si="254"/>
        <v>0</v>
      </c>
      <c r="DP143">
        <f t="shared" si="255"/>
        <v>0</v>
      </c>
      <c r="DQ143">
        <f t="shared" si="256"/>
        <v>0</v>
      </c>
      <c r="DR143">
        <f t="shared" si="257"/>
        <v>0</v>
      </c>
      <c r="DS143">
        <f t="shared" si="258"/>
        <v>0</v>
      </c>
      <c r="DT143">
        <f t="shared" si="259"/>
        <v>0</v>
      </c>
      <c r="DU143">
        <f t="shared" si="260"/>
        <v>0</v>
      </c>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c r="IU143"/>
      <c r="IV143"/>
    </row>
    <row r="144" spans="1:256" s="1" customFormat="1" x14ac:dyDescent="0.2">
      <c r="A144"/>
      <c r="B144"/>
      <c r="C144"/>
      <c r="D144"/>
      <c r="P144"/>
      <c r="Q144"/>
      <c r="R144"/>
      <c r="S144"/>
      <c r="T144"/>
      <c r="U144"/>
      <c r="V144"/>
      <c r="W144"/>
      <c r="X144"/>
      <c r="Y144"/>
      <c r="Z144"/>
      <c r="AA144"/>
      <c r="AB144"/>
      <c r="AC144"/>
      <c r="AD144"/>
      <c r="AE144"/>
      <c r="AF144"/>
      <c r="AG144"/>
      <c r="AH144"/>
      <c r="AI144"/>
      <c r="AJ144"/>
      <c r="AK144"/>
      <c r="AL144"/>
      <c r="AM144"/>
      <c r="AN144"/>
      <c r="AO144">
        <v>25</v>
      </c>
      <c r="AP144" t="str">
        <f t="shared" si="211"/>
        <v/>
      </c>
      <c r="AQ144" t="str">
        <f t="shared" si="212"/>
        <v/>
      </c>
      <c r="AR144" t="str">
        <f t="shared" si="213"/>
        <v/>
      </c>
      <c r="AS144"/>
      <c r="AT144"/>
      <c r="AU144"/>
      <c r="AV144"/>
      <c r="AW144"/>
      <c r="AX144">
        <f t="shared" si="214"/>
        <v>0</v>
      </c>
      <c r="AY144">
        <f t="shared" si="215"/>
        <v>0</v>
      </c>
      <c r="AZ144">
        <f t="shared" si="216"/>
        <v>0</v>
      </c>
      <c r="BA144">
        <f t="shared" si="217"/>
        <v>0</v>
      </c>
      <c r="BB144">
        <f t="shared" si="218"/>
        <v>0</v>
      </c>
      <c r="BC144">
        <f t="shared" si="219"/>
        <v>0</v>
      </c>
      <c r="BD144">
        <f t="shared" si="220"/>
        <v>0</v>
      </c>
      <c r="BE144">
        <f t="shared" si="221"/>
        <v>0</v>
      </c>
      <c r="BF144" t="str">
        <f t="shared" si="222"/>
        <v/>
      </c>
      <c r="BG144" t="str">
        <f t="shared" si="187"/>
        <v/>
      </c>
      <c r="BH144" t="str">
        <f t="shared" si="189"/>
        <v/>
      </c>
      <c r="BI144" t="str">
        <f t="shared" si="190"/>
        <v/>
      </c>
      <c r="BJ144" t="str">
        <f t="shared" si="191"/>
        <v/>
      </c>
      <c r="BK144" t="str">
        <f t="shared" si="192"/>
        <v/>
      </c>
      <c r="BL144" t="str">
        <f t="shared" si="193"/>
        <v/>
      </c>
      <c r="BM144" t="str">
        <f t="shared" si="194"/>
        <v/>
      </c>
      <c r="BN144" t="str">
        <f t="shared" si="195"/>
        <v/>
      </c>
      <c r="BO144" t="str">
        <f t="shared" si="196"/>
        <v/>
      </c>
      <c r="BP144" t="str">
        <f t="shared" si="197"/>
        <v/>
      </c>
      <c r="BQ144" t="str">
        <f t="shared" si="198"/>
        <v/>
      </c>
      <c r="BR144" t="str">
        <f t="shared" si="199"/>
        <v/>
      </c>
      <c r="BS144" t="str">
        <f t="shared" si="200"/>
        <v/>
      </c>
      <c r="BT144" t="str">
        <f t="shared" si="201"/>
        <v/>
      </c>
      <c r="BU144" t="str">
        <f t="shared" si="202"/>
        <v/>
      </c>
      <c r="BV144" t="str">
        <f t="shared" si="203"/>
        <v/>
      </c>
      <c r="BW144" t="str">
        <f t="shared" si="204"/>
        <v/>
      </c>
      <c r="BX144" t="str">
        <f t="shared" si="205"/>
        <v/>
      </c>
      <c r="BY144" t="str">
        <f t="shared" si="206"/>
        <v/>
      </c>
      <c r="BZ144" t="str">
        <f t="shared" si="207"/>
        <v/>
      </c>
      <c r="CA144" t="str">
        <f t="shared" si="208"/>
        <v/>
      </c>
      <c r="CB144" t="str">
        <f t="shared" si="223"/>
        <v/>
      </c>
      <c r="CC144" t="str">
        <f t="shared" si="224"/>
        <v/>
      </c>
      <c r="CD144" t="str">
        <f t="shared" si="225"/>
        <v/>
      </c>
      <c r="CE144" t="str">
        <f t="shared" si="226"/>
        <v/>
      </c>
      <c r="CF144" t="str">
        <f t="shared" si="227"/>
        <v/>
      </c>
      <c r="CG144" t="str">
        <f t="shared" si="228"/>
        <v/>
      </c>
      <c r="CH144" t="str">
        <f t="shared" si="229"/>
        <v/>
      </c>
      <c r="CI144" t="str">
        <f t="shared" si="230"/>
        <v/>
      </c>
      <c r="CJ144" t="str">
        <f t="shared" si="231"/>
        <v/>
      </c>
      <c r="CK144" t="str">
        <f t="shared" si="232"/>
        <v/>
      </c>
      <c r="CL144" t="str">
        <f t="shared" si="233"/>
        <v/>
      </c>
      <c r="CM144" t="str">
        <f t="shared" si="234"/>
        <v/>
      </c>
      <c r="CN144" t="str">
        <f t="shared" si="235"/>
        <v/>
      </c>
      <c r="CO144" t="str">
        <f t="shared" si="236"/>
        <v/>
      </c>
      <c r="CP144" t="str">
        <f t="shared" si="237"/>
        <v/>
      </c>
      <c r="CQ144" t="str">
        <f t="shared" si="238"/>
        <v/>
      </c>
      <c r="CR144" t="str">
        <f t="shared" si="239"/>
        <v/>
      </c>
      <c r="CS144" t="str">
        <f t="shared" si="240"/>
        <v/>
      </c>
      <c r="CT144" t="str">
        <f t="shared" si="241"/>
        <v/>
      </c>
      <c r="CU144" t="str">
        <f t="shared" si="242"/>
        <v/>
      </c>
      <c r="CV144" t="str">
        <f t="shared" si="243"/>
        <v/>
      </c>
      <c r="CW144" t="str">
        <f t="shared" si="244"/>
        <v/>
      </c>
      <c r="CX144" t="str">
        <f t="shared" si="245"/>
        <v/>
      </c>
      <c r="CY144">
        <f t="shared" si="246"/>
        <v>0</v>
      </c>
      <c r="CZ144" t="str">
        <f t="shared" si="247"/>
        <v/>
      </c>
      <c r="DA144"/>
      <c r="DB144"/>
      <c r="DC144"/>
      <c r="DD144"/>
      <c r="DE144"/>
      <c r="DF144"/>
      <c r="DG144"/>
      <c r="DH144"/>
      <c r="DI144" t="str">
        <f t="shared" si="248"/>
        <v/>
      </c>
      <c r="DJ144">
        <f t="shared" si="249"/>
        <v>0</v>
      </c>
      <c r="DK144">
        <f t="shared" si="250"/>
        <v>0</v>
      </c>
      <c r="DL144">
        <f t="shared" si="251"/>
        <v>0</v>
      </c>
      <c r="DM144">
        <f t="shared" si="252"/>
        <v>0</v>
      </c>
      <c r="DN144">
        <f t="shared" si="253"/>
        <v>0</v>
      </c>
      <c r="DO144">
        <f t="shared" si="254"/>
        <v>0</v>
      </c>
      <c r="DP144">
        <f t="shared" si="255"/>
        <v>0</v>
      </c>
      <c r="DQ144">
        <f t="shared" si="256"/>
        <v>0</v>
      </c>
      <c r="DR144">
        <f t="shared" si="257"/>
        <v>0</v>
      </c>
      <c r="DS144">
        <f t="shared" si="258"/>
        <v>0</v>
      </c>
      <c r="DT144">
        <f t="shared" si="259"/>
        <v>0</v>
      </c>
      <c r="DU144">
        <f t="shared" si="260"/>
        <v>0</v>
      </c>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c r="IU144"/>
      <c r="IV144"/>
    </row>
    <row r="145" spans="1:256" s="1" customFormat="1" x14ac:dyDescent="0.2">
      <c r="A145"/>
      <c r="B145"/>
      <c r="C145"/>
      <c r="D145"/>
      <c r="P145"/>
      <c r="Q145"/>
      <c r="R145"/>
      <c r="S145"/>
      <c r="T145"/>
      <c r="U145"/>
      <c r="V145"/>
      <c r="W145"/>
      <c r="X145"/>
      <c r="Y145"/>
      <c r="Z145"/>
      <c r="AA145"/>
      <c r="AB145"/>
      <c r="AC145"/>
      <c r="AD145"/>
      <c r="AE145"/>
      <c r="AF145"/>
      <c r="AG145"/>
      <c r="AH145"/>
      <c r="AI145"/>
      <c r="AJ145"/>
      <c r="AK145"/>
      <c r="AL145"/>
      <c r="AM145"/>
      <c r="AN145"/>
      <c r="AO145">
        <v>26</v>
      </c>
      <c r="AP145" t="str">
        <f t="shared" si="211"/>
        <v/>
      </c>
      <c r="AQ145" t="str">
        <f t="shared" si="212"/>
        <v/>
      </c>
      <c r="AR145" t="str">
        <f t="shared" si="213"/>
        <v/>
      </c>
      <c r="AS145"/>
      <c r="AT145"/>
      <c r="AU145"/>
      <c r="AV145"/>
      <c r="AW145"/>
      <c r="AX145">
        <f t="shared" si="214"/>
        <v>0</v>
      </c>
      <c r="AY145">
        <f t="shared" si="215"/>
        <v>0</v>
      </c>
      <c r="AZ145">
        <f t="shared" si="216"/>
        <v>0</v>
      </c>
      <c r="BA145">
        <f t="shared" si="217"/>
        <v>0</v>
      </c>
      <c r="BB145">
        <f t="shared" si="218"/>
        <v>0</v>
      </c>
      <c r="BC145">
        <f t="shared" si="219"/>
        <v>0</v>
      </c>
      <c r="BD145">
        <f t="shared" si="220"/>
        <v>0</v>
      </c>
      <c r="BE145">
        <f t="shared" si="221"/>
        <v>0</v>
      </c>
      <c r="BF145" t="str">
        <f t="shared" si="222"/>
        <v/>
      </c>
      <c r="BG145" t="str">
        <f t="shared" si="187"/>
        <v/>
      </c>
      <c r="BH145" t="str">
        <f t="shared" si="189"/>
        <v/>
      </c>
      <c r="BI145" t="str">
        <f t="shared" si="190"/>
        <v/>
      </c>
      <c r="BJ145" t="str">
        <f t="shared" si="191"/>
        <v/>
      </c>
      <c r="BK145" t="str">
        <f t="shared" si="192"/>
        <v/>
      </c>
      <c r="BL145" t="str">
        <f t="shared" si="193"/>
        <v/>
      </c>
      <c r="BM145" t="str">
        <f t="shared" si="194"/>
        <v/>
      </c>
      <c r="BN145" t="str">
        <f t="shared" si="195"/>
        <v/>
      </c>
      <c r="BO145" t="str">
        <f t="shared" si="196"/>
        <v/>
      </c>
      <c r="BP145" t="str">
        <f t="shared" si="197"/>
        <v/>
      </c>
      <c r="BQ145" t="str">
        <f t="shared" si="198"/>
        <v/>
      </c>
      <c r="BR145" t="str">
        <f t="shared" si="199"/>
        <v/>
      </c>
      <c r="BS145" t="str">
        <f t="shared" si="200"/>
        <v/>
      </c>
      <c r="BT145" t="str">
        <f t="shared" si="201"/>
        <v/>
      </c>
      <c r="BU145" t="str">
        <f t="shared" si="202"/>
        <v/>
      </c>
      <c r="BV145" t="str">
        <f t="shared" si="203"/>
        <v/>
      </c>
      <c r="BW145" t="str">
        <f t="shared" si="204"/>
        <v/>
      </c>
      <c r="BX145" t="str">
        <f t="shared" si="205"/>
        <v/>
      </c>
      <c r="BY145" t="str">
        <f t="shared" si="206"/>
        <v/>
      </c>
      <c r="BZ145" t="str">
        <f t="shared" si="207"/>
        <v/>
      </c>
      <c r="CA145" t="str">
        <f t="shared" si="208"/>
        <v/>
      </c>
      <c r="CB145" t="str">
        <f t="shared" si="223"/>
        <v/>
      </c>
      <c r="CC145" t="str">
        <f t="shared" si="224"/>
        <v/>
      </c>
      <c r="CD145" t="str">
        <f t="shared" si="225"/>
        <v/>
      </c>
      <c r="CE145" t="str">
        <f t="shared" si="226"/>
        <v/>
      </c>
      <c r="CF145" t="str">
        <f t="shared" si="227"/>
        <v/>
      </c>
      <c r="CG145" t="str">
        <f t="shared" si="228"/>
        <v/>
      </c>
      <c r="CH145" t="str">
        <f t="shared" si="229"/>
        <v/>
      </c>
      <c r="CI145" t="str">
        <f t="shared" si="230"/>
        <v/>
      </c>
      <c r="CJ145" t="str">
        <f t="shared" si="231"/>
        <v/>
      </c>
      <c r="CK145" t="str">
        <f t="shared" si="232"/>
        <v/>
      </c>
      <c r="CL145" t="str">
        <f t="shared" si="233"/>
        <v/>
      </c>
      <c r="CM145" t="str">
        <f t="shared" si="234"/>
        <v/>
      </c>
      <c r="CN145" t="str">
        <f t="shared" si="235"/>
        <v/>
      </c>
      <c r="CO145" t="str">
        <f t="shared" si="236"/>
        <v/>
      </c>
      <c r="CP145" t="str">
        <f t="shared" si="237"/>
        <v/>
      </c>
      <c r="CQ145" t="str">
        <f t="shared" si="238"/>
        <v/>
      </c>
      <c r="CR145" t="str">
        <f t="shared" si="239"/>
        <v/>
      </c>
      <c r="CS145" t="str">
        <f t="shared" si="240"/>
        <v/>
      </c>
      <c r="CT145" t="str">
        <f t="shared" si="241"/>
        <v/>
      </c>
      <c r="CU145" t="str">
        <f t="shared" si="242"/>
        <v/>
      </c>
      <c r="CV145" t="str">
        <f t="shared" si="243"/>
        <v/>
      </c>
      <c r="CW145" t="str">
        <f t="shared" si="244"/>
        <v/>
      </c>
      <c r="CX145" t="str">
        <f t="shared" si="245"/>
        <v/>
      </c>
      <c r="CY145">
        <f t="shared" si="246"/>
        <v>0</v>
      </c>
      <c r="CZ145" t="str">
        <f t="shared" si="247"/>
        <v/>
      </c>
      <c r="DA145"/>
      <c r="DB145"/>
      <c r="DC145"/>
      <c r="DD145"/>
      <c r="DE145"/>
      <c r="DF145"/>
      <c r="DG145"/>
      <c r="DH145"/>
      <c r="DI145" t="str">
        <f t="shared" si="248"/>
        <v/>
      </c>
      <c r="DJ145">
        <f t="shared" si="249"/>
        <v>0</v>
      </c>
      <c r="DK145">
        <f t="shared" si="250"/>
        <v>0</v>
      </c>
      <c r="DL145">
        <f t="shared" si="251"/>
        <v>0</v>
      </c>
      <c r="DM145">
        <f t="shared" si="252"/>
        <v>0</v>
      </c>
      <c r="DN145">
        <f t="shared" si="253"/>
        <v>0</v>
      </c>
      <c r="DO145">
        <f t="shared" si="254"/>
        <v>0</v>
      </c>
      <c r="DP145">
        <f t="shared" si="255"/>
        <v>0</v>
      </c>
      <c r="DQ145">
        <f t="shared" si="256"/>
        <v>0</v>
      </c>
      <c r="DR145">
        <f t="shared" si="257"/>
        <v>0</v>
      </c>
      <c r="DS145">
        <f t="shared" si="258"/>
        <v>0</v>
      </c>
      <c r="DT145">
        <f t="shared" si="259"/>
        <v>0</v>
      </c>
      <c r="DU145">
        <f t="shared" si="260"/>
        <v>0</v>
      </c>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c r="IU145"/>
      <c r="IV145"/>
    </row>
    <row r="146" spans="1:256" s="1" customFormat="1" x14ac:dyDescent="0.2">
      <c r="A146"/>
      <c r="B146"/>
      <c r="C146"/>
      <c r="D146"/>
      <c r="P146"/>
      <c r="Q146"/>
      <c r="R146"/>
      <c r="S146"/>
      <c r="T146"/>
      <c r="U146"/>
      <c r="V146"/>
      <c r="W146"/>
      <c r="X146"/>
      <c r="Y146"/>
      <c r="Z146"/>
      <c r="AA146"/>
      <c r="AB146"/>
      <c r="AC146"/>
      <c r="AD146"/>
      <c r="AE146"/>
      <c r="AF146"/>
      <c r="AG146"/>
      <c r="AH146"/>
      <c r="AI146"/>
      <c r="AJ146"/>
      <c r="AK146"/>
      <c r="AL146"/>
      <c r="AM146"/>
      <c r="AN146"/>
      <c r="AO146">
        <v>27</v>
      </c>
      <c r="AP146" t="str">
        <f t="shared" si="211"/>
        <v/>
      </c>
      <c r="AQ146" t="str">
        <f t="shared" si="212"/>
        <v/>
      </c>
      <c r="AR146" t="str">
        <f t="shared" si="213"/>
        <v/>
      </c>
      <c r="AS146"/>
      <c r="AT146"/>
      <c r="AU146"/>
      <c r="AV146"/>
      <c r="AW146"/>
      <c r="AX146">
        <f t="shared" si="214"/>
        <v>0</v>
      </c>
      <c r="AY146">
        <f t="shared" si="215"/>
        <v>0</v>
      </c>
      <c r="AZ146">
        <f t="shared" si="216"/>
        <v>0</v>
      </c>
      <c r="BA146">
        <f t="shared" si="217"/>
        <v>0</v>
      </c>
      <c r="BB146">
        <f t="shared" si="218"/>
        <v>0</v>
      </c>
      <c r="BC146">
        <f t="shared" si="219"/>
        <v>0</v>
      </c>
      <c r="BD146">
        <f t="shared" si="220"/>
        <v>0</v>
      </c>
      <c r="BE146">
        <f t="shared" si="221"/>
        <v>0</v>
      </c>
      <c r="BF146" t="str">
        <f t="shared" si="222"/>
        <v/>
      </c>
      <c r="BG146" t="str">
        <f t="shared" si="187"/>
        <v/>
      </c>
      <c r="BH146" t="str">
        <f t="shared" si="189"/>
        <v/>
      </c>
      <c r="BI146" t="str">
        <f t="shared" si="190"/>
        <v/>
      </c>
      <c r="BJ146" t="str">
        <f t="shared" si="191"/>
        <v/>
      </c>
      <c r="BK146" t="str">
        <f t="shared" si="192"/>
        <v/>
      </c>
      <c r="BL146" t="str">
        <f t="shared" si="193"/>
        <v/>
      </c>
      <c r="BM146" t="str">
        <f t="shared" si="194"/>
        <v/>
      </c>
      <c r="BN146" t="str">
        <f t="shared" si="195"/>
        <v/>
      </c>
      <c r="BO146" t="str">
        <f t="shared" si="196"/>
        <v/>
      </c>
      <c r="BP146" t="str">
        <f t="shared" si="197"/>
        <v/>
      </c>
      <c r="BQ146" t="str">
        <f t="shared" si="198"/>
        <v/>
      </c>
      <c r="BR146" t="str">
        <f t="shared" si="199"/>
        <v/>
      </c>
      <c r="BS146" t="str">
        <f t="shared" si="200"/>
        <v/>
      </c>
      <c r="BT146" t="str">
        <f t="shared" si="201"/>
        <v/>
      </c>
      <c r="BU146" t="str">
        <f t="shared" si="202"/>
        <v/>
      </c>
      <c r="BV146" t="str">
        <f t="shared" si="203"/>
        <v/>
      </c>
      <c r="BW146" t="str">
        <f t="shared" si="204"/>
        <v/>
      </c>
      <c r="BX146" t="str">
        <f t="shared" si="205"/>
        <v/>
      </c>
      <c r="BY146" t="str">
        <f t="shared" si="206"/>
        <v/>
      </c>
      <c r="BZ146" t="str">
        <f t="shared" si="207"/>
        <v/>
      </c>
      <c r="CA146" t="str">
        <f t="shared" si="208"/>
        <v/>
      </c>
      <c r="CB146" t="str">
        <f t="shared" si="223"/>
        <v/>
      </c>
      <c r="CC146" t="str">
        <f t="shared" si="224"/>
        <v/>
      </c>
      <c r="CD146" t="str">
        <f t="shared" si="225"/>
        <v/>
      </c>
      <c r="CE146" t="str">
        <f t="shared" si="226"/>
        <v/>
      </c>
      <c r="CF146" t="str">
        <f t="shared" si="227"/>
        <v/>
      </c>
      <c r="CG146" t="str">
        <f t="shared" si="228"/>
        <v/>
      </c>
      <c r="CH146" t="str">
        <f t="shared" si="229"/>
        <v/>
      </c>
      <c r="CI146" t="str">
        <f t="shared" si="230"/>
        <v/>
      </c>
      <c r="CJ146" t="str">
        <f t="shared" si="231"/>
        <v/>
      </c>
      <c r="CK146" t="str">
        <f t="shared" si="232"/>
        <v/>
      </c>
      <c r="CL146" t="str">
        <f t="shared" si="233"/>
        <v/>
      </c>
      <c r="CM146" t="str">
        <f t="shared" si="234"/>
        <v/>
      </c>
      <c r="CN146" t="str">
        <f t="shared" si="235"/>
        <v/>
      </c>
      <c r="CO146" t="str">
        <f t="shared" si="236"/>
        <v/>
      </c>
      <c r="CP146" t="str">
        <f t="shared" si="237"/>
        <v/>
      </c>
      <c r="CQ146" t="str">
        <f t="shared" si="238"/>
        <v/>
      </c>
      <c r="CR146" t="str">
        <f t="shared" si="239"/>
        <v/>
      </c>
      <c r="CS146" t="str">
        <f t="shared" si="240"/>
        <v/>
      </c>
      <c r="CT146" t="str">
        <f t="shared" si="241"/>
        <v/>
      </c>
      <c r="CU146" t="str">
        <f t="shared" si="242"/>
        <v/>
      </c>
      <c r="CV146" t="str">
        <f t="shared" si="243"/>
        <v/>
      </c>
      <c r="CW146" t="str">
        <f t="shared" si="244"/>
        <v/>
      </c>
      <c r="CX146" t="str">
        <f t="shared" si="245"/>
        <v/>
      </c>
      <c r="CY146">
        <f t="shared" si="246"/>
        <v>0</v>
      </c>
      <c r="CZ146" t="str">
        <f t="shared" si="247"/>
        <v/>
      </c>
      <c r="DA146"/>
      <c r="DB146"/>
      <c r="DC146"/>
      <c r="DD146"/>
      <c r="DE146"/>
      <c r="DF146"/>
      <c r="DG146"/>
      <c r="DH146"/>
      <c r="DI146" t="str">
        <f t="shared" si="248"/>
        <v/>
      </c>
      <c r="DJ146">
        <f t="shared" si="249"/>
        <v>0</v>
      </c>
      <c r="DK146">
        <f t="shared" si="250"/>
        <v>0</v>
      </c>
      <c r="DL146">
        <f t="shared" si="251"/>
        <v>0</v>
      </c>
      <c r="DM146">
        <f t="shared" si="252"/>
        <v>0</v>
      </c>
      <c r="DN146">
        <f t="shared" si="253"/>
        <v>0</v>
      </c>
      <c r="DO146">
        <f t="shared" si="254"/>
        <v>0</v>
      </c>
      <c r="DP146">
        <f t="shared" si="255"/>
        <v>0</v>
      </c>
      <c r="DQ146">
        <f t="shared" si="256"/>
        <v>0</v>
      </c>
      <c r="DR146">
        <f t="shared" si="257"/>
        <v>0</v>
      </c>
      <c r="DS146">
        <f t="shared" si="258"/>
        <v>0</v>
      </c>
      <c r="DT146">
        <f t="shared" si="259"/>
        <v>0</v>
      </c>
      <c r="DU146">
        <f t="shared" si="260"/>
        <v>0</v>
      </c>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c r="IU146"/>
      <c r="IV146"/>
    </row>
    <row r="147" spans="1:256" s="1" customFormat="1" x14ac:dyDescent="0.2">
      <c r="A147"/>
      <c r="B147"/>
      <c r="C147"/>
      <c r="D147"/>
      <c r="P147"/>
      <c r="Q147"/>
      <c r="R147"/>
      <c r="S147"/>
      <c r="T147"/>
      <c r="U147"/>
      <c r="V147"/>
      <c r="W147"/>
      <c r="X147"/>
      <c r="Y147"/>
      <c r="Z147"/>
      <c r="AA147"/>
      <c r="AB147"/>
      <c r="AC147"/>
      <c r="AD147"/>
      <c r="AE147"/>
      <c r="AF147"/>
      <c r="AG147"/>
      <c r="AH147"/>
      <c r="AI147"/>
      <c r="AJ147"/>
      <c r="AK147"/>
      <c r="AL147"/>
      <c r="AM147"/>
      <c r="AN147"/>
      <c r="AO147">
        <v>28</v>
      </c>
      <c r="AP147" t="str">
        <f t="shared" si="211"/>
        <v/>
      </c>
      <c r="AQ147" t="str">
        <f t="shared" si="212"/>
        <v/>
      </c>
      <c r="AR147" t="str">
        <f t="shared" si="213"/>
        <v/>
      </c>
      <c r="AS147"/>
      <c r="AT147"/>
      <c r="AU147"/>
      <c r="AV147"/>
      <c r="AW147"/>
      <c r="AX147">
        <f t="shared" si="214"/>
        <v>0</v>
      </c>
      <c r="AY147">
        <f t="shared" si="215"/>
        <v>0</v>
      </c>
      <c r="AZ147">
        <f t="shared" si="216"/>
        <v>0</v>
      </c>
      <c r="BA147">
        <f t="shared" si="217"/>
        <v>0</v>
      </c>
      <c r="BB147">
        <f t="shared" si="218"/>
        <v>0</v>
      </c>
      <c r="BC147">
        <f t="shared" si="219"/>
        <v>0</v>
      </c>
      <c r="BD147">
        <f t="shared" si="220"/>
        <v>0</v>
      </c>
      <c r="BE147">
        <f t="shared" si="221"/>
        <v>0</v>
      </c>
      <c r="BF147" t="str">
        <f t="shared" si="222"/>
        <v/>
      </c>
      <c r="BG147" t="str">
        <f t="shared" si="187"/>
        <v/>
      </c>
      <c r="BH147" t="str">
        <f t="shared" si="189"/>
        <v/>
      </c>
      <c r="BI147" t="str">
        <f t="shared" si="190"/>
        <v/>
      </c>
      <c r="BJ147" t="str">
        <f t="shared" si="191"/>
        <v/>
      </c>
      <c r="BK147" t="str">
        <f t="shared" si="192"/>
        <v/>
      </c>
      <c r="BL147" t="str">
        <f t="shared" si="193"/>
        <v/>
      </c>
      <c r="BM147" t="str">
        <f t="shared" si="194"/>
        <v/>
      </c>
      <c r="BN147" t="str">
        <f t="shared" si="195"/>
        <v/>
      </c>
      <c r="BO147" t="str">
        <f t="shared" si="196"/>
        <v/>
      </c>
      <c r="BP147" t="str">
        <f t="shared" si="197"/>
        <v/>
      </c>
      <c r="BQ147" t="str">
        <f t="shared" si="198"/>
        <v/>
      </c>
      <c r="BR147" t="str">
        <f t="shared" si="199"/>
        <v/>
      </c>
      <c r="BS147" t="str">
        <f t="shared" si="200"/>
        <v/>
      </c>
      <c r="BT147" t="str">
        <f t="shared" si="201"/>
        <v/>
      </c>
      <c r="BU147" t="str">
        <f t="shared" si="202"/>
        <v/>
      </c>
      <c r="BV147" t="str">
        <f t="shared" si="203"/>
        <v/>
      </c>
      <c r="BW147" t="str">
        <f t="shared" si="204"/>
        <v/>
      </c>
      <c r="BX147" t="str">
        <f t="shared" si="205"/>
        <v/>
      </c>
      <c r="BY147" t="str">
        <f t="shared" si="206"/>
        <v/>
      </c>
      <c r="BZ147" t="str">
        <f t="shared" si="207"/>
        <v/>
      </c>
      <c r="CA147" t="str">
        <f t="shared" si="208"/>
        <v/>
      </c>
      <c r="CB147" t="str">
        <f t="shared" si="223"/>
        <v/>
      </c>
      <c r="CC147" t="str">
        <f t="shared" si="224"/>
        <v/>
      </c>
      <c r="CD147" t="str">
        <f t="shared" si="225"/>
        <v/>
      </c>
      <c r="CE147" t="str">
        <f t="shared" si="226"/>
        <v/>
      </c>
      <c r="CF147" t="str">
        <f t="shared" si="227"/>
        <v/>
      </c>
      <c r="CG147" t="str">
        <f t="shared" si="228"/>
        <v/>
      </c>
      <c r="CH147" t="str">
        <f t="shared" si="229"/>
        <v/>
      </c>
      <c r="CI147" t="str">
        <f t="shared" si="230"/>
        <v/>
      </c>
      <c r="CJ147" t="str">
        <f t="shared" si="231"/>
        <v/>
      </c>
      <c r="CK147" t="str">
        <f t="shared" si="232"/>
        <v/>
      </c>
      <c r="CL147" t="str">
        <f t="shared" si="233"/>
        <v/>
      </c>
      <c r="CM147" t="str">
        <f t="shared" si="234"/>
        <v/>
      </c>
      <c r="CN147" t="str">
        <f t="shared" si="235"/>
        <v/>
      </c>
      <c r="CO147" t="str">
        <f t="shared" si="236"/>
        <v/>
      </c>
      <c r="CP147" t="str">
        <f t="shared" si="237"/>
        <v/>
      </c>
      <c r="CQ147" t="str">
        <f t="shared" si="238"/>
        <v/>
      </c>
      <c r="CR147" t="str">
        <f t="shared" si="239"/>
        <v/>
      </c>
      <c r="CS147" t="str">
        <f t="shared" si="240"/>
        <v/>
      </c>
      <c r="CT147" t="str">
        <f t="shared" si="241"/>
        <v/>
      </c>
      <c r="CU147" t="str">
        <f t="shared" si="242"/>
        <v/>
      </c>
      <c r="CV147" t="str">
        <f t="shared" si="243"/>
        <v/>
      </c>
      <c r="CW147" t="str">
        <f t="shared" si="244"/>
        <v/>
      </c>
      <c r="CX147" t="str">
        <f t="shared" si="245"/>
        <v/>
      </c>
      <c r="CY147">
        <f t="shared" si="246"/>
        <v>0</v>
      </c>
      <c r="CZ147" t="str">
        <f t="shared" si="247"/>
        <v/>
      </c>
      <c r="DA147"/>
      <c r="DB147"/>
      <c r="DC147"/>
      <c r="DD147"/>
      <c r="DE147"/>
      <c r="DF147"/>
      <c r="DG147"/>
      <c r="DH147"/>
      <c r="DI147" t="str">
        <f t="shared" si="248"/>
        <v/>
      </c>
      <c r="DJ147">
        <f t="shared" si="249"/>
        <v>0</v>
      </c>
      <c r="DK147">
        <f t="shared" si="250"/>
        <v>0</v>
      </c>
      <c r="DL147">
        <f t="shared" si="251"/>
        <v>0</v>
      </c>
      <c r="DM147">
        <f t="shared" si="252"/>
        <v>0</v>
      </c>
      <c r="DN147">
        <f t="shared" si="253"/>
        <v>0</v>
      </c>
      <c r="DO147">
        <f t="shared" si="254"/>
        <v>0</v>
      </c>
      <c r="DP147">
        <f t="shared" si="255"/>
        <v>0</v>
      </c>
      <c r="DQ147">
        <f t="shared" si="256"/>
        <v>0</v>
      </c>
      <c r="DR147">
        <f t="shared" si="257"/>
        <v>0</v>
      </c>
      <c r="DS147">
        <f t="shared" si="258"/>
        <v>0</v>
      </c>
      <c r="DT147">
        <f t="shared" si="259"/>
        <v>0</v>
      </c>
      <c r="DU147">
        <f t="shared" si="260"/>
        <v>0</v>
      </c>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c r="IU147"/>
      <c r="IV147"/>
    </row>
    <row r="148" spans="1:256" s="1" customFormat="1" x14ac:dyDescent="0.2">
      <c r="A148"/>
      <c r="B148"/>
      <c r="C148"/>
      <c r="D148"/>
      <c r="P148"/>
      <c r="Q148"/>
      <c r="R148"/>
      <c r="S148"/>
      <c r="T148"/>
      <c r="U148"/>
      <c r="V148"/>
      <c r="W148"/>
      <c r="X148"/>
      <c r="Y148"/>
      <c r="Z148"/>
      <c r="AA148"/>
      <c r="AB148"/>
      <c r="AC148"/>
      <c r="AD148"/>
      <c r="AE148"/>
      <c r="AF148"/>
      <c r="AG148"/>
      <c r="AH148"/>
      <c r="AI148"/>
      <c r="AJ148"/>
      <c r="AK148"/>
      <c r="AL148"/>
      <c r="AM148"/>
      <c r="AN148"/>
      <c r="AO148">
        <v>29</v>
      </c>
      <c r="AP148" t="str">
        <f t="shared" si="211"/>
        <v/>
      </c>
      <c r="AQ148" t="str">
        <f t="shared" si="212"/>
        <v/>
      </c>
      <c r="AR148" t="str">
        <f t="shared" si="213"/>
        <v/>
      </c>
      <c r="AS148"/>
      <c r="AT148"/>
      <c r="AU148"/>
      <c r="AV148"/>
      <c r="AW148"/>
      <c r="AX148">
        <f t="shared" si="214"/>
        <v>0</v>
      </c>
      <c r="AY148">
        <f t="shared" si="215"/>
        <v>0</v>
      </c>
      <c r="AZ148">
        <f t="shared" si="216"/>
        <v>0</v>
      </c>
      <c r="BA148">
        <f t="shared" si="217"/>
        <v>0</v>
      </c>
      <c r="BB148">
        <f t="shared" si="218"/>
        <v>0</v>
      </c>
      <c r="BC148">
        <f t="shared" si="219"/>
        <v>0</v>
      </c>
      <c r="BD148">
        <f t="shared" si="220"/>
        <v>0</v>
      </c>
      <c r="BE148">
        <f t="shared" si="221"/>
        <v>0</v>
      </c>
      <c r="BF148" t="str">
        <f t="shared" si="222"/>
        <v/>
      </c>
      <c r="BG148" t="str">
        <f t="shared" si="187"/>
        <v/>
      </c>
      <c r="BH148" t="str">
        <f t="shared" si="189"/>
        <v/>
      </c>
      <c r="BI148" t="str">
        <f t="shared" si="190"/>
        <v/>
      </c>
      <c r="BJ148" t="str">
        <f t="shared" si="191"/>
        <v/>
      </c>
      <c r="BK148" t="str">
        <f t="shared" si="192"/>
        <v/>
      </c>
      <c r="BL148" t="str">
        <f t="shared" si="193"/>
        <v/>
      </c>
      <c r="BM148" t="str">
        <f t="shared" si="194"/>
        <v/>
      </c>
      <c r="BN148" t="str">
        <f t="shared" si="195"/>
        <v/>
      </c>
      <c r="BO148" t="str">
        <f t="shared" si="196"/>
        <v/>
      </c>
      <c r="BP148" t="str">
        <f t="shared" si="197"/>
        <v/>
      </c>
      <c r="BQ148" t="str">
        <f t="shared" si="198"/>
        <v/>
      </c>
      <c r="BR148" t="str">
        <f t="shared" si="199"/>
        <v/>
      </c>
      <c r="BS148" t="str">
        <f t="shared" si="200"/>
        <v/>
      </c>
      <c r="BT148" t="str">
        <f t="shared" si="201"/>
        <v/>
      </c>
      <c r="BU148" t="str">
        <f t="shared" si="202"/>
        <v/>
      </c>
      <c r="BV148" t="str">
        <f t="shared" si="203"/>
        <v/>
      </c>
      <c r="BW148" t="str">
        <f t="shared" si="204"/>
        <v/>
      </c>
      <c r="BX148" t="str">
        <f t="shared" si="205"/>
        <v/>
      </c>
      <c r="BY148" t="str">
        <f t="shared" si="206"/>
        <v/>
      </c>
      <c r="BZ148" t="str">
        <f t="shared" si="207"/>
        <v/>
      </c>
      <c r="CA148" t="str">
        <f t="shared" si="208"/>
        <v/>
      </c>
      <c r="CB148" t="str">
        <f t="shared" si="223"/>
        <v/>
      </c>
      <c r="CC148" t="str">
        <f t="shared" si="224"/>
        <v/>
      </c>
      <c r="CD148" t="str">
        <f t="shared" si="225"/>
        <v/>
      </c>
      <c r="CE148" t="str">
        <f t="shared" si="226"/>
        <v/>
      </c>
      <c r="CF148" t="str">
        <f t="shared" si="227"/>
        <v/>
      </c>
      <c r="CG148" t="str">
        <f t="shared" si="228"/>
        <v/>
      </c>
      <c r="CH148" t="str">
        <f t="shared" si="229"/>
        <v/>
      </c>
      <c r="CI148" t="str">
        <f t="shared" si="230"/>
        <v/>
      </c>
      <c r="CJ148" t="str">
        <f t="shared" si="231"/>
        <v/>
      </c>
      <c r="CK148" t="str">
        <f t="shared" si="232"/>
        <v/>
      </c>
      <c r="CL148" t="str">
        <f t="shared" si="233"/>
        <v/>
      </c>
      <c r="CM148" t="str">
        <f t="shared" si="234"/>
        <v/>
      </c>
      <c r="CN148" t="str">
        <f t="shared" si="235"/>
        <v/>
      </c>
      <c r="CO148" t="str">
        <f t="shared" si="236"/>
        <v/>
      </c>
      <c r="CP148" t="str">
        <f t="shared" si="237"/>
        <v/>
      </c>
      <c r="CQ148" t="str">
        <f t="shared" si="238"/>
        <v/>
      </c>
      <c r="CR148" t="str">
        <f t="shared" si="239"/>
        <v/>
      </c>
      <c r="CS148" t="str">
        <f t="shared" si="240"/>
        <v/>
      </c>
      <c r="CT148" t="str">
        <f t="shared" si="241"/>
        <v/>
      </c>
      <c r="CU148" t="str">
        <f t="shared" si="242"/>
        <v/>
      </c>
      <c r="CV148" t="str">
        <f t="shared" si="243"/>
        <v/>
      </c>
      <c r="CW148" t="str">
        <f t="shared" si="244"/>
        <v/>
      </c>
      <c r="CX148" t="str">
        <f t="shared" si="245"/>
        <v/>
      </c>
      <c r="CY148">
        <f t="shared" si="246"/>
        <v>0</v>
      </c>
      <c r="CZ148" t="str">
        <f t="shared" si="247"/>
        <v/>
      </c>
      <c r="DA148"/>
      <c r="DB148"/>
      <c r="DC148"/>
      <c r="DD148"/>
      <c r="DE148"/>
      <c r="DF148"/>
      <c r="DG148"/>
      <c r="DH148"/>
      <c r="DI148" t="str">
        <f t="shared" si="248"/>
        <v/>
      </c>
      <c r="DJ148">
        <f t="shared" si="249"/>
        <v>0</v>
      </c>
      <c r="DK148">
        <f t="shared" si="250"/>
        <v>0</v>
      </c>
      <c r="DL148">
        <f t="shared" si="251"/>
        <v>0</v>
      </c>
      <c r="DM148">
        <f t="shared" si="252"/>
        <v>0</v>
      </c>
      <c r="DN148">
        <f t="shared" si="253"/>
        <v>0</v>
      </c>
      <c r="DO148">
        <f t="shared" si="254"/>
        <v>0</v>
      </c>
      <c r="DP148">
        <f t="shared" si="255"/>
        <v>0</v>
      </c>
      <c r="DQ148">
        <f t="shared" si="256"/>
        <v>0</v>
      </c>
      <c r="DR148">
        <f t="shared" si="257"/>
        <v>0</v>
      </c>
      <c r="DS148">
        <f t="shared" si="258"/>
        <v>0</v>
      </c>
      <c r="DT148">
        <f t="shared" si="259"/>
        <v>0</v>
      </c>
      <c r="DU148">
        <f t="shared" si="260"/>
        <v>0</v>
      </c>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row>
    <row r="149" spans="1:256" s="1" customFormat="1" x14ac:dyDescent="0.2">
      <c r="A149"/>
      <c r="B149"/>
      <c r="C149"/>
      <c r="D149"/>
      <c r="P149"/>
      <c r="Q149"/>
      <c r="R149"/>
      <c r="S149"/>
      <c r="T149"/>
      <c r="U149"/>
      <c r="V149"/>
      <c r="W149"/>
      <c r="X149"/>
      <c r="Y149"/>
      <c r="Z149"/>
      <c r="AA149"/>
      <c r="AB149"/>
      <c r="AC149"/>
      <c r="AD149"/>
      <c r="AE149"/>
      <c r="AF149"/>
      <c r="AG149"/>
      <c r="AH149"/>
      <c r="AI149"/>
      <c r="AJ149"/>
      <c r="AK149"/>
      <c r="AL149"/>
      <c r="AM149"/>
      <c r="AN149"/>
      <c r="AO149">
        <v>30</v>
      </c>
      <c r="AP149" t="str">
        <f t="shared" si="211"/>
        <v/>
      </c>
      <c r="AQ149" t="str">
        <f t="shared" si="212"/>
        <v/>
      </c>
      <c r="AR149" t="str">
        <f t="shared" si="213"/>
        <v/>
      </c>
      <c r="AS149"/>
      <c r="AT149"/>
      <c r="AU149"/>
      <c r="AV149"/>
      <c r="AW149"/>
      <c r="AX149">
        <f t="shared" si="214"/>
        <v>0</v>
      </c>
      <c r="AY149">
        <f t="shared" si="215"/>
        <v>0</v>
      </c>
      <c r="AZ149">
        <f t="shared" si="216"/>
        <v>0</v>
      </c>
      <c r="BA149">
        <f t="shared" si="217"/>
        <v>0</v>
      </c>
      <c r="BB149">
        <f t="shared" si="218"/>
        <v>0</v>
      </c>
      <c r="BC149">
        <f t="shared" si="219"/>
        <v>0</v>
      </c>
      <c r="BD149">
        <f t="shared" si="220"/>
        <v>0</v>
      </c>
      <c r="BE149">
        <f t="shared" si="221"/>
        <v>0</v>
      </c>
      <c r="BF149" t="str">
        <f t="shared" si="222"/>
        <v/>
      </c>
      <c r="BG149" t="str">
        <f t="shared" si="187"/>
        <v/>
      </c>
      <c r="BH149" t="str">
        <f t="shared" si="189"/>
        <v/>
      </c>
      <c r="BI149" t="str">
        <f t="shared" si="190"/>
        <v/>
      </c>
      <c r="BJ149" t="str">
        <f t="shared" si="191"/>
        <v/>
      </c>
      <c r="BK149" t="str">
        <f t="shared" si="192"/>
        <v/>
      </c>
      <c r="BL149" t="str">
        <f t="shared" si="193"/>
        <v/>
      </c>
      <c r="BM149" t="str">
        <f t="shared" si="194"/>
        <v/>
      </c>
      <c r="BN149" t="str">
        <f t="shared" si="195"/>
        <v/>
      </c>
      <c r="BO149" t="str">
        <f t="shared" si="196"/>
        <v/>
      </c>
      <c r="BP149" t="str">
        <f t="shared" si="197"/>
        <v/>
      </c>
      <c r="BQ149" t="str">
        <f t="shared" si="198"/>
        <v/>
      </c>
      <c r="BR149" t="str">
        <f t="shared" si="199"/>
        <v/>
      </c>
      <c r="BS149" t="str">
        <f t="shared" si="200"/>
        <v/>
      </c>
      <c r="BT149" t="str">
        <f t="shared" si="201"/>
        <v/>
      </c>
      <c r="BU149" t="str">
        <f t="shared" si="202"/>
        <v/>
      </c>
      <c r="BV149" t="str">
        <f t="shared" si="203"/>
        <v/>
      </c>
      <c r="BW149" t="str">
        <f t="shared" si="204"/>
        <v/>
      </c>
      <c r="BX149" t="str">
        <f t="shared" si="205"/>
        <v/>
      </c>
      <c r="BY149" t="str">
        <f t="shared" si="206"/>
        <v/>
      </c>
      <c r="BZ149" t="str">
        <f t="shared" si="207"/>
        <v/>
      </c>
      <c r="CA149" t="str">
        <f t="shared" si="208"/>
        <v/>
      </c>
      <c r="CB149" t="str">
        <f t="shared" si="223"/>
        <v/>
      </c>
      <c r="CC149" t="str">
        <f t="shared" si="224"/>
        <v/>
      </c>
      <c r="CD149" t="str">
        <f t="shared" si="225"/>
        <v/>
      </c>
      <c r="CE149" t="str">
        <f t="shared" si="226"/>
        <v/>
      </c>
      <c r="CF149" t="str">
        <f t="shared" si="227"/>
        <v/>
      </c>
      <c r="CG149" t="str">
        <f t="shared" si="228"/>
        <v/>
      </c>
      <c r="CH149" t="str">
        <f t="shared" si="229"/>
        <v/>
      </c>
      <c r="CI149" t="str">
        <f t="shared" si="230"/>
        <v/>
      </c>
      <c r="CJ149" t="str">
        <f t="shared" si="231"/>
        <v/>
      </c>
      <c r="CK149" t="str">
        <f t="shared" si="232"/>
        <v/>
      </c>
      <c r="CL149" t="str">
        <f t="shared" si="233"/>
        <v/>
      </c>
      <c r="CM149" t="str">
        <f t="shared" si="234"/>
        <v/>
      </c>
      <c r="CN149" t="str">
        <f t="shared" si="235"/>
        <v/>
      </c>
      <c r="CO149" t="str">
        <f t="shared" si="236"/>
        <v/>
      </c>
      <c r="CP149" t="str">
        <f t="shared" si="237"/>
        <v/>
      </c>
      <c r="CQ149" t="str">
        <f t="shared" si="238"/>
        <v/>
      </c>
      <c r="CR149" t="str">
        <f t="shared" si="239"/>
        <v/>
      </c>
      <c r="CS149" t="str">
        <f t="shared" si="240"/>
        <v/>
      </c>
      <c r="CT149" t="str">
        <f t="shared" si="241"/>
        <v/>
      </c>
      <c r="CU149" t="str">
        <f t="shared" si="242"/>
        <v/>
      </c>
      <c r="CV149" t="str">
        <f t="shared" si="243"/>
        <v/>
      </c>
      <c r="CW149" t="str">
        <f t="shared" si="244"/>
        <v/>
      </c>
      <c r="CX149" t="str">
        <f t="shared" si="245"/>
        <v/>
      </c>
      <c r="CY149">
        <f t="shared" si="246"/>
        <v>0</v>
      </c>
      <c r="CZ149" t="str">
        <f t="shared" si="247"/>
        <v/>
      </c>
      <c r="DA149"/>
      <c r="DB149"/>
      <c r="DC149"/>
      <c r="DD149"/>
      <c r="DE149"/>
      <c r="DF149"/>
      <c r="DG149"/>
      <c r="DH149"/>
      <c r="DI149" t="str">
        <f t="shared" si="248"/>
        <v/>
      </c>
      <c r="DJ149">
        <f t="shared" si="249"/>
        <v>0</v>
      </c>
      <c r="DK149">
        <f t="shared" si="250"/>
        <v>0</v>
      </c>
      <c r="DL149">
        <f t="shared" si="251"/>
        <v>0</v>
      </c>
      <c r="DM149">
        <f t="shared" si="252"/>
        <v>0</v>
      </c>
      <c r="DN149">
        <f t="shared" si="253"/>
        <v>0</v>
      </c>
      <c r="DO149">
        <f t="shared" si="254"/>
        <v>0</v>
      </c>
      <c r="DP149">
        <f t="shared" si="255"/>
        <v>0</v>
      </c>
      <c r="DQ149">
        <f t="shared" si="256"/>
        <v>0</v>
      </c>
      <c r="DR149">
        <f t="shared" si="257"/>
        <v>0</v>
      </c>
      <c r="DS149">
        <f t="shared" si="258"/>
        <v>0</v>
      </c>
      <c r="DT149">
        <f t="shared" si="259"/>
        <v>0</v>
      </c>
      <c r="DU149">
        <f t="shared" si="260"/>
        <v>0</v>
      </c>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row>
    <row r="150" spans="1:256" s="1" customFormat="1" x14ac:dyDescent="0.2">
      <c r="A150"/>
      <c r="B150"/>
      <c r="C150"/>
      <c r="D150"/>
      <c r="P150"/>
      <c r="Q150"/>
      <c r="R150"/>
      <c r="S150"/>
      <c r="T150"/>
      <c r="U150"/>
      <c r="V150"/>
      <c r="W150"/>
      <c r="X150"/>
      <c r="Y150"/>
      <c r="Z150"/>
      <c r="AA150"/>
      <c r="AB150"/>
      <c r="AC150"/>
      <c r="AD150"/>
      <c r="AE150"/>
      <c r="AF150"/>
      <c r="AG150"/>
      <c r="AH150"/>
      <c r="AI150"/>
      <c r="AJ150"/>
      <c r="AK150"/>
      <c r="AL150"/>
      <c r="AM150"/>
      <c r="AN150"/>
      <c r="AO150">
        <v>31</v>
      </c>
      <c r="AP150" t="str">
        <f t="shared" si="211"/>
        <v/>
      </c>
      <c r="AQ150" t="str">
        <f t="shared" si="212"/>
        <v/>
      </c>
      <c r="AR150" t="str">
        <f t="shared" si="213"/>
        <v/>
      </c>
      <c r="AS150"/>
      <c r="AT150"/>
      <c r="AU150"/>
      <c r="AV150"/>
      <c r="AW150"/>
      <c r="AX150">
        <f t="shared" si="214"/>
        <v>0</v>
      </c>
      <c r="AY150">
        <f t="shared" si="215"/>
        <v>0</v>
      </c>
      <c r="AZ150">
        <f t="shared" si="216"/>
        <v>0</v>
      </c>
      <c r="BA150">
        <f t="shared" si="217"/>
        <v>0</v>
      </c>
      <c r="BB150">
        <f t="shared" si="218"/>
        <v>0</v>
      </c>
      <c r="BC150">
        <f t="shared" si="219"/>
        <v>0</v>
      </c>
      <c r="BD150">
        <f t="shared" si="220"/>
        <v>0</v>
      </c>
      <c r="BE150">
        <f t="shared" si="221"/>
        <v>0</v>
      </c>
      <c r="BF150" t="str">
        <f t="shared" si="222"/>
        <v/>
      </c>
      <c r="BG150" t="str">
        <f t="shared" si="187"/>
        <v/>
      </c>
      <c r="BH150" t="str">
        <f t="shared" si="189"/>
        <v/>
      </c>
      <c r="BI150" t="str">
        <f t="shared" si="190"/>
        <v/>
      </c>
      <c r="BJ150" t="str">
        <f t="shared" si="191"/>
        <v/>
      </c>
      <c r="BK150" t="str">
        <f t="shared" si="192"/>
        <v/>
      </c>
      <c r="BL150" t="str">
        <f t="shared" si="193"/>
        <v/>
      </c>
      <c r="BM150" t="str">
        <f t="shared" si="194"/>
        <v/>
      </c>
      <c r="BN150" t="str">
        <f t="shared" si="195"/>
        <v/>
      </c>
      <c r="BO150" t="str">
        <f t="shared" si="196"/>
        <v/>
      </c>
      <c r="BP150" t="str">
        <f t="shared" si="197"/>
        <v/>
      </c>
      <c r="BQ150" t="str">
        <f t="shared" si="198"/>
        <v/>
      </c>
      <c r="BR150" t="str">
        <f t="shared" si="199"/>
        <v/>
      </c>
      <c r="BS150" t="str">
        <f t="shared" si="200"/>
        <v/>
      </c>
      <c r="BT150" t="str">
        <f t="shared" si="201"/>
        <v/>
      </c>
      <c r="BU150" t="str">
        <f t="shared" si="202"/>
        <v/>
      </c>
      <c r="BV150" t="str">
        <f t="shared" si="203"/>
        <v/>
      </c>
      <c r="BW150" t="str">
        <f t="shared" si="204"/>
        <v/>
      </c>
      <c r="BX150" t="str">
        <f t="shared" si="205"/>
        <v/>
      </c>
      <c r="BY150" t="str">
        <f t="shared" si="206"/>
        <v/>
      </c>
      <c r="BZ150" t="str">
        <f t="shared" si="207"/>
        <v/>
      </c>
      <c r="CA150" t="str">
        <f t="shared" si="208"/>
        <v/>
      </c>
      <c r="CB150" t="str">
        <f t="shared" si="223"/>
        <v/>
      </c>
      <c r="CC150" t="str">
        <f t="shared" si="224"/>
        <v/>
      </c>
      <c r="CD150" t="str">
        <f t="shared" si="225"/>
        <v/>
      </c>
      <c r="CE150" t="str">
        <f t="shared" si="226"/>
        <v/>
      </c>
      <c r="CF150" t="str">
        <f t="shared" si="227"/>
        <v/>
      </c>
      <c r="CG150" t="str">
        <f t="shared" si="228"/>
        <v/>
      </c>
      <c r="CH150" t="str">
        <f t="shared" si="229"/>
        <v/>
      </c>
      <c r="CI150" t="str">
        <f t="shared" si="230"/>
        <v/>
      </c>
      <c r="CJ150" t="str">
        <f t="shared" si="231"/>
        <v/>
      </c>
      <c r="CK150" t="str">
        <f t="shared" si="232"/>
        <v/>
      </c>
      <c r="CL150" t="str">
        <f t="shared" si="233"/>
        <v/>
      </c>
      <c r="CM150" t="str">
        <f t="shared" si="234"/>
        <v/>
      </c>
      <c r="CN150" t="str">
        <f t="shared" si="235"/>
        <v/>
      </c>
      <c r="CO150" t="str">
        <f t="shared" si="236"/>
        <v/>
      </c>
      <c r="CP150" t="str">
        <f t="shared" si="237"/>
        <v/>
      </c>
      <c r="CQ150" t="str">
        <f t="shared" si="238"/>
        <v/>
      </c>
      <c r="CR150" t="str">
        <f t="shared" si="239"/>
        <v/>
      </c>
      <c r="CS150" t="str">
        <f t="shared" si="240"/>
        <v/>
      </c>
      <c r="CT150" t="str">
        <f t="shared" si="241"/>
        <v/>
      </c>
      <c r="CU150" t="str">
        <f t="shared" si="242"/>
        <v/>
      </c>
      <c r="CV150" t="str">
        <f t="shared" si="243"/>
        <v/>
      </c>
      <c r="CW150" t="str">
        <f t="shared" si="244"/>
        <v/>
      </c>
      <c r="CX150" t="str">
        <f t="shared" si="245"/>
        <v/>
      </c>
      <c r="CY150">
        <f t="shared" si="246"/>
        <v>0</v>
      </c>
      <c r="CZ150" t="str">
        <f t="shared" si="247"/>
        <v/>
      </c>
      <c r="DA150"/>
      <c r="DB150"/>
      <c r="DC150"/>
      <c r="DD150"/>
      <c r="DE150"/>
      <c r="DF150"/>
      <c r="DG150"/>
      <c r="DH150"/>
      <c r="DI150" t="str">
        <f t="shared" si="248"/>
        <v/>
      </c>
      <c r="DJ150">
        <f t="shared" si="249"/>
        <v>0</v>
      </c>
      <c r="DK150">
        <f t="shared" si="250"/>
        <v>0</v>
      </c>
      <c r="DL150">
        <f t="shared" si="251"/>
        <v>0</v>
      </c>
      <c r="DM150">
        <f t="shared" si="252"/>
        <v>0</v>
      </c>
      <c r="DN150">
        <f t="shared" si="253"/>
        <v>0</v>
      </c>
      <c r="DO150">
        <f t="shared" si="254"/>
        <v>0</v>
      </c>
      <c r="DP150">
        <f t="shared" si="255"/>
        <v>0</v>
      </c>
      <c r="DQ150">
        <f t="shared" si="256"/>
        <v>0</v>
      </c>
      <c r="DR150">
        <f t="shared" si="257"/>
        <v>0</v>
      </c>
      <c r="DS150">
        <f t="shared" si="258"/>
        <v>0</v>
      </c>
      <c r="DT150">
        <f t="shared" si="259"/>
        <v>0</v>
      </c>
      <c r="DU150">
        <f t="shared" si="260"/>
        <v>0</v>
      </c>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c r="IU150"/>
      <c r="IV150"/>
    </row>
    <row r="151" spans="1:256" s="1" customFormat="1" x14ac:dyDescent="0.2">
      <c r="A151"/>
      <c r="B151"/>
      <c r="C151"/>
      <c r="D151"/>
      <c r="P151"/>
      <c r="Q151"/>
      <c r="R151"/>
      <c r="S151"/>
      <c r="T151"/>
      <c r="U151"/>
      <c r="V151"/>
      <c r="W151"/>
      <c r="X151"/>
      <c r="Y151"/>
      <c r="Z151"/>
      <c r="AA151"/>
      <c r="AB151"/>
      <c r="AC151"/>
      <c r="AD151"/>
      <c r="AE151"/>
      <c r="AF151"/>
      <c r="AG151"/>
      <c r="AH151"/>
      <c r="AI151"/>
      <c r="AJ151"/>
      <c r="AK151"/>
      <c r="AL151"/>
      <c r="AM151"/>
      <c r="AN151"/>
      <c r="AO151">
        <v>32</v>
      </c>
      <c r="AP151" t="str">
        <f t="shared" si="211"/>
        <v/>
      </c>
      <c r="AQ151" t="str">
        <f t="shared" si="212"/>
        <v/>
      </c>
      <c r="AR151" t="str">
        <f t="shared" si="213"/>
        <v/>
      </c>
      <c r="AS151"/>
      <c r="AT151"/>
      <c r="AU151"/>
      <c r="AV151"/>
      <c r="AW151"/>
      <c r="AX151">
        <f t="shared" si="214"/>
        <v>0</v>
      </c>
      <c r="AY151">
        <f t="shared" si="215"/>
        <v>0</v>
      </c>
      <c r="AZ151">
        <f t="shared" si="216"/>
        <v>0</v>
      </c>
      <c r="BA151">
        <f t="shared" si="217"/>
        <v>0</v>
      </c>
      <c r="BB151">
        <f t="shared" si="218"/>
        <v>0</v>
      </c>
      <c r="BC151">
        <f t="shared" si="219"/>
        <v>0</v>
      </c>
      <c r="BD151">
        <f t="shared" si="220"/>
        <v>0</v>
      </c>
      <c r="BE151">
        <f t="shared" si="221"/>
        <v>0</v>
      </c>
      <c r="BF151" t="str">
        <f t="shared" si="222"/>
        <v/>
      </c>
      <c r="BG151" t="str">
        <f t="shared" si="187"/>
        <v/>
      </c>
      <c r="BH151" t="str">
        <f t="shared" si="189"/>
        <v/>
      </c>
      <c r="BI151" t="str">
        <f t="shared" si="190"/>
        <v/>
      </c>
      <c r="BJ151" t="str">
        <f t="shared" si="191"/>
        <v/>
      </c>
      <c r="BK151" t="str">
        <f t="shared" si="192"/>
        <v/>
      </c>
      <c r="BL151" t="str">
        <f t="shared" si="193"/>
        <v/>
      </c>
      <c r="BM151" t="str">
        <f t="shared" si="194"/>
        <v/>
      </c>
      <c r="BN151" t="str">
        <f t="shared" si="195"/>
        <v/>
      </c>
      <c r="BO151" t="str">
        <f t="shared" si="196"/>
        <v/>
      </c>
      <c r="BP151" t="str">
        <f t="shared" si="197"/>
        <v/>
      </c>
      <c r="BQ151" t="str">
        <f t="shared" si="198"/>
        <v/>
      </c>
      <c r="BR151" t="str">
        <f t="shared" si="199"/>
        <v/>
      </c>
      <c r="BS151" t="str">
        <f t="shared" si="200"/>
        <v/>
      </c>
      <c r="BT151" t="str">
        <f t="shared" si="201"/>
        <v/>
      </c>
      <c r="BU151" t="str">
        <f t="shared" si="202"/>
        <v/>
      </c>
      <c r="BV151" t="str">
        <f t="shared" si="203"/>
        <v/>
      </c>
      <c r="BW151" t="str">
        <f t="shared" si="204"/>
        <v/>
      </c>
      <c r="BX151" t="str">
        <f t="shared" si="205"/>
        <v/>
      </c>
      <c r="BY151" t="str">
        <f t="shared" si="206"/>
        <v/>
      </c>
      <c r="BZ151" t="str">
        <f t="shared" si="207"/>
        <v/>
      </c>
      <c r="CA151" t="str">
        <f t="shared" si="208"/>
        <v/>
      </c>
      <c r="CB151" t="str">
        <f t="shared" si="223"/>
        <v/>
      </c>
      <c r="CC151" t="str">
        <f t="shared" si="224"/>
        <v/>
      </c>
      <c r="CD151" t="str">
        <f t="shared" si="225"/>
        <v/>
      </c>
      <c r="CE151" t="str">
        <f t="shared" si="226"/>
        <v/>
      </c>
      <c r="CF151" t="str">
        <f t="shared" si="227"/>
        <v/>
      </c>
      <c r="CG151" t="str">
        <f t="shared" si="228"/>
        <v/>
      </c>
      <c r="CH151" t="str">
        <f t="shared" si="229"/>
        <v/>
      </c>
      <c r="CI151" t="str">
        <f t="shared" si="230"/>
        <v/>
      </c>
      <c r="CJ151" t="str">
        <f t="shared" si="231"/>
        <v/>
      </c>
      <c r="CK151" t="str">
        <f t="shared" si="232"/>
        <v/>
      </c>
      <c r="CL151" t="str">
        <f t="shared" si="233"/>
        <v/>
      </c>
      <c r="CM151" t="str">
        <f t="shared" si="234"/>
        <v/>
      </c>
      <c r="CN151" t="str">
        <f t="shared" si="235"/>
        <v/>
      </c>
      <c r="CO151" t="str">
        <f t="shared" si="236"/>
        <v/>
      </c>
      <c r="CP151" t="str">
        <f t="shared" si="237"/>
        <v/>
      </c>
      <c r="CQ151" t="str">
        <f t="shared" si="238"/>
        <v/>
      </c>
      <c r="CR151" t="str">
        <f t="shared" si="239"/>
        <v/>
      </c>
      <c r="CS151" t="str">
        <f t="shared" si="240"/>
        <v/>
      </c>
      <c r="CT151" t="str">
        <f t="shared" si="241"/>
        <v/>
      </c>
      <c r="CU151" t="str">
        <f t="shared" si="242"/>
        <v/>
      </c>
      <c r="CV151" t="str">
        <f t="shared" si="243"/>
        <v/>
      </c>
      <c r="CW151" t="str">
        <f t="shared" si="244"/>
        <v/>
      </c>
      <c r="CX151" t="str">
        <f t="shared" si="245"/>
        <v/>
      </c>
      <c r="CY151">
        <f t="shared" si="246"/>
        <v>0</v>
      </c>
      <c r="CZ151" t="str">
        <f t="shared" si="247"/>
        <v/>
      </c>
      <c r="DA151"/>
      <c r="DB151"/>
      <c r="DC151"/>
      <c r="DD151"/>
      <c r="DE151"/>
      <c r="DF151"/>
      <c r="DG151"/>
      <c r="DH151"/>
      <c r="DI151" t="str">
        <f t="shared" si="248"/>
        <v/>
      </c>
      <c r="DJ151">
        <f t="shared" si="249"/>
        <v>0</v>
      </c>
      <c r="DK151">
        <f t="shared" si="250"/>
        <v>0</v>
      </c>
      <c r="DL151">
        <f t="shared" si="251"/>
        <v>0</v>
      </c>
      <c r="DM151">
        <f t="shared" si="252"/>
        <v>0</v>
      </c>
      <c r="DN151">
        <f t="shared" si="253"/>
        <v>0</v>
      </c>
      <c r="DO151">
        <f t="shared" si="254"/>
        <v>0</v>
      </c>
      <c r="DP151">
        <f t="shared" si="255"/>
        <v>0</v>
      </c>
      <c r="DQ151">
        <f t="shared" si="256"/>
        <v>0</v>
      </c>
      <c r="DR151">
        <f t="shared" si="257"/>
        <v>0</v>
      </c>
      <c r="DS151">
        <f t="shared" si="258"/>
        <v>0</v>
      </c>
      <c r="DT151">
        <f t="shared" si="259"/>
        <v>0</v>
      </c>
      <c r="DU151">
        <f t="shared" si="260"/>
        <v>0</v>
      </c>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c r="IU151"/>
      <c r="IV151"/>
    </row>
    <row r="152" spans="1:256" s="1" customFormat="1" x14ac:dyDescent="0.2">
      <c r="A152"/>
      <c r="B152"/>
      <c r="C152"/>
      <c r="D152"/>
      <c r="P152"/>
      <c r="Q152"/>
      <c r="R152"/>
      <c r="S152"/>
      <c r="T152"/>
      <c r="U152"/>
      <c r="V152"/>
      <c r="W152"/>
      <c r="X152"/>
      <c r="Y152"/>
      <c r="Z152"/>
      <c r="AA152"/>
      <c r="AB152"/>
      <c r="AC152"/>
      <c r="AD152"/>
      <c r="AE152"/>
      <c r="AF152"/>
      <c r="AG152"/>
      <c r="AH152"/>
      <c r="AI152"/>
      <c r="AJ152"/>
      <c r="AK152"/>
      <c r="AL152"/>
      <c r="AM152"/>
      <c r="AN152"/>
      <c r="AO152">
        <v>33</v>
      </c>
      <c r="AP152" t="str">
        <f t="shared" si="211"/>
        <v/>
      </c>
      <c r="AQ152" t="str">
        <f t="shared" si="212"/>
        <v/>
      </c>
      <c r="AR152" t="str">
        <f t="shared" si="213"/>
        <v/>
      </c>
      <c r="AS152"/>
      <c r="AT152"/>
      <c r="AU152"/>
      <c r="AV152"/>
      <c r="AW152"/>
      <c r="AX152">
        <f t="shared" si="214"/>
        <v>0</v>
      </c>
      <c r="AY152">
        <f t="shared" si="215"/>
        <v>0</v>
      </c>
      <c r="AZ152">
        <f t="shared" si="216"/>
        <v>0</v>
      </c>
      <c r="BA152">
        <f t="shared" si="217"/>
        <v>0</v>
      </c>
      <c r="BB152">
        <f t="shared" si="218"/>
        <v>0</v>
      </c>
      <c r="BC152">
        <f t="shared" si="219"/>
        <v>0</v>
      </c>
      <c r="BD152">
        <f t="shared" si="220"/>
        <v>0</v>
      </c>
      <c r="BE152">
        <f t="shared" si="221"/>
        <v>0</v>
      </c>
      <c r="BF152" t="str">
        <f t="shared" si="222"/>
        <v/>
      </c>
      <c r="BG152" t="str">
        <f t="shared" si="187"/>
        <v/>
      </c>
      <c r="BH152" t="str">
        <f t="shared" si="189"/>
        <v/>
      </c>
      <c r="BI152" t="str">
        <f t="shared" si="190"/>
        <v/>
      </c>
      <c r="BJ152" t="str">
        <f t="shared" si="191"/>
        <v/>
      </c>
      <c r="BK152" t="str">
        <f t="shared" si="192"/>
        <v/>
      </c>
      <c r="BL152" t="str">
        <f t="shared" si="193"/>
        <v/>
      </c>
      <c r="BM152" t="str">
        <f t="shared" si="194"/>
        <v/>
      </c>
      <c r="BN152" t="str">
        <f t="shared" si="195"/>
        <v/>
      </c>
      <c r="BO152" t="str">
        <f t="shared" si="196"/>
        <v/>
      </c>
      <c r="BP152" t="str">
        <f t="shared" si="197"/>
        <v/>
      </c>
      <c r="BQ152" t="str">
        <f t="shared" si="198"/>
        <v/>
      </c>
      <c r="BR152" t="str">
        <f t="shared" si="199"/>
        <v/>
      </c>
      <c r="BS152" t="str">
        <f t="shared" si="200"/>
        <v/>
      </c>
      <c r="BT152" t="str">
        <f t="shared" si="201"/>
        <v/>
      </c>
      <c r="BU152" t="str">
        <f t="shared" si="202"/>
        <v/>
      </c>
      <c r="BV152" t="str">
        <f t="shared" si="203"/>
        <v/>
      </c>
      <c r="BW152" t="str">
        <f t="shared" si="204"/>
        <v/>
      </c>
      <c r="BX152" t="str">
        <f t="shared" si="205"/>
        <v/>
      </c>
      <c r="BY152" t="str">
        <f t="shared" si="206"/>
        <v/>
      </c>
      <c r="BZ152" t="str">
        <f t="shared" si="207"/>
        <v/>
      </c>
      <c r="CA152" t="str">
        <f t="shared" si="208"/>
        <v/>
      </c>
      <c r="CB152" t="str">
        <f t="shared" si="223"/>
        <v/>
      </c>
      <c r="CC152" t="str">
        <f t="shared" si="224"/>
        <v/>
      </c>
      <c r="CD152" t="str">
        <f t="shared" si="225"/>
        <v/>
      </c>
      <c r="CE152" t="str">
        <f t="shared" si="226"/>
        <v/>
      </c>
      <c r="CF152" t="str">
        <f t="shared" si="227"/>
        <v/>
      </c>
      <c r="CG152" t="str">
        <f t="shared" si="228"/>
        <v/>
      </c>
      <c r="CH152" t="str">
        <f t="shared" si="229"/>
        <v/>
      </c>
      <c r="CI152" t="str">
        <f t="shared" si="230"/>
        <v/>
      </c>
      <c r="CJ152" t="str">
        <f t="shared" si="231"/>
        <v/>
      </c>
      <c r="CK152" t="str">
        <f t="shared" si="232"/>
        <v/>
      </c>
      <c r="CL152" t="str">
        <f t="shared" si="233"/>
        <v/>
      </c>
      <c r="CM152" t="str">
        <f t="shared" si="234"/>
        <v/>
      </c>
      <c r="CN152" t="str">
        <f t="shared" si="235"/>
        <v/>
      </c>
      <c r="CO152" t="str">
        <f t="shared" si="236"/>
        <v/>
      </c>
      <c r="CP152" t="str">
        <f t="shared" si="237"/>
        <v/>
      </c>
      <c r="CQ152" t="str">
        <f t="shared" si="238"/>
        <v/>
      </c>
      <c r="CR152" t="str">
        <f t="shared" si="239"/>
        <v/>
      </c>
      <c r="CS152" t="str">
        <f t="shared" si="240"/>
        <v/>
      </c>
      <c r="CT152" t="str">
        <f t="shared" si="241"/>
        <v/>
      </c>
      <c r="CU152" t="str">
        <f t="shared" si="242"/>
        <v/>
      </c>
      <c r="CV152" t="str">
        <f t="shared" si="243"/>
        <v/>
      </c>
      <c r="CW152" t="str">
        <f t="shared" si="244"/>
        <v/>
      </c>
      <c r="CX152" t="str">
        <f t="shared" si="245"/>
        <v/>
      </c>
      <c r="CY152">
        <f t="shared" si="246"/>
        <v>0</v>
      </c>
      <c r="CZ152" t="str">
        <f t="shared" si="247"/>
        <v/>
      </c>
      <c r="DA152"/>
      <c r="DB152"/>
      <c r="DC152"/>
      <c r="DD152"/>
      <c r="DE152"/>
      <c r="DF152"/>
      <c r="DG152"/>
      <c r="DH152"/>
      <c r="DI152" t="str">
        <f t="shared" si="248"/>
        <v/>
      </c>
      <c r="DJ152">
        <f t="shared" si="249"/>
        <v>0</v>
      </c>
      <c r="DK152">
        <f t="shared" si="250"/>
        <v>0</v>
      </c>
      <c r="DL152">
        <f t="shared" si="251"/>
        <v>0</v>
      </c>
      <c r="DM152">
        <f t="shared" si="252"/>
        <v>0</v>
      </c>
      <c r="DN152">
        <f t="shared" si="253"/>
        <v>0</v>
      </c>
      <c r="DO152">
        <f t="shared" si="254"/>
        <v>0</v>
      </c>
      <c r="DP152">
        <f t="shared" si="255"/>
        <v>0</v>
      </c>
      <c r="DQ152">
        <f t="shared" si="256"/>
        <v>0</v>
      </c>
      <c r="DR152">
        <f t="shared" si="257"/>
        <v>0</v>
      </c>
      <c r="DS152">
        <f t="shared" si="258"/>
        <v>0</v>
      </c>
      <c r="DT152">
        <f t="shared" si="259"/>
        <v>0</v>
      </c>
      <c r="DU152">
        <f t="shared" si="260"/>
        <v>0</v>
      </c>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c r="IU152"/>
      <c r="IV152"/>
    </row>
    <row r="153" spans="1:256" s="1" customFormat="1" x14ac:dyDescent="0.2">
      <c r="A153"/>
      <c r="B153"/>
      <c r="C153"/>
      <c r="D153"/>
      <c r="P153"/>
      <c r="Q153"/>
      <c r="R153"/>
      <c r="S153"/>
      <c r="T153"/>
      <c r="U153"/>
      <c r="V153"/>
      <c r="W153"/>
      <c r="X153"/>
      <c r="Y153"/>
      <c r="Z153"/>
      <c r="AA153"/>
      <c r="AB153"/>
      <c r="AC153"/>
      <c r="AD153"/>
      <c r="AE153"/>
      <c r="AF153"/>
      <c r="AG153"/>
      <c r="AH153"/>
      <c r="AI153"/>
      <c r="AJ153"/>
      <c r="AK153"/>
      <c r="AL153"/>
      <c r="AM153"/>
      <c r="AN153"/>
      <c r="AO153">
        <v>34</v>
      </c>
      <c r="AP153" t="str">
        <f t="shared" si="211"/>
        <v/>
      </c>
      <c r="AQ153" t="str">
        <f t="shared" si="212"/>
        <v/>
      </c>
      <c r="AR153" t="str">
        <f t="shared" si="213"/>
        <v/>
      </c>
      <c r="AS153"/>
      <c r="AT153"/>
      <c r="AU153"/>
      <c r="AV153"/>
      <c r="AW153"/>
      <c r="AX153">
        <f t="shared" si="214"/>
        <v>0</v>
      </c>
      <c r="AY153">
        <f t="shared" si="215"/>
        <v>0</v>
      </c>
      <c r="AZ153">
        <f t="shared" si="216"/>
        <v>0</v>
      </c>
      <c r="BA153">
        <f t="shared" si="217"/>
        <v>0</v>
      </c>
      <c r="BB153">
        <f t="shared" si="218"/>
        <v>0</v>
      </c>
      <c r="BC153">
        <f t="shared" si="219"/>
        <v>0</v>
      </c>
      <c r="BD153">
        <f t="shared" si="220"/>
        <v>0</v>
      </c>
      <c r="BE153">
        <f t="shared" si="221"/>
        <v>0</v>
      </c>
      <c r="BF153" t="str">
        <f t="shared" si="222"/>
        <v/>
      </c>
      <c r="BG153" t="str">
        <f t="shared" si="187"/>
        <v/>
      </c>
      <c r="BH153" t="str">
        <f t="shared" si="189"/>
        <v/>
      </c>
      <c r="BI153" t="str">
        <f t="shared" si="190"/>
        <v/>
      </c>
      <c r="BJ153" t="str">
        <f t="shared" si="191"/>
        <v/>
      </c>
      <c r="BK153" t="str">
        <f t="shared" si="192"/>
        <v/>
      </c>
      <c r="BL153" t="str">
        <f t="shared" si="193"/>
        <v/>
      </c>
      <c r="BM153" t="str">
        <f t="shared" si="194"/>
        <v/>
      </c>
      <c r="BN153" t="str">
        <f t="shared" si="195"/>
        <v/>
      </c>
      <c r="BO153" t="str">
        <f t="shared" si="196"/>
        <v/>
      </c>
      <c r="BP153" t="str">
        <f t="shared" si="197"/>
        <v/>
      </c>
      <c r="BQ153" t="str">
        <f t="shared" si="198"/>
        <v/>
      </c>
      <c r="BR153" t="str">
        <f t="shared" si="199"/>
        <v/>
      </c>
      <c r="BS153" t="str">
        <f t="shared" si="200"/>
        <v/>
      </c>
      <c r="BT153" t="str">
        <f t="shared" si="201"/>
        <v/>
      </c>
      <c r="BU153" t="str">
        <f t="shared" si="202"/>
        <v/>
      </c>
      <c r="BV153" t="str">
        <f t="shared" si="203"/>
        <v/>
      </c>
      <c r="BW153" t="str">
        <f t="shared" si="204"/>
        <v/>
      </c>
      <c r="BX153" t="str">
        <f t="shared" si="205"/>
        <v/>
      </c>
      <c r="BY153" t="str">
        <f t="shared" si="206"/>
        <v/>
      </c>
      <c r="BZ153" t="str">
        <f t="shared" si="207"/>
        <v/>
      </c>
      <c r="CA153" t="str">
        <f t="shared" si="208"/>
        <v/>
      </c>
      <c r="CB153" t="str">
        <f t="shared" si="223"/>
        <v/>
      </c>
      <c r="CC153" t="str">
        <f t="shared" si="224"/>
        <v/>
      </c>
      <c r="CD153" t="str">
        <f t="shared" si="225"/>
        <v/>
      </c>
      <c r="CE153" t="str">
        <f t="shared" si="226"/>
        <v/>
      </c>
      <c r="CF153" t="str">
        <f t="shared" si="227"/>
        <v/>
      </c>
      <c r="CG153" t="str">
        <f t="shared" si="228"/>
        <v/>
      </c>
      <c r="CH153" t="str">
        <f t="shared" si="229"/>
        <v/>
      </c>
      <c r="CI153" t="str">
        <f t="shared" si="230"/>
        <v/>
      </c>
      <c r="CJ153" t="str">
        <f t="shared" si="231"/>
        <v/>
      </c>
      <c r="CK153" t="str">
        <f t="shared" si="232"/>
        <v/>
      </c>
      <c r="CL153" t="str">
        <f t="shared" si="233"/>
        <v/>
      </c>
      <c r="CM153" t="str">
        <f t="shared" si="234"/>
        <v/>
      </c>
      <c r="CN153" t="str">
        <f t="shared" si="235"/>
        <v/>
      </c>
      <c r="CO153" t="str">
        <f t="shared" si="236"/>
        <v/>
      </c>
      <c r="CP153" t="str">
        <f t="shared" si="237"/>
        <v/>
      </c>
      <c r="CQ153" t="str">
        <f t="shared" si="238"/>
        <v/>
      </c>
      <c r="CR153" t="str">
        <f t="shared" si="239"/>
        <v/>
      </c>
      <c r="CS153" t="str">
        <f t="shared" si="240"/>
        <v/>
      </c>
      <c r="CT153" t="str">
        <f t="shared" si="241"/>
        <v/>
      </c>
      <c r="CU153" t="str">
        <f t="shared" si="242"/>
        <v/>
      </c>
      <c r="CV153" t="str">
        <f t="shared" si="243"/>
        <v/>
      </c>
      <c r="CW153" t="str">
        <f t="shared" si="244"/>
        <v/>
      </c>
      <c r="CX153" t="str">
        <f t="shared" si="245"/>
        <v/>
      </c>
      <c r="CY153">
        <f t="shared" si="246"/>
        <v>0</v>
      </c>
      <c r="CZ153" t="str">
        <f t="shared" si="247"/>
        <v/>
      </c>
      <c r="DA153"/>
      <c r="DB153"/>
      <c r="DC153"/>
      <c r="DD153"/>
      <c r="DE153"/>
      <c r="DF153"/>
      <c r="DG153"/>
      <c r="DH153"/>
      <c r="DI153" t="str">
        <f t="shared" si="248"/>
        <v/>
      </c>
      <c r="DJ153">
        <f t="shared" si="249"/>
        <v>0</v>
      </c>
      <c r="DK153">
        <f t="shared" si="250"/>
        <v>0</v>
      </c>
      <c r="DL153">
        <f t="shared" si="251"/>
        <v>0</v>
      </c>
      <c r="DM153">
        <f t="shared" si="252"/>
        <v>0</v>
      </c>
      <c r="DN153">
        <f t="shared" si="253"/>
        <v>0</v>
      </c>
      <c r="DO153">
        <f t="shared" si="254"/>
        <v>0</v>
      </c>
      <c r="DP153">
        <f t="shared" si="255"/>
        <v>0</v>
      </c>
      <c r="DQ153">
        <f t="shared" si="256"/>
        <v>0</v>
      </c>
      <c r="DR153">
        <f t="shared" si="257"/>
        <v>0</v>
      </c>
      <c r="DS153">
        <f t="shared" si="258"/>
        <v>0</v>
      </c>
      <c r="DT153">
        <f t="shared" si="259"/>
        <v>0</v>
      </c>
      <c r="DU153">
        <f t="shared" si="260"/>
        <v>0</v>
      </c>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c r="IU153"/>
      <c r="IV153"/>
    </row>
    <row r="154" spans="1:256" s="1" customFormat="1" x14ac:dyDescent="0.2">
      <c r="A154"/>
      <c r="B154"/>
      <c r="C154"/>
      <c r="D154"/>
      <c r="P154"/>
      <c r="Q154"/>
      <c r="R154"/>
      <c r="S154"/>
      <c r="T154"/>
      <c r="U154"/>
      <c r="V154"/>
      <c r="W154"/>
      <c r="X154"/>
      <c r="Y154"/>
      <c r="Z154"/>
      <c r="AA154"/>
      <c r="AB154"/>
      <c r="AC154"/>
      <c r="AD154"/>
      <c r="AE154"/>
      <c r="AF154"/>
      <c r="AG154"/>
      <c r="AH154"/>
      <c r="AI154"/>
      <c r="AJ154"/>
      <c r="AK154"/>
      <c r="AL154"/>
      <c r="AM154"/>
      <c r="AN154"/>
      <c r="AO154">
        <v>35</v>
      </c>
      <c r="AP154" t="str">
        <f t="shared" si="211"/>
        <v/>
      </c>
      <c r="AQ154" t="str">
        <f t="shared" si="212"/>
        <v/>
      </c>
      <c r="AR154" t="str">
        <f t="shared" si="213"/>
        <v/>
      </c>
      <c r="AS154"/>
      <c r="AT154"/>
      <c r="AU154"/>
      <c r="AV154"/>
      <c r="AW154"/>
      <c r="AX154">
        <f t="shared" si="214"/>
        <v>0</v>
      </c>
      <c r="AY154">
        <f t="shared" si="215"/>
        <v>0</v>
      </c>
      <c r="AZ154">
        <f t="shared" si="216"/>
        <v>0</v>
      </c>
      <c r="BA154">
        <f t="shared" si="217"/>
        <v>0</v>
      </c>
      <c r="BB154">
        <f t="shared" si="218"/>
        <v>0</v>
      </c>
      <c r="BC154">
        <f t="shared" si="219"/>
        <v>0</v>
      </c>
      <c r="BD154">
        <f t="shared" si="220"/>
        <v>0</v>
      </c>
      <c r="BE154">
        <f t="shared" si="221"/>
        <v>0</v>
      </c>
      <c r="BF154" t="str">
        <f t="shared" si="222"/>
        <v/>
      </c>
      <c r="BG154" t="str">
        <f t="shared" si="187"/>
        <v/>
      </c>
      <c r="BH154" t="str">
        <f t="shared" si="189"/>
        <v/>
      </c>
      <c r="BI154" t="str">
        <f t="shared" si="190"/>
        <v/>
      </c>
      <c r="BJ154" t="str">
        <f t="shared" si="191"/>
        <v/>
      </c>
      <c r="BK154" t="str">
        <f t="shared" si="192"/>
        <v/>
      </c>
      <c r="BL154" t="str">
        <f t="shared" si="193"/>
        <v/>
      </c>
      <c r="BM154" t="str">
        <f t="shared" si="194"/>
        <v/>
      </c>
      <c r="BN154" t="str">
        <f t="shared" si="195"/>
        <v/>
      </c>
      <c r="BO154" t="str">
        <f t="shared" si="196"/>
        <v/>
      </c>
      <c r="BP154" t="str">
        <f t="shared" si="197"/>
        <v/>
      </c>
      <c r="BQ154" t="str">
        <f t="shared" si="198"/>
        <v/>
      </c>
      <c r="BR154" t="str">
        <f t="shared" si="199"/>
        <v/>
      </c>
      <c r="BS154" t="str">
        <f t="shared" si="200"/>
        <v/>
      </c>
      <c r="BT154" t="str">
        <f t="shared" si="201"/>
        <v/>
      </c>
      <c r="BU154" t="str">
        <f t="shared" si="202"/>
        <v/>
      </c>
      <c r="BV154" t="str">
        <f t="shared" si="203"/>
        <v/>
      </c>
      <c r="BW154" t="str">
        <f t="shared" si="204"/>
        <v/>
      </c>
      <c r="BX154" t="str">
        <f t="shared" si="205"/>
        <v/>
      </c>
      <c r="BY154" t="str">
        <f t="shared" si="206"/>
        <v/>
      </c>
      <c r="BZ154" t="str">
        <f t="shared" si="207"/>
        <v/>
      </c>
      <c r="CA154" t="str">
        <f t="shared" si="208"/>
        <v/>
      </c>
      <c r="CB154" t="str">
        <f t="shared" si="223"/>
        <v/>
      </c>
      <c r="CC154" t="str">
        <f t="shared" si="224"/>
        <v/>
      </c>
      <c r="CD154" t="str">
        <f t="shared" si="225"/>
        <v/>
      </c>
      <c r="CE154" t="str">
        <f t="shared" si="226"/>
        <v/>
      </c>
      <c r="CF154" t="str">
        <f t="shared" si="227"/>
        <v/>
      </c>
      <c r="CG154" t="str">
        <f t="shared" si="228"/>
        <v/>
      </c>
      <c r="CH154" t="str">
        <f t="shared" si="229"/>
        <v/>
      </c>
      <c r="CI154" t="str">
        <f t="shared" si="230"/>
        <v/>
      </c>
      <c r="CJ154" t="str">
        <f t="shared" si="231"/>
        <v/>
      </c>
      <c r="CK154" t="str">
        <f t="shared" si="232"/>
        <v/>
      </c>
      <c r="CL154" t="str">
        <f t="shared" si="233"/>
        <v/>
      </c>
      <c r="CM154" t="str">
        <f t="shared" si="234"/>
        <v/>
      </c>
      <c r="CN154" t="str">
        <f t="shared" si="235"/>
        <v/>
      </c>
      <c r="CO154" t="str">
        <f t="shared" si="236"/>
        <v/>
      </c>
      <c r="CP154" t="str">
        <f t="shared" si="237"/>
        <v/>
      </c>
      <c r="CQ154" t="str">
        <f t="shared" si="238"/>
        <v/>
      </c>
      <c r="CR154" t="str">
        <f t="shared" si="239"/>
        <v/>
      </c>
      <c r="CS154" t="str">
        <f t="shared" si="240"/>
        <v/>
      </c>
      <c r="CT154" t="str">
        <f t="shared" si="241"/>
        <v/>
      </c>
      <c r="CU154" t="str">
        <f t="shared" si="242"/>
        <v/>
      </c>
      <c r="CV154" t="str">
        <f t="shared" si="243"/>
        <v/>
      </c>
      <c r="CW154" t="str">
        <f t="shared" si="244"/>
        <v/>
      </c>
      <c r="CX154" t="str">
        <f t="shared" si="245"/>
        <v/>
      </c>
      <c r="CY154">
        <f t="shared" si="246"/>
        <v>0</v>
      </c>
      <c r="CZ154" t="str">
        <f t="shared" si="247"/>
        <v/>
      </c>
      <c r="DA154"/>
      <c r="DB154"/>
      <c r="DC154"/>
      <c r="DD154"/>
      <c r="DE154"/>
      <c r="DF154"/>
      <c r="DG154"/>
      <c r="DH154"/>
      <c r="DI154" t="str">
        <f t="shared" si="248"/>
        <v/>
      </c>
      <c r="DJ154">
        <f t="shared" si="249"/>
        <v>0</v>
      </c>
      <c r="DK154">
        <f t="shared" si="250"/>
        <v>0</v>
      </c>
      <c r="DL154">
        <f t="shared" si="251"/>
        <v>0</v>
      </c>
      <c r="DM154">
        <f t="shared" si="252"/>
        <v>0</v>
      </c>
      <c r="DN154">
        <f t="shared" si="253"/>
        <v>0</v>
      </c>
      <c r="DO154">
        <f t="shared" si="254"/>
        <v>0</v>
      </c>
      <c r="DP154">
        <f t="shared" si="255"/>
        <v>0</v>
      </c>
      <c r="DQ154">
        <f t="shared" si="256"/>
        <v>0</v>
      </c>
      <c r="DR154">
        <f t="shared" si="257"/>
        <v>0</v>
      </c>
      <c r="DS154">
        <f t="shared" si="258"/>
        <v>0</v>
      </c>
      <c r="DT154">
        <f t="shared" si="259"/>
        <v>0</v>
      </c>
      <c r="DU154">
        <f t="shared" si="260"/>
        <v>0</v>
      </c>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row>
    <row r="155" spans="1:256" s="1" customFormat="1" x14ac:dyDescent="0.2">
      <c r="A155"/>
      <c r="B155"/>
      <c r="C155"/>
      <c r="D155"/>
      <c r="P155"/>
      <c r="Q155"/>
      <c r="R155"/>
      <c r="S155"/>
      <c r="T155"/>
      <c r="U155"/>
      <c r="V155"/>
      <c r="W155"/>
      <c r="X155"/>
      <c r="Y155"/>
      <c r="Z155"/>
      <c r="AA155"/>
      <c r="AB155"/>
      <c r="AC155"/>
      <c r="AD155"/>
      <c r="AE155"/>
      <c r="AF155"/>
      <c r="AG155"/>
      <c r="AH155"/>
      <c r="AI155"/>
      <c r="AJ155"/>
      <c r="AK155"/>
      <c r="AL155"/>
      <c r="AM155"/>
      <c r="AN155"/>
      <c r="AO155">
        <v>36</v>
      </c>
      <c r="AP155" t="str">
        <f t="shared" si="211"/>
        <v/>
      </c>
      <c r="AQ155" t="str">
        <f t="shared" si="212"/>
        <v/>
      </c>
      <c r="AR155" t="str">
        <f t="shared" si="213"/>
        <v/>
      </c>
      <c r="AS155"/>
      <c r="AT155"/>
      <c r="AU155"/>
      <c r="AV155"/>
      <c r="AW155"/>
      <c r="AX155">
        <f t="shared" si="214"/>
        <v>0</v>
      </c>
      <c r="AY155">
        <f t="shared" si="215"/>
        <v>0</v>
      </c>
      <c r="AZ155">
        <f t="shared" si="216"/>
        <v>0</v>
      </c>
      <c r="BA155">
        <f t="shared" si="217"/>
        <v>0</v>
      </c>
      <c r="BB155">
        <f t="shared" si="218"/>
        <v>0</v>
      </c>
      <c r="BC155">
        <f t="shared" si="219"/>
        <v>0</v>
      </c>
      <c r="BD155">
        <f t="shared" si="220"/>
        <v>0</v>
      </c>
      <c r="BE155">
        <f t="shared" si="221"/>
        <v>0</v>
      </c>
      <c r="BF155" t="str">
        <f t="shared" si="222"/>
        <v/>
      </c>
      <c r="BG155" t="str">
        <f t="shared" si="187"/>
        <v/>
      </c>
      <c r="BH155" t="str">
        <f t="shared" si="189"/>
        <v/>
      </c>
      <c r="BI155" t="str">
        <f t="shared" si="190"/>
        <v/>
      </c>
      <c r="BJ155" t="str">
        <f t="shared" si="191"/>
        <v/>
      </c>
      <c r="BK155" t="str">
        <f t="shared" si="192"/>
        <v/>
      </c>
      <c r="BL155" t="str">
        <f t="shared" si="193"/>
        <v/>
      </c>
      <c r="BM155" t="str">
        <f t="shared" si="194"/>
        <v/>
      </c>
      <c r="BN155" t="str">
        <f t="shared" si="195"/>
        <v/>
      </c>
      <c r="BO155" t="str">
        <f t="shared" si="196"/>
        <v/>
      </c>
      <c r="BP155" t="str">
        <f t="shared" si="197"/>
        <v/>
      </c>
      <c r="BQ155" t="str">
        <f t="shared" si="198"/>
        <v/>
      </c>
      <c r="BR155" t="str">
        <f t="shared" si="199"/>
        <v/>
      </c>
      <c r="BS155" t="str">
        <f t="shared" si="200"/>
        <v/>
      </c>
      <c r="BT155" t="str">
        <f t="shared" si="201"/>
        <v/>
      </c>
      <c r="BU155" t="str">
        <f t="shared" si="202"/>
        <v/>
      </c>
      <c r="BV155" t="str">
        <f t="shared" si="203"/>
        <v/>
      </c>
      <c r="BW155" t="str">
        <f t="shared" si="204"/>
        <v/>
      </c>
      <c r="BX155" t="str">
        <f t="shared" si="205"/>
        <v/>
      </c>
      <c r="BY155" t="str">
        <f t="shared" si="206"/>
        <v/>
      </c>
      <c r="BZ155" t="str">
        <f t="shared" si="207"/>
        <v/>
      </c>
      <c r="CA155" t="str">
        <f t="shared" si="208"/>
        <v/>
      </c>
      <c r="CB155" t="str">
        <f t="shared" si="223"/>
        <v/>
      </c>
      <c r="CC155" t="str">
        <f t="shared" si="224"/>
        <v/>
      </c>
      <c r="CD155" t="str">
        <f t="shared" si="225"/>
        <v/>
      </c>
      <c r="CE155" t="str">
        <f t="shared" si="226"/>
        <v/>
      </c>
      <c r="CF155" t="str">
        <f t="shared" si="227"/>
        <v/>
      </c>
      <c r="CG155" t="str">
        <f t="shared" si="228"/>
        <v/>
      </c>
      <c r="CH155" t="str">
        <f t="shared" si="229"/>
        <v/>
      </c>
      <c r="CI155" t="str">
        <f t="shared" si="230"/>
        <v/>
      </c>
      <c r="CJ155" t="str">
        <f t="shared" si="231"/>
        <v/>
      </c>
      <c r="CK155" t="str">
        <f t="shared" si="232"/>
        <v/>
      </c>
      <c r="CL155" t="str">
        <f t="shared" si="233"/>
        <v/>
      </c>
      <c r="CM155" t="str">
        <f t="shared" si="234"/>
        <v/>
      </c>
      <c r="CN155" t="str">
        <f t="shared" si="235"/>
        <v/>
      </c>
      <c r="CO155" t="str">
        <f t="shared" si="236"/>
        <v/>
      </c>
      <c r="CP155" t="str">
        <f t="shared" si="237"/>
        <v/>
      </c>
      <c r="CQ155" t="str">
        <f t="shared" si="238"/>
        <v/>
      </c>
      <c r="CR155" t="str">
        <f t="shared" si="239"/>
        <v/>
      </c>
      <c r="CS155" t="str">
        <f t="shared" si="240"/>
        <v/>
      </c>
      <c r="CT155" t="str">
        <f t="shared" si="241"/>
        <v/>
      </c>
      <c r="CU155" t="str">
        <f t="shared" si="242"/>
        <v/>
      </c>
      <c r="CV155" t="str">
        <f t="shared" si="243"/>
        <v/>
      </c>
      <c r="CW155" t="str">
        <f t="shared" si="244"/>
        <v/>
      </c>
      <c r="CX155" t="str">
        <f t="shared" si="245"/>
        <v/>
      </c>
      <c r="CY155">
        <f t="shared" si="246"/>
        <v>0</v>
      </c>
      <c r="CZ155" t="str">
        <f t="shared" si="247"/>
        <v/>
      </c>
      <c r="DA155"/>
      <c r="DB155"/>
      <c r="DC155"/>
      <c r="DD155"/>
      <c r="DE155"/>
      <c r="DF155"/>
      <c r="DG155"/>
      <c r="DH155"/>
      <c r="DI155" t="str">
        <f t="shared" si="248"/>
        <v/>
      </c>
      <c r="DJ155">
        <f t="shared" si="249"/>
        <v>0</v>
      </c>
      <c r="DK155">
        <f t="shared" si="250"/>
        <v>0</v>
      </c>
      <c r="DL155">
        <f t="shared" si="251"/>
        <v>0</v>
      </c>
      <c r="DM155">
        <f t="shared" si="252"/>
        <v>0</v>
      </c>
      <c r="DN155">
        <f t="shared" si="253"/>
        <v>0</v>
      </c>
      <c r="DO155">
        <f t="shared" si="254"/>
        <v>0</v>
      </c>
      <c r="DP155">
        <f t="shared" si="255"/>
        <v>0</v>
      </c>
      <c r="DQ155">
        <f t="shared" si="256"/>
        <v>0</v>
      </c>
      <c r="DR155">
        <f t="shared" si="257"/>
        <v>0</v>
      </c>
      <c r="DS155">
        <f t="shared" si="258"/>
        <v>0</v>
      </c>
      <c r="DT155">
        <f t="shared" si="259"/>
        <v>0</v>
      </c>
      <c r="DU155">
        <f t="shared" si="260"/>
        <v>0</v>
      </c>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row>
    <row r="156" spans="1:256" s="1" customFormat="1" x14ac:dyDescent="0.2">
      <c r="A156"/>
      <c r="B156"/>
      <c r="C156"/>
      <c r="D156"/>
      <c r="P156"/>
      <c r="Q156"/>
      <c r="R156"/>
      <c r="S156"/>
      <c r="T156"/>
      <c r="U156"/>
      <c r="V156"/>
      <c r="W156"/>
      <c r="X156"/>
      <c r="Y156"/>
      <c r="Z156"/>
      <c r="AA156"/>
      <c r="AB156"/>
      <c r="AC156"/>
      <c r="AD156"/>
      <c r="AE156"/>
      <c r="AF156"/>
      <c r="AG156"/>
      <c r="AH156"/>
      <c r="AI156"/>
      <c r="AJ156"/>
      <c r="AK156"/>
      <c r="AL156"/>
      <c r="AM156"/>
      <c r="AN156"/>
      <c r="AO156">
        <v>37</v>
      </c>
      <c r="AP156" t="str">
        <f t="shared" si="211"/>
        <v/>
      </c>
      <c r="AQ156" t="str">
        <f t="shared" si="212"/>
        <v/>
      </c>
      <c r="AR156" t="str">
        <f t="shared" si="213"/>
        <v/>
      </c>
      <c r="AS156"/>
      <c r="AT156"/>
      <c r="AU156"/>
      <c r="AV156"/>
      <c r="AW156"/>
      <c r="AX156">
        <f t="shared" si="214"/>
        <v>0</v>
      </c>
      <c r="AY156">
        <f t="shared" si="215"/>
        <v>0</v>
      </c>
      <c r="AZ156">
        <f t="shared" si="216"/>
        <v>0</v>
      </c>
      <c r="BA156">
        <f t="shared" si="217"/>
        <v>0</v>
      </c>
      <c r="BB156">
        <f t="shared" si="218"/>
        <v>0</v>
      </c>
      <c r="BC156">
        <f t="shared" si="219"/>
        <v>0</v>
      </c>
      <c r="BD156">
        <f t="shared" si="220"/>
        <v>0</v>
      </c>
      <c r="BE156">
        <f t="shared" si="221"/>
        <v>0</v>
      </c>
      <c r="BF156" t="str">
        <f t="shared" si="222"/>
        <v/>
      </c>
      <c r="BG156" t="str">
        <f t="shared" si="187"/>
        <v/>
      </c>
      <c r="BH156" t="str">
        <f t="shared" si="189"/>
        <v/>
      </c>
      <c r="BI156" t="str">
        <f t="shared" si="190"/>
        <v/>
      </c>
      <c r="BJ156" t="str">
        <f t="shared" si="191"/>
        <v/>
      </c>
      <c r="BK156" t="str">
        <f t="shared" si="192"/>
        <v/>
      </c>
      <c r="BL156" t="str">
        <f t="shared" si="193"/>
        <v/>
      </c>
      <c r="BM156" t="str">
        <f t="shared" si="194"/>
        <v/>
      </c>
      <c r="BN156" t="str">
        <f t="shared" si="195"/>
        <v/>
      </c>
      <c r="BO156" t="str">
        <f t="shared" si="196"/>
        <v/>
      </c>
      <c r="BP156" t="str">
        <f t="shared" si="197"/>
        <v/>
      </c>
      <c r="BQ156" t="str">
        <f t="shared" si="198"/>
        <v/>
      </c>
      <c r="BR156" t="str">
        <f t="shared" si="199"/>
        <v/>
      </c>
      <c r="BS156" t="str">
        <f t="shared" si="200"/>
        <v/>
      </c>
      <c r="BT156" t="str">
        <f t="shared" si="201"/>
        <v/>
      </c>
      <c r="BU156" t="str">
        <f t="shared" si="202"/>
        <v/>
      </c>
      <c r="BV156" t="str">
        <f t="shared" si="203"/>
        <v/>
      </c>
      <c r="BW156" t="str">
        <f t="shared" si="204"/>
        <v/>
      </c>
      <c r="BX156" t="str">
        <f t="shared" si="205"/>
        <v/>
      </c>
      <c r="BY156" t="str">
        <f t="shared" si="206"/>
        <v/>
      </c>
      <c r="BZ156" t="str">
        <f t="shared" si="207"/>
        <v/>
      </c>
      <c r="CA156" t="str">
        <f t="shared" si="208"/>
        <v/>
      </c>
      <c r="CB156" t="str">
        <f t="shared" si="223"/>
        <v/>
      </c>
      <c r="CC156" t="str">
        <f t="shared" si="224"/>
        <v/>
      </c>
      <c r="CD156" t="str">
        <f t="shared" si="225"/>
        <v/>
      </c>
      <c r="CE156" t="str">
        <f t="shared" si="226"/>
        <v/>
      </c>
      <c r="CF156" t="str">
        <f t="shared" si="227"/>
        <v/>
      </c>
      <c r="CG156" t="str">
        <f t="shared" si="228"/>
        <v/>
      </c>
      <c r="CH156" t="str">
        <f t="shared" si="229"/>
        <v/>
      </c>
      <c r="CI156" t="str">
        <f t="shared" si="230"/>
        <v/>
      </c>
      <c r="CJ156" t="str">
        <f t="shared" si="231"/>
        <v/>
      </c>
      <c r="CK156" t="str">
        <f t="shared" si="232"/>
        <v/>
      </c>
      <c r="CL156" t="str">
        <f t="shared" si="233"/>
        <v/>
      </c>
      <c r="CM156" t="str">
        <f t="shared" si="234"/>
        <v/>
      </c>
      <c r="CN156" t="str">
        <f t="shared" si="235"/>
        <v/>
      </c>
      <c r="CO156" t="str">
        <f t="shared" si="236"/>
        <v/>
      </c>
      <c r="CP156" t="str">
        <f t="shared" si="237"/>
        <v/>
      </c>
      <c r="CQ156" t="str">
        <f t="shared" si="238"/>
        <v/>
      </c>
      <c r="CR156" t="str">
        <f t="shared" si="239"/>
        <v/>
      </c>
      <c r="CS156" t="str">
        <f t="shared" si="240"/>
        <v/>
      </c>
      <c r="CT156" t="str">
        <f t="shared" si="241"/>
        <v/>
      </c>
      <c r="CU156" t="str">
        <f t="shared" si="242"/>
        <v/>
      </c>
      <c r="CV156" t="str">
        <f t="shared" si="243"/>
        <v/>
      </c>
      <c r="CW156" t="str">
        <f t="shared" si="244"/>
        <v/>
      </c>
      <c r="CX156" t="str">
        <f t="shared" si="245"/>
        <v/>
      </c>
      <c r="CY156">
        <f t="shared" si="246"/>
        <v>0</v>
      </c>
      <c r="CZ156" t="str">
        <f t="shared" si="247"/>
        <v/>
      </c>
      <c r="DA156"/>
      <c r="DB156"/>
      <c r="DC156"/>
      <c r="DD156"/>
      <c r="DE156"/>
      <c r="DF156"/>
      <c r="DG156"/>
      <c r="DH156"/>
      <c r="DI156" t="str">
        <f t="shared" si="248"/>
        <v/>
      </c>
      <c r="DJ156">
        <f t="shared" si="249"/>
        <v>0</v>
      </c>
      <c r="DK156">
        <f t="shared" si="250"/>
        <v>0</v>
      </c>
      <c r="DL156">
        <f t="shared" si="251"/>
        <v>0</v>
      </c>
      <c r="DM156">
        <f t="shared" si="252"/>
        <v>0</v>
      </c>
      <c r="DN156">
        <f t="shared" si="253"/>
        <v>0</v>
      </c>
      <c r="DO156">
        <f t="shared" si="254"/>
        <v>0</v>
      </c>
      <c r="DP156">
        <f t="shared" si="255"/>
        <v>0</v>
      </c>
      <c r="DQ156">
        <f t="shared" si="256"/>
        <v>0</v>
      </c>
      <c r="DR156">
        <f t="shared" si="257"/>
        <v>0</v>
      </c>
      <c r="DS156">
        <f t="shared" si="258"/>
        <v>0</v>
      </c>
      <c r="DT156">
        <f t="shared" si="259"/>
        <v>0</v>
      </c>
      <c r="DU156">
        <f t="shared" si="260"/>
        <v>0</v>
      </c>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row>
    <row r="157" spans="1:256" s="1" customFormat="1" x14ac:dyDescent="0.2">
      <c r="A157"/>
      <c r="B157"/>
      <c r="C157"/>
      <c r="D157"/>
      <c r="P157"/>
      <c r="Q157"/>
      <c r="R157"/>
      <c r="S157"/>
      <c r="T157"/>
      <c r="U157"/>
      <c r="V157"/>
      <c r="W157"/>
      <c r="X157"/>
      <c r="Y157"/>
      <c r="Z157"/>
      <c r="AA157"/>
      <c r="AB157"/>
      <c r="AC157"/>
      <c r="AD157"/>
      <c r="AE157"/>
      <c r="AF157"/>
      <c r="AG157"/>
      <c r="AH157"/>
      <c r="AI157"/>
      <c r="AJ157"/>
      <c r="AK157"/>
      <c r="AL157"/>
      <c r="AM157"/>
      <c r="AN157"/>
      <c r="AO157">
        <v>38</v>
      </c>
      <c r="AP157" t="str">
        <f t="shared" si="211"/>
        <v/>
      </c>
      <c r="AQ157" t="str">
        <f t="shared" si="212"/>
        <v/>
      </c>
      <c r="AR157" t="str">
        <f t="shared" si="213"/>
        <v/>
      </c>
      <c r="AS157"/>
      <c r="AT157"/>
      <c r="AU157"/>
      <c r="AV157"/>
      <c r="AW157"/>
      <c r="AX157">
        <f t="shared" si="214"/>
        <v>0</v>
      </c>
      <c r="AY157">
        <f t="shared" si="215"/>
        <v>0</v>
      </c>
      <c r="AZ157">
        <f t="shared" si="216"/>
        <v>0</v>
      </c>
      <c r="BA157">
        <f t="shared" si="217"/>
        <v>0</v>
      </c>
      <c r="BB157">
        <f t="shared" si="218"/>
        <v>0</v>
      </c>
      <c r="BC157">
        <f t="shared" si="219"/>
        <v>0</v>
      </c>
      <c r="BD157">
        <f t="shared" si="220"/>
        <v>0</v>
      </c>
      <c r="BE157">
        <f t="shared" si="221"/>
        <v>0</v>
      </c>
      <c r="BF157" t="str">
        <f t="shared" si="222"/>
        <v/>
      </c>
      <c r="BG157" t="str">
        <f t="shared" si="187"/>
        <v/>
      </c>
      <c r="BH157" t="str">
        <f t="shared" si="189"/>
        <v/>
      </c>
      <c r="BI157" t="str">
        <f t="shared" si="190"/>
        <v/>
      </c>
      <c r="BJ157" t="str">
        <f t="shared" si="191"/>
        <v/>
      </c>
      <c r="BK157" t="str">
        <f t="shared" si="192"/>
        <v/>
      </c>
      <c r="BL157" t="str">
        <f t="shared" si="193"/>
        <v/>
      </c>
      <c r="BM157" t="str">
        <f t="shared" si="194"/>
        <v/>
      </c>
      <c r="BN157" t="str">
        <f t="shared" si="195"/>
        <v/>
      </c>
      <c r="BO157" t="str">
        <f t="shared" si="196"/>
        <v/>
      </c>
      <c r="BP157" t="str">
        <f t="shared" si="197"/>
        <v/>
      </c>
      <c r="BQ157" t="str">
        <f t="shared" si="198"/>
        <v/>
      </c>
      <c r="BR157" t="str">
        <f t="shared" si="199"/>
        <v/>
      </c>
      <c r="BS157" t="str">
        <f t="shared" si="200"/>
        <v/>
      </c>
      <c r="BT157" t="str">
        <f t="shared" si="201"/>
        <v/>
      </c>
      <c r="BU157" t="str">
        <f t="shared" si="202"/>
        <v/>
      </c>
      <c r="BV157" t="str">
        <f t="shared" si="203"/>
        <v/>
      </c>
      <c r="BW157" t="str">
        <f t="shared" si="204"/>
        <v/>
      </c>
      <c r="BX157" t="str">
        <f t="shared" si="205"/>
        <v/>
      </c>
      <c r="BY157" t="str">
        <f t="shared" si="206"/>
        <v/>
      </c>
      <c r="BZ157" t="str">
        <f t="shared" si="207"/>
        <v/>
      </c>
      <c r="CA157" t="str">
        <f t="shared" si="208"/>
        <v/>
      </c>
      <c r="CB157" t="str">
        <f t="shared" si="223"/>
        <v/>
      </c>
      <c r="CC157" t="str">
        <f t="shared" si="224"/>
        <v/>
      </c>
      <c r="CD157" t="str">
        <f t="shared" si="225"/>
        <v/>
      </c>
      <c r="CE157" t="str">
        <f t="shared" si="226"/>
        <v/>
      </c>
      <c r="CF157" t="str">
        <f t="shared" si="227"/>
        <v/>
      </c>
      <c r="CG157" t="str">
        <f t="shared" si="228"/>
        <v/>
      </c>
      <c r="CH157" t="str">
        <f t="shared" si="229"/>
        <v/>
      </c>
      <c r="CI157" t="str">
        <f t="shared" si="230"/>
        <v/>
      </c>
      <c r="CJ157" t="str">
        <f t="shared" si="231"/>
        <v/>
      </c>
      <c r="CK157" t="str">
        <f t="shared" si="232"/>
        <v/>
      </c>
      <c r="CL157" t="str">
        <f t="shared" si="233"/>
        <v/>
      </c>
      <c r="CM157" t="str">
        <f t="shared" si="234"/>
        <v/>
      </c>
      <c r="CN157" t="str">
        <f t="shared" si="235"/>
        <v/>
      </c>
      <c r="CO157" t="str">
        <f t="shared" si="236"/>
        <v/>
      </c>
      <c r="CP157" t="str">
        <f t="shared" si="237"/>
        <v/>
      </c>
      <c r="CQ157" t="str">
        <f t="shared" si="238"/>
        <v/>
      </c>
      <c r="CR157" t="str">
        <f t="shared" si="239"/>
        <v/>
      </c>
      <c r="CS157" t="str">
        <f t="shared" si="240"/>
        <v/>
      </c>
      <c r="CT157" t="str">
        <f t="shared" si="241"/>
        <v/>
      </c>
      <c r="CU157" t="str">
        <f t="shared" si="242"/>
        <v/>
      </c>
      <c r="CV157" t="str">
        <f t="shared" si="243"/>
        <v/>
      </c>
      <c r="CW157" t="str">
        <f t="shared" si="244"/>
        <v/>
      </c>
      <c r="CX157" t="str">
        <f t="shared" si="245"/>
        <v/>
      </c>
      <c r="CY157">
        <f t="shared" si="246"/>
        <v>0</v>
      </c>
      <c r="CZ157" t="str">
        <f t="shared" si="247"/>
        <v/>
      </c>
      <c r="DA157"/>
      <c r="DB157"/>
      <c r="DC157"/>
      <c r="DD157"/>
      <c r="DE157"/>
      <c r="DF157"/>
      <c r="DG157"/>
      <c r="DH157"/>
      <c r="DI157" t="str">
        <f t="shared" si="248"/>
        <v/>
      </c>
      <c r="DJ157">
        <f t="shared" si="249"/>
        <v>0</v>
      </c>
      <c r="DK157">
        <f t="shared" si="250"/>
        <v>0</v>
      </c>
      <c r="DL157">
        <f t="shared" si="251"/>
        <v>0</v>
      </c>
      <c r="DM157">
        <f t="shared" si="252"/>
        <v>0</v>
      </c>
      <c r="DN157">
        <f t="shared" si="253"/>
        <v>0</v>
      </c>
      <c r="DO157">
        <f t="shared" si="254"/>
        <v>0</v>
      </c>
      <c r="DP157">
        <f t="shared" si="255"/>
        <v>0</v>
      </c>
      <c r="DQ157">
        <f t="shared" si="256"/>
        <v>0</v>
      </c>
      <c r="DR157">
        <f t="shared" si="257"/>
        <v>0</v>
      </c>
      <c r="DS157">
        <f t="shared" si="258"/>
        <v>0</v>
      </c>
      <c r="DT157">
        <f t="shared" si="259"/>
        <v>0</v>
      </c>
      <c r="DU157">
        <f t="shared" si="260"/>
        <v>0</v>
      </c>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c r="IU157"/>
      <c r="IV157"/>
    </row>
    <row r="158" spans="1:256" s="1" customFormat="1" x14ac:dyDescent="0.2">
      <c r="A158"/>
      <c r="B158"/>
      <c r="C158"/>
      <c r="D158"/>
      <c r="P158"/>
      <c r="Q158"/>
      <c r="R158"/>
      <c r="S158"/>
      <c r="T158"/>
      <c r="U158"/>
      <c r="V158"/>
      <c r="W158"/>
      <c r="X158"/>
      <c r="Y158"/>
      <c r="Z158"/>
      <c r="AA158"/>
      <c r="AB158"/>
      <c r="AC158"/>
      <c r="AD158"/>
      <c r="AE158"/>
      <c r="AF158"/>
      <c r="AG158"/>
      <c r="AH158"/>
      <c r="AI158"/>
      <c r="AJ158"/>
      <c r="AK158"/>
      <c r="AL158"/>
      <c r="AM158"/>
      <c r="AN158"/>
      <c r="AO158">
        <v>39</v>
      </c>
      <c r="AP158" t="str">
        <f t="shared" si="211"/>
        <v/>
      </c>
      <c r="AQ158" t="str">
        <f t="shared" si="212"/>
        <v/>
      </c>
      <c r="AR158" t="str">
        <f t="shared" si="213"/>
        <v/>
      </c>
      <c r="AS158"/>
      <c r="AT158"/>
      <c r="AU158"/>
      <c r="AV158"/>
      <c r="AW158"/>
      <c r="AX158">
        <f t="shared" si="214"/>
        <v>0</v>
      </c>
      <c r="AY158">
        <f t="shared" si="215"/>
        <v>0</v>
      </c>
      <c r="AZ158">
        <f t="shared" si="216"/>
        <v>0</v>
      </c>
      <c r="BA158">
        <f t="shared" si="217"/>
        <v>0</v>
      </c>
      <c r="BB158">
        <f t="shared" si="218"/>
        <v>0</v>
      </c>
      <c r="BC158">
        <f t="shared" si="219"/>
        <v>0</v>
      </c>
      <c r="BD158">
        <f t="shared" si="220"/>
        <v>0</v>
      </c>
      <c r="BE158">
        <f t="shared" si="221"/>
        <v>0</v>
      </c>
      <c r="BF158" t="str">
        <f t="shared" si="222"/>
        <v/>
      </c>
      <c r="BG158" t="str">
        <f t="shared" si="187"/>
        <v/>
      </c>
      <c r="BH158" t="str">
        <f t="shared" si="189"/>
        <v/>
      </c>
      <c r="BI158" t="str">
        <f t="shared" si="190"/>
        <v/>
      </c>
      <c r="BJ158" t="str">
        <f t="shared" si="191"/>
        <v/>
      </c>
      <c r="BK158" t="str">
        <f t="shared" si="192"/>
        <v/>
      </c>
      <c r="BL158" t="str">
        <f t="shared" si="193"/>
        <v/>
      </c>
      <c r="BM158" t="str">
        <f t="shared" si="194"/>
        <v/>
      </c>
      <c r="BN158" t="str">
        <f t="shared" si="195"/>
        <v/>
      </c>
      <c r="BO158" t="str">
        <f t="shared" si="196"/>
        <v/>
      </c>
      <c r="BP158" t="str">
        <f t="shared" si="197"/>
        <v/>
      </c>
      <c r="BQ158" t="str">
        <f t="shared" si="198"/>
        <v/>
      </c>
      <c r="BR158" t="str">
        <f t="shared" si="199"/>
        <v/>
      </c>
      <c r="BS158" t="str">
        <f t="shared" si="200"/>
        <v/>
      </c>
      <c r="BT158" t="str">
        <f t="shared" si="201"/>
        <v/>
      </c>
      <c r="BU158" t="str">
        <f t="shared" si="202"/>
        <v/>
      </c>
      <c r="BV158" t="str">
        <f t="shared" si="203"/>
        <v/>
      </c>
      <c r="BW158" t="str">
        <f t="shared" si="204"/>
        <v/>
      </c>
      <c r="BX158" t="str">
        <f t="shared" si="205"/>
        <v/>
      </c>
      <c r="BY158" t="str">
        <f t="shared" si="206"/>
        <v/>
      </c>
      <c r="BZ158" t="str">
        <f t="shared" si="207"/>
        <v/>
      </c>
      <c r="CA158" t="str">
        <f t="shared" si="208"/>
        <v/>
      </c>
      <c r="CB158" t="str">
        <f t="shared" si="223"/>
        <v/>
      </c>
      <c r="CC158" t="str">
        <f t="shared" si="224"/>
        <v/>
      </c>
      <c r="CD158" t="str">
        <f t="shared" si="225"/>
        <v/>
      </c>
      <c r="CE158" t="str">
        <f t="shared" si="226"/>
        <v/>
      </c>
      <c r="CF158" t="str">
        <f t="shared" si="227"/>
        <v/>
      </c>
      <c r="CG158" t="str">
        <f t="shared" si="228"/>
        <v/>
      </c>
      <c r="CH158" t="str">
        <f t="shared" si="229"/>
        <v/>
      </c>
      <c r="CI158" t="str">
        <f t="shared" si="230"/>
        <v/>
      </c>
      <c r="CJ158" t="str">
        <f t="shared" si="231"/>
        <v/>
      </c>
      <c r="CK158" t="str">
        <f t="shared" si="232"/>
        <v/>
      </c>
      <c r="CL158" t="str">
        <f t="shared" si="233"/>
        <v/>
      </c>
      <c r="CM158" t="str">
        <f t="shared" si="234"/>
        <v/>
      </c>
      <c r="CN158" t="str">
        <f t="shared" si="235"/>
        <v/>
      </c>
      <c r="CO158" t="str">
        <f t="shared" si="236"/>
        <v/>
      </c>
      <c r="CP158" t="str">
        <f t="shared" si="237"/>
        <v/>
      </c>
      <c r="CQ158" t="str">
        <f t="shared" si="238"/>
        <v/>
      </c>
      <c r="CR158" t="str">
        <f t="shared" si="239"/>
        <v/>
      </c>
      <c r="CS158" t="str">
        <f t="shared" si="240"/>
        <v/>
      </c>
      <c r="CT158" t="str">
        <f t="shared" si="241"/>
        <v/>
      </c>
      <c r="CU158" t="str">
        <f t="shared" si="242"/>
        <v/>
      </c>
      <c r="CV158" t="str">
        <f t="shared" si="243"/>
        <v/>
      </c>
      <c r="CW158" t="str">
        <f t="shared" si="244"/>
        <v/>
      </c>
      <c r="CX158" t="str">
        <f t="shared" si="245"/>
        <v/>
      </c>
      <c r="CY158">
        <f t="shared" si="246"/>
        <v>0</v>
      </c>
      <c r="CZ158" t="str">
        <f t="shared" si="247"/>
        <v/>
      </c>
      <c r="DA158"/>
      <c r="DB158"/>
      <c r="DC158"/>
      <c r="DD158"/>
      <c r="DE158"/>
      <c r="DF158"/>
      <c r="DG158"/>
      <c r="DH158"/>
      <c r="DI158" t="str">
        <f t="shared" si="248"/>
        <v/>
      </c>
      <c r="DJ158">
        <f t="shared" si="249"/>
        <v>0</v>
      </c>
      <c r="DK158">
        <f t="shared" si="250"/>
        <v>0</v>
      </c>
      <c r="DL158">
        <f t="shared" si="251"/>
        <v>0</v>
      </c>
      <c r="DM158">
        <f t="shared" si="252"/>
        <v>0</v>
      </c>
      <c r="DN158">
        <f t="shared" si="253"/>
        <v>0</v>
      </c>
      <c r="DO158">
        <f t="shared" si="254"/>
        <v>0</v>
      </c>
      <c r="DP158">
        <f t="shared" si="255"/>
        <v>0</v>
      </c>
      <c r="DQ158">
        <f t="shared" si="256"/>
        <v>0</v>
      </c>
      <c r="DR158">
        <f t="shared" si="257"/>
        <v>0</v>
      </c>
      <c r="DS158">
        <f t="shared" si="258"/>
        <v>0</v>
      </c>
      <c r="DT158">
        <f t="shared" si="259"/>
        <v>0</v>
      </c>
      <c r="DU158">
        <f t="shared" si="260"/>
        <v>0</v>
      </c>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c r="IU158"/>
      <c r="IV158"/>
    </row>
    <row r="159" spans="1:256" s="1" customFormat="1" x14ac:dyDescent="0.2">
      <c r="A159"/>
      <c r="B159"/>
      <c r="C159"/>
      <c r="D159"/>
      <c r="P159"/>
      <c r="Q159"/>
      <c r="R159"/>
      <c r="S159"/>
      <c r="T159"/>
      <c r="U159"/>
      <c r="V159"/>
      <c r="W159"/>
      <c r="X159"/>
      <c r="Y159"/>
      <c r="Z159"/>
      <c r="AA159"/>
      <c r="AB159"/>
      <c r="AC159"/>
      <c r="AD159"/>
      <c r="AE159"/>
      <c r="AF159"/>
      <c r="AG159"/>
      <c r="AH159"/>
      <c r="AI159"/>
      <c r="AJ159"/>
      <c r="AK159"/>
      <c r="AL159"/>
      <c r="AM159"/>
      <c r="AN159"/>
      <c r="AO159">
        <v>40</v>
      </c>
      <c r="AP159" t="str">
        <f t="shared" si="211"/>
        <v/>
      </c>
      <c r="AQ159" t="str">
        <f t="shared" si="212"/>
        <v/>
      </c>
      <c r="AR159" t="str">
        <f t="shared" si="213"/>
        <v/>
      </c>
      <c r="AS159"/>
      <c r="AT159"/>
      <c r="AU159"/>
      <c r="AV159"/>
      <c r="AW159"/>
      <c r="AX159">
        <f t="shared" si="214"/>
        <v>0</v>
      </c>
      <c r="AY159">
        <f t="shared" si="215"/>
        <v>0</v>
      </c>
      <c r="AZ159">
        <f t="shared" si="216"/>
        <v>0</v>
      </c>
      <c r="BA159">
        <f t="shared" si="217"/>
        <v>0</v>
      </c>
      <c r="BB159">
        <f t="shared" si="218"/>
        <v>0</v>
      </c>
      <c r="BC159">
        <f t="shared" si="219"/>
        <v>0</v>
      </c>
      <c r="BD159">
        <f t="shared" si="220"/>
        <v>0</v>
      </c>
      <c r="BE159">
        <f t="shared" si="221"/>
        <v>0</v>
      </c>
      <c r="BF159" t="str">
        <f t="shared" si="222"/>
        <v/>
      </c>
      <c r="BG159" t="str">
        <f t="shared" si="187"/>
        <v/>
      </c>
      <c r="BH159" t="str">
        <f t="shared" si="189"/>
        <v/>
      </c>
      <c r="BI159" t="str">
        <f t="shared" si="190"/>
        <v/>
      </c>
      <c r="BJ159" t="str">
        <f t="shared" si="191"/>
        <v/>
      </c>
      <c r="BK159" t="str">
        <f t="shared" si="192"/>
        <v/>
      </c>
      <c r="BL159" t="str">
        <f t="shared" si="193"/>
        <v/>
      </c>
      <c r="BM159" t="str">
        <f t="shared" si="194"/>
        <v/>
      </c>
      <c r="BN159" t="str">
        <f t="shared" si="195"/>
        <v/>
      </c>
      <c r="BO159" t="str">
        <f t="shared" si="196"/>
        <v/>
      </c>
      <c r="BP159" t="str">
        <f t="shared" si="197"/>
        <v/>
      </c>
      <c r="BQ159" t="str">
        <f t="shared" si="198"/>
        <v/>
      </c>
      <c r="BR159" t="str">
        <f t="shared" si="199"/>
        <v/>
      </c>
      <c r="BS159" t="str">
        <f t="shared" si="200"/>
        <v/>
      </c>
      <c r="BT159" t="str">
        <f t="shared" si="201"/>
        <v/>
      </c>
      <c r="BU159" t="str">
        <f t="shared" si="202"/>
        <v/>
      </c>
      <c r="BV159" t="str">
        <f t="shared" si="203"/>
        <v/>
      </c>
      <c r="BW159" t="str">
        <f t="shared" si="204"/>
        <v/>
      </c>
      <c r="BX159" t="str">
        <f t="shared" si="205"/>
        <v/>
      </c>
      <c r="BY159" t="str">
        <f t="shared" si="206"/>
        <v/>
      </c>
      <c r="BZ159" t="str">
        <f t="shared" si="207"/>
        <v/>
      </c>
      <c r="CA159" t="str">
        <f t="shared" si="208"/>
        <v/>
      </c>
      <c r="CB159" t="str">
        <f t="shared" si="223"/>
        <v/>
      </c>
      <c r="CC159" t="str">
        <f t="shared" si="224"/>
        <v/>
      </c>
      <c r="CD159" t="str">
        <f t="shared" si="225"/>
        <v/>
      </c>
      <c r="CE159" t="str">
        <f t="shared" si="226"/>
        <v/>
      </c>
      <c r="CF159" t="str">
        <f t="shared" si="227"/>
        <v/>
      </c>
      <c r="CG159" t="str">
        <f t="shared" si="228"/>
        <v/>
      </c>
      <c r="CH159" t="str">
        <f t="shared" si="229"/>
        <v/>
      </c>
      <c r="CI159" t="str">
        <f t="shared" si="230"/>
        <v/>
      </c>
      <c r="CJ159" t="str">
        <f t="shared" si="231"/>
        <v/>
      </c>
      <c r="CK159" t="str">
        <f t="shared" si="232"/>
        <v/>
      </c>
      <c r="CL159" t="str">
        <f t="shared" si="233"/>
        <v/>
      </c>
      <c r="CM159" t="str">
        <f t="shared" si="234"/>
        <v/>
      </c>
      <c r="CN159" t="str">
        <f t="shared" si="235"/>
        <v/>
      </c>
      <c r="CO159" t="str">
        <f t="shared" si="236"/>
        <v/>
      </c>
      <c r="CP159" t="str">
        <f t="shared" si="237"/>
        <v/>
      </c>
      <c r="CQ159" t="str">
        <f t="shared" si="238"/>
        <v/>
      </c>
      <c r="CR159" t="str">
        <f t="shared" si="239"/>
        <v/>
      </c>
      <c r="CS159" t="str">
        <f t="shared" si="240"/>
        <v/>
      </c>
      <c r="CT159" t="str">
        <f t="shared" si="241"/>
        <v/>
      </c>
      <c r="CU159" t="str">
        <f t="shared" si="242"/>
        <v/>
      </c>
      <c r="CV159" t="str">
        <f t="shared" si="243"/>
        <v/>
      </c>
      <c r="CW159" t="str">
        <f t="shared" si="244"/>
        <v/>
      </c>
      <c r="CX159" t="str">
        <f t="shared" si="245"/>
        <v/>
      </c>
      <c r="CY159">
        <f t="shared" si="246"/>
        <v>0</v>
      </c>
      <c r="CZ159" t="str">
        <f t="shared" si="247"/>
        <v/>
      </c>
      <c r="DA159"/>
      <c r="DB159"/>
      <c r="DC159"/>
      <c r="DD159"/>
      <c r="DE159"/>
      <c r="DF159"/>
      <c r="DG159"/>
      <c r="DH159"/>
      <c r="DI159" t="str">
        <f t="shared" si="248"/>
        <v/>
      </c>
      <c r="DJ159">
        <f t="shared" si="249"/>
        <v>0</v>
      </c>
      <c r="DK159">
        <f t="shared" si="250"/>
        <v>0</v>
      </c>
      <c r="DL159">
        <f t="shared" si="251"/>
        <v>0</v>
      </c>
      <c r="DM159">
        <f t="shared" si="252"/>
        <v>0</v>
      </c>
      <c r="DN159">
        <f t="shared" si="253"/>
        <v>0</v>
      </c>
      <c r="DO159">
        <f t="shared" si="254"/>
        <v>0</v>
      </c>
      <c r="DP159">
        <f t="shared" si="255"/>
        <v>0</v>
      </c>
      <c r="DQ159">
        <f t="shared" si="256"/>
        <v>0</v>
      </c>
      <c r="DR159">
        <f t="shared" si="257"/>
        <v>0</v>
      </c>
      <c r="DS159">
        <f t="shared" si="258"/>
        <v>0</v>
      </c>
      <c r="DT159">
        <f t="shared" si="259"/>
        <v>0</v>
      </c>
      <c r="DU159">
        <f t="shared" si="260"/>
        <v>0</v>
      </c>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c r="IU159"/>
      <c r="IV159"/>
    </row>
    <row r="160" spans="1:256" s="1" customFormat="1" x14ac:dyDescent="0.2">
      <c r="A160"/>
      <c r="B160"/>
      <c r="C160"/>
      <c r="D160"/>
      <c r="P160"/>
      <c r="Q160"/>
      <c r="R160"/>
      <c r="S160"/>
      <c r="T160"/>
      <c r="U160"/>
      <c r="V160"/>
      <c r="W160"/>
      <c r="X160"/>
      <c r="Y160"/>
      <c r="Z160"/>
      <c r="AA160"/>
      <c r="AB160"/>
      <c r="AC160"/>
      <c r="AD160"/>
      <c r="AE160"/>
      <c r="AF160"/>
      <c r="AG160"/>
      <c r="AH160"/>
      <c r="AI160"/>
      <c r="AJ160"/>
      <c r="AK160"/>
      <c r="AL160"/>
      <c r="AM160"/>
      <c r="AN160"/>
      <c r="AO160">
        <v>41</v>
      </c>
      <c r="AP160" t="str">
        <f t="shared" si="211"/>
        <v/>
      </c>
      <c r="AQ160" t="str">
        <f t="shared" si="212"/>
        <v/>
      </c>
      <c r="AR160" t="str">
        <f t="shared" si="213"/>
        <v/>
      </c>
      <c r="AS160"/>
      <c r="AT160"/>
      <c r="AU160"/>
      <c r="AV160"/>
      <c r="AW160"/>
      <c r="AX160">
        <f t="shared" si="214"/>
        <v>0</v>
      </c>
      <c r="AY160">
        <f t="shared" si="215"/>
        <v>0</v>
      </c>
      <c r="AZ160">
        <f t="shared" si="216"/>
        <v>0</v>
      </c>
      <c r="BA160">
        <f t="shared" si="217"/>
        <v>0</v>
      </c>
      <c r="BB160">
        <f t="shared" si="218"/>
        <v>0</v>
      </c>
      <c r="BC160">
        <f t="shared" si="219"/>
        <v>0</v>
      </c>
      <c r="BD160">
        <f t="shared" si="220"/>
        <v>0</v>
      </c>
      <c r="BE160">
        <f t="shared" si="221"/>
        <v>0</v>
      </c>
      <c r="BF160" t="str">
        <f t="shared" si="222"/>
        <v/>
      </c>
      <c r="BG160" t="str">
        <f t="shared" si="187"/>
        <v/>
      </c>
      <c r="BH160" t="str">
        <f t="shared" si="189"/>
        <v/>
      </c>
      <c r="BI160" t="str">
        <f t="shared" si="190"/>
        <v/>
      </c>
      <c r="BJ160" t="str">
        <f t="shared" si="191"/>
        <v/>
      </c>
      <c r="BK160" t="str">
        <f t="shared" si="192"/>
        <v/>
      </c>
      <c r="BL160" t="str">
        <f t="shared" si="193"/>
        <v/>
      </c>
      <c r="BM160" t="str">
        <f t="shared" si="194"/>
        <v/>
      </c>
      <c r="BN160" t="str">
        <f t="shared" si="195"/>
        <v/>
      </c>
      <c r="BO160" t="str">
        <f t="shared" si="196"/>
        <v/>
      </c>
      <c r="BP160" t="str">
        <f t="shared" si="197"/>
        <v/>
      </c>
      <c r="BQ160" t="str">
        <f t="shared" si="198"/>
        <v/>
      </c>
      <c r="BR160" t="str">
        <f t="shared" si="199"/>
        <v/>
      </c>
      <c r="BS160" t="str">
        <f t="shared" si="200"/>
        <v/>
      </c>
      <c r="BT160" t="str">
        <f t="shared" si="201"/>
        <v/>
      </c>
      <c r="BU160" t="str">
        <f t="shared" si="202"/>
        <v/>
      </c>
      <c r="BV160" t="str">
        <f t="shared" si="203"/>
        <v/>
      </c>
      <c r="BW160" t="str">
        <f t="shared" si="204"/>
        <v/>
      </c>
      <c r="BX160" t="str">
        <f t="shared" si="205"/>
        <v/>
      </c>
      <c r="BY160" t="str">
        <f t="shared" si="206"/>
        <v/>
      </c>
      <c r="BZ160" t="str">
        <f t="shared" si="207"/>
        <v/>
      </c>
      <c r="CA160" t="str">
        <f t="shared" si="208"/>
        <v/>
      </c>
      <c r="CB160" t="str">
        <f t="shared" si="223"/>
        <v/>
      </c>
      <c r="CC160" t="str">
        <f t="shared" si="224"/>
        <v/>
      </c>
      <c r="CD160" t="str">
        <f t="shared" si="225"/>
        <v/>
      </c>
      <c r="CE160" t="str">
        <f t="shared" si="226"/>
        <v/>
      </c>
      <c r="CF160" t="str">
        <f t="shared" si="227"/>
        <v/>
      </c>
      <c r="CG160" t="str">
        <f t="shared" si="228"/>
        <v/>
      </c>
      <c r="CH160" t="str">
        <f t="shared" si="229"/>
        <v/>
      </c>
      <c r="CI160" t="str">
        <f t="shared" si="230"/>
        <v/>
      </c>
      <c r="CJ160" t="str">
        <f t="shared" si="231"/>
        <v/>
      </c>
      <c r="CK160" t="str">
        <f t="shared" si="232"/>
        <v/>
      </c>
      <c r="CL160" t="str">
        <f t="shared" si="233"/>
        <v/>
      </c>
      <c r="CM160" t="str">
        <f t="shared" si="234"/>
        <v/>
      </c>
      <c r="CN160" t="str">
        <f t="shared" si="235"/>
        <v/>
      </c>
      <c r="CO160" t="str">
        <f t="shared" si="236"/>
        <v/>
      </c>
      <c r="CP160" t="str">
        <f t="shared" si="237"/>
        <v/>
      </c>
      <c r="CQ160" t="str">
        <f t="shared" si="238"/>
        <v/>
      </c>
      <c r="CR160" t="str">
        <f t="shared" si="239"/>
        <v/>
      </c>
      <c r="CS160" t="str">
        <f t="shared" si="240"/>
        <v/>
      </c>
      <c r="CT160" t="str">
        <f t="shared" si="241"/>
        <v/>
      </c>
      <c r="CU160" t="str">
        <f t="shared" si="242"/>
        <v/>
      </c>
      <c r="CV160" t="str">
        <f t="shared" si="243"/>
        <v/>
      </c>
      <c r="CW160" t="str">
        <f t="shared" si="244"/>
        <v/>
      </c>
      <c r="CX160" t="str">
        <f t="shared" si="245"/>
        <v/>
      </c>
      <c r="CY160">
        <f t="shared" si="246"/>
        <v>0</v>
      </c>
      <c r="CZ160" t="str">
        <f t="shared" si="247"/>
        <v/>
      </c>
      <c r="DA160"/>
      <c r="DB160"/>
      <c r="DC160"/>
      <c r="DD160"/>
      <c r="DE160"/>
      <c r="DF160"/>
      <c r="DG160"/>
      <c r="DH160"/>
      <c r="DI160" t="str">
        <f t="shared" si="248"/>
        <v/>
      </c>
      <c r="DJ160">
        <f t="shared" si="249"/>
        <v>0</v>
      </c>
      <c r="DK160">
        <f t="shared" si="250"/>
        <v>0</v>
      </c>
      <c r="DL160">
        <f t="shared" si="251"/>
        <v>0</v>
      </c>
      <c r="DM160">
        <f t="shared" si="252"/>
        <v>0</v>
      </c>
      <c r="DN160">
        <f t="shared" si="253"/>
        <v>0</v>
      </c>
      <c r="DO160">
        <f t="shared" si="254"/>
        <v>0</v>
      </c>
      <c r="DP160">
        <f t="shared" si="255"/>
        <v>0</v>
      </c>
      <c r="DQ160">
        <f t="shared" si="256"/>
        <v>0</v>
      </c>
      <c r="DR160">
        <f t="shared" si="257"/>
        <v>0</v>
      </c>
      <c r="DS160">
        <f t="shared" si="258"/>
        <v>0</v>
      </c>
      <c r="DT160">
        <f t="shared" si="259"/>
        <v>0</v>
      </c>
      <c r="DU160">
        <f t="shared" si="260"/>
        <v>0</v>
      </c>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c r="IU160"/>
      <c r="IV160"/>
    </row>
    <row r="161" spans="1:256" s="1" customFormat="1" x14ac:dyDescent="0.2">
      <c r="A161"/>
      <c r="B161"/>
      <c r="C161"/>
      <c r="D161"/>
      <c r="P161"/>
      <c r="Q161"/>
      <c r="R161"/>
      <c r="S161"/>
      <c r="T161"/>
      <c r="U161"/>
      <c r="V161"/>
      <c r="W161"/>
      <c r="X161"/>
      <c r="Y161"/>
      <c r="Z161"/>
      <c r="AA161"/>
      <c r="AB161"/>
      <c r="AC161"/>
      <c r="AD161"/>
      <c r="AE161"/>
      <c r="AF161"/>
      <c r="AG161"/>
      <c r="AH161"/>
      <c r="AI161"/>
      <c r="AJ161"/>
      <c r="AK161"/>
      <c r="AL161"/>
      <c r="AM161"/>
      <c r="AN161"/>
      <c r="AO161"/>
      <c r="AP161">
        <f>CV161</f>
        <v>0</v>
      </c>
      <c r="AQ161">
        <f>CW161</f>
        <v>0</v>
      </c>
      <c r="AR161">
        <f>CX161</f>
        <v>0</v>
      </c>
      <c r="AS161"/>
      <c r="AT161"/>
      <c r="AU161"/>
      <c r="AV161"/>
      <c r="AW161"/>
      <c r="AX161"/>
      <c r="AY161"/>
      <c r="AZ161"/>
      <c r="BA161"/>
      <c r="BB161"/>
      <c r="BC161"/>
      <c r="BD161">
        <f>BD120</f>
        <v>0</v>
      </c>
      <c r="BE161"/>
      <c r="BF161" t="s">
        <v>61</v>
      </c>
      <c r="BG161"/>
      <c r="BH161" t="str">
        <f t="shared" ref="BH161:CA161" si="261">IF(BG120="","",IF(BG120="f",IF(BH120="r",0,IF(BH120="",0,1)),
IF(BG120="r",1,
IF(BG120="l",IF(BH120="l",1,0)))))</f>
        <v/>
      </c>
      <c r="BI161" t="str">
        <f t="shared" si="261"/>
        <v/>
      </c>
      <c r="BJ161" t="str">
        <f t="shared" si="261"/>
        <v/>
      </c>
      <c r="BK161" t="str">
        <f t="shared" si="261"/>
        <v/>
      </c>
      <c r="BL161" t="str">
        <f t="shared" si="261"/>
        <v/>
      </c>
      <c r="BM161" t="str">
        <f t="shared" si="261"/>
        <v/>
      </c>
      <c r="BN161" t="str">
        <f t="shared" si="261"/>
        <v/>
      </c>
      <c r="BO161" t="str">
        <f t="shared" si="261"/>
        <v/>
      </c>
      <c r="BP161" t="str">
        <f t="shared" si="261"/>
        <v/>
      </c>
      <c r="BQ161" t="str">
        <f t="shared" si="261"/>
        <v/>
      </c>
      <c r="BR161" t="str">
        <f t="shared" si="261"/>
        <v/>
      </c>
      <c r="BS161" t="str">
        <f t="shared" si="261"/>
        <v/>
      </c>
      <c r="BT161" t="str">
        <f t="shared" si="261"/>
        <v/>
      </c>
      <c r="BU161" t="str">
        <f t="shared" si="261"/>
        <v/>
      </c>
      <c r="BV161" t="str">
        <f t="shared" si="261"/>
        <v/>
      </c>
      <c r="BW161" t="str">
        <f t="shared" si="261"/>
        <v/>
      </c>
      <c r="BX161" t="str">
        <f t="shared" si="261"/>
        <v/>
      </c>
      <c r="BY161" t="str">
        <f t="shared" si="261"/>
        <v/>
      </c>
      <c r="BZ161" t="str">
        <f t="shared" si="261"/>
        <v/>
      </c>
      <c r="CA161" t="str">
        <f t="shared" si="261"/>
        <v/>
      </c>
      <c r="CB161" t="str">
        <f>MID($BF161,20,1)</f>
        <v/>
      </c>
      <c r="CC161">
        <f>SUM(BG161:CB161)+BD161</f>
        <v>0</v>
      </c>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c r="IU161"/>
      <c r="IV161"/>
    </row>
    <row r="162" spans="1:256" s="1" customFormat="1" x14ac:dyDescent="0.2">
      <c r="A162"/>
      <c r="B162"/>
      <c r="C162"/>
      <c r="D162"/>
      <c r="P162"/>
      <c r="Q162"/>
      <c r="R162"/>
      <c r="S162"/>
      <c r="T162"/>
      <c r="U162"/>
      <c r="V162"/>
      <c r="W162"/>
      <c r="X162"/>
      <c r="Y162"/>
      <c r="Z162"/>
      <c r="AA162"/>
      <c r="AB162"/>
      <c r="AC162"/>
      <c r="AD162"/>
      <c r="AE162"/>
      <c r="AF162"/>
      <c r="AG162"/>
      <c r="AH162"/>
      <c r="AI162"/>
      <c r="AJ162"/>
      <c r="AK162"/>
      <c r="AL162"/>
      <c r="AM162"/>
      <c r="AN162"/>
      <c r="AO162"/>
      <c r="AP162">
        <f>CV162</f>
        <v>0</v>
      </c>
      <c r="AQ162">
        <f>CW162</f>
        <v>0</v>
      </c>
      <c r="AR162"/>
      <c r="AS162"/>
      <c r="AT162"/>
      <c r="AU162"/>
      <c r="AV162"/>
      <c r="AW162"/>
      <c r="AX162"/>
      <c r="AY162"/>
      <c r="AZ162"/>
      <c r="BA162"/>
      <c r="BB162"/>
      <c r="BC162"/>
      <c r="BD162">
        <f>BD121</f>
        <v>0</v>
      </c>
      <c r="BE162"/>
      <c r="BF162">
        <f>Q74</f>
        <v>0</v>
      </c>
      <c r="BG162"/>
      <c r="BH162" t="str">
        <f t="shared" ref="BH162:CA162" si="262">IF(BG121="","",IF(BG121="f",IF(BH121="r",0,IF(BH121="",0,1)),
IF(BG121="r",1,
IF(BG121="l",IF(BH121="l",1,0)))))</f>
        <v/>
      </c>
      <c r="BI162" t="str">
        <f t="shared" si="262"/>
        <v/>
      </c>
      <c r="BJ162" t="str">
        <f t="shared" si="262"/>
        <v/>
      </c>
      <c r="BK162" t="str">
        <f t="shared" si="262"/>
        <v/>
      </c>
      <c r="BL162" t="str">
        <f t="shared" si="262"/>
        <v/>
      </c>
      <c r="BM162" t="str">
        <f t="shared" si="262"/>
        <v/>
      </c>
      <c r="BN162" t="str">
        <f t="shared" si="262"/>
        <v/>
      </c>
      <c r="BO162" t="str">
        <f t="shared" si="262"/>
        <v/>
      </c>
      <c r="BP162" t="str">
        <f t="shared" si="262"/>
        <v/>
      </c>
      <c r="BQ162" t="str">
        <f t="shared" si="262"/>
        <v/>
      </c>
      <c r="BR162" t="str">
        <f t="shared" si="262"/>
        <v/>
      </c>
      <c r="BS162" t="str">
        <f t="shared" si="262"/>
        <v/>
      </c>
      <c r="BT162" t="str">
        <f t="shared" si="262"/>
        <v/>
      </c>
      <c r="BU162" t="str">
        <f t="shared" si="262"/>
        <v/>
      </c>
      <c r="BV162" t="str">
        <f t="shared" si="262"/>
        <v/>
      </c>
      <c r="BW162" t="str">
        <f t="shared" si="262"/>
        <v/>
      </c>
      <c r="BX162" t="str">
        <f t="shared" si="262"/>
        <v/>
      </c>
      <c r="BY162" t="str">
        <f t="shared" si="262"/>
        <v/>
      </c>
      <c r="BZ162" t="str">
        <f t="shared" si="262"/>
        <v/>
      </c>
      <c r="CA162" t="str">
        <f t="shared" si="262"/>
        <v/>
      </c>
      <c r="CB162" t="str">
        <f>MID($BF162,20,1)</f>
        <v/>
      </c>
      <c r="CC162">
        <f>SUM(BG162:CB162)+BD162</f>
        <v>0</v>
      </c>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t="s">
        <v>374</v>
      </c>
      <c r="EA162"/>
      <c r="EB162">
        <f>DR79</f>
        <v>0</v>
      </c>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c r="IU162"/>
      <c r="IV162"/>
    </row>
    <row r="163" spans="1:256" s="1" customFormat="1"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f>BD122</f>
        <v>0</v>
      </c>
      <c r="BE163"/>
      <c r="BF163">
        <f>Q75</f>
        <v>0</v>
      </c>
      <c r="BG163"/>
      <c r="BH163" t="str">
        <f t="shared" ref="BH163:CA163" si="263">IF(BG122="","",IF(BG122="f",IF(BH122="r",0,IF(BH122="",0,1)),
IF(BG122="r",1,
IF(BG122="l",IF(BH122="l",1,0)))))</f>
        <v/>
      </c>
      <c r="BI163" t="str">
        <f t="shared" si="263"/>
        <v/>
      </c>
      <c r="BJ163" t="str">
        <f t="shared" si="263"/>
        <v/>
      </c>
      <c r="BK163" t="str">
        <f t="shared" si="263"/>
        <v/>
      </c>
      <c r="BL163" t="str">
        <f t="shared" si="263"/>
        <v/>
      </c>
      <c r="BM163" t="str">
        <f t="shared" si="263"/>
        <v/>
      </c>
      <c r="BN163" t="str">
        <f t="shared" si="263"/>
        <v/>
      </c>
      <c r="BO163" t="str">
        <f t="shared" si="263"/>
        <v/>
      </c>
      <c r="BP163" t="str">
        <f t="shared" si="263"/>
        <v/>
      </c>
      <c r="BQ163" t="str">
        <f t="shared" si="263"/>
        <v/>
      </c>
      <c r="BR163" t="str">
        <f t="shared" si="263"/>
        <v/>
      </c>
      <c r="BS163" t="str">
        <f t="shared" si="263"/>
        <v/>
      </c>
      <c r="BT163" t="str">
        <f t="shared" si="263"/>
        <v/>
      </c>
      <c r="BU163" t="str">
        <f t="shared" si="263"/>
        <v/>
      </c>
      <c r="BV163" t="str">
        <f t="shared" si="263"/>
        <v/>
      </c>
      <c r="BW163" t="str">
        <f t="shared" si="263"/>
        <v/>
      </c>
      <c r="BX163" t="str">
        <f t="shared" si="263"/>
        <v/>
      </c>
      <c r="BY163" t="str">
        <f t="shared" si="263"/>
        <v/>
      </c>
      <c r="BZ163" t="str">
        <f t="shared" si="263"/>
        <v/>
      </c>
      <c r="CA163" t="str">
        <f t="shared" si="263"/>
        <v/>
      </c>
      <c r="CB163" t="str">
        <f>MID($BF163,20,1)</f>
        <v/>
      </c>
      <c r="CC163">
        <f>SUM(BG163:CB163)+BD163</f>
        <v>0</v>
      </c>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f>DU69</f>
        <v>0</v>
      </c>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c r="IU163"/>
      <c r="IV163"/>
    </row>
    <row r="164" spans="1:256" s="1" customFormat="1"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f>BD123</f>
        <v>0</v>
      </c>
      <c r="BE164"/>
      <c r="BF164">
        <f>Q76</f>
        <v>0</v>
      </c>
      <c r="BG164"/>
      <c r="BH164" t="str">
        <f t="shared" ref="BH164:CA164" si="264">IF(BG123="","",IF(BG123="f",IF(BH123="r",0,IF(BH123="",0,1)),
IF(BG123="r",1,
IF(BG123="l",IF(BH123="l",1,0)))))</f>
        <v/>
      </c>
      <c r="BI164" t="str">
        <f t="shared" si="264"/>
        <v/>
      </c>
      <c r="BJ164" t="str">
        <f t="shared" si="264"/>
        <v/>
      </c>
      <c r="BK164" t="str">
        <f t="shared" si="264"/>
        <v/>
      </c>
      <c r="BL164" t="str">
        <f t="shared" si="264"/>
        <v/>
      </c>
      <c r="BM164" t="str">
        <f t="shared" si="264"/>
        <v/>
      </c>
      <c r="BN164" t="str">
        <f t="shared" si="264"/>
        <v/>
      </c>
      <c r="BO164" t="str">
        <f t="shared" si="264"/>
        <v/>
      </c>
      <c r="BP164" t="str">
        <f t="shared" si="264"/>
        <v/>
      </c>
      <c r="BQ164" t="str">
        <f t="shared" si="264"/>
        <v/>
      </c>
      <c r="BR164" t="str">
        <f t="shared" si="264"/>
        <v/>
      </c>
      <c r="BS164" t="str">
        <f t="shared" si="264"/>
        <v/>
      </c>
      <c r="BT164" t="str">
        <f t="shared" si="264"/>
        <v/>
      </c>
      <c r="BU164" t="str">
        <f t="shared" si="264"/>
        <v/>
      </c>
      <c r="BV164" t="str">
        <f t="shared" si="264"/>
        <v/>
      </c>
      <c r="BW164" t="str">
        <f t="shared" si="264"/>
        <v/>
      </c>
      <c r="BX164" t="str">
        <f t="shared" si="264"/>
        <v/>
      </c>
      <c r="BY164" t="str">
        <f t="shared" si="264"/>
        <v/>
      </c>
      <c r="BZ164" t="str">
        <f t="shared" si="264"/>
        <v/>
      </c>
      <c r="CA164" t="str">
        <f t="shared" si="264"/>
        <v/>
      </c>
      <c r="CB164" t="str">
        <f>MID($BF164,20,1)</f>
        <v/>
      </c>
      <c r="CC164">
        <f>SUM(BG164:CB164)+BD164</f>
        <v>0</v>
      </c>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f>$DR$59</f>
        <v>0</v>
      </c>
      <c r="DJ164">
        <f>$DR$60</f>
        <v>0</v>
      </c>
      <c r="DK164">
        <f>$DR$61</f>
        <v>0</v>
      </c>
      <c r="DL164">
        <f>$DR$62</f>
        <v>0</v>
      </c>
      <c r="DM164">
        <f>$DQ$80</f>
        <v>0</v>
      </c>
      <c r="DN164">
        <f>EA66</f>
        <v>0</v>
      </c>
      <c r="DO164">
        <f>CU104</f>
        <v>0</v>
      </c>
      <c r="DP164">
        <f>CU105</f>
        <v>0</v>
      </c>
      <c r="DQ164" t="s">
        <v>937</v>
      </c>
      <c r="DR164" t="s">
        <v>938</v>
      </c>
      <c r="DS164">
        <f>DT119</f>
        <v>0</v>
      </c>
      <c r="DT164">
        <f>DU119</f>
        <v>0</v>
      </c>
      <c r="DU164">
        <f>DW72</f>
        <v>0</v>
      </c>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c r="IU164"/>
      <c r="IV164"/>
    </row>
    <row r="165" spans="1:256" s="1" customFormat="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f t="shared" ref="BD165:BD201" si="265">BD124</f>
        <v>0</v>
      </c>
      <c r="BE165"/>
      <c r="BF165">
        <f t="shared" ref="BF165:BF201" si="266">Q77</f>
        <v>0</v>
      </c>
      <c r="BG165"/>
      <c r="BH165" t="str">
        <f t="shared" ref="BH165:CA165" si="267">IF(BG124="","",IF(BG124="f",IF(BH124="r",0,IF(BH124="",0,1)),
IF(BG124="r",1,
IF(BG124="l",IF(BH124="l",1,0)))))</f>
        <v/>
      </c>
      <c r="BI165" t="str">
        <f t="shared" si="267"/>
        <v/>
      </c>
      <c r="BJ165" t="str">
        <f t="shared" si="267"/>
        <v/>
      </c>
      <c r="BK165" t="str">
        <f t="shared" si="267"/>
        <v/>
      </c>
      <c r="BL165" t="str">
        <f t="shared" si="267"/>
        <v/>
      </c>
      <c r="BM165" t="str">
        <f t="shared" si="267"/>
        <v/>
      </c>
      <c r="BN165" t="str">
        <f t="shared" si="267"/>
        <v/>
      </c>
      <c r="BO165" t="str">
        <f t="shared" si="267"/>
        <v/>
      </c>
      <c r="BP165" t="str">
        <f t="shared" si="267"/>
        <v/>
      </c>
      <c r="BQ165" t="str">
        <f t="shared" si="267"/>
        <v/>
      </c>
      <c r="BR165" t="str">
        <f t="shared" si="267"/>
        <v/>
      </c>
      <c r="BS165" t="str">
        <f t="shared" si="267"/>
        <v/>
      </c>
      <c r="BT165" t="str">
        <f t="shared" si="267"/>
        <v/>
      </c>
      <c r="BU165" t="str">
        <f t="shared" si="267"/>
        <v/>
      </c>
      <c r="BV165" t="str">
        <f t="shared" si="267"/>
        <v/>
      </c>
      <c r="BW165" t="str">
        <f t="shared" si="267"/>
        <v/>
      </c>
      <c r="BX165" t="str">
        <f t="shared" si="267"/>
        <v/>
      </c>
      <c r="BY165" t="str">
        <f t="shared" si="267"/>
        <v/>
      </c>
      <c r="BZ165" t="str">
        <f t="shared" si="267"/>
        <v/>
      </c>
      <c r="CA165" t="str">
        <f t="shared" si="267"/>
        <v/>
      </c>
      <c r="CB165" t="str">
        <f t="shared" ref="CB165:CB201" si="268">MID($BF165,20,1)</f>
        <v/>
      </c>
      <c r="CC165">
        <f t="shared" ref="CC165:CC201" si="269">SUM(BG165:CB165)+BD165</f>
        <v>0</v>
      </c>
      <c r="CD165"/>
      <c r="CE165"/>
      <c r="CF165"/>
      <c r="CG165"/>
      <c r="CH165"/>
      <c r="CI165"/>
      <c r="CJ165"/>
      <c r="CK165"/>
      <c r="CL165"/>
      <c r="CM165"/>
      <c r="CN165"/>
      <c r="CO165"/>
      <c r="CP165"/>
      <c r="CQ165"/>
      <c r="CR165"/>
      <c r="CS165"/>
      <c r="CT165"/>
      <c r="CU165"/>
      <c r="CV165"/>
      <c r="CW165"/>
      <c r="CX165"/>
      <c r="CY165"/>
      <c r="CZ165"/>
      <c r="DA165"/>
      <c r="DB165"/>
      <c r="DC165"/>
      <c r="DD165"/>
      <c r="DE165"/>
      <c r="DF165"/>
      <c r="DG165" t="str">
        <f>IF(AO5=1,IF(J5="",$CV$49,J5),"")</f>
        <v/>
      </c>
      <c r="DH165" t="str">
        <f>IF(K5="","W",K5)</f>
        <v>W</v>
      </c>
      <c r="DI165" t="e">
        <f>IF(DH165=DI$51,HLOOKUP($DG165,$CV$49:$DH$84,3,FALSE),
IF(DH165=DI$56,HLOOKUP($DG165,$CV$49:$DH$84,8,FALSE),
IF(DH165=DI$61,HLOOKUP($DG165,$CV$49:$DH$84,13,FALSE),
IF(DH165=DI$66,HLOOKUP($DG165,$CV$49:$DH$84,18,FALSE),
IF(DH165=DI$71,HLOOKUP($DG165,$CV$49:$DH$84,23,FALSE),
IF(DH165=DI$76,HLOOKUP($DG165,$CV$49:$DH$84,28,FALSE),
IF(DH165=DI$81,HLOOKUP($DG165,$CV$49:$DH$84,33,FALSE),)))))))</f>
        <v>#N/A</v>
      </c>
      <c r="DJ165" t="e">
        <f>IF(DH165=DI$51,HLOOKUP($DG165,$CV$49:$DH$84,4,FALSE),
IF(DH165=DI$56,HLOOKUP($DG165,$CV$49:$DH$84,9,FALSE),
IF(DH165=DI$61,HLOOKUP($DG165,$CV$49:$DH$84,14,FALSE),
IF(DH165=DI$66,HLOOKUP($DG165,$CV$49:$DH$84,19,FALSE),
IF(DH165=DI$71,HLOOKUP($DG165,$CV$49:$DH$84,24,FALSE),
IF(DH165=DI$76,HLOOKUP($DG165,$CV$49:$DH$84,29,FALSE),
IF(DH165=DI$81,HLOOKUP($DG165,$CV$49:$DH$84,34,FALSE),)))))))</f>
        <v>#N/A</v>
      </c>
      <c r="DK165" t="e">
        <f>IF(DH165=DI$51,HLOOKUP($DG165,$CV$49:$DH$84,5,FALSE),
IF(DH165=DI$56,HLOOKUP($DG165,$CV$49:$DH$84,10,FALSE),
IF(DH165=DI$61,HLOOKUP($DG165,$CV$49:$DH$84,15,FALSE),
IF(DH165=DI$66,HLOOKUP($DG165,$CV$49:$DH$84,20,FALSE),
IF(DH165=DI$71,HLOOKUP($DG165,$CV$49:$DH$84,25,FALSE),
IF(DH165=DI$76,HLOOKUP($DG165,$CV$49:$DH$84,30,FALSE),
IF(DH165=DI$81,HLOOKUP($DG165,$CV$49:$DH$84,35,FALSE),)))))))</f>
        <v>#N/A</v>
      </c>
      <c r="DL165" t="e">
        <f>IF(DH165=DI$51,HLOOKUP($DG165,$CV$49:$DH$84,6,FALSE),
IF(DH165=DI$56,HLOOKUP($DG165,$CV$49:$DH$84,11,FALSE),
IF(DH165=DI$61,HLOOKUP($DG165,$CV$49:$DH$84,16,FALSE),
IF(DH165=DI$66,HLOOKUP($DG165,$CV$49:$DH$84,21,FALSE),
IF(DH165=DI$71,HLOOKUP($DG165,$CV$49:$DH$84,26,FALSE),
IF(DH165=DI$76,HLOOKUP($DG165,$CV$49:$DH$84,31,FALSE),
IF(DH165=DI$81,HLOOKUP($DG165,$CV$49:$DH$84,36,FALSE),)))))))</f>
        <v>#N/A</v>
      </c>
      <c r="DM165">
        <f>IFERROR(HLOOKUP($DG165,$CV$49:$DH$105,37,FALSE),)</f>
        <v>0</v>
      </c>
      <c r="DN165">
        <f>IF(DH165=$DI$51,$DI$52,
IF(DH165=$DI$56,DI$57,
IF(DH165=$DI$61,$DI$62,
IF(DH165=$DI$66,$DI$67,
IF(DH165=$DI$71,$DI$72,
IF(DH165=$DI$76,$DI$77,
IF(DH165=$DI$81,$DI$82,)))))))</f>
        <v>0</v>
      </c>
      <c r="DO165">
        <f>IFERROR(HLOOKUP($DG165,$CV$49:$DH$105,56,FALSE),)</f>
        <v>0</v>
      </c>
      <c r="DP165">
        <f>IFERROR(HLOOKUP($DG165,$CV$49:$DH$105,57,FALSE),)</f>
        <v>0</v>
      </c>
      <c r="DQ165">
        <f>IFERROR((DI120*DJ120*X5/1000000),)</f>
        <v>0</v>
      </c>
      <c r="DR165">
        <f>DN5-DQ165</f>
        <v>0</v>
      </c>
      <c r="DS165">
        <f>IFERROR(DQ165*DT120*(DL165+$DS$1),)</f>
        <v>0</v>
      </c>
      <c r="DT165">
        <f>IFERROR(DR165*DU120*(DL165+$DS$1),)</f>
        <v>0</v>
      </c>
      <c r="DU165">
        <f>IF(SUM(DS165:DT165)&lt;1,0,SUM(DS165:DT165))</f>
        <v>0</v>
      </c>
      <c r="DV165"/>
      <c r="DW165"/>
      <c r="DX165">
        <f>IF(H5=$CJ$73,$CJ$74,
IF(H5=$CK$73,$CK$74,
IF(H5=$CL$73,$CL$74,
IF(H5=$CM$73,$CM$74,
IF(H5=$CN$73,$CN$74,
IF(H5=$CO$73,$CO$74,
IF(H5=$CP$73,$CP$74,)))))))</f>
        <v>0</v>
      </c>
      <c r="DY165">
        <f>IF(J5=$CV$49,$CV$88,
IF(J5=$CW$49,$CW$88,
IF(J5=$CX$49,$CX$88,
IF(J5=$CY$49,$CY$88,
IF(J5=$CZ$49,$CZ$88,
IF(J5=$DA$49,$DA$88,
IF(J5=$DG$49,$DG$88,
IF(J5=$DH$49,$DH$88,))))))))</f>
        <v>0</v>
      </c>
      <c r="DZ165">
        <f>IF(K5=$DI$51,$DI$54,
IF(K5=$DI$56,$DI$59,
IF(K5=$DI$61,$DI$64,
IF(K5=$DI$66,$DI$69,
IF(K5=$DI$71,$DI$74,
IF(K5=$DI$76,$DI$79,
IF(K5=$DI$81,$DI$84,)))))))</f>
        <v>0</v>
      </c>
      <c r="EA165" t="str">
        <f>IF(DY165=0,IF(DZ165=0,"","nein"),"nein")</f>
        <v/>
      </c>
      <c r="EB165">
        <f>IF(DG165=$CV$49,$CV$87,
IF(DG165=$CW$49,$CW$87,
IF(DG165=$CX$49,$CX$87,
IF(DG165=$CY$49,$CY$87,
IF(DG165=$CZ$49,$CZ$87,
IF(DG165=$DA$49,$DA$87,
IF(DG165=$DG$49,$DG$87,
IF(DG165=$DH$49,$DH$87,))))))))</f>
        <v>0</v>
      </c>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c r="IU165"/>
      <c r="IV165"/>
    </row>
    <row r="166" spans="1:256" s="1" customFormat="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f t="shared" si="265"/>
        <v>0</v>
      </c>
      <c r="BE166"/>
      <c r="BF166">
        <f t="shared" si="266"/>
        <v>0</v>
      </c>
      <c r="BG166"/>
      <c r="BH166" t="str">
        <f t="shared" ref="BH166:CA166" si="270">IF(BG125="","",IF(BG125="f",IF(BH125="r",0,IF(BH125="",0,1)),
IF(BG125="r",1,
IF(BG125="l",IF(BH125="l",1,0)))))</f>
        <v/>
      </c>
      <c r="BI166" t="str">
        <f t="shared" si="270"/>
        <v/>
      </c>
      <c r="BJ166" t="str">
        <f t="shared" si="270"/>
        <v/>
      </c>
      <c r="BK166" t="str">
        <f t="shared" si="270"/>
        <v/>
      </c>
      <c r="BL166" t="str">
        <f t="shared" si="270"/>
        <v/>
      </c>
      <c r="BM166" t="str">
        <f t="shared" si="270"/>
        <v/>
      </c>
      <c r="BN166" t="str">
        <f t="shared" si="270"/>
        <v/>
      </c>
      <c r="BO166" t="str">
        <f t="shared" si="270"/>
        <v/>
      </c>
      <c r="BP166" t="str">
        <f t="shared" si="270"/>
        <v/>
      </c>
      <c r="BQ166" t="str">
        <f t="shared" si="270"/>
        <v/>
      </c>
      <c r="BR166" t="str">
        <f t="shared" si="270"/>
        <v/>
      </c>
      <c r="BS166" t="str">
        <f t="shared" si="270"/>
        <v/>
      </c>
      <c r="BT166" t="str">
        <f t="shared" si="270"/>
        <v/>
      </c>
      <c r="BU166" t="str">
        <f t="shared" si="270"/>
        <v/>
      </c>
      <c r="BV166" t="str">
        <f t="shared" si="270"/>
        <v/>
      </c>
      <c r="BW166" t="str">
        <f t="shared" si="270"/>
        <v/>
      </c>
      <c r="BX166" t="str">
        <f t="shared" si="270"/>
        <v/>
      </c>
      <c r="BY166" t="str">
        <f t="shared" si="270"/>
        <v/>
      </c>
      <c r="BZ166" t="str">
        <f t="shared" si="270"/>
        <v/>
      </c>
      <c r="CA166" t="str">
        <f t="shared" si="270"/>
        <v/>
      </c>
      <c r="CB166" t="str">
        <f t="shared" si="268"/>
        <v/>
      </c>
      <c r="CC166">
        <f t="shared" si="269"/>
        <v>0</v>
      </c>
      <c r="CD166"/>
      <c r="CE166"/>
      <c r="CF166"/>
      <c r="CG166"/>
      <c r="CH166"/>
      <c r="CI166"/>
      <c r="CJ166"/>
      <c r="CK166"/>
      <c r="CL166"/>
      <c r="CM166"/>
      <c r="CN166"/>
      <c r="CO166"/>
      <c r="CP166"/>
      <c r="CQ166"/>
      <c r="CR166"/>
      <c r="CS166"/>
      <c r="CT166"/>
      <c r="CU166"/>
      <c r="CV166"/>
      <c r="CW166"/>
      <c r="CX166"/>
      <c r="CY166"/>
      <c r="CZ166"/>
      <c r="DA166"/>
      <c r="DB166"/>
      <c r="DC166"/>
      <c r="DD166"/>
      <c r="DE166"/>
      <c r="DF166"/>
      <c r="DG166" t="str">
        <f>IF(AO6=1,IF(J6="",$CV$49,J6),"")</f>
        <v/>
      </c>
      <c r="DH166" t="str">
        <f>IF(K6="","W",K6)</f>
        <v>W</v>
      </c>
      <c r="DI166" t="e">
        <f>IF(DH166=DI$51,HLOOKUP($DG166,$CV$49:$DH$84,3,FALSE),
IF(DH166=DI$56,HLOOKUP($DG166,$CV$49:$DH$84,8,FALSE),
IF(DH166=DI$61,HLOOKUP($DG166,$CV$49:$DH$84,13,FALSE),
IF(DH166=DI$66,HLOOKUP($DG166,$CV$49:$DH$84,18,FALSE),
IF(DH166=DI$71,HLOOKUP($DG166,$CV$49:$DH$84,23,FALSE),
IF(DH166=DI$76,HLOOKUP($DG166,$CV$49:$DH$84,28,FALSE),
IF(DH166=DI$81,HLOOKUP($DG166,$CV$49:$DH$84,33,FALSE),)))))))</f>
        <v>#N/A</v>
      </c>
      <c r="DJ166" t="e">
        <f>IF(DH166=DI$51,HLOOKUP($DG166,$CV$49:$DH$84,4,FALSE),
IF(DH166=DI$56,HLOOKUP($DG166,$CV$49:$DH$84,9,FALSE),
IF(DH166=DI$61,HLOOKUP($DG166,$CV$49:$DH$84,14,FALSE),
IF(DH166=DI$66,HLOOKUP($DG166,$CV$49:$DH$84,19,FALSE),
IF(DH166=DI$71,HLOOKUP($DG166,$CV$49:$DH$84,24,FALSE),
IF(DH166=DI$76,HLOOKUP($DG166,$CV$49:$DH$84,29,FALSE),
IF(DH166=DI$81,HLOOKUP($DG166,$CV$49:$DH$84,34,FALSE),)))))))</f>
        <v>#N/A</v>
      </c>
      <c r="DK166" t="e">
        <f>IF(DH166=DI$51,HLOOKUP($DG166,$CV$49:$DH$84,5,FALSE),
IF(DH166=DI$56,HLOOKUP($DG166,$CV$49:$DH$84,10,FALSE),
IF(DH166=DI$61,HLOOKUP($DG166,$CV$49:$DH$84,15,FALSE),
IF(DH166=DI$66,HLOOKUP($DG166,$CV$49:$DH$84,20,FALSE),
IF(DH166=DI$71,HLOOKUP($DG166,$CV$49:$DH$84,25,FALSE),
IF(DH166=DI$76,HLOOKUP($DG166,$CV$49:$DH$84,30,FALSE),
IF(DH166=DI$81,HLOOKUP($DG166,$CV$49:$DH$84,35,FALSE),)))))))</f>
        <v>#N/A</v>
      </c>
      <c r="DL166" t="e">
        <f>IF(DH166=DI$51,HLOOKUP($DG166,$CV$49:$DH$84,6,FALSE),
IF(DH166=DI$56,HLOOKUP($DG166,$CV$49:$DH$84,11,FALSE),
IF(DH166=DI$61,HLOOKUP($DG166,$CV$49:$DH$84,16,FALSE),
IF(DH166=DI$66,HLOOKUP($DG166,$CV$49:$DH$84,21,FALSE),
IF(DH166=DI$71,HLOOKUP($DG166,$CV$49:$DH$84,26,FALSE),
IF(DH166=DI$76,HLOOKUP($DG166,$CV$49:$DH$84,31,FALSE),
IF(DH166=DI$81,HLOOKUP($DG166,$CV$49:$DH$84,36,FALSE),)))))))</f>
        <v>#N/A</v>
      </c>
      <c r="DM166">
        <f t="shared" ref="DM166:DM205" si="271">IFERROR(HLOOKUP($DG166,$CV$49:$DH$105,37,FALSE),)</f>
        <v>0</v>
      </c>
      <c r="DN166">
        <f>IF(DH166=$DI$51,$DI$52,
IF(DH166=$DI$56,DI$57,
IF(DH166=$DI$61,$DI$62,
IF(DH166=$DI$66,$DI$67,
IF(DH166=$DI$71,$DI$72,
IF(DH166=$DI$76,$DI$77,
IF(DH166=$DI$81,$DI$82,)))))))</f>
        <v>0</v>
      </c>
      <c r="DO166">
        <f t="shared" ref="DO166:DO205" si="272">IFERROR(HLOOKUP($DG166,$CV$49:$DH$105,56,FALSE),)</f>
        <v>0</v>
      </c>
      <c r="DP166">
        <f t="shared" ref="DP166:DP205" si="273">IFERROR(HLOOKUP($DG166,$CV$49:$DH$105,57,FALSE),)</f>
        <v>0</v>
      </c>
      <c r="DQ166">
        <f>IFERROR((DI121*DJ121*X6/1000000),)</f>
        <v>0</v>
      </c>
      <c r="DR166">
        <f>DN6-DQ166</f>
        <v>0</v>
      </c>
      <c r="DS166">
        <f>IFERROR(DQ166*DT121*(DL166+$DS$1),)</f>
        <v>0</v>
      </c>
      <c r="DT166">
        <f>IFERROR(DR166*DU121*(DL166+$DS$1),)</f>
        <v>0</v>
      </c>
      <c r="DU166">
        <f>IF(SUM(DS166:DT166)&lt;1,0,SUM(DS166:DT166))</f>
        <v>0</v>
      </c>
      <c r="DV166"/>
      <c r="DW166"/>
      <c r="DX166">
        <f>IF(H6=$CJ$73,$CJ$74,
IF(H6=$CK$73,$CK$74,
IF(H6=$CL$73,$CL$74,
IF(H6=$CM$73,$CM$74,
IF(H6=$CN$73,$CN$74,
IF(H6=$CO$73,$CO$74,
IF(H6=$CP$73,$CP$74,)))))))</f>
        <v>0</v>
      </c>
      <c r="DY166">
        <f>IF(J6=$CV$49,$CV$88,
IF(J6=$CW$49,$CW$88,
IF(J6=$CX$49,$CX$88,
IF(J6=$CY$49,$CY$88,
IF(J6=$CZ$49,$CZ$88,
IF(J6=$DA$49,$DA$88,
IF(J6=$DG$49,$DG$88,
IF(J6=$DH$49,$DH$88,))))))))</f>
        <v>0</v>
      </c>
      <c r="DZ166">
        <f>IF(K6=$DI$51,$DI$54,
IF(K6=$DI$56,$DI$59,
IF(K6=$DI$61,$DI$64,
IF(K6=$DI$66,$DI$69,
IF(K6=$DI$71,$DI$74,
IF(K6=$DI$76,$DI$79,
IF(K6=$DI$81,$DI$84,)))))))</f>
        <v>0</v>
      </c>
      <c r="EA166" t="str">
        <f>IF(DY166=0,IF(DZ166=0,"","nein"),"nein")</f>
        <v/>
      </c>
      <c r="EB166">
        <f>IF(DG166=$CV$49,$CV$87,
IF(DG166=$CW$49,$CW$87,
IF(DG166=$CX$49,$CX$87,
IF(DG166=$CY$49,$CY$87,
IF(DG166=$CZ$49,$CZ$87,
IF(DG166=$DA$49,$DA$87,
IF(DG166=$DG$49,$DG$87,
IF(DG166=$DH$49,$DH$87,))))))))</f>
        <v>0</v>
      </c>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c r="IU166"/>
      <c r="IV166"/>
    </row>
    <row r="167" spans="1:256" s="1" customFormat="1"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f t="shared" si="265"/>
        <v>0</v>
      </c>
      <c r="BE167"/>
      <c r="BF167">
        <f t="shared" si="266"/>
        <v>0</v>
      </c>
      <c r="BG167"/>
      <c r="BH167" t="str">
        <f t="shared" ref="BH167:CA167" si="274">IF(BG126="","",IF(BG126="f",IF(BH126="r",0,IF(BH126="",0,1)),
IF(BG126="r",1,
IF(BG126="l",IF(BH126="l",1,0)))))</f>
        <v/>
      </c>
      <c r="BI167" t="str">
        <f t="shared" si="274"/>
        <v/>
      </c>
      <c r="BJ167" t="str">
        <f t="shared" si="274"/>
        <v/>
      </c>
      <c r="BK167" t="str">
        <f t="shared" si="274"/>
        <v/>
      </c>
      <c r="BL167" t="str">
        <f t="shared" si="274"/>
        <v/>
      </c>
      <c r="BM167" t="str">
        <f t="shared" si="274"/>
        <v/>
      </c>
      <c r="BN167" t="str">
        <f t="shared" si="274"/>
        <v/>
      </c>
      <c r="BO167" t="str">
        <f t="shared" si="274"/>
        <v/>
      </c>
      <c r="BP167" t="str">
        <f t="shared" si="274"/>
        <v/>
      </c>
      <c r="BQ167" t="str">
        <f t="shared" si="274"/>
        <v/>
      </c>
      <c r="BR167" t="str">
        <f t="shared" si="274"/>
        <v/>
      </c>
      <c r="BS167" t="str">
        <f t="shared" si="274"/>
        <v/>
      </c>
      <c r="BT167" t="str">
        <f t="shared" si="274"/>
        <v/>
      </c>
      <c r="BU167" t="str">
        <f t="shared" si="274"/>
        <v/>
      </c>
      <c r="BV167" t="str">
        <f t="shared" si="274"/>
        <v/>
      </c>
      <c r="BW167" t="str">
        <f t="shared" si="274"/>
        <v/>
      </c>
      <c r="BX167" t="str">
        <f t="shared" si="274"/>
        <v/>
      </c>
      <c r="BY167" t="str">
        <f t="shared" si="274"/>
        <v/>
      </c>
      <c r="BZ167" t="str">
        <f t="shared" si="274"/>
        <v/>
      </c>
      <c r="CA167" t="str">
        <f t="shared" si="274"/>
        <v/>
      </c>
      <c r="CB167" t="str">
        <f t="shared" si="268"/>
        <v/>
      </c>
      <c r="CC167">
        <f t="shared" si="269"/>
        <v>0</v>
      </c>
      <c r="CD167"/>
      <c r="CE167"/>
      <c r="CF167"/>
      <c r="CG167"/>
      <c r="CH167"/>
      <c r="CI167"/>
      <c r="CJ167"/>
      <c r="CK167"/>
      <c r="CL167"/>
      <c r="CM167"/>
      <c r="CN167"/>
      <c r="CO167"/>
      <c r="CP167"/>
      <c r="CQ167"/>
      <c r="CR167"/>
      <c r="CS167"/>
      <c r="CT167"/>
      <c r="CU167"/>
      <c r="CV167"/>
      <c r="CW167"/>
      <c r="CX167"/>
      <c r="CY167"/>
      <c r="CZ167"/>
      <c r="DA167"/>
      <c r="DB167"/>
      <c r="DC167"/>
      <c r="DD167"/>
      <c r="DE167"/>
      <c r="DF167"/>
      <c r="DG167" t="str">
        <f>IF(AO7=1,IF(J7="",$CV$49,J7),"")</f>
        <v/>
      </c>
      <c r="DH167" t="str">
        <f>IF(K7="","W",K7)</f>
        <v>W</v>
      </c>
      <c r="DI167" t="e">
        <f>IF(DH167=DI$51,HLOOKUP($DG167,$CV$49:$DH$84,3,FALSE),
IF(DH167=DI$56,HLOOKUP($DG167,$CV$49:$DH$84,8,FALSE),
IF(DH167=DI$61,HLOOKUP($DG167,$CV$49:$DH$84,13,FALSE),
IF(DH167=DI$66,HLOOKUP($DG167,$CV$49:$DH$84,18,FALSE),
IF(DH167=DI$71,HLOOKUP($DG167,$CV$49:$DH$84,23,FALSE),
IF(DH167=DI$76,HLOOKUP($DG167,$CV$49:$DH$84,28,FALSE),
IF(DH167=DI$81,HLOOKUP($DG167,$CV$49:$DH$84,33,FALSE),)))))))</f>
        <v>#N/A</v>
      </c>
      <c r="DJ167" t="e">
        <f>IF(DH167=DI$51,HLOOKUP($DG167,$CV$49:$DH$84,4,FALSE),
IF(DH167=DI$56,HLOOKUP($DG167,$CV$49:$DH$84,9,FALSE),
IF(DH167=DI$61,HLOOKUP($DG167,$CV$49:$DH$84,14,FALSE),
IF(DH167=DI$66,HLOOKUP($DG167,$CV$49:$DH$84,19,FALSE),
IF(DH167=DI$71,HLOOKUP($DG167,$CV$49:$DH$84,24,FALSE),
IF(DH167=DI$76,HLOOKUP($DG167,$CV$49:$DH$84,29,FALSE),
IF(DH167=DI$81,HLOOKUP($DG167,$CV$49:$DH$84,34,FALSE),)))))))</f>
        <v>#N/A</v>
      </c>
      <c r="DK167" t="e">
        <f>IF(DH167=DI$51,HLOOKUP($DG167,$CV$49:$DH$84,5,FALSE),
IF(DH167=DI$56,HLOOKUP($DG167,$CV$49:$DH$84,10,FALSE),
IF(DH167=DI$61,HLOOKUP($DG167,$CV$49:$DH$84,15,FALSE),
IF(DH167=DI$66,HLOOKUP($DG167,$CV$49:$DH$84,20,FALSE),
IF(DH167=DI$71,HLOOKUP($DG167,$CV$49:$DH$84,25,FALSE),
IF(DH167=DI$76,HLOOKUP($DG167,$CV$49:$DH$84,30,FALSE),
IF(DH167=DI$81,HLOOKUP($DG167,$CV$49:$DH$84,35,FALSE),)))))))</f>
        <v>#N/A</v>
      </c>
      <c r="DL167" t="e">
        <f>IF(DH167=DI$51,HLOOKUP($DG167,$CV$49:$DH$84,6,FALSE),
IF(DH167=DI$56,HLOOKUP($DG167,$CV$49:$DH$84,11,FALSE),
IF(DH167=DI$61,HLOOKUP($DG167,$CV$49:$DH$84,16,FALSE),
IF(DH167=DI$66,HLOOKUP($DG167,$CV$49:$DH$84,21,FALSE),
IF(DH167=DI$71,HLOOKUP($DG167,$CV$49:$DH$84,26,FALSE),
IF(DH167=DI$76,HLOOKUP($DG167,$CV$49:$DH$84,31,FALSE),
IF(DH167=DI$81,HLOOKUP($DG167,$CV$49:$DH$84,36,FALSE),)))))))</f>
        <v>#N/A</v>
      </c>
      <c r="DM167">
        <f t="shared" si="271"/>
        <v>0</v>
      </c>
      <c r="DN167">
        <f>IF(DH167=$DI$51,$DI$52,
IF(DH167=$DI$56,DI$57,
IF(DH167=$DI$61,$DI$62,
IF(DH167=$DI$66,$DI$67,
IF(DH167=$DI$71,$DI$72,
IF(DH167=$DI$76,$DI$77,
IF(DH167=$DI$81,$DI$82,)))))))</f>
        <v>0</v>
      </c>
      <c r="DO167">
        <f t="shared" si="272"/>
        <v>0</v>
      </c>
      <c r="DP167">
        <f t="shared" si="273"/>
        <v>0</v>
      </c>
      <c r="DQ167">
        <f>IFERROR((DI122*DJ122*X7/1000000),)</f>
        <v>0</v>
      </c>
      <c r="DR167">
        <f>DN7-DQ167</f>
        <v>0</v>
      </c>
      <c r="DS167">
        <f>IFERROR(DQ167*DT122*(DL167+$DS$1),)</f>
        <v>0</v>
      </c>
      <c r="DT167">
        <f>IFERROR(DR167*DU122*(DL167+$DS$1),)</f>
        <v>0</v>
      </c>
      <c r="DU167">
        <f>IF(SUM(DS167:DT167)&lt;1,0,SUM(DS167:DT167))</f>
        <v>0</v>
      </c>
      <c r="DV167"/>
      <c r="DW167"/>
      <c r="DX167">
        <f>IF(H7=$CJ$73,$CJ$74,
IF(H7=$CK$73,$CK$74,
IF(H7=$CL$73,$CL$74,
IF(H7=$CM$73,$CM$74,
IF(H7=$CN$73,$CN$74,
IF(H7=$CO$73,$CO$74,
IF(H7=$CP$73,$CP$74,)))))))</f>
        <v>0</v>
      </c>
      <c r="DY167">
        <f>IF(J7=$CV$49,$CV$88,
IF(J7=$CW$49,$CW$88,
IF(J7=$CX$49,$CX$88,
IF(J7=$CY$49,$CY$88,
IF(J7=$CZ$49,$CZ$88,
IF(J7=$DA$49,$DA$88,
IF(J7=$DG$49,$DG$88,
IF(J7=$DH$49,$DH$88,))))))))</f>
        <v>0</v>
      </c>
      <c r="DZ167">
        <f>IF(K7=$DI$51,$DI$54,
IF(K7=$DI$56,$DI$59,
IF(K7=$DI$61,$DI$64,
IF(K7=$DI$66,$DI$69,
IF(K7=$DI$71,$DI$74,
IF(K7=$DI$76,$DI$79,
IF(K7=$DI$81,$DI$84,)))))))</f>
        <v>0</v>
      </c>
      <c r="EA167" t="str">
        <f>IF(DY167=0,IF(DZ167=0,"","nein"),"nein")</f>
        <v/>
      </c>
      <c r="EB167">
        <f>IF(DG167=$CV$49,$CV$87,
IF(DG167=$CW$49,$CW$87,
IF(DG167=$CX$49,$CX$87,
IF(DG167=$CY$49,$CY$87,
IF(DG167=$CZ$49,$CZ$87,
IF(DG167=$DA$49,$DA$87,
IF(DG167=$DG$49,$DG$87,
IF(DG167=$DH$49,$DH$87,))))))))</f>
        <v>0</v>
      </c>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c r="IU167"/>
      <c r="IV167"/>
    </row>
    <row r="168" spans="1:256" s="1" customFormat="1"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f t="shared" si="265"/>
        <v>0</v>
      </c>
      <c r="BE168"/>
      <c r="BF168">
        <f t="shared" si="266"/>
        <v>0</v>
      </c>
      <c r="BG168"/>
      <c r="BH168" t="str">
        <f t="shared" ref="BH168:CA168" si="275">IF(BG127="","",IF(BG127="f",IF(BH127="r",0,IF(BH127="",0,1)),
IF(BG127="r",1,
IF(BG127="l",IF(BH127="l",1,0)))))</f>
        <v/>
      </c>
      <c r="BI168" t="str">
        <f t="shared" si="275"/>
        <v/>
      </c>
      <c r="BJ168" t="str">
        <f t="shared" si="275"/>
        <v/>
      </c>
      <c r="BK168" t="str">
        <f t="shared" si="275"/>
        <v/>
      </c>
      <c r="BL168" t="str">
        <f t="shared" si="275"/>
        <v/>
      </c>
      <c r="BM168" t="str">
        <f t="shared" si="275"/>
        <v/>
      </c>
      <c r="BN168" t="str">
        <f t="shared" si="275"/>
        <v/>
      </c>
      <c r="BO168" t="str">
        <f t="shared" si="275"/>
        <v/>
      </c>
      <c r="BP168" t="str">
        <f t="shared" si="275"/>
        <v/>
      </c>
      <c r="BQ168" t="str">
        <f t="shared" si="275"/>
        <v/>
      </c>
      <c r="BR168" t="str">
        <f t="shared" si="275"/>
        <v/>
      </c>
      <c r="BS168" t="str">
        <f t="shared" si="275"/>
        <v/>
      </c>
      <c r="BT168" t="str">
        <f t="shared" si="275"/>
        <v/>
      </c>
      <c r="BU168" t="str">
        <f t="shared" si="275"/>
        <v/>
      </c>
      <c r="BV168" t="str">
        <f t="shared" si="275"/>
        <v/>
      </c>
      <c r="BW168" t="str">
        <f t="shared" si="275"/>
        <v/>
      </c>
      <c r="BX168" t="str">
        <f t="shared" si="275"/>
        <v/>
      </c>
      <c r="BY168" t="str">
        <f t="shared" si="275"/>
        <v/>
      </c>
      <c r="BZ168" t="str">
        <f t="shared" si="275"/>
        <v/>
      </c>
      <c r="CA168" t="str">
        <f t="shared" si="275"/>
        <v/>
      </c>
      <c r="CB168" t="str">
        <f t="shared" si="268"/>
        <v/>
      </c>
      <c r="CC168">
        <f t="shared" si="269"/>
        <v>0</v>
      </c>
      <c r="CD168"/>
      <c r="CE168"/>
      <c r="CF168"/>
      <c r="CG168"/>
      <c r="CH168"/>
      <c r="CI168"/>
      <c r="CJ168"/>
      <c r="CK168"/>
      <c r="CL168"/>
      <c r="CM168"/>
      <c r="CN168"/>
      <c r="CO168"/>
      <c r="CP168"/>
      <c r="CQ168"/>
      <c r="CR168"/>
      <c r="CS168"/>
      <c r="CT168"/>
      <c r="CU168"/>
      <c r="CV168"/>
      <c r="CW168"/>
      <c r="CX168"/>
      <c r="CY168"/>
      <c r="CZ168"/>
      <c r="DA168"/>
      <c r="DB168"/>
      <c r="DC168"/>
      <c r="DD168"/>
      <c r="DE168"/>
      <c r="DF168"/>
      <c r="DG168" t="str">
        <f>IF(AO8=1,IF(J8="",$CV$49,J8),"")</f>
        <v/>
      </c>
      <c r="DH168" t="str">
        <f>IF(K8="","W",K8)</f>
        <v>W</v>
      </c>
      <c r="DI168" t="e">
        <f>IF(DH168=DI$51,HLOOKUP($DG168,$CV$49:$DH$84,3,FALSE),
IF(DH168=DI$56,HLOOKUP($DG168,$CV$49:$DH$84,8,FALSE),
IF(DH168=DI$61,HLOOKUP($DG168,$CV$49:$DH$84,13,FALSE),
IF(DH168=DI$66,HLOOKUP($DG168,$CV$49:$DH$84,18,FALSE),
IF(DH168=DI$71,HLOOKUP($DG168,$CV$49:$DH$84,23,FALSE),
IF(DH168=DI$76,HLOOKUP($DG168,$CV$49:$DH$84,28,FALSE),
IF(DH168=DI$81,HLOOKUP($DG168,$CV$49:$DH$84,33,FALSE),)))))))</f>
        <v>#N/A</v>
      </c>
      <c r="DJ168" t="e">
        <f>IF(DH168=DI$51,HLOOKUP($DG168,$CV$49:$DH$84,4,FALSE),
IF(DH168=DI$56,HLOOKUP($DG168,$CV$49:$DH$84,9,FALSE),
IF(DH168=DI$61,HLOOKUP($DG168,$CV$49:$DH$84,14,FALSE),
IF(DH168=DI$66,HLOOKUP($DG168,$CV$49:$DH$84,19,FALSE),
IF(DH168=DI$71,HLOOKUP($DG168,$CV$49:$DH$84,24,FALSE),
IF(DH168=DI$76,HLOOKUP($DG168,$CV$49:$DH$84,29,FALSE),
IF(DH168=DI$81,HLOOKUP($DG168,$CV$49:$DH$84,34,FALSE),)))))))</f>
        <v>#N/A</v>
      </c>
      <c r="DK168" t="e">
        <f>IF(DH168=DI$51,HLOOKUP($DG168,$CV$49:$DH$84,5,FALSE),
IF(DH168=DI$56,HLOOKUP($DG168,$CV$49:$DH$84,10,FALSE),
IF(DH168=DI$61,HLOOKUP($DG168,$CV$49:$DH$84,15,FALSE),
IF(DH168=DI$66,HLOOKUP($DG168,$CV$49:$DH$84,20,FALSE),
IF(DH168=DI$71,HLOOKUP($DG168,$CV$49:$DH$84,25,FALSE),
IF(DH168=DI$76,HLOOKUP($DG168,$CV$49:$DH$84,30,FALSE),
IF(DH168=DI$81,HLOOKUP($DG168,$CV$49:$DH$84,35,FALSE),)))))))</f>
        <v>#N/A</v>
      </c>
      <c r="DL168" t="e">
        <f>IF(DH168=DI$51,HLOOKUP($DG168,$CV$49:$DH$84,6,FALSE),
IF(DH168=DI$56,HLOOKUP($DG168,$CV$49:$DH$84,11,FALSE),
IF(DH168=DI$61,HLOOKUP($DG168,$CV$49:$DH$84,16,FALSE),
IF(DH168=DI$66,HLOOKUP($DG168,$CV$49:$DH$84,21,FALSE),
IF(DH168=DI$71,HLOOKUP($DG168,$CV$49:$DH$84,26,FALSE),
IF(DH168=DI$76,HLOOKUP($DG168,$CV$49:$DH$84,31,FALSE),
IF(DH168=DI$81,HLOOKUP($DG168,$CV$49:$DH$84,36,FALSE),)))))))</f>
        <v>#N/A</v>
      </c>
      <c r="DM168">
        <f t="shared" si="271"/>
        <v>0</v>
      </c>
      <c r="DN168">
        <f>IF(DH168=$DI$51,$DI$52,
IF(DH168=$DI$56,DI$57,
IF(DH168=$DI$61,$DI$62,
IF(DH168=$DI$66,$DI$67,
IF(DH168=$DI$71,$DI$72,
IF(DH168=$DI$76,$DI$77,
IF(DH168=$DI$81,$DI$82,)))))))</f>
        <v>0</v>
      </c>
      <c r="DO168">
        <f t="shared" si="272"/>
        <v>0</v>
      </c>
      <c r="DP168">
        <f t="shared" si="273"/>
        <v>0</v>
      </c>
      <c r="DQ168">
        <f>IFERROR((DI123*DJ123*X8/1000000),)</f>
        <v>0</v>
      </c>
      <c r="DR168">
        <f>DN8-DQ168</f>
        <v>0</v>
      </c>
      <c r="DS168">
        <f>IFERROR(DQ168*DT123*(DL168+$DS$1),)</f>
        <v>0</v>
      </c>
      <c r="DT168">
        <f>IFERROR(DR168*DU123*(DL168+$DS$1),)</f>
        <v>0</v>
      </c>
      <c r="DU168">
        <f>IF(SUM(DS168:DT168)&lt;1,0,SUM(DS168:DT168))</f>
        <v>0</v>
      </c>
      <c r="DV168"/>
      <c r="DW168"/>
      <c r="DX168">
        <f>IF(H8=$CJ$73,$CJ$74,
IF(H8=$CK$73,$CK$74,
IF(H8=$CL$73,$CL$74,
IF(H8=$CM$73,$CM$74,
IF(H8=$CN$73,$CN$74,
IF(H8=$CO$73,$CO$74,
IF(H8=$CP$73,$CP$74,)))))))</f>
        <v>0</v>
      </c>
      <c r="DY168">
        <f>IF(J8=$CV$49,$CV$88,
IF(J8=$CW$49,$CW$88,
IF(J8=$CX$49,$CX$88,
IF(J8=$CY$49,$CY$88,
IF(J8=$CZ$49,$CZ$88,
IF(J8=$DA$49,$DA$88,
IF(J8=$DG$49,$DG$88,
IF(J8=$DH$49,$DH$88,))))))))</f>
        <v>0</v>
      </c>
      <c r="DZ168">
        <f>IF(K8=$DI$51,$DI$54,
IF(K8=$DI$56,$DI$59,
IF(K8=$DI$61,$DI$64,
IF(K8=$DI$66,$DI$69,
IF(K8=$DI$71,$DI$74,
IF(K8=$DI$76,$DI$79,
IF(K8=$DI$81,$DI$84,)))))))</f>
        <v>0</v>
      </c>
      <c r="EA168" t="str">
        <f>IF(DY168=0,IF(DZ168=0,"","nein"),"nein")</f>
        <v/>
      </c>
      <c r="EB168">
        <f>IF(DG168=$CV$49,$CV$87,
IF(DG168=$CW$49,$CW$87,
IF(DG168=$CX$49,$CX$87,
IF(DG168=$CY$49,$CY$87,
IF(DG168=$CZ$49,$CZ$87,
IF(DG168=$DA$49,$DA$87,
IF(DG168=$DG$49,$DG$87,
IF(DG168=$DH$49,$DH$87,))))))))</f>
        <v>0</v>
      </c>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c r="IU168"/>
      <c r="IV168"/>
    </row>
    <row r="169" spans="1:256" s="1" customFormat="1"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f t="shared" si="265"/>
        <v>0</v>
      </c>
      <c r="BE169"/>
      <c r="BF169">
        <f t="shared" si="266"/>
        <v>0</v>
      </c>
      <c r="BG169"/>
      <c r="BH169" t="str">
        <f t="shared" ref="BH169:CA169" si="276">IF(BG128="","",IF(BG128="f",IF(BH128="r",0,IF(BH128="",0,1)),
IF(BG128="r",1,
IF(BG128="l",IF(BH128="l",1,0)))))</f>
        <v/>
      </c>
      <c r="BI169" t="str">
        <f t="shared" si="276"/>
        <v/>
      </c>
      <c r="BJ169" t="str">
        <f t="shared" si="276"/>
        <v/>
      </c>
      <c r="BK169" t="str">
        <f t="shared" si="276"/>
        <v/>
      </c>
      <c r="BL169" t="str">
        <f t="shared" si="276"/>
        <v/>
      </c>
      <c r="BM169" t="str">
        <f t="shared" si="276"/>
        <v/>
      </c>
      <c r="BN169" t="str">
        <f t="shared" si="276"/>
        <v/>
      </c>
      <c r="BO169" t="str">
        <f t="shared" si="276"/>
        <v/>
      </c>
      <c r="BP169" t="str">
        <f t="shared" si="276"/>
        <v/>
      </c>
      <c r="BQ169" t="str">
        <f t="shared" si="276"/>
        <v/>
      </c>
      <c r="BR169" t="str">
        <f t="shared" si="276"/>
        <v/>
      </c>
      <c r="BS169" t="str">
        <f t="shared" si="276"/>
        <v/>
      </c>
      <c r="BT169" t="str">
        <f t="shared" si="276"/>
        <v/>
      </c>
      <c r="BU169" t="str">
        <f t="shared" si="276"/>
        <v/>
      </c>
      <c r="BV169" t="str">
        <f t="shared" si="276"/>
        <v/>
      </c>
      <c r="BW169" t="str">
        <f t="shared" si="276"/>
        <v/>
      </c>
      <c r="BX169" t="str">
        <f t="shared" si="276"/>
        <v/>
      </c>
      <c r="BY169" t="str">
        <f t="shared" si="276"/>
        <v/>
      </c>
      <c r="BZ169" t="str">
        <f t="shared" si="276"/>
        <v/>
      </c>
      <c r="CA169" t="str">
        <f t="shared" si="276"/>
        <v/>
      </c>
      <c r="CB169" t="str">
        <f t="shared" si="268"/>
        <v/>
      </c>
      <c r="CC169">
        <f t="shared" si="269"/>
        <v>0</v>
      </c>
      <c r="CD169"/>
      <c r="CE169"/>
      <c r="CF169"/>
      <c r="CG169"/>
      <c r="CH169"/>
      <c r="CI169"/>
      <c r="CJ169"/>
      <c r="CK169"/>
      <c r="CL169"/>
      <c r="CM169"/>
      <c r="CN169"/>
      <c r="CO169"/>
      <c r="CP169"/>
      <c r="CQ169"/>
      <c r="CR169"/>
      <c r="CS169"/>
      <c r="CT169"/>
      <c r="CU169"/>
      <c r="CV169"/>
      <c r="CW169"/>
      <c r="CX169"/>
      <c r="CY169"/>
      <c r="CZ169"/>
      <c r="DA169"/>
      <c r="DB169"/>
      <c r="DC169"/>
      <c r="DD169"/>
      <c r="DE169"/>
      <c r="DF169"/>
      <c r="DG169" t="str">
        <f t="shared" ref="DG169:DG205" si="277">IF(AO9=1,IF(J9="",$CV$49,J9),"")</f>
        <v/>
      </c>
      <c r="DH169" t="str">
        <f t="shared" ref="DH169:DH205" si="278">IF(K9="","W",K9)</f>
        <v>W</v>
      </c>
      <c r="DI169" t="e">
        <f t="shared" ref="DI169:DI205" si="279">IF(DH169=DI$51,HLOOKUP($DG169,$CV$49:$DH$84,3,FALSE),
IF(DH169=DI$56,HLOOKUP($DG169,$CV$49:$DH$84,8,FALSE),
IF(DH169=DI$61,HLOOKUP($DG169,$CV$49:$DH$84,13,FALSE),
IF(DH169=DI$66,HLOOKUP($DG169,$CV$49:$DH$84,18,FALSE),
IF(DH169=DI$71,HLOOKUP($DG169,$CV$49:$DH$84,23,FALSE),
IF(DH169=DI$76,HLOOKUP($DG169,$CV$49:$DH$84,28,FALSE),
IF(DH169=DI$81,HLOOKUP($DG169,$CV$49:$DH$84,33,FALSE),)))))))</f>
        <v>#N/A</v>
      </c>
      <c r="DJ169" t="e">
        <f t="shared" ref="DJ169:DJ205" si="280">IF(DH169=DI$51,HLOOKUP($DG169,$CV$49:$DH$84,4,FALSE),
IF(DH169=DI$56,HLOOKUP($DG169,$CV$49:$DH$84,9,FALSE),
IF(DH169=DI$61,HLOOKUP($DG169,$CV$49:$DH$84,14,FALSE),
IF(DH169=DI$66,HLOOKUP($DG169,$CV$49:$DH$84,19,FALSE),
IF(DH169=DI$71,HLOOKUP($DG169,$CV$49:$DH$84,24,FALSE),
IF(DH169=DI$76,HLOOKUP($DG169,$CV$49:$DH$84,29,FALSE),
IF(DH169=DI$81,HLOOKUP($DG169,$CV$49:$DH$84,34,FALSE),)))))))</f>
        <v>#N/A</v>
      </c>
      <c r="DK169" t="e">
        <f t="shared" ref="DK169:DK205" si="281">IF(DH169=DI$51,HLOOKUP($DG169,$CV$49:$DH$84,5,FALSE),
IF(DH169=DI$56,HLOOKUP($DG169,$CV$49:$DH$84,10,FALSE),
IF(DH169=DI$61,HLOOKUP($DG169,$CV$49:$DH$84,15,FALSE),
IF(DH169=DI$66,HLOOKUP($DG169,$CV$49:$DH$84,20,FALSE),
IF(DH169=DI$71,HLOOKUP($DG169,$CV$49:$DH$84,25,FALSE),
IF(DH169=DI$76,HLOOKUP($DG169,$CV$49:$DH$84,30,FALSE),
IF(DH169=DI$81,HLOOKUP($DG169,$CV$49:$DH$84,35,FALSE),)))))))</f>
        <v>#N/A</v>
      </c>
      <c r="DL169" t="e">
        <f t="shared" ref="DL169:DL205" si="282">IF(DH169=DI$51,HLOOKUP($DG169,$CV$49:$DH$84,6,FALSE),
IF(DH169=DI$56,HLOOKUP($DG169,$CV$49:$DH$84,11,FALSE),
IF(DH169=DI$61,HLOOKUP($DG169,$CV$49:$DH$84,16,FALSE),
IF(DH169=DI$66,HLOOKUP($DG169,$CV$49:$DH$84,21,FALSE),
IF(DH169=DI$71,HLOOKUP($DG169,$CV$49:$DH$84,26,FALSE),
IF(DH169=DI$76,HLOOKUP($DG169,$CV$49:$DH$84,31,FALSE),
IF(DH169=DI$81,HLOOKUP($DG169,$CV$49:$DH$84,36,FALSE),)))))))</f>
        <v>#N/A</v>
      </c>
      <c r="DM169">
        <f t="shared" si="271"/>
        <v>0</v>
      </c>
      <c r="DN169">
        <f t="shared" ref="DN169:DN205" si="283">IF(DH169=$DI$51,$DI$52,
IF(DH169=$DI$56,DI$57,
IF(DH169=$DI$61,$DI$62,
IF(DH169=$DI$66,$DI$67,
IF(DH169=$DI$71,$DI$72,
IF(DH169=$DI$76,$DI$77,
IF(DH169=$DI$81,$DI$82,)))))))</f>
        <v>0</v>
      </c>
      <c r="DO169">
        <f t="shared" si="272"/>
        <v>0</v>
      </c>
      <c r="DP169">
        <f t="shared" si="273"/>
        <v>0</v>
      </c>
      <c r="DQ169">
        <f t="shared" ref="DQ169:DQ205" si="284">IFERROR((DI124*DJ124*X9/1000000),)</f>
        <v>0</v>
      </c>
      <c r="DR169">
        <f t="shared" ref="DR169:DR205" si="285">DN9-DQ169</f>
        <v>0</v>
      </c>
      <c r="DS169">
        <f t="shared" ref="DS169:DS205" si="286">IFERROR(DQ169*DT124*(DL169+$DS$1),)</f>
        <v>0</v>
      </c>
      <c r="DT169">
        <f t="shared" ref="DT169:DT205" si="287">IFERROR(DR169*DU124*(DL169+$DS$1),)</f>
        <v>0</v>
      </c>
      <c r="DU169">
        <f t="shared" ref="DU169:DU205" si="288">IF(SUM(DS169:DT169)&lt;1,0,SUM(DS169:DT169))</f>
        <v>0</v>
      </c>
      <c r="DV169"/>
      <c r="DW169"/>
      <c r="DX169">
        <f t="shared" ref="DX169:DX205" si="289">IF(H9=$CJ$73,$CJ$74,
IF(H9=$CK$73,$CK$74,
IF(H9=$CL$73,$CL$74,
IF(H9=$CM$73,$CM$74,
IF(H9=$CN$73,$CN$74,
IF(H9=$CO$73,$CO$74,
IF(H9=$CP$73,$CP$74,)))))))</f>
        <v>0</v>
      </c>
      <c r="DY169">
        <f t="shared" ref="DY169:DY205" si="290">IF(J9=$CV$49,$CV$88,
IF(J9=$CW$49,$CW$88,
IF(J9=$CX$49,$CX$88,
IF(J9=$CY$49,$CY$88,
IF(J9=$CZ$49,$CZ$88,
IF(J9=$DA$49,$DA$88,
IF(J9=$DG$49,$DG$88,
IF(J9=$DH$49,$DH$88,))))))))</f>
        <v>0</v>
      </c>
      <c r="DZ169">
        <f t="shared" ref="DZ169:DZ205" si="291">IF(K9=$DI$51,$DI$54,
IF(K9=$DI$56,$DI$59,
IF(K9=$DI$61,$DI$64,
IF(K9=$DI$66,$DI$69,
IF(K9=$DI$71,$DI$74,
IF(K9=$DI$76,$DI$79,
IF(K9=$DI$81,$DI$84,)))))))</f>
        <v>0</v>
      </c>
      <c r="EA169" t="str">
        <f t="shared" ref="EA169:EA205" si="292">IF(DY169=0,IF(DZ169=0,"","nein"),"nein")</f>
        <v/>
      </c>
      <c r="EB169">
        <f t="shared" ref="EB169:EB205" si="293">IF(DG169=$CV$49,$CV$87,
IF(DG169=$CW$49,$CW$87,
IF(DG169=$CX$49,$CX$87,
IF(DG169=$CY$49,$CY$87,
IF(DG169=$CZ$49,$CZ$87,
IF(DG169=$DA$49,$DA$87,
IF(DG169=$DG$49,$DG$87,
IF(DG169=$DH$49,$DH$87,))))))))</f>
        <v>0</v>
      </c>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c r="IU169"/>
      <c r="IV169"/>
    </row>
    <row r="170" spans="1:256" s="1" customFormat="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f t="shared" si="265"/>
        <v>0</v>
      </c>
      <c r="BE170"/>
      <c r="BF170">
        <f t="shared" si="266"/>
        <v>0</v>
      </c>
      <c r="BG170"/>
      <c r="BH170" t="str">
        <f t="shared" ref="BH170:CA170" si="294">IF(BG129="","",IF(BG129="f",IF(BH129="r",0,IF(BH129="",0,1)),
IF(BG129="r",1,
IF(BG129="l",IF(BH129="l",1,0)))))</f>
        <v/>
      </c>
      <c r="BI170" t="str">
        <f t="shared" si="294"/>
        <v/>
      </c>
      <c r="BJ170" t="str">
        <f t="shared" si="294"/>
        <v/>
      </c>
      <c r="BK170" t="str">
        <f t="shared" si="294"/>
        <v/>
      </c>
      <c r="BL170" t="str">
        <f t="shared" si="294"/>
        <v/>
      </c>
      <c r="BM170" t="str">
        <f t="shared" si="294"/>
        <v/>
      </c>
      <c r="BN170" t="str">
        <f t="shared" si="294"/>
        <v/>
      </c>
      <c r="BO170" t="str">
        <f t="shared" si="294"/>
        <v/>
      </c>
      <c r="BP170" t="str">
        <f t="shared" si="294"/>
        <v/>
      </c>
      <c r="BQ170" t="str">
        <f t="shared" si="294"/>
        <v/>
      </c>
      <c r="BR170" t="str">
        <f t="shared" si="294"/>
        <v/>
      </c>
      <c r="BS170" t="str">
        <f t="shared" si="294"/>
        <v/>
      </c>
      <c r="BT170" t="str">
        <f t="shared" si="294"/>
        <v/>
      </c>
      <c r="BU170" t="str">
        <f t="shared" si="294"/>
        <v/>
      </c>
      <c r="BV170" t="str">
        <f t="shared" si="294"/>
        <v/>
      </c>
      <c r="BW170" t="str">
        <f t="shared" si="294"/>
        <v/>
      </c>
      <c r="BX170" t="str">
        <f t="shared" si="294"/>
        <v/>
      </c>
      <c r="BY170" t="str">
        <f t="shared" si="294"/>
        <v/>
      </c>
      <c r="BZ170" t="str">
        <f t="shared" si="294"/>
        <v/>
      </c>
      <c r="CA170" t="str">
        <f t="shared" si="294"/>
        <v/>
      </c>
      <c r="CB170" t="str">
        <f t="shared" si="268"/>
        <v/>
      </c>
      <c r="CC170">
        <f t="shared" si="269"/>
        <v>0</v>
      </c>
      <c r="CD170"/>
      <c r="CE170"/>
      <c r="CF170"/>
      <c r="CG170"/>
      <c r="CH170"/>
      <c r="CI170"/>
      <c r="CJ170"/>
      <c r="CK170"/>
      <c r="CL170"/>
      <c r="CM170"/>
      <c r="CN170"/>
      <c r="CO170"/>
      <c r="CP170"/>
      <c r="CQ170"/>
      <c r="CR170"/>
      <c r="CS170"/>
      <c r="CT170"/>
      <c r="CU170"/>
      <c r="CV170"/>
      <c r="CW170"/>
      <c r="CX170"/>
      <c r="CY170"/>
      <c r="CZ170"/>
      <c r="DA170"/>
      <c r="DB170"/>
      <c r="DC170"/>
      <c r="DD170"/>
      <c r="DE170"/>
      <c r="DF170"/>
      <c r="DG170" t="str">
        <f t="shared" si="277"/>
        <v/>
      </c>
      <c r="DH170" t="str">
        <f t="shared" si="278"/>
        <v>W</v>
      </c>
      <c r="DI170" t="e">
        <f t="shared" si="279"/>
        <v>#N/A</v>
      </c>
      <c r="DJ170" t="e">
        <f t="shared" si="280"/>
        <v>#N/A</v>
      </c>
      <c r="DK170" t="e">
        <f t="shared" si="281"/>
        <v>#N/A</v>
      </c>
      <c r="DL170" t="e">
        <f t="shared" si="282"/>
        <v>#N/A</v>
      </c>
      <c r="DM170">
        <f t="shared" si="271"/>
        <v>0</v>
      </c>
      <c r="DN170">
        <f t="shared" si="283"/>
        <v>0</v>
      </c>
      <c r="DO170">
        <f t="shared" si="272"/>
        <v>0</v>
      </c>
      <c r="DP170">
        <f t="shared" si="273"/>
        <v>0</v>
      </c>
      <c r="DQ170">
        <f t="shared" si="284"/>
        <v>0</v>
      </c>
      <c r="DR170">
        <f t="shared" si="285"/>
        <v>0</v>
      </c>
      <c r="DS170">
        <f t="shared" si="286"/>
        <v>0</v>
      </c>
      <c r="DT170">
        <f t="shared" si="287"/>
        <v>0</v>
      </c>
      <c r="DU170">
        <f t="shared" si="288"/>
        <v>0</v>
      </c>
      <c r="DV170"/>
      <c r="DW170"/>
      <c r="DX170">
        <f t="shared" si="289"/>
        <v>0</v>
      </c>
      <c r="DY170">
        <f t="shared" si="290"/>
        <v>0</v>
      </c>
      <c r="DZ170">
        <f t="shared" si="291"/>
        <v>0</v>
      </c>
      <c r="EA170" t="str">
        <f t="shared" si="292"/>
        <v/>
      </c>
      <c r="EB170">
        <f t="shared" si="293"/>
        <v>0</v>
      </c>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c r="IU170"/>
      <c r="IV170"/>
    </row>
    <row r="171" spans="1:256" s="1" customFormat="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f t="shared" si="265"/>
        <v>0</v>
      </c>
      <c r="BE171"/>
      <c r="BF171">
        <f t="shared" si="266"/>
        <v>0</v>
      </c>
      <c r="BG171"/>
      <c r="BH171" t="str">
        <f t="shared" ref="BH171:CA171" si="295">IF(BG130="","",IF(BG130="f",IF(BH130="r",0,IF(BH130="",0,1)),
IF(BG130="r",1,
IF(BG130="l",IF(BH130="l",1,0)))))</f>
        <v/>
      </c>
      <c r="BI171" t="str">
        <f t="shared" si="295"/>
        <v/>
      </c>
      <c r="BJ171" t="str">
        <f t="shared" si="295"/>
        <v/>
      </c>
      <c r="BK171" t="str">
        <f t="shared" si="295"/>
        <v/>
      </c>
      <c r="BL171" t="str">
        <f t="shared" si="295"/>
        <v/>
      </c>
      <c r="BM171" t="str">
        <f t="shared" si="295"/>
        <v/>
      </c>
      <c r="BN171" t="str">
        <f t="shared" si="295"/>
        <v/>
      </c>
      <c r="BO171" t="str">
        <f t="shared" si="295"/>
        <v/>
      </c>
      <c r="BP171" t="str">
        <f t="shared" si="295"/>
        <v/>
      </c>
      <c r="BQ171" t="str">
        <f t="shared" si="295"/>
        <v/>
      </c>
      <c r="BR171" t="str">
        <f t="shared" si="295"/>
        <v/>
      </c>
      <c r="BS171" t="str">
        <f t="shared" si="295"/>
        <v/>
      </c>
      <c r="BT171" t="str">
        <f t="shared" si="295"/>
        <v/>
      </c>
      <c r="BU171" t="str">
        <f t="shared" si="295"/>
        <v/>
      </c>
      <c r="BV171" t="str">
        <f t="shared" si="295"/>
        <v/>
      </c>
      <c r="BW171" t="str">
        <f t="shared" si="295"/>
        <v/>
      </c>
      <c r="BX171" t="str">
        <f t="shared" si="295"/>
        <v/>
      </c>
      <c r="BY171" t="str">
        <f t="shared" si="295"/>
        <v/>
      </c>
      <c r="BZ171" t="str">
        <f t="shared" si="295"/>
        <v/>
      </c>
      <c r="CA171" t="str">
        <f t="shared" si="295"/>
        <v/>
      </c>
      <c r="CB171" t="str">
        <f t="shared" si="268"/>
        <v/>
      </c>
      <c r="CC171">
        <f t="shared" si="269"/>
        <v>0</v>
      </c>
      <c r="CD171"/>
      <c r="CE171"/>
      <c r="CF171"/>
      <c r="CG171"/>
      <c r="CH171"/>
      <c r="CI171"/>
      <c r="CJ171"/>
      <c r="CK171"/>
      <c r="CL171"/>
      <c r="CM171"/>
      <c r="CN171"/>
      <c r="CO171"/>
      <c r="CP171"/>
      <c r="CQ171"/>
      <c r="CR171"/>
      <c r="CS171"/>
      <c r="CT171"/>
      <c r="CU171"/>
      <c r="CV171"/>
      <c r="CW171"/>
      <c r="CX171"/>
      <c r="CY171"/>
      <c r="CZ171"/>
      <c r="DA171"/>
      <c r="DB171"/>
      <c r="DC171"/>
      <c r="DD171"/>
      <c r="DE171"/>
      <c r="DF171"/>
      <c r="DG171" t="str">
        <f t="shared" si="277"/>
        <v/>
      </c>
      <c r="DH171" t="str">
        <f t="shared" si="278"/>
        <v>W</v>
      </c>
      <c r="DI171" t="e">
        <f t="shared" si="279"/>
        <v>#N/A</v>
      </c>
      <c r="DJ171" t="e">
        <f t="shared" si="280"/>
        <v>#N/A</v>
      </c>
      <c r="DK171" t="e">
        <f t="shared" si="281"/>
        <v>#N/A</v>
      </c>
      <c r="DL171" t="e">
        <f t="shared" si="282"/>
        <v>#N/A</v>
      </c>
      <c r="DM171">
        <f t="shared" si="271"/>
        <v>0</v>
      </c>
      <c r="DN171">
        <f t="shared" si="283"/>
        <v>0</v>
      </c>
      <c r="DO171">
        <f t="shared" si="272"/>
        <v>0</v>
      </c>
      <c r="DP171">
        <f t="shared" si="273"/>
        <v>0</v>
      </c>
      <c r="DQ171">
        <f t="shared" si="284"/>
        <v>0</v>
      </c>
      <c r="DR171">
        <f t="shared" si="285"/>
        <v>0</v>
      </c>
      <c r="DS171">
        <f t="shared" si="286"/>
        <v>0</v>
      </c>
      <c r="DT171">
        <f t="shared" si="287"/>
        <v>0</v>
      </c>
      <c r="DU171">
        <f t="shared" si="288"/>
        <v>0</v>
      </c>
      <c r="DV171"/>
      <c r="DW171"/>
      <c r="DX171">
        <f t="shared" si="289"/>
        <v>0</v>
      </c>
      <c r="DY171">
        <f t="shared" si="290"/>
        <v>0</v>
      </c>
      <c r="DZ171">
        <f t="shared" si="291"/>
        <v>0</v>
      </c>
      <c r="EA171" t="str">
        <f t="shared" si="292"/>
        <v/>
      </c>
      <c r="EB171">
        <f t="shared" si="293"/>
        <v>0</v>
      </c>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c r="IU171"/>
      <c r="IV171"/>
    </row>
    <row r="172" spans="1:256" s="1" customFormat="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f t="shared" si="265"/>
        <v>0</v>
      </c>
      <c r="BE172"/>
      <c r="BF172">
        <f t="shared" si="266"/>
        <v>0</v>
      </c>
      <c r="BG172"/>
      <c r="BH172" t="str">
        <f t="shared" ref="BH172:CA172" si="296">IF(BG131="","",IF(BG131="f",IF(BH131="r",0,IF(BH131="",0,1)),
IF(BG131="r",1,
IF(BG131="l",IF(BH131="l",1,0)))))</f>
        <v/>
      </c>
      <c r="BI172" t="str">
        <f t="shared" si="296"/>
        <v/>
      </c>
      <c r="BJ172" t="str">
        <f t="shared" si="296"/>
        <v/>
      </c>
      <c r="BK172" t="str">
        <f t="shared" si="296"/>
        <v/>
      </c>
      <c r="BL172" t="str">
        <f t="shared" si="296"/>
        <v/>
      </c>
      <c r="BM172" t="str">
        <f t="shared" si="296"/>
        <v/>
      </c>
      <c r="BN172" t="str">
        <f t="shared" si="296"/>
        <v/>
      </c>
      <c r="BO172" t="str">
        <f t="shared" si="296"/>
        <v/>
      </c>
      <c r="BP172" t="str">
        <f t="shared" si="296"/>
        <v/>
      </c>
      <c r="BQ172" t="str">
        <f t="shared" si="296"/>
        <v/>
      </c>
      <c r="BR172" t="str">
        <f t="shared" si="296"/>
        <v/>
      </c>
      <c r="BS172" t="str">
        <f t="shared" si="296"/>
        <v/>
      </c>
      <c r="BT172" t="str">
        <f t="shared" si="296"/>
        <v/>
      </c>
      <c r="BU172" t="str">
        <f t="shared" si="296"/>
        <v/>
      </c>
      <c r="BV172" t="str">
        <f t="shared" si="296"/>
        <v/>
      </c>
      <c r="BW172" t="str">
        <f t="shared" si="296"/>
        <v/>
      </c>
      <c r="BX172" t="str">
        <f t="shared" si="296"/>
        <v/>
      </c>
      <c r="BY172" t="str">
        <f t="shared" si="296"/>
        <v/>
      </c>
      <c r="BZ172" t="str">
        <f t="shared" si="296"/>
        <v/>
      </c>
      <c r="CA172" t="str">
        <f t="shared" si="296"/>
        <v/>
      </c>
      <c r="CB172" t="str">
        <f t="shared" si="268"/>
        <v/>
      </c>
      <c r="CC172">
        <f t="shared" si="269"/>
        <v>0</v>
      </c>
      <c r="CD172"/>
      <c r="CE172"/>
      <c r="CF172"/>
      <c r="CG172"/>
      <c r="CH172"/>
      <c r="CI172"/>
      <c r="CJ172"/>
      <c r="CK172"/>
      <c r="CL172"/>
      <c r="CM172"/>
      <c r="CN172"/>
      <c r="CO172"/>
      <c r="CP172"/>
      <c r="CQ172"/>
      <c r="CR172"/>
      <c r="CS172"/>
      <c r="CT172"/>
      <c r="CU172"/>
      <c r="CV172"/>
      <c r="CW172"/>
      <c r="CX172"/>
      <c r="CY172"/>
      <c r="CZ172"/>
      <c r="DA172"/>
      <c r="DB172"/>
      <c r="DC172"/>
      <c r="DD172"/>
      <c r="DE172"/>
      <c r="DF172"/>
      <c r="DG172" t="str">
        <f t="shared" si="277"/>
        <v/>
      </c>
      <c r="DH172" t="str">
        <f t="shared" si="278"/>
        <v>W</v>
      </c>
      <c r="DI172" t="e">
        <f t="shared" si="279"/>
        <v>#N/A</v>
      </c>
      <c r="DJ172" t="e">
        <f t="shared" si="280"/>
        <v>#N/A</v>
      </c>
      <c r="DK172" t="e">
        <f t="shared" si="281"/>
        <v>#N/A</v>
      </c>
      <c r="DL172" t="e">
        <f t="shared" si="282"/>
        <v>#N/A</v>
      </c>
      <c r="DM172">
        <f t="shared" si="271"/>
        <v>0</v>
      </c>
      <c r="DN172">
        <f t="shared" si="283"/>
        <v>0</v>
      </c>
      <c r="DO172">
        <f t="shared" si="272"/>
        <v>0</v>
      </c>
      <c r="DP172">
        <f t="shared" si="273"/>
        <v>0</v>
      </c>
      <c r="DQ172">
        <f t="shared" si="284"/>
        <v>0</v>
      </c>
      <c r="DR172">
        <f t="shared" si="285"/>
        <v>0</v>
      </c>
      <c r="DS172">
        <f t="shared" si="286"/>
        <v>0</v>
      </c>
      <c r="DT172">
        <f t="shared" si="287"/>
        <v>0</v>
      </c>
      <c r="DU172">
        <f t="shared" si="288"/>
        <v>0</v>
      </c>
      <c r="DV172"/>
      <c r="DW172"/>
      <c r="DX172">
        <f t="shared" si="289"/>
        <v>0</v>
      </c>
      <c r="DY172">
        <f t="shared" si="290"/>
        <v>0</v>
      </c>
      <c r="DZ172">
        <f t="shared" si="291"/>
        <v>0</v>
      </c>
      <c r="EA172" t="str">
        <f t="shared" si="292"/>
        <v/>
      </c>
      <c r="EB172">
        <f t="shared" si="293"/>
        <v>0</v>
      </c>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c r="IU172"/>
      <c r="IV172"/>
    </row>
    <row r="173" spans="1:256" s="1" customFormat="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f t="shared" si="265"/>
        <v>0</v>
      </c>
      <c r="BE173"/>
      <c r="BF173">
        <f t="shared" si="266"/>
        <v>0</v>
      </c>
      <c r="BG173"/>
      <c r="BH173" t="str">
        <f t="shared" ref="BH173:CA173" si="297">IF(BG132="","",IF(BG132="f",IF(BH132="r",0,IF(BH132="",0,1)),
IF(BG132="r",1,
IF(BG132="l",IF(BH132="l",1,0)))))</f>
        <v/>
      </c>
      <c r="BI173" t="str">
        <f t="shared" si="297"/>
        <v/>
      </c>
      <c r="BJ173" t="str">
        <f t="shared" si="297"/>
        <v/>
      </c>
      <c r="BK173" t="str">
        <f t="shared" si="297"/>
        <v/>
      </c>
      <c r="BL173" t="str">
        <f t="shared" si="297"/>
        <v/>
      </c>
      <c r="BM173" t="str">
        <f t="shared" si="297"/>
        <v/>
      </c>
      <c r="BN173" t="str">
        <f t="shared" si="297"/>
        <v/>
      </c>
      <c r="BO173" t="str">
        <f t="shared" si="297"/>
        <v/>
      </c>
      <c r="BP173" t="str">
        <f t="shared" si="297"/>
        <v/>
      </c>
      <c r="BQ173" t="str">
        <f t="shared" si="297"/>
        <v/>
      </c>
      <c r="BR173" t="str">
        <f t="shared" si="297"/>
        <v/>
      </c>
      <c r="BS173" t="str">
        <f t="shared" si="297"/>
        <v/>
      </c>
      <c r="BT173" t="str">
        <f t="shared" si="297"/>
        <v/>
      </c>
      <c r="BU173" t="str">
        <f t="shared" si="297"/>
        <v/>
      </c>
      <c r="BV173" t="str">
        <f t="shared" si="297"/>
        <v/>
      </c>
      <c r="BW173" t="str">
        <f t="shared" si="297"/>
        <v/>
      </c>
      <c r="BX173" t="str">
        <f t="shared" si="297"/>
        <v/>
      </c>
      <c r="BY173" t="str">
        <f t="shared" si="297"/>
        <v/>
      </c>
      <c r="BZ173" t="str">
        <f t="shared" si="297"/>
        <v/>
      </c>
      <c r="CA173" t="str">
        <f t="shared" si="297"/>
        <v/>
      </c>
      <c r="CB173" t="str">
        <f t="shared" si="268"/>
        <v/>
      </c>
      <c r="CC173">
        <f t="shared" si="269"/>
        <v>0</v>
      </c>
      <c r="CD173"/>
      <c r="CE173"/>
      <c r="CF173"/>
      <c r="CG173"/>
      <c r="CH173"/>
      <c r="CI173"/>
      <c r="CJ173"/>
      <c r="CK173"/>
      <c r="CL173"/>
      <c r="CM173"/>
      <c r="CN173"/>
      <c r="CO173"/>
      <c r="CP173"/>
      <c r="CQ173"/>
      <c r="CR173"/>
      <c r="CS173"/>
      <c r="CT173"/>
      <c r="CU173"/>
      <c r="CV173"/>
      <c r="CW173"/>
      <c r="CX173"/>
      <c r="CY173"/>
      <c r="CZ173"/>
      <c r="DA173"/>
      <c r="DB173"/>
      <c r="DC173"/>
      <c r="DD173"/>
      <c r="DE173"/>
      <c r="DF173"/>
      <c r="DG173" t="str">
        <f t="shared" si="277"/>
        <v/>
      </c>
      <c r="DH173" t="str">
        <f t="shared" si="278"/>
        <v>W</v>
      </c>
      <c r="DI173" t="e">
        <f t="shared" si="279"/>
        <v>#N/A</v>
      </c>
      <c r="DJ173" t="e">
        <f t="shared" si="280"/>
        <v>#N/A</v>
      </c>
      <c r="DK173" t="e">
        <f t="shared" si="281"/>
        <v>#N/A</v>
      </c>
      <c r="DL173" t="e">
        <f t="shared" si="282"/>
        <v>#N/A</v>
      </c>
      <c r="DM173">
        <f t="shared" si="271"/>
        <v>0</v>
      </c>
      <c r="DN173">
        <f t="shared" si="283"/>
        <v>0</v>
      </c>
      <c r="DO173">
        <f t="shared" si="272"/>
        <v>0</v>
      </c>
      <c r="DP173">
        <f t="shared" si="273"/>
        <v>0</v>
      </c>
      <c r="DQ173">
        <f t="shared" si="284"/>
        <v>0</v>
      </c>
      <c r="DR173">
        <f t="shared" si="285"/>
        <v>0</v>
      </c>
      <c r="DS173">
        <f t="shared" si="286"/>
        <v>0</v>
      </c>
      <c r="DT173">
        <f t="shared" si="287"/>
        <v>0</v>
      </c>
      <c r="DU173">
        <f t="shared" si="288"/>
        <v>0</v>
      </c>
      <c r="DV173"/>
      <c r="DW173"/>
      <c r="DX173">
        <f t="shared" si="289"/>
        <v>0</v>
      </c>
      <c r="DY173">
        <f t="shared" si="290"/>
        <v>0</v>
      </c>
      <c r="DZ173">
        <f t="shared" si="291"/>
        <v>0</v>
      </c>
      <c r="EA173" t="str">
        <f t="shared" si="292"/>
        <v/>
      </c>
      <c r="EB173">
        <f t="shared" si="293"/>
        <v>0</v>
      </c>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c r="IU173"/>
      <c r="IV173"/>
    </row>
    <row r="174" spans="1:256" s="1" customFormat="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f t="shared" si="265"/>
        <v>0</v>
      </c>
      <c r="BE174"/>
      <c r="BF174">
        <f t="shared" si="266"/>
        <v>0</v>
      </c>
      <c r="BG174"/>
      <c r="BH174" t="str">
        <f t="shared" ref="BH174:CA174" si="298">IF(BG133="","",IF(BG133="f",IF(BH133="r",0,IF(BH133="",0,1)),
IF(BG133="r",1,
IF(BG133="l",IF(BH133="l",1,0)))))</f>
        <v/>
      </c>
      <c r="BI174" t="str">
        <f t="shared" si="298"/>
        <v/>
      </c>
      <c r="BJ174" t="str">
        <f t="shared" si="298"/>
        <v/>
      </c>
      <c r="BK174" t="str">
        <f t="shared" si="298"/>
        <v/>
      </c>
      <c r="BL174" t="str">
        <f t="shared" si="298"/>
        <v/>
      </c>
      <c r="BM174" t="str">
        <f t="shared" si="298"/>
        <v/>
      </c>
      <c r="BN174" t="str">
        <f t="shared" si="298"/>
        <v/>
      </c>
      <c r="BO174" t="str">
        <f t="shared" si="298"/>
        <v/>
      </c>
      <c r="BP174" t="str">
        <f t="shared" si="298"/>
        <v/>
      </c>
      <c r="BQ174" t="str">
        <f t="shared" si="298"/>
        <v/>
      </c>
      <c r="BR174" t="str">
        <f t="shared" si="298"/>
        <v/>
      </c>
      <c r="BS174" t="str">
        <f t="shared" si="298"/>
        <v/>
      </c>
      <c r="BT174" t="str">
        <f t="shared" si="298"/>
        <v/>
      </c>
      <c r="BU174" t="str">
        <f t="shared" si="298"/>
        <v/>
      </c>
      <c r="BV174" t="str">
        <f t="shared" si="298"/>
        <v/>
      </c>
      <c r="BW174" t="str">
        <f t="shared" si="298"/>
        <v/>
      </c>
      <c r="BX174" t="str">
        <f t="shared" si="298"/>
        <v/>
      </c>
      <c r="BY174" t="str">
        <f t="shared" si="298"/>
        <v/>
      </c>
      <c r="BZ174" t="str">
        <f t="shared" si="298"/>
        <v/>
      </c>
      <c r="CA174" t="str">
        <f t="shared" si="298"/>
        <v/>
      </c>
      <c r="CB174" t="str">
        <f t="shared" si="268"/>
        <v/>
      </c>
      <c r="CC174">
        <f t="shared" si="269"/>
        <v>0</v>
      </c>
      <c r="CD174"/>
      <c r="CE174"/>
      <c r="CF174"/>
      <c r="CG174"/>
      <c r="CH174"/>
      <c r="CI174"/>
      <c r="CJ174"/>
      <c r="CK174"/>
      <c r="CL174"/>
      <c r="CM174"/>
      <c r="CN174"/>
      <c r="CO174"/>
      <c r="CP174"/>
      <c r="CQ174"/>
      <c r="CR174"/>
      <c r="CS174"/>
      <c r="CT174"/>
      <c r="CU174"/>
      <c r="CV174"/>
      <c r="CW174"/>
      <c r="CX174"/>
      <c r="CY174"/>
      <c r="CZ174"/>
      <c r="DA174"/>
      <c r="DB174"/>
      <c r="DC174"/>
      <c r="DD174"/>
      <c r="DE174"/>
      <c r="DF174"/>
      <c r="DG174" t="str">
        <f t="shared" si="277"/>
        <v/>
      </c>
      <c r="DH174" t="str">
        <f t="shared" si="278"/>
        <v>W</v>
      </c>
      <c r="DI174" t="e">
        <f t="shared" si="279"/>
        <v>#N/A</v>
      </c>
      <c r="DJ174" t="e">
        <f t="shared" si="280"/>
        <v>#N/A</v>
      </c>
      <c r="DK174" t="e">
        <f t="shared" si="281"/>
        <v>#N/A</v>
      </c>
      <c r="DL174" t="e">
        <f t="shared" si="282"/>
        <v>#N/A</v>
      </c>
      <c r="DM174">
        <f t="shared" si="271"/>
        <v>0</v>
      </c>
      <c r="DN174">
        <f t="shared" si="283"/>
        <v>0</v>
      </c>
      <c r="DO174">
        <f t="shared" si="272"/>
        <v>0</v>
      </c>
      <c r="DP174">
        <f t="shared" si="273"/>
        <v>0</v>
      </c>
      <c r="DQ174">
        <f t="shared" si="284"/>
        <v>0</v>
      </c>
      <c r="DR174">
        <f t="shared" si="285"/>
        <v>0</v>
      </c>
      <c r="DS174">
        <f t="shared" si="286"/>
        <v>0</v>
      </c>
      <c r="DT174">
        <f t="shared" si="287"/>
        <v>0</v>
      </c>
      <c r="DU174">
        <f t="shared" si="288"/>
        <v>0</v>
      </c>
      <c r="DV174"/>
      <c r="DW174"/>
      <c r="DX174">
        <f t="shared" si="289"/>
        <v>0</v>
      </c>
      <c r="DY174">
        <f t="shared" si="290"/>
        <v>0</v>
      </c>
      <c r="DZ174">
        <f t="shared" si="291"/>
        <v>0</v>
      </c>
      <c r="EA174" t="str">
        <f t="shared" si="292"/>
        <v/>
      </c>
      <c r="EB174">
        <f t="shared" si="293"/>
        <v>0</v>
      </c>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c r="IU174"/>
      <c r="IV174"/>
    </row>
    <row r="175" spans="1:256" s="1" customFormat="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f t="shared" si="265"/>
        <v>0</v>
      </c>
      <c r="BE175"/>
      <c r="BF175">
        <f t="shared" si="266"/>
        <v>0</v>
      </c>
      <c r="BG175"/>
      <c r="BH175" t="str">
        <f t="shared" ref="BH175:CA175" si="299">IF(BG134="","",IF(BG134="f",IF(BH134="r",0,IF(BH134="",0,1)),
IF(BG134="r",1,
IF(BG134="l",IF(BH134="l",1,0)))))</f>
        <v/>
      </c>
      <c r="BI175" t="str">
        <f t="shared" si="299"/>
        <v/>
      </c>
      <c r="BJ175" t="str">
        <f t="shared" si="299"/>
        <v/>
      </c>
      <c r="BK175" t="str">
        <f t="shared" si="299"/>
        <v/>
      </c>
      <c r="BL175" t="str">
        <f t="shared" si="299"/>
        <v/>
      </c>
      <c r="BM175" t="str">
        <f t="shared" si="299"/>
        <v/>
      </c>
      <c r="BN175" t="str">
        <f t="shared" si="299"/>
        <v/>
      </c>
      <c r="BO175" t="str">
        <f t="shared" si="299"/>
        <v/>
      </c>
      <c r="BP175" t="str">
        <f t="shared" si="299"/>
        <v/>
      </c>
      <c r="BQ175" t="str">
        <f t="shared" si="299"/>
        <v/>
      </c>
      <c r="BR175" t="str">
        <f t="shared" si="299"/>
        <v/>
      </c>
      <c r="BS175" t="str">
        <f t="shared" si="299"/>
        <v/>
      </c>
      <c r="BT175" t="str">
        <f t="shared" si="299"/>
        <v/>
      </c>
      <c r="BU175" t="str">
        <f t="shared" si="299"/>
        <v/>
      </c>
      <c r="BV175" t="str">
        <f t="shared" si="299"/>
        <v/>
      </c>
      <c r="BW175" t="str">
        <f t="shared" si="299"/>
        <v/>
      </c>
      <c r="BX175" t="str">
        <f t="shared" si="299"/>
        <v/>
      </c>
      <c r="BY175" t="str">
        <f t="shared" si="299"/>
        <v/>
      </c>
      <c r="BZ175" t="str">
        <f t="shared" si="299"/>
        <v/>
      </c>
      <c r="CA175" t="str">
        <f t="shared" si="299"/>
        <v/>
      </c>
      <c r="CB175" t="str">
        <f t="shared" si="268"/>
        <v/>
      </c>
      <c r="CC175">
        <f t="shared" si="269"/>
        <v>0</v>
      </c>
      <c r="CD175"/>
      <c r="CE175"/>
      <c r="CF175"/>
      <c r="CG175"/>
      <c r="CH175"/>
      <c r="CI175"/>
      <c r="CJ175"/>
      <c r="CK175"/>
      <c r="CL175"/>
      <c r="CM175"/>
      <c r="CN175"/>
      <c r="CO175"/>
      <c r="CP175"/>
      <c r="CQ175"/>
      <c r="CR175"/>
      <c r="CS175"/>
      <c r="CT175"/>
      <c r="CU175"/>
      <c r="CV175"/>
      <c r="CW175"/>
      <c r="CX175"/>
      <c r="CY175"/>
      <c r="CZ175"/>
      <c r="DA175"/>
      <c r="DB175"/>
      <c r="DC175"/>
      <c r="DD175"/>
      <c r="DE175"/>
      <c r="DF175"/>
      <c r="DG175" t="str">
        <f t="shared" si="277"/>
        <v/>
      </c>
      <c r="DH175" t="str">
        <f t="shared" si="278"/>
        <v>W</v>
      </c>
      <c r="DI175" t="e">
        <f t="shared" si="279"/>
        <v>#N/A</v>
      </c>
      <c r="DJ175" t="e">
        <f t="shared" si="280"/>
        <v>#N/A</v>
      </c>
      <c r="DK175" t="e">
        <f t="shared" si="281"/>
        <v>#N/A</v>
      </c>
      <c r="DL175" t="e">
        <f t="shared" si="282"/>
        <v>#N/A</v>
      </c>
      <c r="DM175">
        <f t="shared" si="271"/>
        <v>0</v>
      </c>
      <c r="DN175">
        <f t="shared" si="283"/>
        <v>0</v>
      </c>
      <c r="DO175">
        <f t="shared" si="272"/>
        <v>0</v>
      </c>
      <c r="DP175">
        <f t="shared" si="273"/>
        <v>0</v>
      </c>
      <c r="DQ175">
        <f t="shared" si="284"/>
        <v>0</v>
      </c>
      <c r="DR175">
        <f t="shared" si="285"/>
        <v>0</v>
      </c>
      <c r="DS175">
        <f t="shared" si="286"/>
        <v>0</v>
      </c>
      <c r="DT175">
        <f t="shared" si="287"/>
        <v>0</v>
      </c>
      <c r="DU175">
        <f t="shared" si="288"/>
        <v>0</v>
      </c>
      <c r="DV175"/>
      <c r="DW175"/>
      <c r="DX175">
        <f t="shared" si="289"/>
        <v>0</v>
      </c>
      <c r="DY175">
        <f t="shared" si="290"/>
        <v>0</v>
      </c>
      <c r="DZ175">
        <f t="shared" si="291"/>
        <v>0</v>
      </c>
      <c r="EA175" t="str">
        <f t="shared" si="292"/>
        <v/>
      </c>
      <c r="EB175">
        <f t="shared" si="293"/>
        <v>0</v>
      </c>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c r="IU175"/>
      <c r="IV175"/>
    </row>
    <row r="176" spans="1:256" s="1" customFormat="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f t="shared" si="265"/>
        <v>0</v>
      </c>
      <c r="BE176"/>
      <c r="BF176">
        <f t="shared" si="266"/>
        <v>0</v>
      </c>
      <c r="BG176"/>
      <c r="BH176" t="str">
        <f t="shared" ref="BH176:CA176" si="300">IF(BG135="","",IF(BG135="f",IF(BH135="r",0,IF(BH135="",0,1)),
IF(BG135="r",1,
IF(BG135="l",IF(BH135="l",1,0)))))</f>
        <v/>
      </c>
      <c r="BI176" t="str">
        <f t="shared" si="300"/>
        <v/>
      </c>
      <c r="BJ176" t="str">
        <f t="shared" si="300"/>
        <v/>
      </c>
      <c r="BK176" t="str">
        <f t="shared" si="300"/>
        <v/>
      </c>
      <c r="BL176" t="str">
        <f t="shared" si="300"/>
        <v/>
      </c>
      <c r="BM176" t="str">
        <f t="shared" si="300"/>
        <v/>
      </c>
      <c r="BN176" t="str">
        <f t="shared" si="300"/>
        <v/>
      </c>
      <c r="BO176" t="str">
        <f t="shared" si="300"/>
        <v/>
      </c>
      <c r="BP176" t="str">
        <f t="shared" si="300"/>
        <v/>
      </c>
      <c r="BQ176" t="str">
        <f t="shared" si="300"/>
        <v/>
      </c>
      <c r="BR176" t="str">
        <f t="shared" si="300"/>
        <v/>
      </c>
      <c r="BS176" t="str">
        <f t="shared" si="300"/>
        <v/>
      </c>
      <c r="BT176" t="str">
        <f t="shared" si="300"/>
        <v/>
      </c>
      <c r="BU176" t="str">
        <f t="shared" si="300"/>
        <v/>
      </c>
      <c r="BV176" t="str">
        <f t="shared" si="300"/>
        <v/>
      </c>
      <c r="BW176" t="str">
        <f t="shared" si="300"/>
        <v/>
      </c>
      <c r="BX176" t="str">
        <f t="shared" si="300"/>
        <v/>
      </c>
      <c r="BY176" t="str">
        <f t="shared" si="300"/>
        <v/>
      </c>
      <c r="BZ176" t="str">
        <f t="shared" si="300"/>
        <v/>
      </c>
      <c r="CA176" t="str">
        <f t="shared" si="300"/>
        <v/>
      </c>
      <c r="CB176" t="str">
        <f t="shared" si="268"/>
        <v/>
      </c>
      <c r="CC176">
        <f t="shared" si="269"/>
        <v>0</v>
      </c>
      <c r="CD176"/>
      <c r="CE176"/>
      <c r="CF176"/>
      <c r="CG176"/>
      <c r="CH176"/>
      <c r="CI176"/>
      <c r="CJ176"/>
      <c r="CK176"/>
      <c r="CL176"/>
      <c r="CM176"/>
      <c r="CN176"/>
      <c r="CO176"/>
      <c r="CP176"/>
      <c r="CQ176"/>
      <c r="CR176"/>
      <c r="CS176"/>
      <c r="CT176"/>
      <c r="CU176"/>
      <c r="CV176"/>
      <c r="CW176"/>
      <c r="CX176"/>
      <c r="CY176"/>
      <c r="CZ176"/>
      <c r="DA176"/>
      <c r="DB176"/>
      <c r="DC176"/>
      <c r="DD176"/>
      <c r="DE176"/>
      <c r="DF176"/>
      <c r="DG176" t="str">
        <f t="shared" si="277"/>
        <v/>
      </c>
      <c r="DH176" t="str">
        <f t="shared" si="278"/>
        <v>W</v>
      </c>
      <c r="DI176" t="e">
        <f t="shared" si="279"/>
        <v>#N/A</v>
      </c>
      <c r="DJ176" t="e">
        <f t="shared" si="280"/>
        <v>#N/A</v>
      </c>
      <c r="DK176" t="e">
        <f t="shared" si="281"/>
        <v>#N/A</v>
      </c>
      <c r="DL176" t="e">
        <f t="shared" si="282"/>
        <v>#N/A</v>
      </c>
      <c r="DM176">
        <f t="shared" si="271"/>
        <v>0</v>
      </c>
      <c r="DN176">
        <f t="shared" si="283"/>
        <v>0</v>
      </c>
      <c r="DO176">
        <f t="shared" si="272"/>
        <v>0</v>
      </c>
      <c r="DP176">
        <f t="shared" si="273"/>
        <v>0</v>
      </c>
      <c r="DQ176">
        <f t="shared" si="284"/>
        <v>0</v>
      </c>
      <c r="DR176">
        <f t="shared" si="285"/>
        <v>0</v>
      </c>
      <c r="DS176">
        <f t="shared" si="286"/>
        <v>0</v>
      </c>
      <c r="DT176">
        <f t="shared" si="287"/>
        <v>0</v>
      </c>
      <c r="DU176">
        <f t="shared" si="288"/>
        <v>0</v>
      </c>
      <c r="DV176"/>
      <c r="DW176"/>
      <c r="DX176">
        <f t="shared" si="289"/>
        <v>0</v>
      </c>
      <c r="DY176">
        <f t="shared" si="290"/>
        <v>0</v>
      </c>
      <c r="DZ176">
        <f t="shared" si="291"/>
        <v>0</v>
      </c>
      <c r="EA176" t="str">
        <f t="shared" si="292"/>
        <v/>
      </c>
      <c r="EB176">
        <f t="shared" si="293"/>
        <v>0</v>
      </c>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c r="IU176"/>
      <c r="IV176"/>
    </row>
    <row r="177" spans="1:256" s="1" customFormat="1"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f t="shared" si="265"/>
        <v>0</v>
      </c>
      <c r="BE177"/>
      <c r="BF177">
        <f t="shared" si="266"/>
        <v>0</v>
      </c>
      <c r="BG177"/>
      <c r="BH177" t="str">
        <f t="shared" ref="BH177:CA177" si="301">IF(BG136="","",IF(BG136="f",IF(BH136="r",0,IF(BH136="",0,1)),
IF(BG136="r",1,
IF(BG136="l",IF(BH136="l",1,0)))))</f>
        <v/>
      </c>
      <c r="BI177" t="str">
        <f t="shared" si="301"/>
        <v/>
      </c>
      <c r="BJ177" t="str">
        <f t="shared" si="301"/>
        <v/>
      </c>
      <c r="BK177" t="str">
        <f t="shared" si="301"/>
        <v/>
      </c>
      <c r="BL177" t="str">
        <f t="shared" si="301"/>
        <v/>
      </c>
      <c r="BM177" t="str">
        <f t="shared" si="301"/>
        <v/>
      </c>
      <c r="BN177" t="str">
        <f t="shared" si="301"/>
        <v/>
      </c>
      <c r="BO177" t="str">
        <f t="shared" si="301"/>
        <v/>
      </c>
      <c r="BP177" t="str">
        <f t="shared" si="301"/>
        <v/>
      </c>
      <c r="BQ177" t="str">
        <f t="shared" si="301"/>
        <v/>
      </c>
      <c r="BR177" t="str">
        <f t="shared" si="301"/>
        <v/>
      </c>
      <c r="BS177" t="str">
        <f t="shared" si="301"/>
        <v/>
      </c>
      <c r="BT177" t="str">
        <f t="shared" si="301"/>
        <v/>
      </c>
      <c r="BU177" t="str">
        <f t="shared" si="301"/>
        <v/>
      </c>
      <c r="BV177" t="str">
        <f t="shared" si="301"/>
        <v/>
      </c>
      <c r="BW177" t="str">
        <f t="shared" si="301"/>
        <v/>
      </c>
      <c r="BX177" t="str">
        <f t="shared" si="301"/>
        <v/>
      </c>
      <c r="BY177" t="str">
        <f t="shared" si="301"/>
        <v/>
      </c>
      <c r="BZ177" t="str">
        <f t="shared" si="301"/>
        <v/>
      </c>
      <c r="CA177" t="str">
        <f t="shared" si="301"/>
        <v/>
      </c>
      <c r="CB177" t="str">
        <f t="shared" si="268"/>
        <v/>
      </c>
      <c r="CC177">
        <f t="shared" si="269"/>
        <v>0</v>
      </c>
      <c r="CD177"/>
      <c r="CE177"/>
      <c r="CF177"/>
      <c r="CG177"/>
      <c r="CH177"/>
      <c r="CI177"/>
      <c r="CJ177"/>
      <c r="CK177"/>
      <c r="CL177"/>
      <c r="CM177"/>
      <c r="CN177"/>
      <c r="CO177"/>
      <c r="CP177"/>
      <c r="CQ177"/>
      <c r="CR177"/>
      <c r="CS177"/>
      <c r="CT177"/>
      <c r="CU177"/>
      <c r="CV177"/>
      <c r="CW177"/>
      <c r="CX177"/>
      <c r="CY177"/>
      <c r="CZ177"/>
      <c r="DA177"/>
      <c r="DB177"/>
      <c r="DC177"/>
      <c r="DD177"/>
      <c r="DE177"/>
      <c r="DF177"/>
      <c r="DG177" t="str">
        <f t="shared" si="277"/>
        <v/>
      </c>
      <c r="DH177" t="str">
        <f t="shared" si="278"/>
        <v>W</v>
      </c>
      <c r="DI177" t="e">
        <f t="shared" si="279"/>
        <v>#N/A</v>
      </c>
      <c r="DJ177" t="e">
        <f t="shared" si="280"/>
        <v>#N/A</v>
      </c>
      <c r="DK177" t="e">
        <f t="shared" si="281"/>
        <v>#N/A</v>
      </c>
      <c r="DL177" t="e">
        <f t="shared" si="282"/>
        <v>#N/A</v>
      </c>
      <c r="DM177">
        <f t="shared" si="271"/>
        <v>0</v>
      </c>
      <c r="DN177">
        <f t="shared" si="283"/>
        <v>0</v>
      </c>
      <c r="DO177">
        <f t="shared" si="272"/>
        <v>0</v>
      </c>
      <c r="DP177">
        <f t="shared" si="273"/>
        <v>0</v>
      </c>
      <c r="DQ177">
        <f t="shared" si="284"/>
        <v>0</v>
      </c>
      <c r="DR177">
        <f t="shared" si="285"/>
        <v>0</v>
      </c>
      <c r="DS177">
        <f t="shared" si="286"/>
        <v>0</v>
      </c>
      <c r="DT177">
        <f t="shared" si="287"/>
        <v>0</v>
      </c>
      <c r="DU177">
        <f t="shared" si="288"/>
        <v>0</v>
      </c>
      <c r="DV177"/>
      <c r="DW177"/>
      <c r="DX177">
        <f t="shared" si="289"/>
        <v>0</v>
      </c>
      <c r="DY177">
        <f t="shared" si="290"/>
        <v>0</v>
      </c>
      <c r="DZ177">
        <f t="shared" si="291"/>
        <v>0</v>
      </c>
      <c r="EA177" t="str">
        <f t="shared" si="292"/>
        <v/>
      </c>
      <c r="EB177">
        <f t="shared" si="293"/>
        <v>0</v>
      </c>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row>
    <row r="178" spans="1:256" s="1" customFormat="1"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f t="shared" si="265"/>
        <v>0</v>
      </c>
      <c r="BE178"/>
      <c r="BF178">
        <f t="shared" si="266"/>
        <v>0</v>
      </c>
      <c r="BG178"/>
      <c r="BH178" t="str">
        <f t="shared" ref="BH178:CA178" si="302">IF(BG137="","",IF(BG137="f",IF(BH137="r",0,IF(BH137="",0,1)),
IF(BG137="r",1,
IF(BG137="l",IF(BH137="l",1,0)))))</f>
        <v/>
      </c>
      <c r="BI178" t="str">
        <f t="shared" si="302"/>
        <v/>
      </c>
      <c r="BJ178" t="str">
        <f t="shared" si="302"/>
        <v/>
      </c>
      <c r="BK178" t="str">
        <f t="shared" si="302"/>
        <v/>
      </c>
      <c r="BL178" t="str">
        <f t="shared" si="302"/>
        <v/>
      </c>
      <c r="BM178" t="str">
        <f t="shared" si="302"/>
        <v/>
      </c>
      <c r="BN178" t="str">
        <f t="shared" si="302"/>
        <v/>
      </c>
      <c r="BO178" t="str">
        <f t="shared" si="302"/>
        <v/>
      </c>
      <c r="BP178" t="str">
        <f t="shared" si="302"/>
        <v/>
      </c>
      <c r="BQ178" t="str">
        <f t="shared" si="302"/>
        <v/>
      </c>
      <c r="BR178" t="str">
        <f t="shared" si="302"/>
        <v/>
      </c>
      <c r="BS178" t="str">
        <f t="shared" si="302"/>
        <v/>
      </c>
      <c r="BT178" t="str">
        <f t="shared" si="302"/>
        <v/>
      </c>
      <c r="BU178" t="str">
        <f t="shared" si="302"/>
        <v/>
      </c>
      <c r="BV178" t="str">
        <f t="shared" si="302"/>
        <v/>
      </c>
      <c r="BW178" t="str">
        <f t="shared" si="302"/>
        <v/>
      </c>
      <c r="BX178" t="str">
        <f t="shared" si="302"/>
        <v/>
      </c>
      <c r="BY178" t="str">
        <f t="shared" si="302"/>
        <v/>
      </c>
      <c r="BZ178" t="str">
        <f t="shared" si="302"/>
        <v/>
      </c>
      <c r="CA178" t="str">
        <f t="shared" si="302"/>
        <v/>
      </c>
      <c r="CB178" t="str">
        <f t="shared" si="268"/>
        <v/>
      </c>
      <c r="CC178">
        <f t="shared" si="269"/>
        <v>0</v>
      </c>
      <c r="CD178"/>
      <c r="CE178"/>
      <c r="CF178"/>
      <c r="CG178"/>
      <c r="CH178"/>
      <c r="CI178"/>
      <c r="CJ178"/>
      <c r="CK178"/>
      <c r="CL178"/>
      <c r="CM178"/>
      <c r="CN178"/>
      <c r="CO178"/>
      <c r="CP178"/>
      <c r="CQ178"/>
      <c r="CR178"/>
      <c r="CS178"/>
      <c r="CT178"/>
      <c r="CU178"/>
      <c r="CV178"/>
      <c r="CW178"/>
      <c r="CX178"/>
      <c r="CY178"/>
      <c r="CZ178"/>
      <c r="DA178"/>
      <c r="DB178"/>
      <c r="DC178"/>
      <c r="DD178"/>
      <c r="DE178"/>
      <c r="DF178"/>
      <c r="DG178" t="str">
        <f t="shared" si="277"/>
        <v/>
      </c>
      <c r="DH178" t="str">
        <f t="shared" si="278"/>
        <v>W</v>
      </c>
      <c r="DI178" t="e">
        <f t="shared" si="279"/>
        <v>#N/A</v>
      </c>
      <c r="DJ178" t="e">
        <f t="shared" si="280"/>
        <v>#N/A</v>
      </c>
      <c r="DK178" t="e">
        <f t="shared" si="281"/>
        <v>#N/A</v>
      </c>
      <c r="DL178" t="e">
        <f t="shared" si="282"/>
        <v>#N/A</v>
      </c>
      <c r="DM178">
        <f t="shared" si="271"/>
        <v>0</v>
      </c>
      <c r="DN178">
        <f t="shared" si="283"/>
        <v>0</v>
      </c>
      <c r="DO178">
        <f t="shared" si="272"/>
        <v>0</v>
      </c>
      <c r="DP178">
        <f t="shared" si="273"/>
        <v>0</v>
      </c>
      <c r="DQ178">
        <f t="shared" si="284"/>
        <v>0</v>
      </c>
      <c r="DR178">
        <f t="shared" si="285"/>
        <v>0</v>
      </c>
      <c r="DS178">
        <f t="shared" si="286"/>
        <v>0</v>
      </c>
      <c r="DT178">
        <f t="shared" si="287"/>
        <v>0</v>
      </c>
      <c r="DU178">
        <f t="shared" si="288"/>
        <v>0</v>
      </c>
      <c r="DV178"/>
      <c r="DW178"/>
      <c r="DX178">
        <f t="shared" si="289"/>
        <v>0</v>
      </c>
      <c r="DY178">
        <f t="shared" si="290"/>
        <v>0</v>
      </c>
      <c r="DZ178">
        <f t="shared" si="291"/>
        <v>0</v>
      </c>
      <c r="EA178" t="str">
        <f t="shared" si="292"/>
        <v/>
      </c>
      <c r="EB178">
        <f t="shared" si="293"/>
        <v>0</v>
      </c>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c r="IU178"/>
      <c r="IV178"/>
    </row>
    <row r="179" spans="1:256" s="1" customFormat="1"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f t="shared" si="265"/>
        <v>0</v>
      </c>
      <c r="BE179"/>
      <c r="BF179">
        <f t="shared" si="266"/>
        <v>0</v>
      </c>
      <c r="BG179"/>
      <c r="BH179" t="str">
        <f t="shared" ref="BH179:CA179" si="303">IF(BG138="","",IF(BG138="f",IF(BH138="r",0,IF(BH138="",0,1)),
IF(BG138="r",1,
IF(BG138="l",IF(BH138="l",1,0)))))</f>
        <v/>
      </c>
      <c r="BI179" t="str">
        <f t="shared" si="303"/>
        <v/>
      </c>
      <c r="BJ179" t="str">
        <f t="shared" si="303"/>
        <v/>
      </c>
      <c r="BK179" t="str">
        <f t="shared" si="303"/>
        <v/>
      </c>
      <c r="BL179" t="str">
        <f t="shared" si="303"/>
        <v/>
      </c>
      <c r="BM179" t="str">
        <f t="shared" si="303"/>
        <v/>
      </c>
      <c r="BN179" t="str">
        <f t="shared" si="303"/>
        <v/>
      </c>
      <c r="BO179" t="str">
        <f t="shared" si="303"/>
        <v/>
      </c>
      <c r="BP179" t="str">
        <f t="shared" si="303"/>
        <v/>
      </c>
      <c r="BQ179" t="str">
        <f t="shared" si="303"/>
        <v/>
      </c>
      <c r="BR179" t="str">
        <f t="shared" si="303"/>
        <v/>
      </c>
      <c r="BS179" t="str">
        <f t="shared" si="303"/>
        <v/>
      </c>
      <c r="BT179" t="str">
        <f t="shared" si="303"/>
        <v/>
      </c>
      <c r="BU179" t="str">
        <f t="shared" si="303"/>
        <v/>
      </c>
      <c r="BV179" t="str">
        <f t="shared" si="303"/>
        <v/>
      </c>
      <c r="BW179" t="str">
        <f t="shared" si="303"/>
        <v/>
      </c>
      <c r="BX179" t="str">
        <f t="shared" si="303"/>
        <v/>
      </c>
      <c r="BY179" t="str">
        <f t="shared" si="303"/>
        <v/>
      </c>
      <c r="BZ179" t="str">
        <f t="shared" si="303"/>
        <v/>
      </c>
      <c r="CA179" t="str">
        <f t="shared" si="303"/>
        <v/>
      </c>
      <c r="CB179" t="str">
        <f t="shared" si="268"/>
        <v/>
      </c>
      <c r="CC179">
        <f t="shared" si="269"/>
        <v>0</v>
      </c>
      <c r="CD179"/>
      <c r="CE179"/>
      <c r="CF179"/>
      <c r="CG179"/>
      <c r="CH179"/>
      <c r="CI179"/>
      <c r="CJ179"/>
      <c r="CK179"/>
      <c r="CL179"/>
      <c r="CM179"/>
      <c r="CN179"/>
      <c r="CO179"/>
      <c r="CP179"/>
      <c r="CQ179"/>
      <c r="CR179"/>
      <c r="CS179"/>
      <c r="CT179"/>
      <c r="CU179"/>
      <c r="CV179"/>
      <c r="CW179"/>
      <c r="CX179"/>
      <c r="CY179"/>
      <c r="CZ179"/>
      <c r="DA179"/>
      <c r="DB179"/>
      <c r="DC179"/>
      <c r="DD179"/>
      <c r="DE179"/>
      <c r="DF179"/>
      <c r="DG179" t="str">
        <f t="shared" si="277"/>
        <v/>
      </c>
      <c r="DH179" t="str">
        <f t="shared" si="278"/>
        <v>W</v>
      </c>
      <c r="DI179" t="e">
        <f t="shared" si="279"/>
        <v>#N/A</v>
      </c>
      <c r="DJ179" t="e">
        <f t="shared" si="280"/>
        <v>#N/A</v>
      </c>
      <c r="DK179" t="e">
        <f t="shared" si="281"/>
        <v>#N/A</v>
      </c>
      <c r="DL179" t="e">
        <f t="shared" si="282"/>
        <v>#N/A</v>
      </c>
      <c r="DM179">
        <f t="shared" si="271"/>
        <v>0</v>
      </c>
      <c r="DN179">
        <f t="shared" si="283"/>
        <v>0</v>
      </c>
      <c r="DO179">
        <f t="shared" si="272"/>
        <v>0</v>
      </c>
      <c r="DP179">
        <f t="shared" si="273"/>
        <v>0</v>
      </c>
      <c r="DQ179">
        <f t="shared" si="284"/>
        <v>0</v>
      </c>
      <c r="DR179">
        <f t="shared" si="285"/>
        <v>0</v>
      </c>
      <c r="DS179">
        <f t="shared" si="286"/>
        <v>0</v>
      </c>
      <c r="DT179">
        <f t="shared" si="287"/>
        <v>0</v>
      </c>
      <c r="DU179">
        <f t="shared" si="288"/>
        <v>0</v>
      </c>
      <c r="DV179"/>
      <c r="DW179"/>
      <c r="DX179">
        <f t="shared" si="289"/>
        <v>0</v>
      </c>
      <c r="DY179">
        <f t="shared" si="290"/>
        <v>0</v>
      </c>
      <c r="DZ179">
        <f t="shared" si="291"/>
        <v>0</v>
      </c>
      <c r="EA179" t="str">
        <f t="shared" si="292"/>
        <v/>
      </c>
      <c r="EB179">
        <f t="shared" si="293"/>
        <v>0</v>
      </c>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c r="IU179"/>
      <c r="IV179"/>
    </row>
    <row r="180" spans="1:256" s="1" customFormat="1"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f t="shared" si="265"/>
        <v>0</v>
      </c>
      <c r="BE180"/>
      <c r="BF180">
        <f t="shared" si="266"/>
        <v>0</v>
      </c>
      <c r="BG180"/>
      <c r="BH180" t="str">
        <f t="shared" ref="BH180:CA180" si="304">IF(BG139="","",IF(BG139="f",IF(BH139="r",0,IF(BH139="",0,1)),
IF(BG139="r",1,
IF(BG139="l",IF(BH139="l",1,0)))))</f>
        <v/>
      </c>
      <c r="BI180" t="str">
        <f t="shared" si="304"/>
        <v/>
      </c>
      <c r="BJ180" t="str">
        <f t="shared" si="304"/>
        <v/>
      </c>
      <c r="BK180" t="str">
        <f t="shared" si="304"/>
        <v/>
      </c>
      <c r="BL180" t="str">
        <f t="shared" si="304"/>
        <v/>
      </c>
      <c r="BM180" t="str">
        <f t="shared" si="304"/>
        <v/>
      </c>
      <c r="BN180" t="str">
        <f t="shared" si="304"/>
        <v/>
      </c>
      <c r="BO180" t="str">
        <f t="shared" si="304"/>
        <v/>
      </c>
      <c r="BP180" t="str">
        <f t="shared" si="304"/>
        <v/>
      </c>
      <c r="BQ180" t="str">
        <f t="shared" si="304"/>
        <v/>
      </c>
      <c r="BR180" t="str">
        <f t="shared" si="304"/>
        <v/>
      </c>
      <c r="BS180" t="str">
        <f t="shared" si="304"/>
        <v/>
      </c>
      <c r="BT180" t="str">
        <f t="shared" si="304"/>
        <v/>
      </c>
      <c r="BU180" t="str">
        <f t="shared" si="304"/>
        <v/>
      </c>
      <c r="BV180" t="str">
        <f t="shared" si="304"/>
        <v/>
      </c>
      <c r="BW180" t="str">
        <f t="shared" si="304"/>
        <v/>
      </c>
      <c r="BX180" t="str">
        <f t="shared" si="304"/>
        <v/>
      </c>
      <c r="BY180" t="str">
        <f t="shared" si="304"/>
        <v/>
      </c>
      <c r="BZ180" t="str">
        <f t="shared" si="304"/>
        <v/>
      </c>
      <c r="CA180" t="str">
        <f t="shared" si="304"/>
        <v/>
      </c>
      <c r="CB180" t="str">
        <f t="shared" si="268"/>
        <v/>
      </c>
      <c r="CC180">
        <f t="shared" si="269"/>
        <v>0</v>
      </c>
      <c r="CD180"/>
      <c r="CE180"/>
      <c r="CF180"/>
      <c r="CG180"/>
      <c r="CH180"/>
      <c r="CI180"/>
      <c r="CJ180"/>
      <c r="CK180"/>
      <c r="CL180"/>
      <c r="CM180"/>
      <c r="CN180"/>
      <c r="CO180"/>
      <c r="CP180"/>
      <c r="CQ180"/>
      <c r="CR180"/>
      <c r="CS180"/>
      <c r="CT180"/>
      <c r="CU180"/>
      <c r="CV180"/>
      <c r="CW180"/>
      <c r="CX180"/>
      <c r="CY180"/>
      <c r="CZ180"/>
      <c r="DA180"/>
      <c r="DB180"/>
      <c r="DC180"/>
      <c r="DD180"/>
      <c r="DE180"/>
      <c r="DF180"/>
      <c r="DG180" t="str">
        <f t="shared" si="277"/>
        <v/>
      </c>
      <c r="DH180" t="str">
        <f t="shared" si="278"/>
        <v>W</v>
      </c>
      <c r="DI180" t="e">
        <f t="shared" si="279"/>
        <v>#N/A</v>
      </c>
      <c r="DJ180" t="e">
        <f t="shared" si="280"/>
        <v>#N/A</v>
      </c>
      <c r="DK180" t="e">
        <f t="shared" si="281"/>
        <v>#N/A</v>
      </c>
      <c r="DL180" t="e">
        <f t="shared" si="282"/>
        <v>#N/A</v>
      </c>
      <c r="DM180">
        <f t="shared" si="271"/>
        <v>0</v>
      </c>
      <c r="DN180">
        <f t="shared" si="283"/>
        <v>0</v>
      </c>
      <c r="DO180">
        <f t="shared" si="272"/>
        <v>0</v>
      </c>
      <c r="DP180">
        <f t="shared" si="273"/>
        <v>0</v>
      </c>
      <c r="DQ180">
        <f t="shared" si="284"/>
        <v>0</v>
      </c>
      <c r="DR180">
        <f t="shared" si="285"/>
        <v>0</v>
      </c>
      <c r="DS180">
        <f t="shared" si="286"/>
        <v>0</v>
      </c>
      <c r="DT180">
        <f t="shared" si="287"/>
        <v>0</v>
      </c>
      <c r="DU180">
        <f t="shared" si="288"/>
        <v>0</v>
      </c>
      <c r="DV180"/>
      <c r="DW180"/>
      <c r="DX180">
        <f t="shared" si="289"/>
        <v>0</v>
      </c>
      <c r="DY180">
        <f t="shared" si="290"/>
        <v>0</v>
      </c>
      <c r="DZ180">
        <f t="shared" si="291"/>
        <v>0</v>
      </c>
      <c r="EA180" t="str">
        <f t="shared" si="292"/>
        <v/>
      </c>
      <c r="EB180">
        <f t="shared" si="293"/>
        <v>0</v>
      </c>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c r="IU180"/>
      <c r="IV180"/>
    </row>
    <row r="181" spans="1:256" s="1" customFormat="1"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f t="shared" si="265"/>
        <v>0</v>
      </c>
      <c r="BE181"/>
      <c r="BF181">
        <f t="shared" si="266"/>
        <v>0</v>
      </c>
      <c r="BG181"/>
      <c r="BH181" t="str">
        <f t="shared" ref="BH181:CA181" si="305">IF(BG140="","",IF(BG140="f",IF(BH140="r",0,IF(BH140="",0,1)),
IF(BG140="r",1,
IF(BG140="l",IF(BH140="l",1,0)))))</f>
        <v/>
      </c>
      <c r="BI181" t="str">
        <f t="shared" si="305"/>
        <v/>
      </c>
      <c r="BJ181" t="str">
        <f t="shared" si="305"/>
        <v/>
      </c>
      <c r="BK181" t="str">
        <f t="shared" si="305"/>
        <v/>
      </c>
      <c r="BL181" t="str">
        <f t="shared" si="305"/>
        <v/>
      </c>
      <c r="BM181" t="str">
        <f t="shared" si="305"/>
        <v/>
      </c>
      <c r="BN181" t="str">
        <f t="shared" si="305"/>
        <v/>
      </c>
      <c r="BO181" t="str">
        <f t="shared" si="305"/>
        <v/>
      </c>
      <c r="BP181" t="str">
        <f t="shared" si="305"/>
        <v/>
      </c>
      <c r="BQ181" t="str">
        <f t="shared" si="305"/>
        <v/>
      </c>
      <c r="BR181" t="str">
        <f t="shared" si="305"/>
        <v/>
      </c>
      <c r="BS181" t="str">
        <f t="shared" si="305"/>
        <v/>
      </c>
      <c r="BT181" t="str">
        <f t="shared" si="305"/>
        <v/>
      </c>
      <c r="BU181" t="str">
        <f t="shared" si="305"/>
        <v/>
      </c>
      <c r="BV181" t="str">
        <f t="shared" si="305"/>
        <v/>
      </c>
      <c r="BW181" t="str">
        <f t="shared" si="305"/>
        <v/>
      </c>
      <c r="BX181" t="str">
        <f t="shared" si="305"/>
        <v/>
      </c>
      <c r="BY181" t="str">
        <f t="shared" si="305"/>
        <v/>
      </c>
      <c r="BZ181" t="str">
        <f t="shared" si="305"/>
        <v/>
      </c>
      <c r="CA181" t="str">
        <f t="shared" si="305"/>
        <v/>
      </c>
      <c r="CB181" t="str">
        <f t="shared" si="268"/>
        <v/>
      </c>
      <c r="CC181">
        <f t="shared" si="269"/>
        <v>0</v>
      </c>
      <c r="CD181"/>
      <c r="CE181"/>
      <c r="CF181"/>
      <c r="CG181"/>
      <c r="CH181"/>
      <c r="CI181"/>
      <c r="CJ181"/>
      <c r="CK181"/>
      <c r="CL181"/>
      <c r="CM181"/>
      <c r="CN181"/>
      <c r="CO181"/>
      <c r="CP181"/>
      <c r="CQ181"/>
      <c r="CR181"/>
      <c r="CS181"/>
      <c r="CT181"/>
      <c r="CU181"/>
      <c r="CV181"/>
      <c r="CW181"/>
      <c r="CX181"/>
      <c r="CY181"/>
      <c r="CZ181"/>
      <c r="DA181"/>
      <c r="DB181"/>
      <c r="DC181"/>
      <c r="DD181"/>
      <c r="DE181"/>
      <c r="DF181"/>
      <c r="DG181" t="str">
        <f t="shared" si="277"/>
        <v/>
      </c>
      <c r="DH181" t="str">
        <f t="shared" si="278"/>
        <v>W</v>
      </c>
      <c r="DI181" t="e">
        <f t="shared" si="279"/>
        <v>#N/A</v>
      </c>
      <c r="DJ181" t="e">
        <f t="shared" si="280"/>
        <v>#N/A</v>
      </c>
      <c r="DK181" t="e">
        <f t="shared" si="281"/>
        <v>#N/A</v>
      </c>
      <c r="DL181" t="e">
        <f t="shared" si="282"/>
        <v>#N/A</v>
      </c>
      <c r="DM181">
        <f t="shared" si="271"/>
        <v>0</v>
      </c>
      <c r="DN181">
        <f t="shared" si="283"/>
        <v>0</v>
      </c>
      <c r="DO181">
        <f t="shared" si="272"/>
        <v>0</v>
      </c>
      <c r="DP181">
        <f t="shared" si="273"/>
        <v>0</v>
      </c>
      <c r="DQ181">
        <f t="shared" si="284"/>
        <v>0</v>
      </c>
      <c r="DR181">
        <f t="shared" si="285"/>
        <v>0</v>
      </c>
      <c r="DS181">
        <f t="shared" si="286"/>
        <v>0</v>
      </c>
      <c r="DT181">
        <f t="shared" si="287"/>
        <v>0</v>
      </c>
      <c r="DU181">
        <f t="shared" si="288"/>
        <v>0</v>
      </c>
      <c r="DV181"/>
      <c r="DW181"/>
      <c r="DX181">
        <f t="shared" si="289"/>
        <v>0</v>
      </c>
      <c r="DY181">
        <f t="shared" si="290"/>
        <v>0</v>
      </c>
      <c r="DZ181">
        <f t="shared" si="291"/>
        <v>0</v>
      </c>
      <c r="EA181" t="str">
        <f t="shared" si="292"/>
        <v/>
      </c>
      <c r="EB181">
        <f t="shared" si="293"/>
        <v>0</v>
      </c>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c r="IU181"/>
      <c r="IV181"/>
    </row>
    <row r="182" spans="1:256" s="1" customFormat="1"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f t="shared" si="265"/>
        <v>0</v>
      </c>
      <c r="BE182"/>
      <c r="BF182">
        <f t="shared" si="266"/>
        <v>0</v>
      </c>
      <c r="BG182"/>
      <c r="BH182" t="str">
        <f t="shared" ref="BH182:CA182" si="306">IF(BG141="","",IF(BG141="f",IF(BH141="r",0,IF(BH141="",0,1)),
IF(BG141="r",1,
IF(BG141="l",IF(BH141="l",1,0)))))</f>
        <v/>
      </c>
      <c r="BI182" t="str">
        <f t="shared" si="306"/>
        <v/>
      </c>
      <c r="BJ182" t="str">
        <f t="shared" si="306"/>
        <v/>
      </c>
      <c r="BK182" t="str">
        <f t="shared" si="306"/>
        <v/>
      </c>
      <c r="BL182" t="str">
        <f t="shared" si="306"/>
        <v/>
      </c>
      <c r="BM182" t="str">
        <f t="shared" si="306"/>
        <v/>
      </c>
      <c r="BN182" t="str">
        <f t="shared" si="306"/>
        <v/>
      </c>
      <c r="BO182" t="str">
        <f t="shared" si="306"/>
        <v/>
      </c>
      <c r="BP182" t="str">
        <f t="shared" si="306"/>
        <v/>
      </c>
      <c r="BQ182" t="str">
        <f t="shared" si="306"/>
        <v/>
      </c>
      <c r="BR182" t="str">
        <f t="shared" si="306"/>
        <v/>
      </c>
      <c r="BS182" t="str">
        <f t="shared" si="306"/>
        <v/>
      </c>
      <c r="BT182" t="str">
        <f t="shared" si="306"/>
        <v/>
      </c>
      <c r="BU182" t="str">
        <f t="shared" si="306"/>
        <v/>
      </c>
      <c r="BV182" t="str">
        <f t="shared" si="306"/>
        <v/>
      </c>
      <c r="BW182" t="str">
        <f t="shared" si="306"/>
        <v/>
      </c>
      <c r="BX182" t="str">
        <f t="shared" si="306"/>
        <v/>
      </c>
      <c r="BY182" t="str">
        <f t="shared" si="306"/>
        <v/>
      </c>
      <c r="BZ182" t="str">
        <f t="shared" si="306"/>
        <v/>
      </c>
      <c r="CA182" t="str">
        <f t="shared" si="306"/>
        <v/>
      </c>
      <c r="CB182" t="str">
        <f t="shared" si="268"/>
        <v/>
      </c>
      <c r="CC182">
        <f t="shared" si="269"/>
        <v>0</v>
      </c>
      <c r="CD182"/>
      <c r="CE182"/>
      <c r="CF182"/>
      <c r="CG182"/>
      <c r="CH182"/>
      <c r="CI182"/>
      <c r="CJ182"/>
      <c r="CK182"/>
      <c r="CL182"/>
      <c r="CM182"/>
      <c r="CN182"/>
      <c r="CO182"/>
      <c r="CP182"/>
      <c r="CQ182"/>
      <c r="CR182"/>
      <c r="CS182"/>
      <c r="CT182"/>
      <c r="CU182"/>
      <c r="CV182"/>
      <c r="CW182"/>
      <c r="CX182"/>
      <c r="CY182"/>
      <c r="CZ182"/>
      <c r="DA182"/>
      <c r="DB182"/>
      <c r="DC182"/>
      <c r="DD182"/>
      <c r="DE182"/>
      <c r="DF182"/>
      <c r="DG182" t="str">
        <f t="shared" si="277"/>
        <v/>
      </c>
      <c r="DH182" t="str">
        <f t="shared" si="278"/>
        <v>W</v>
      </c>
      <c r="DI182" t="e">
        <f t="shared" si="279"/>
        <v>#N/A</v>
      </c>
      <c r="DJ182" t="e">
        <f t="shared" si="280"/>
        <v>#N/A</v>
      </c>
      <c r="DK182" t="e">
        <f t="shared" si="281"/>
        <v>#N/A</v>
      </c>
      <c r="DL182" t="e">
        <f t="shared" si="282"/>
        <v>#N/A</v>
      </c>
      <c r="DM182">
        <f t="shared" si="271"/>
        <v>0</v>
      </c>
      <c r="DN182">
        <f t="shared" si="283"/>
        <v>0</v>
      </c>
      <c r="DO182">
        <f t="shared" si="272"/>
        <v>0</v>
      </c>
      <c r="DP182">
        <f t="shared" si="273"/>
        <v>0</v>
      </c>
      <c r="DQ182">
        <f t="shared" si="284"/>
        <v>0</v>
      </c>
      <c r="DR182">
        <f t="shared" si="285"/>
        <v>0</v>
      </c>
      <c r="DS182">
        <f t="shared" si="286"/>
        <v>0</v>
      </c>
      <c r="DT182">
        <f t="shared" si="287"/>
        <v>0</v>
      </c>
      <c r="DU182">
        <f t="shared" si="288"/>
        <v>0</v>
      </c>
      <c r="DV182"/>
      <c r="DW182"/>
      <c r="DX182">
        <f t="shared" si="289"/>
        <v>0</v>
      </c>
      <c r="DY182">
        <f t="shared" si="290"/>
        <v>0</v>
      </c>
      <c r="DZ182">
        <f t="shared" si="291"/>
        <v>0</v>
      </c>
      <c r="EA182" t="str">
        <f t="shared" si="292"/>
        <v/>
      </c>
      <c r="EB182">
        <f t="shared" si="293"/>
        <v>0</v>
      </c>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c r="IU182"/>
      <c r="IV182"/>
    </row>
    <row r="183" spans="1:256" s="1" customFormat="1"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f t="shared" si="265"/>
        <v>0</v>
      </c>
      <c r="BE183"/>
      <c r="BF183">
        <f t="shared" si="266"/>
        <v>0</v>
      </c>
      <c r="BG183"/>
      <c r="BH183" t="str">
        <f t="shared" ref="BH183:CA183" si="307">IF(BG142="","",IF(BG142="f",IF(BH142="r",0,IF(BH142="",0,1)),
IF(BG142="r",1,
IF(BG142="l",IF(BH142="l",1,0)))))</f>
        <v/>
      </c>
      <c r="BI183" t="str">
        <f t="shared" si="307"/>
        <v/>
      </c>
      <c r="BJ183" t="str">
        <f t="shared" si="307"/>
        <v/>
      </c>
      <c r="BK183" t="str">
        <f t="shared" si="307"/>
        <v/>
      </c>
      <c r="BL183" t="str">
        <f t="shared" si="307"/>
        <v/>
      </c>
      <c r="BM183" t="str">
        <f t="shared" si="307"/>
        <v/>
      </c>
      <c r="BN183" t="str">
        <f t="shared" si="307"/>
        <v/>
      </c>
      <c r="BO183" t="str">
        <f t="shared" si="307"/>
        <v/>
      </c>
      <c r="BP183" t="str">
        <f t="shared" si="307"/>
        <v/>
      </c>
      <c r="BQ183" t="str">
        <f t="shared" si="307"/>
        <v/>
      </c>
      <c r="BR183" t="str">
        <f t="shared" si="307"/>
        <v/>
      </c>
      <c r="BS183" t="str">
        <f t="shared" si="307"/>
        <v/>
      </c>
      <c r="BT183" t="str">
        <f t="shared" si="307"/>
        <v/>
      </c>
      <c r="BU183" t="str">
        <f t="shared" si="307"/>
        <v/>
      </c>
      <c r="BV183" t="str">
        <f t="shared" si="307"/>
        <v/>
      </c>
      <c r="BW183" t="str">
        <f t="shared" si="307"/>
        <v/>
      </c>
      <c r="BX183" t="str">
        <f t="shared" si="307"/>
        <v/>
      </c>
      <c r="BY183" t="str">
        <f t="shared" si="307"/>
        <v/>
      </c>
      <c r="BZ183" t="str">
        <f t="shared" si="307"/>
        <v/>
      </c>
      <c r="CA183" t="str">
        <f t="shared" si="307"/>
        <v/>
      </c>
      <c r="CB183" t="str">
        <f t="shared" si="268"/>
        <v/>
      </c>
      <c r="CC183">
        <f t="shared" si="269"/>
        <v>0</v>
      </c>
      <c r="CD183"/>
      <c r="CE183"/>
      <c r="CF183"/>
      <c r="CG183"/>
      <c r="CH183"/>
      <c r="CI183"/>
      <c r="CJ183"/>
      <c r="CK183"/>
      <c r="CL183"/>
      <c r="CM183"/>
      <c r="CN183"/>
      <c r="CO183"/>
      <c r="CP183"/>
      <c r="CQ183"/>
      <c r="CR183"/>
      <c r="CS183"/>
      <c r="CT183"/>
      <c r="CU183"/>
      <c r="CV183"/>
      <c r="CW183"/>
      <c r="CX183"/>
      <c r="CY183"/>
      <c r="CZ183"/>
      <c r="DA183"/>
      <c r="DB183"/>
      <c r="DC183"/>
      <c r="DD183"/>
      <c r="DE183"/>
      <c r="DF183"/>
      <c r="DG183" t="str">
        <f t="shared" si="277"/>
        <v/>
      </c>
      <c r="DH183" t="str">
        <f t="shared" si="278"/>
        <v>W</v>
      </c>
      <c r="DI183" t="e">
        <f t="shared" si="279"/>
        <v>#N/A</v>
      </c>
      <c r="DJ183" t="e">
        <f t="shared" si="280"/>
        <v>#N/A</v>
      </c>
      <c r="DK183" t="e">
        <f t="shared" si="281"/>
        <v>#N/A</v>
      </c>
      <c r="DL183" t="e">
        <f t="shared" si="282"/>
        <v>#N/A</v>
      </c>
      <c r="DM183">
        <f t="shared" si="271"/>
        <v>0</v>
      </c>
      <c r="DN183">
        <f t="shared" si="283"/>
        <v>0</v>
      </c>
      <c r="DO183">
        <f t="shared" si="272"/>
        <v>0</v>
      </c>
      <c r="DP183">
        <f t="shared" si="273"/>
        <v>0</v>
      </c>
      <c r="DQ183">
        <f t="shared" si="284"/>
        <v>0</v>
      </c>
      <c r="DR183">
        <f t="shared" si="285"/>
        <v>0</v>
      </c>
      <c r="DS183">
        <f t="shared" si="286"/>
        <v>0</v>
      </c>
      <c r="DT183">
        <f t="shared" si="287"/>
        <v>0</v>
      </c>
      <c r="DU183">
        <f t="shared" si="288"/>
        <v>0</v>
      </c>
      <c r="DV183"/>
      <c r="DW183"/>
      <c r="DX183">
        <f t="shared" si="289"/>
        <v>0</v>
      </c>
      <c r="DY183">
        <f t="shared" si="290"/>
        <v>0</v>
      </c>
      <c r="DZ183">
        <f t="shared" si="291"/>
        <v>0</v>
      </c>
      <c r="EA183" t="str">
        <f t="shared" si="292"/>
        <v/>
      </c>
      <c r="EB183">
        <f t="shared" si="293"/>
        <v>0</v>
      </c>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c r="IU183"/>
      <c r="IV183"/>
    </row>
    <row r="184" spans="1:256" s="1" customFormat="1"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f t="shared" si="265"/>
        <v>0</v>
      </c>
      <c r="BE184"/>
      <c r="BF184">
        <f t="shared" si="266"/>
        <v>0</v>
      </c>
      <c r="BG184"/>
      <c r="BH184" t="str">
        <f t="shared" ref="BH184:CA184" si="308">IF(BG143="","",IF(BG143="f",IF(BH143="r",0,IF(BH143="",0,1)),
IF(BG143="r",1,
IF(BG143="l",IF(BH143="l",1,0)))))</f>
        <v/>
      </c>
      <c r="BI184" t="str">
        <f t="shared" si="308"/>
        <v/>
      </c>
      <c r="BJ184" t="str">
        <f t="shared" si="308"/>
        <v/>
      </c>
      <c r="BK184" t="str">
        <f t="shared" si="308"/>
        <v/>
      </c>
      <c r="BL184" t="str">
        <f t="shared" si="308"/>
        <v/>
      </c>
      <c r="BM184" t="str">
        <f t="shared" si="308"/>
        <v/>
      </c>
      <c r="BN184" t="str">
        <f t="shared" si="308"/>
        <v/>
      </c>
      <c r="BO184" t="str">
        <f t="shared" si="308"/>
        <v/>
      </c>
      <c r="BP184" t="str">
        <f t="shared" si="308"/>
        <v/>
      </c>
      <c r="BQ184" t="str">
        <f t="shared" si="308"/>
        <v/>
      </c>
      <c r="BR184" t="str">
        <f t="shared" si="308"/>
        <v/>
      </c>
      <c r="BS184" t="str">
        <f t="shared" si="308"/>
        <v/>
      </c>
      <c r="BT184" t="str">
        <f t="shared" si="308"/>
        <v/>
      </c>
      <c r="BU184" t="str">
        <f t="shared" si="308"/>
        <v/>
      </c>
      <c r="BV184" t="str">
        <f t="shared" si="308"/>
        <v/>
      </c>
      <c r="BW184" t="str">
        <f t="shared" si="308"/>
        <v/>
      </c>
      <c r="BX184" t="str">
        <f t="shared" si="308"/>
        <v/>
      </c>
      <c r="BY184" t="str">
        <f t="shared" si="308"/>
        <v/>
      </c>
      <c r="BZ184" t="str">
        <f t="shared" si="308"/>
        <v/>
      </c>
      <c r="CA184" t="str">
        <f t="shared" si="308"/>
        <v/>
      </c>
      <c r="CB184" t="str">
        <f t="shared" si="268"/>
        <v/>
      </c>
      <c r="CC184">
        <f t="shared" si="269"/>
        <v>0</v>
      </c>
      <c r="CD184"/>
      <c r="CE184"/>
      <c r="CF184"/>
      <c r="CG184"/>
      <c r="CH184"/>
      <c r="CI184"/>
      <c r="CJ184"/>
      <c r="CK184"/>
      <c r="CL184"/>
      <c r="CM184"/>
      <c r="CN184"/>
      <c r="CO184"/>
      <c r="CP184"/>
      <c r="CQ184"/>
      <c r="CR184"/>
      <c r="CS184"/>
      <c r="CT184"/>
      <c r="CU184"/>
      <c r="CV184"/>
      <c r="CW184"/>
      <c r="CX184"/>
      <c r="CY184"/>
      <c r="CZ184"/>
      <c r="DA184"/>
      <c r="DB184"/>
      <c r="DC184"/>
      <c r="DD184"/>
      <c r="DE184"/>
      <c r="DF184"/>
      <c r="DG184" t="str">
        <f t="shared" si="277"/>
        <v/>
      </c>
      <c r="DH184" t="str">
        <f t="shared" si="278"/>
        <v>W</v>
      </c>
      <c r="DI184" t="e">
        <f t="shared" si="279"/>
        <v>#N/A</v>
      </c>
      <c r="DJ184" t="e">
        <f t="shared" si="280"/>
        <v>#N/A</v>
      </c>
      <c r="DK184" t="e">
        <f t="shared" si="281"/>
        <v>#N/A</v>
      </c>
      <c r="DL184" t="e">
        <f t="shared" si="282"/>
        <v>#N/A</v>
      </c>
      <c r="DM184">
        <f t="shared" si="271"/>
        <v>0</v>
      </c>
      <c r="DN184">
        <f t="shared" si="283"/>
        <v>0</v>
      </c>
      <c r="DO184">
        <f t="shared" si="272"/>
        <v>0</v>
      </c>
      <c r="DP184">
        <f t="shared" si="273"/>
        <v>0</v>
      </c>
      <c r="DQ184">
        <f t="shared" si="284"/>
        <v>0</v>
      </c>
      <c r="DR184">
        <f t="shared" si="285"/>
        <v>0</v>
      </c>
      <c r="DS184">
        <f t="shared" si="286"/>
        <v>0</v>
      </c>
      <c r="DT184">
        <f t="shared" si="287"/>
        <v>0</v>
      </c>
      <c r="DU184">
        <f t="shared" si="288"/>
        <v>0</v>
      </c>
      <c r="DV184"/>
      <c r="DW184"/>
      <c r="DX184">
        <f t="shared" si="289"/>
        <v>0</v>
      </c>
      <c r="DY184">
        <f t="shared" si="290"/>
        <v>0</v>
      </c>
      <c r="DZ184">
        <f t="shared" si="291"/>
        <v>0</v>
      </c>
      <c r="EA184" t="str">
        <f t="shared" si="292"/>
        <v/>
      </c>
      <c r="EB184">
        <f t="shared" si="293"/>
        <v>0</v>
      </c>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c r="IU184"/>
      <c r="IV184"/>
    </row>
    <row r="185" spans="1:256" s="1" customFormat="1"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f t="shared" si="265"/>
        <v>0</v>
      </c>
      <c r="BE185"/>
      <c r="BF185">
        <f t="shared" si="266"/>
        <v>0</v>
      </c>
      <c r="BG185"/>
      <c r="BH185" t="str">
        <f t="shared" ref="BH185:CA185" si="309">IF(BG144="","",IF(BG144="f",IF(BH144="r",0,IF(BH144="",0,1)),
IF(BG144="r",1,
IF(BG144="l",IF(BH144="l",1,0)))))</f>
        <v/>
      </c>
      <c r="BI185" t="str">
        <f t="shared" si="309"/>
        <v/>
      </c>
      <c r="BJ185" t="str">
        <f t="shared" si="309"/>
        <v/>
      </c>
      <c r="BK185" t="str">
        <f t="shared" si="309"/>
        <v/>
      </c>
      <c r="BL185" t="str">
        <f t="shared" si="309"/>
        <v/>
      </c>
      <c r="BM185" t="str">
        <f t="shared" si="309"/>
        <v/>
      </c>
      <c r="BN185" t="str">
        <f t="shared" si="309"/>
        <v/>
      </c>
      <c r="BO185" t="str">
        <f t="shared" si="309"/>
        <v/>
      </c>
      <c r="BP185" t="str">
        <f t="shared" si="309"/>
        <v/>
      </c>
      <c r="BQ185" t="str">
        <f t="shared" si="309"/>
        <v/>
      </c>
      <c r="BR185" t="str">
        <f t="shared" si="309"/>
        <v/>
      </c>
      <c r="BS185" t="str">
        <f t="shared" si="309"/>
        <v/>
      </c>
      <c r="BT185" t="str">
        <f t="shared" si="309"/>
        <v/>
      </c>
      <c r="BU185" t="str">
        <f t="shared" si="309"/>
        <v/>
      </c>
      <c r="BV185" t="str">
        <f t="shared" si="309"/>
        <v/>
      </c>
      <c r="BW185" t="str">
        <f t="shared" si="309"/>
        <v/>
      </c>
      <c r="BX185" t="str">
        <f t="shared" si="309"/>
        <v/>
      </c>
      <c r="BY185" t="str">
        <f t="shared" si="309"/>
        <v/>
      </c>
      <c r="BZ185" t="str">
        <f t="shared" si="309"/>
        <v/>
      </c>
      <c r="CA185" t="str">
        <f t="shared" si="309"/>
        <v/>
      </c>
      <c r="CB185" t="str">
        <f t="shared" si="268"/>
        <v/>
      </c>
      <c r="CC185">
        <f t="shared" si="269"/>
        <v>0</v>
      </c>
      <c r="CD185"/>
      <c r="CE185"/>
      <c r="CF185"/>
      <c r="CG185"/>
      <c r="CH185"/>
      <c r="CI185"/>
      <c r="CJ185"/>
      <c r="CK185"/>
      <c r="CL185"/>
      <c r="CM185"/>
      <c r="CN185"/>
      <c r="CO185"/>
      <c r="CP185"/>
      <c r="CQ185"/>
      <c r="CR185"/>
      <c r="CS185"/>
      <c r="CT185"/>
      <c r="CU185"/>
      <c r="CV185"/>
      <c r="CW185"/>
      <c r="CX185"/>
      <c r="CY185"/>
      <c r="CZ185"/>
      <c r="DA185"/>
      <c r="DB185"/>
      <c r="DC185"/>
      <c r="DD185"/>
      <c r="DE185"/>
      <c r="DF185"/>
      <c r="DG185" t="str">
        <f t="shared" si="277"/>
        <v/>
      </c>
      <c r="DH185" t="str">
        <f t="shared" si="278"/>
        <v>W</v>
      </c>
      <c r="DI185" t="e">
        <f t="shared" si="279"/>
        <v>#N/A</v>
      </c>
      <c r="DJ185" t="e">
        <f t="shared" si="280"/>
        <v>#N/A</v>
      </c>
      <c r="DK185" t="e">
        <f t="shared" si="281"/>
        <v>#N/A</v>
      </c>
      <c r="DL185" t="e">
        <f t="shared" si="282"/>
        <v>#N/A</v>
      </c>
      <c r="DM185">
        <f t="shared" si="271"/>
        <v>0</v>
      </c>
      <c r="DN185">
        <f t="shared" si="283"/>
        <v>0</v>
      </c>
      <c r="DO185">
        <f t="shared" si="272"/>
        <v>0</v>
      </c>
      <c r="DP185">
        <f t="shared" si="273"/>
        <v>0</v>
      </c>
      <c r="DQ185">
        <f t="shared" si="284"/>
        <v>0</v>
      </c>
      <c r="DR185">
        <f t="shared" si="285"/>
        <v>0</v>
      </c>
      <c r="DS185">
        <f t="shared" si="286"/>
        <v>0</v>
      </c>
      <c r="DT185">
        <f t="shared" si="287"/>
        <v>0</v>
      </c>
      <c r="DU185">
        <f t="shared" si="288"/>
        <v>0</v>
      </c>
      <c r="DV185"/>
      <c r="DW185"/>
      <c r="DX185">
        <f t="shared" si="289"/>
        <v>0</v>
      </c>
      <c r="DY185">
        <f t="shared" si="290"/>
        <v>0</v>
      </c>
      <c r="DZ185">
        <f t="shared" si="291"/>
        <v>0</v>
      </c>
      <c r="EA185" t="str">
        <f t="shared" si="292"/>
        <v/>
      </c>
      <c r="EB185">
        <f t="shared" si="293"/>
        <v>0</v>
      </c>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c r="IU185"/>
      <c r="IV185"/>
    </row>
    <row r="186" spans="1:256" s="1" customFormat="1"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f t="shared" si="265"/>
        <v>0</v>
      </c>
      <c r="BE186"/>
      <c r="BF186">
        <f t="shared" si="266"/>
        <v>0</v>
      </c>
      <c r="BG186"/>
      <c r="BH186" t="str">
        <f t="shared" ref="BH186:CA186" si="310">IF(BG145="","",IF(BG145="f",IF(BH145="r",0,IF(BH145="",0,1)),
IF(BG145="r",1,
IF(BG145="l",IF(BH145="l",1,0)))))</f>
        <v/>
      </c>
      <c r="BI186" t="str">
        <f t="shared" si="310"/>
        <v/>
      </c>
      <c r="BJ186" t="str">
        <f t="shared" si="310"/>
        <v/>
      </c>
      <c r="BK186" t="str">
        <f t="shared" si="310"/>
        <v/>
      </c>
      <c r="BL186" t="str">
        <f t="shared" si="310"/>
        <v/>
      </c>
      <c r="BM186" t="str">
        <f t="shared" si="310"/>
        <v/>
      </c>
      <c r="BN186" t="str">
        <f t="shared" si="310"/>
        <v/>
      </c>
      <c r="BO186" t="str">
        <f t="shared" si="310"/>
        <v/>
      </c>
      <c r="BP186" t="str">
        <f t="shared" si="310"/>
        <v/>
      </c>
      <c r="BQ186" t="str">
        <f t="shared" si="310"/>
        <v/>
      </c>
      <c r="BR186" t="str">
        <f t="shared" si="310"/>
        <v/>
      </c>
      <c r="BS186" t="str">
        <f t="shared" si="310"/>
        <v/>
      </c>
      <c r="BT186" t="str">
        <f t="shared" si="310"/>
        <v/>
      </c>
      <c r="BU186" t="str">
        <f t="shared" si="310"/>
        <v/>
      </c>
      <c r="BV186" t="str">
        <f t="shared" si="310"/>
        <v/>
      </c>
      <c r="BW186" t="str">
        <f t="shared" si="310"/>
        <v/>
      </c>
      <c r="BX186" t="str">
        <f t="shared" si="310"/>
        <v/>
      </c>
      <c r="BY186" t="str">
        <f t="shared" si="310"/>
        <v/>
      </c>
      <c r="BZ186" t="str">
        <f t="shared" si="310"/>
        <v/>
      </c>
      <c r="CA186" t="str">
        <f t="shared" si="310"/>
        <v/>
      </c>
      <c r="CB186" t="str">
        <f t="shared" si="268"/>
        <v/>
      </c>
      <c r="CC186">
        <f t="shared" si="269"/>
        <v>0</v>
      </c>
      <c r="CD186"/>
      <c r="CE186"/>
      <c r="CF186"/>
      <c r="CG186"/>
      <c r="CH186"/>
      <c r="CI186"/>
      <c r="CJ186"/>
      <c r="CK186"/>
      <c r="CL186"/>
      <c r="CM186"/>
      <c r="CN186"/>
      <c r="CO186"/>
      <c r="CP186"/>
      <c r="CQ186"/>
      <c r="CR186"/>
      <c r="CS186"/>
      <c r="CT186"/>
      <c r="CU186"/>
      <c r="CV186"/>
      <c r="CW186"/>
      <c r="CX186"/>
      <c r="CY186"/>
      <c r="CZ186"/>
      <c r="DA186"/>
      <c r="DB186"/>
      <c r="DC186"/>
      <c r="DD186"/>
      <c r="DE186"/>
      <c r="DF186"/>
      <c r="DG186" t="str">
        <f t="shared" si="277"/>
        <v/>
      </c>
      <c r="DH186" t="str">
        <f t="shared" si="278"/>
        <v>W</v>
      </c>
      <c r="DI186" t="e">
        <f t="shared" si="279"/>
        <v>#N/A</v>
      </c>
      <c r="DJ186" t="e">
        <f t="shared" si="280"/>
        <v>#N/A</v>
      </c>
      <c r="DK186" t="e">
        <f t="shared" si="281"/>
        <v>#N/A</v>
      </c>
      <c r="DL186" t="e">
        <f t="shared" si="282"/>
        <v>#N/A</v>
      </c>
      <c r="DM186">
        <f t="shared" si="271"/>
        <v>0</v>
      </c>
      <c r="DN186">
        <f t="shared" si="283"/>
        <v>0</v>
      </c>
      <c r="DO186">
        <f t="shared" si="272"/>
        <v>0</v>
      </c>
      <c r="DP186">
        <f t="shared" si="273"/>
        <v>0</v>
      </c>
      <c r="DQ186">
        <f t="shared" si="284"/>
        <v>0</v>
      </c>
      <c r="DR186">
        <f t="shared" si="285"/>
        <v>0</v>
      </c>
      <c r="DS186">
        <f t="shared" si="286"/>
        <v>0</v>
      </c>
      <c r="DT186">
        <f t="shared" si="287"/>
        <v>0</v>
      </c>
      <c r="DU186">
        <f t="shared" si="288"/>
        <v>0</v>
      </c>
      <c r="DV186"/>
      <c r="DW186"/>
      <c r="DX186">
        <f t="shared" si="289"/>
        <v>0</v>
      </c>
      <c r="DY186">
        <f t="shared" si="290"/>
        <v>0</v>
      </c>
      <c r="DZ186">
        <f t="shared" si="291"/>
        <v>0</v>
      </c>
      <c r="EA186" t="str">
        <f t="shared" si="292"/>
        <v/>
      </c>
      <c r="EB186">
        <f t="shared" si="293"/>
        <v>0</v>
      </c>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c r="IU186"/>
      <c r="IV186"/>
    </row>
    <row r="187" spans="1:256" s="1" customFormat="1"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f t="shared" si="265"/>
        <v>0</v>
      </c>
      <c r="BE187"/>
      <c r="BF187">
        <f t="shared" si="266"/>
        <v>0</v>
      </c>
      <c r="BG187"/>
      <c r="BH187" t="str">
        <f t="shared" ref="BH187:CA187" si="311">IF(BG146="","",IF(BG146="f",IF(BH146="r",0,IF(BH146="",0,1)),
IF(BG146="r",1,
IF(BG146="l",IF(BH146="l",1,0)))))</f>
        <v/>
      </c>
      <c r="BI187" t="str">
        <f t="shared" si="311"/>
        <v/>
      </c>
      <c r="BJ187" t="str">
        <f t="shared" si="311"/>
        <v/>
      </c>
      <c r="BK187" t="str">
        <f t="shared" si="311"/>
        <v/>
      </c>
      <c r="BL187" t="str">
        <f t="shared" si="311"/>
        <v/>
      </c>
      <c r="BM187" t="str">
        <f t="shared" si="311"/>
        <v/>
      </c>
      <c r="BN187" t="str">
        <f t="shared" si="311"/>
        <v/>
      </c>
      <c r="BO187" t="str">
        <f t="shared" si="311"/>
        <v/>
      </c>
      <c r="BP187" t="str">
        <f t="shared" si="311"/>
        <v/>
      </c>
      <c r="BQ187" t="str">
        <f t="shared" si="311"/>
        <v/>
      </c>
      <c r="BR187" t="str">
        <f t="shared" si="311"/>
        <v/>
      </c>
      <c r="BS187" t="str">
        <f t="shared" si="311"/>
        <v/>
      </c>
      <c r="BT187" t="str">
        <f t="shared" si="311"/>
        <v/>
      </c>
      <c r="BU187" t="str">
        <f t="shared" si="311"/>
        <v/>
      </c>
      <c r="BV187" t="str">
        <f t="shared" si="311"/>
        <v/>
      </c>
      <c r="BW187" t="str">
        <f t="shared" si="311"/>
        <v/>
      </c>
      <c r="BX187" t="str">
        <f t="shared" si="311"/>
        <v/>
      </c>
      <c r="BY187" t="str">
        <f t="shared" si="311"/>
        <v/>
      </c>
      <c r="BZ187" t="str">
        <f t="shared" si="311"/>
        <v/>
      </c>
      <c r="CA187" t="str">
        <f t="shared" si="311"/>
        <v/>
      </c>
      <c r="CB187" t="str">
        <f t="shared" si="268"/>
        <v/>
      </c>
      <c r="CC187">
        <f t="shared" si="269"/>
        <v>0</v>
      </c>
      <c r="CD187"/>
      <c r="CE187"/>
      <c r="CF187"/>
      <c r="CG187"/>
      <c r="CH187"/>
      <c r="CI187"/>
      <c r="CJ187"/>
      <c r="CK187"/>
      <c r="CL187"/>
      <c r="CM187"/>
      <c r="CN187"/>
      <c r="CO187"/>
      <c r="CP187"/>
      <c r="CQ187"/>
      <c r="CR187"/>
      <c r="CS187"/>
      <c r="CT187"/>
      <c r="CU187"/>
      <c r="CV187"/>
      <c r="CW187"/>
      <c r="CX187"/>
      <c r="CY187"/>
      <c r="CZ187"/>
      <c r="DA187"/>
      <c r="DB187"/>
      <c r="DC187"/>
      <c r="DD187"/>
      <c r="DE187"/>
      <c r="DF187"/>
      <c r="DG187" t="str">
        <f t="shared" si="277"/>
        <v/>
      </c>
      <c r="DH187" t="str">
        <f t="shared" si="278"/>
        <v>W</v>
      </c>
      <c r="DI187" t="e">
        <f t="shared" si="279"/>
        <v>#N/A</v>
      </c>
      <c r="DJ187" t="e">
        <f t="shared" si="280"/>
        <v>#N/A</v>
      </c>
      <c r="DK187" t="e">
        <f t="shared" si="281"/>
        <v>#N/A</v>
      </c>
      <c r="DL187" t="e">
        <f t="shared" si="282"/>
        <v>#N/A</v>
      </c>
      <c r="DM187">
        <f t="shared" si="271"/>
        <v>0</v>
      </c>
      <c r="DN187">
        <f t="shared" si="283"/>
        <v>0</v>
      </c>
      <c r="DO187">
        <f t="shared" si="272"/>
        <v>0</v>
      </c>
      <c r="DP187">
        <f t="shared" si="273"/>
        <v>0</v>
      </c>
      <c r="DQ187">
        <f t="shared" si="284"/>
        <v>0</v>
      </c>
      <c r="DR187">
        <f t="shared" si="285"/>
        <v>0</v>
      </c>
      <c r="DS187">
        <f t="shared" si="286"/>
        <v>0</v>
      </c>
      <c r="DT187">
        <f t="shared" si="287"/>
        <v>0</v>
      </c>
      <c r="DU187">
        <f t="shared" si="288"/>
        <v>0</v>
      </c>
      <c r="DV187"/>
      <c r="DW187"/>
      <c r="DX187">
        <f t="shared" si="289"/>
        <v>0</v>
      </c>
      <c r="DY187">
        <f t="shared" si="290"/>
        <v>0</v>
      </c>
      <c r="DZ187">
        <f t="shared" si="291"/>
        <v>0</v>
      </c>
      <c r="EA187" t="str">
        <f t="shared" si="292"/>
        <v/>
      </c>
      <c r="EB187">
        <f t="shared" si="293"/>
        <v>0</v>
      </c>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c r="IU187"/>
      <c r="IV187"/>
    </row>
    <row r="188" spans="1:256" s="1" customFormat="1"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f t="shared" si="265"/>
        <v>0</v>
      </c>
      <c r="BE188"/>
      <c r="BF188">
        <f t="shared" si="266"/>
        <v>0</v>
      </c>
      <c r="BG188"/>
      <c r="BH188" t="str">
        <f t="shared" ref="BH188:CA188" si="312">IF(BG147="","",IF(BG147="f",IF(BH147="r",0,IF(BH147="",0,1)),
IF(BG147="r",1,
IF(BG147="l",IF(BH147="l",1,0)))))</f>
        <v/>
      </c>
      <c r="BI188" t="str">
        <f t="shared" si="312"/>
        <v/>
      </c>
      <c r="BJ188" t="str">
        <f t="shared" si="312"/>
        <v/>
      </c>
      <c r="BK188" t="str">
        <f t="shared" si="312"/>
        <v/>
      </c>
      <c r="BL188" t="str">
        <f t="shared" si="312"/>
        <v/>
      </c>
      <c r="BM188" t="str">
        <f t="shared" si="312"/>
        <v/>
      </c>
      <c r="BN188" t="str">
        <f t="shared" si="312"/>
        <v/>
      </c>
      <c r="BO188" t="str">
        <f t="shared" si="312"/>
        <v/>
      </c>
      <c r="BP188" t="str">
        <f t="shared" si="312"/>
        <v/>
      </c>
      <c r="BQ188" t="str">
        <f t="shared" si="312"/>
        <v/>
      </c>
      <c r="BR188" t="str">
        <f t="shared" si="312"/>
        <v/>
      </c>
      <c r="BS188" t="str">
        <f t="shared" si="312"/>
        <v/>
      </c>
      <c r="BT188" t="str">
        <f t="shared" si="312"/>
        <v/>
      </c>
      <c r="BU188" t="str">
        <f t="shared" si="312"/>
        <v/>
      </c>
      <c r="BV188" t="str">
        <f t="shared" si="312"/>
        <v/>
      </c>
      <c r="BW188" t="str">
        <f t="shared" si="312"/>
        <v/>
      </c>
      <c r="BX188" t="str">
        <f t="shared" si="312"/>
        <v/>
      </c>
      <c r="BY188" t="str">
        <f t="shared" si="312"/>
        <v/>
      </c>
      <c r="BZ188" t="str">
        <f t="shared" si="312"/>
        <v/>
      </c>
      <c r="CA188" t="str">
        <f t="shared" si="312"/>
        <v/>
      </c>
      <c r="CB188" t="str">
        <f t="shared" si="268"/>
        <v/>
      </c>
      <c r="CC188">
        <f t="shared" si="269"/>
        <v>0</v>
      </c>
      <c r="CD188"/>
      <c r="CE188"/>
      <c r="CF188"/>
      <c r="CG188"/>
      <c r="CH188"/>
      <c r="CI188"/>
      <c r="CJ188"/>
      <c r="CK188"/>
      <c r="CL188"/>
      <c r="CM188"/>
      <c r="CN188"/>
      <c r="CO188"/>
      <c r="CP188"/>
      <c r="CQ188"/>
      <c r="CR188"/>
      <c r="CS188"/>
      <c r="CT188"/>
      <c r="CU188"/>
      <c r="CV188"/>
      <c r="CW188"/>
      <c r="CX188"/>
      <c r="CY188"/>
      <c r="CZ188"/>
      <c r="DA188"/>
      <c r="DB188"/>
      <c r="DC188"/>
      <c r="DD188"/>
      <c r="DE188"/>
      <c r="DF188"/>
      <c r="DG188" t="str">
        <f t="shared" si="277"/>
        <v/>
      </c>
      <c r="DH188" t="str">
        <f t="shared" si="278"/>
        <v>W</v>
      </c>
      <c r="DI188" t="e">
        <f t="shared" si="279"/>
        <v>#N/A</v>
      </c>
      <c r="DJ188" t="e">
        <f t="shared" si="280"/>
        <v>#N/A</v>
      </c>
      <c r="DK188" t="e">
        <f t="shared" si="281"/>
        <v>#N/A</v>
      </c>
      <c r="DL188" t="e">
        <f t="shared" si="282"/>
        <v>#N/A</v>
      </c>
      <c r="DM188">
        <f t="shared" si="271"/>
        <v>0</v>
      </c>
      <c r="DN188">
        <f t="shared" si="283"/>
        <v>0</v>
      </c>
      <c r="DO188">
        <f t="shared" si="272"/>
        <v>0</v>
      </c>
      <c r="DP188">
        <f t="shared" si="273"/>
        <v>0</v>
      </c>
      <c r="DQ188">
        <f t="shared" si="284"/>
        <v>0</v>
      </c>
      <c r="DR188">
        <f t="shared" si="285"/>
        <v>0</v>
      </c>
      <c r="DS188">
        <f t="shared" si="286"/>
        <v>0</v>
      </c>
      <c r="DT188">
        <f t="shared" si="287"/>
        <v>0</v>
      </c>
      <c r="DU188">
        <f t="shared" si="288"/>
        <v>0</v>
      </c>
      <c r="DV188"/>
      <c r="DW188"/>
      <c r="DX188">
        <f t="shared" si="289"/>
        <v>0</v>
      </c>
      <c r="DY188">
        <f t="shared" si="290"/>
        <v>0</v>
      </c>
      <c r="DZ188">
        <f t="shared" si="291"/>
        <v>0</v>
      </c>
      <c r="EA188" t="str">
        <f t="shared" si="292"/>
        <v/>
      </c>
      <c r="EB188">
        <f t="shared" si="293"/>
        <v>0</v>
      </c>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c r="IU188"/>
      <c r="IV188"/>
    </row>
    <row r="189" spans="1:256" s="1" customFormat="1"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f t="shared" si="265"/>
        <v>0</v>
      </c>
      <c r="BE189"/>
      <c r="BF189">
        <f t="shared" si="266"/>
        <v>0</v>
      </c>
      <c r="BG189"/>
      <c r="BH189" t="str">
        <f t="shared" ref="BH189:CA189" si="313">IF(BG148="","",IF(BG148="f",IF(BH148="r",0,IF(BH148="",0,1)),
IF(BG148="r",1,
IF(BG148="l",IF(BH148="l",1,0)))))</f>
        <v/>
      </c>
      <c r="BI189" t="str">
        <f t="shared" si="313"/>
        <v/>
      </c>
      <c r="BJ189" t="str">
        <f t="shared" si="313"/>
        <v/>
      </c>
      <c r="BK189" t="str">
        <f t="shared" si="313"/>
        <v/>
      </c>
      <c r="BL189" t="str">
        <f t="shared" si="313"/>
        <v/>
      </c>
      <c r="BM189" t="str">
        <f t="shared" si="313"/>
        <v/>
      </c>
      <c r="BN189" t="str">
        <f t="shared" si="313"/>
        <v/>
      </c>
      <c r="BO189" t="str">
        <f t="shared" si="313"/>
        <v/>
      </c>
      <c r="BP189" t="str">
        <f t="shared" si="313"/>
        <v/>
      </c>
      <c r="BQ189" t="str">
        <f t="shared" si="313"/>
        <v/>
      </c>
      <c r="BR189" t="str">
        <f t="shared" si="313"/>
        <v/>
      </c>
      <c r="BS189" t="str">
        <f t="shared" si="313"/>
        <v/>
      </c>
      <c r="BT189" t="str">
        <f t="shared" si="313"/>
        <v/>
      </c>
      <c r="BU189" t="str">
        <f t="shared" si="313"/>
        <v/>
      </c>
      <c r="BV189" t="str">
        <f t="shared" si="313"/>
        <v/>
      </c>
      <c r="BW189" t="str">
        <f t="shared" si="313"/>
        <v/>
      </c>
      <c r="BX189" t="str">
        <f t="shared" si="313"/>
        <v/>
      </c>
      <c r="BY189" t="str">
        <f t="shared" si="313"/>
        <v/>
      </c>
      <c r="BZ189" t="str">
        <f t="shared" si="313"/>
        <v/>
      </c>
      <c r="CA189" t="str">
        <f t="shared" si="313"/>
        <v/>
      </c>
      <c r="CB189" t="str">
        <f t="shared" si="268"/>
        <v/>
      </c>
      <c r="CC189">
        <f t="shared" si="269"/>
        <v>0</v>
      </c>
      <c r="CD189"/>
      <c r="CE189"/>
      <c r="CF189"/>
      <c r="CG189"/>
      <c r="CH189"/>
      <c r="CI189"/>
      <c r="CJ189"/>
      <c r="CK189"/>
      <c r="CL189"/>
      <c r="CM189"/>
      <c r="CN189"/>
      <c r="CO189"/>
      <c r="CP189"/>
      <c r="CQ189"/>
      <c r="CR189"/>
      <c r="CS189"/>
      <c r="CT189"/>
      <c r="CU189"/>
      <c r="CV189"/>
      <c r="CW189"/>
      <c r="CX189"/>
      <c r="CY189"/>
      <c r="CZ189"/>
      <c r="DA189"/>
      <c r="DB189"/>
      <c r="DC189"/>
      <c r="DD189"/>
      <c r="DE189"/>
      <c r="DF189"/>
      <c r="DG189" t="str">
        <f t="shared" si="277"/>
        <v/>
      </c>
      <c r="DH189" t="str">
        <f t="shared" si="278"/>
        <v>W</v>
      </c>
      <c r="DI189" t="e">
        <f t="shared" si="279"/>
        <v>#N/A</v>
      </c>
      <c r="DJ189" t="e">
        <f t="shared" si="280"/>
        <v>#N/A</v>
      </c>
      <c r="DK189" t="e">
        <f t="shared" si="281"/>
        <v>#N/A</v>
      </c>
      <c r="DL189" t="e">
        <f t="shared" si="282"/>
        <v>#N/A</v>
      </c>
      <c r="DM189">
        <f t="shared" si="271"/>
        <v>0</v>
      </c>
      <c r="DN189">
        <f t="shared" si="283"/>
        <v>0</v>
      </c>
      <c r="DO189">
        <f t="shared" si="272"/>
        <v>0</v>
      </c>
      <c r="DP189">
        <f t="shared" si="273"/>
        <v>0</v>
      </c>
      <c r="DQ189">
        <f t="shared" si="284"/>
        <v>0</v>
      </c>
      <c r="DR189">
        <f t="shared" si="285"/>
        <v>0</v>
      </c>
      <c r="DS189">
        <f t="shared" si="286"/>
        <v>0</v>
      </c>
      <c r="DT189">
        <f t="shared" si="287"/>
        <v>0</v>
      </c>
      <c r="DU189">
        <f t="shared" si="288"/>
        <v>0</v>
      </c>
      <c r="DV189"/>
      <c r="DW189"/>
      <c r="DX189">
        <f t="shared" si="289"/>
        <v>0</v>
      </c>
      <c r="DY189">
        <f t="shared" si="290"/>
        <v>0</v>
      </c>
      <c r="DZ189">
        <f t="shared" si="291"/>
        <v>0</v>
      </c>
      <c r="EA189" t="str">
        <f t="shared" si="292"/>
        <v/>
      </c>
      <c r="EB189">
        <f t="shared" si="293"/>
        <v>0</v>
      </c>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c r="IU189"/>
      <c r="IV189"/>
    </row>
    <row r="190" spans="1:256" s="1" customFormat="1"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f t="shared" si="265"/>
        <v>0</v>
      </c>
      <c r="BE190"/>
      <c r="BF190">
        <f t="shared" si="266"/>
        <v>0</v>
      </c>
      <c r="BG190"/>
      <c r="BH190" t="str">
        <f t="shared" ref="BH190:CA190" si="314">IF(BG149="","",IF(BG149="f",IF(BH149="r",0,IF(BH149="",0,1)),
IF(BG149="r",1,
IF(BG149="l",IF(BH149="l",1,0)))))</f>
        <v/>
      </c>
      <c r="BI190" t="str">
        <f t="shared" si="314"/>
        <v/>
      </c>
      <c r="BJ190" t="str">
        <f t="shared" si="314"/>
        <v/>
      </c>
      <c r="BK190" t="str">
        <f t="shared" si="314"/>
        <v/>
      </c>
      <c r="BL190" t="str">
        <f t="shared" si="314"/>
        <v/>
      </c>
      <c r="BM190" t="str">
        <f t="shared" si="314"/>
        <v/>
      </c>
      <c r="BN190" t="str">
        <f t="shared" si="314"/>
        <v/>
      </c>
      <c r="BO190" t="str">
        <f t="shared" si="314"/>
        <v/>
      </c>
      <c r="BP190" t="str">
        <f t="shared" si="314"/>
        <v/>
      </c>
      <c r="BQ190" t="str">
        <f t="shared" si="314"/>
        <v/>
      </c>
      <c r="BR190" t="str">
        <f t="shared" si="314"/>
        <v/>
      </c>
      <c r="BS190" t="str">
        <f t="shared" si="314"/>
        <v/>
      </c>
      <c r="BT190" t="str">
        <f t="shared" si="314"/>
        <v/>
      </c>
      <c r="BU190" t="str">
        <f t="shared" si="314"/>
        <v/>
      </c>
      <c r="BV190" t="str">
        <f t="shared" si="314"/>
        <v/>
      </c>
      <c r="BW190" t="str">
        <f t="shared" si="314"/>
        <v/>
      </c>
      <c r="BX190" t="str">
        <f t="shared" si="314"/>
        <v/>
      </c>
      <c r="BY190" t="str">
        <f t="shared" si="314"/>
        <v/>
      </c>
      <c r="BZ190" t="str">
        <f t="shared" si="314"/>
        <v/>
      </c>
      <c r="CA190" t="str">
        <f t="shared" si="314"/>
        <v/>
      </c>
      <c r="CB190" t="str">
        <f t="shared" si="268"/>
        <v/>
      </c>
      <c r="CC190">
        <f t="shared" si="269"/>
        <v>0</v>
      </c>
      <c r="CD190"/>
      <c r="CE190"/>
      <c r="CF190"/>
      <c r="CG190"/>
      <c r="CH190"/>
      <c r="CI190"/>
      <c r="CJ190"/>
      <c r="CK190"/>
      <c r="CL190"/>
      <c r="CM190"/>
      <c r="CN190"/>
      <c r="CO190"/>
      <c r="CP190"/>
      <c r="CQ190"/>
      <c r="CR190"/>
      <c r="CS190"/>
      <c r="CT190"/>
      <c r="CU190"/>
      <c r="CV190"/>
      <c r="CW190"/>
      <c r="CX190"/>
      <c r="CY190"/>
      <c r="CZ190"/>
      <c r="DA190"/>
      <c r="DB190"/>
      <c r="DC190"/>
      <c r="DD190"/>
      <c r="DE190"/>
      <c r="DF190"/>
      <c r="DG190" t="str">
        <f t="shared" si="277"/>
        <v/>
      </c>
      <c r="DH190" t="str">
        <f t="shared" si="278"/>
        <v>W</v>
      </c>
      <c r="DI190" t="e">
        <f t="shared" si="279"/>
        <v>#N/A</v>
      </c>
      <c r="DJ190" t="e">
        <f t="shared" si="280"/>
        <v>#N/A</v>
      </c>
      <c r="DK190" t="e">
        <f t="shared" si="281"/>
        <v>#N/A</v>
      </c>
      <c r="DL190" t="e">
        <f t="shared" si="282"/>
        <v>#N/A</v>
      </c>
      <c r="DM190">
        <f t="shared" si="271"/>
        <v>0</v>
      </c>
      <c r="DN190">
        <f t="shared" si="283"/>
        <v>0</v>
      </c>
      <c r="DO190">
        <f t="shared" si="272"/>
        <v>0</v>
      </c>
      <c r="DP190">
        <f t="shared" si="273"/>
        <v>0</v>
      </c>
      <c r="DQ190">
        <f t="shared" si="284"/>
        <v>0</v>
      </c>
      <c r="DR190">
        <f t="shared" si="285"/>
        <v>0</v>
      </c>
      <c r="DS190">
        <f t="shared" si="286"/>
        <v>0</v>
      </c>
      <c r="DT190">
        <f t="shared" si="287"/>
        <v>0</v>
      </c>
      <c r="DU190">
        <f t="shared" si="288"/>
        <v>0</v>
      </c>
      <c r="DV190"/>
      <c r="DW190"/>
      <c r="DX190">
        <f t="shared" si="289"/>
        <v>0</v>
      </c>
      <c r="DY190">
        <f t="shared" si="290"/>
        <v>0</v>
      </c>
      <c r="DZ190">
        <f t="shared" si="291"/>
        <v>0</v>
      </c>
      <c r="EA190" t="str">
        <f t="shared" si="292"/>
        <v/>
      </c>
      <c r="EB190">
        <f t="shared" si="293"/>
        <v>0</v>
      </c>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c r="IU190"/>
      <c r="IV190"/>
    </row>
    <row r="191" spans="1:256" s="1" customFormat="1"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f t="shared" si="265"/>
        <v>0</v>
      </c>
      <c r="BE191"/>
      <c r="BF191">
        <f t="shared" si="266"/>
        <v>0</v>
      </c>
      <c r="BG191"/>
      <c r="BH191" t="str">
        <f t="shared" ref="BH191:CA191" si="315">IF(BG150="","",IF(BG150="f",IF(BH150="r",0,IF(BH150="",0,1)),
IF(BG150="r",1,
IF(BG150="l",IF(BH150="l",1,0)))))</f>
        <v/>
      </c>
      <c r="BI191" t="str">
        <f t="shared" si="315"/>
        <v/>
      </c>
      <c r="BJ191" t="str">
        <f t="shared" si="315"/>
        <v/>
      </c>
      <c r="BK191" t="str">
        <f t="shared" si="315"/>
        <v/>
      </c>
      <c r="BL191" t="str">
        <f t="shared" si="315"/>
        <v/>
      </c>
      <c r="BM191" t="str">
        <f t="shared" si="315"/>
        <v/>
      </c>
      <c r="BN191" t="str">
        <f t="shared" si="315"/>
        <v/>
      </c>
      <c r="BO191" t="str">
        <f t="shared" si="315"/>
        <v/>
      </c>
      <c r="BP191" t="str">
        <f t="shared" si="315"/>
        <v/>
      </c>
      <c r="BQ191" t="str">
        <f t="shared" si="315"/>
        <v/>
      </c>
      <c r="BR191" t="str">
        <f t="shared" si="315"/>
        <v/>
      </c>
      <c r="BS191" t="str">
        <f t="shared" si="315"/>
        <v/>
      </c>
      <c r="BT191" t="str">
        <f t="shared" si="315"/>
        <v/>
      </c>
      <c r="BU191" t="str">
        <f t="shared" si="315"/>
        <v/>
      </c>
      <c r="BV191" t="str">
        <f t="shared" si="315"/>
        <v/>
      </c>
      <c r="BW191" t="str">
        <f t="shared" si="315"/>
        <v/>
      </c>
      <c r="BX191" t="str">
        <f t="shared" si="315"/>
        <v/>
      </c>
      <c r="BY191" t="str">
        <f t="shared" si="315"/>
        <v/>
      </c>
      <c r="BZ191" t="str">
        <f t="shared" si="315"/>
        <v/>
      </c>
      <c r="CA191" t="str">
        <f t="shared" si="315"/>
        <v/>
      </c>
      <c r="CB191" t="str">
        <f t="shared" si="268"/>
        <v/>
      </c>
      <c r="CC191">
        <f t="shared" si="269"/>
        <v>0</v>
      </c>
      <c r="CD191"/>
      <c r="CE191"/>
      <c r="CF191"/>
      <c r="CG191"/>
      <c r="CH191"/>
      <c r="CI191"/>
      <c r="CJ191"/>
      <c r="CK191"/>
      <c r="CL191"/>
      <c r="CM191"/>
      <c r="CN191"/>
      <c r="CO191"/>
      <c r="CP191"/>
      <c r="CQ191"/>
      <c r="CR191"/>
      <c r="CS191"/>
      <c r="CT191"/>
      <c r="CU191"/>
      <c r="CV191"/>
      <c r="CW191"/>
      <c r="CX191"/>
      <c r="CY191"/>
      <c r="CZ191"/>
      <c r="DA191"/>
      <c r="DB191"/>
      <c r="DC191"/>
      <c r="DD191"/>
      <c r="DE191"/>
      <c r="DF191"/>
      <c r="DG191" t="str">
        <f t="shared" si="277"/>
        <v/>
      </c>
      <c r="DH191" t="str">
        <f t="shared" si="278"/>
        <v>W</v>
      </c>
      <c r="DI191" t="e">
        <f t="shared" si="279"/>
        <v>#N/A</v>
      </c>
      <c r="DJ191" t="e">
        <f t="shared" si="280"/>
        <v>#N/A</v>
      </c>
      <c r="DK191" t="e">
        <f t="shared" si="281"/>
        <v>#N/A</v>
      </c>
      <c r="DL191" t="e">
        <f t="shared" si="282"/>
        <v>#N/A</v>
      </c>
      <c r="DM191">
        <f t="shared" si="271"/>
        <v>0</v>
      </c>
      <c r="DN191">
        <f t="shared" si="283"/>
        <v>0</v>
      </c>
      <c r="DO191">
        <f t="shared" si="272"/>
        <v>0</v>
      </c>
      <c r="DP191">
        <f t="shared" si="273"/>
        <v>0</v>
      </c>
      <c r="DQ191">
        <f t="shared" si="284"/>
        <v>0</v>
      </c>
      <c r="DR191">
        <f t="shared" si="285"/>
        <v>0</v>
      </c>
      <c r="DS191">
        <f t="shared" si="286"/>
        <v>0</v>
      </c>
      <c r="DT191">
        <f t="shared" si="287"/>
        <v>0</v>
      </c>
      <c r="DU191">
        <f t="shared" si="288"/>
        <v>0</v>
      </c>
      <c r="DV191"/>
      <c r="DW191"/>
      <c r="DX191">
        <f t="shared" si="289"/>
        <v>0</v>
      </c>
      <c r="DY191">
        <f t="shared" si="290"/>
        <v>0</v>
      </c>
      <c r="DZ191">
        <f t="shared" si="291"/>
        <v>0</v>
      </c>
      <c r="EA191" t="str">
        <f t="shared" si="292"/>
        <v/>
      </c>
      <c r="EB191">
        <f t="shared" si="293"/>
        <v>0</v>
      </c>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c r="IU191"/>
      <c r="IV191"/>
    </row>
    <row r="192" spans="1:256" s="1" customFormat="1"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f t="shared" si="265"/>
        <v>0</v>
      </c>
      <c r="BE192"/>
      <c r="BF192">
        <f t="shared" si="266"/>
        <v>0</v>
      </c>
      <c r="BG192"/>
      <c r="BH192" t="str">
        <f t="shared" ref="BH192:CA192" si="316">IF(BG151="","",IF(BG151="f",IF(BH151="r",0,IF(BH151="",0,1)),
IF(BG151="r",1,
IF(BG151="l",IF(BH151="l",1,0)))))</f>
        <v/>
      </c>
      <c r="BI192" t="str">
        <f t="shared" si="316"/>
        <v/>
      </c>
      <c r="BJ192" t="str">
        <f t="shared" si="316"/>
        <v/>
      </c>
      <c r="BK192" t="str">
        <f t="shared" si="316"/>
        <v/>
      </c>
      <c r="BL192" t="str">
        <f t="shared" si="316"/>
        <v/>
      </c>
      <c r="BM192" t="str">
        <f t="shared" si="316"/>
        <v/>
      </c>
      <c r="BN192" t="str">
        <f t="shared" si="316"/>
        <v/>
      </c>
      <c r="BO192" t="str">
        <f t="shared" si="316"/>
        <v/>
      </c>
      <c r="BP192" t="str">
        <f t="shared" si="316"/>
        <v/>
      </c>
      <c r="BQ192" t="str">
        <f t="shared" si="316"/>
        <v/>
      </c>
      <c r="BR192" t="str">
        <f t="shared" si="316"/>
        <v/>
      </c>
      <c r="BS192" t="str">
        <f t="shared" si="316"/>
        <v/>
      </c>
      <c r="BT192" t="str">
        <f t="shared" si="316"/>
        <v/>
      </c>
      <c r="BU192" t="str">
        <f t="shared" si="316"/>
        <v/>
      </c>
      <c r="BV192" t="str">
        <f t="shared" si="316"/>
        <v/>
      </c>
      <c r="BW192" t="str">
        <f t="shared" si="316"/>
        <v/>
      </c>
      <c r="BX192" t="str">
        <f t="shared" si="316"/>
        <v/>
      </c>
      <c r="BY192" t="str">
        <f t="shared" si="316"/>
        <v/>
      </c>
      <c r="BZ192" t="str">
        <f t="shared" si="316"/>
        <v/>
      </c>
      <c r="CA192" t="str">
        <f t="shared" si="316"/>
        <v/>
      </c>
      <c r="CB192" t="str">
        <f t="shared" si="268"/>
        <v/>
      </c>
      <c r="CC192">
        <f t="shared" si="269"/>
        <v>0</v>
      </c>
      <c r="CD192"/>
      <c r="CE192"/>
      <c r="CF192"/>
      <c r="CG192"/>
      <c r="CH192"/>
      <c r="CI192"/>
      <c r="CJ192"/>
      <c r="CK192"/>
      <c r="CL192"/>
      <c r="CM192"/>
      <c r="CN192"/>
      <c r="CO192"/>
      <c r="CP192"/>
      <c r="CQ192"/>
      <c r="CR192"/>
      <c r="CS192"/>
      <c r="CT192"/>
      <c r="CU192"/>
      <c r="CV192"/>
      <c r="CW192"/>
      <c r="CX192"/>
      <c r="CY192"/>
      <c r="CZ192"/>
      <c r="DA192"/>
      <c r="DB192"/>
      <c r="DC192"/>
      <c r="DD192"/>
      <c r="DE192"/>
      <c r="DF192"/>
      <c r="DG192" t="str">
        <f t="shared" si="277"/>
        <v/>
      </c>
      <c r="DH192" t="str">
        <f t="shared" si="278"/>
        <v>W</v>
      </c>
      <c r="DI192" t="e">
        <f t="shared" si="279"/>
        <v>#N/A</v>
      </c>
      <c r="DJ192" t="e">
        <f t="shared" si="280"/>
        <v>#N/A</v>
      </c>
      <c r="DK192" t="e">
        <f t="shared" si="281"/>
        <v>#N/A</v>
      </c>
      <c r="DL192" t="e">
        <f t="shared" si="282"/>
        <v>#N/A</v>
      </c>
      <c r="DM192">
        <f t="shared" si="271"/>
        <v>0</v>
      </c>
      <c r="DN192">
        <f t="shared" si="283"/>
        <v>0</v>
      </c>
      <c r="DO192">
        <f t="shared" si="272"/>
        <v>0</v>
      </c>
      <c r="DP192">
        <f t="shared" si="273"/>
        <v>0</v>
      </c>
      <c r="DQ192">
        <f t="shared" si="284"/>
        <v>0</v>
      </c>
      <c r="DR192">
        <f t="shared" si="285"/>
        <v>0</v>
      </c>
      <c r="DS192">
        <f t="shared" si="286"/>
        <v>0</v>
      </c>
      <c r="DT192">
        <f t="shared" si="287"/>
        <v>0</v>
      </c>
      <c r="DU192">
        <f t="shared" si="288"/>
        <v>0</v>
      </c>
      <c r="DV192"/>
      <c r="DW192"/>
      <c r="DX192">
        <f t="shared" si="289"/>
        <v>0</v>
      </c>
      <c r="DY192">
        <f t="shared" si="290"/>
        <v>0</v>
      </c>
      <c r="DZ192">
        <f t="shared" si="291"/>
        <v>0</v>
      </c>
      <c r="EA192" t="str">
        <f t="shared" si="292"/>
        <v/>
      </c>
      <c r="EB192">
        <f t="shared" si="293"/>
        <v>0</v>
      </c>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c r="IU192"/>
      <c r="IV192"/>
    </row>
    <row r="193" spans="1:256" s="1" customFormat="1"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f t="shared" si="265"/>
        <v>0</v>
      </c>
      <c r="BE193"/>
      <c r="BF193">
        <f t="shared" si="266"/>
        <v>0</v>
      </c>
      <c r="BG193"/>
      <c r="BH193" t="str">
        <f t="shared" ref="BH193:CA193" si="317">IF(BG152="","",IF(BG152="f",IF(BH152="r",0,IF(BH152="",0,1)),
IF(BG152="r",1,
IF(BG152="l",IF(BH152="l",1,0)))))</f>
        <v/>
      </c>
      <c r="BI193" t="str">
        <f t="shared" si="317"/>
        <v/>
      </c>
      <c r="BJ193" t="str">
        <f t="shared" si="317"/>
        <v/>
      </c>
      <c r="BK193" t="str">
        <f t="shared" si="317"/>
        <v/>
      </c>
      <c r="BL193" t="str">
        <f t="shared" si="317"/>
        <v/>
      </c>
      <c r="BM193" t="str">
        <f t="shared" si="317"/>
        <v/>
      </c>
      <c r="BN193" t="str">
        <f t="shared" si="317"/>
        <v/>
      </c>
      <c r="BO193" t="str">
        <f t="shared" si="317"/>
        <v/>
      </c>
      <c r="BP193" t="str">
        <f t="shared" si="317"/>
        <v/>
      </c>
      <c r="BQ193" t="str">
        <f t="shared" si="317"/>
        <v/>
      </c>
      <c r="BR193" t="str">
        <f t="shared" si="317"/>
        <v/>
      </c>
      <c r="BS193" t="str">
        <f t="shared" si="317"/>
        <v/>
      </c>
      <c r="BT193" t="str">
        <f t="shared" si="317"/>
        <v/>
      </c>
      <c r="BU193" t="str">
        <f t="shared" si="317"/>
        <v/>
      </c>
      <c r="BV193" t="str">
        <f t="shared" si="317"/>
        <v/>
      </c>
      <c r="BW193" t="str">
        <f t="shared" si="317"/>
        <v/>
      </c>
      <c r="BX193" t="str">
        <f t="shared" si="317"/>
        <v/>
      </c>
      <c r="BY193" t="str">
        <f t="shared" si="317"/>
        <v/>
      </c>
      <c r="BZ193" t="str">
        <f t="shared" si="317"/>
        <v/>
      </c>
      <c r="CA193" t="str">
        <f t="shared" si="317"/>
        <v/>
      </c>
      <c r="CB193" t="str">
        <f t="shared" si="268"/>
        <v/>
      </c>
      <c r="CC193">
        <f t="shared" si="269"/>
        <v>0</v>
      </c>
      <c r="CD193"/>
      <c r="CE193"/>
      <c r="CF193"/>
      <c r="CG193"/>
      <c r="CH193"/>
      <c r="CI193"/>
      <c r="CJ193"/>
      <c r="CK193"/>
      <c r="CL193"/>
      <c r="CM193"/>
      <c r="CN193"/>
      <c r="CO193"/>
      <c r="CP193"/>
      <c r="CQ193"/>
      <c r="CR193"/>
      <c r="CS193"/>
      <c r="CT193"/>
      <c r="CU193"/>
      <c r="CV193"/>
      <c r="CW193"/>
      <c r="CX193"/>
      <c r="CY193"/>
      <c r="CZ193"/>
      <c r="DA193"/>
      <c r="DB193"/>
      <c r="DC193"/>
      <c r="DD193"/>
      <c r="DE193"/>
      <c r="DF193"/>
      <c r="DG193" t="str">
        <f t="shared" si="277"/>
        <v/>
      </c>
      <c r="DH193" t="str">
        <f t="shared" si="278"/>
        <v>W</v>
      </c>
      <c r="DI193" t="e">
        <f t="shared" si="279"/>
        <v>#N/A</v>
      </c>
      <c r="DJ193" t="e">
        <f t="shared" si="280"/>
        <v>#N/A</v>
      </c>
      <c r="DK193" t="e">
        <f t="shared" si="281"/>
        <v>#N/A</v>
      </c>
      <c r="DL193" t="e">
        <f t="shared" si="282"/>
        <v>#N/A</v>
      </c>
      <c r="DM193">
        <f t="shared" si="271"/>
        <v>0</v>
      </c>
      <c r="DN193">
        <f t="shared" si="283"/>
        <v>0</v>
      </c>
      <c r="DO193">
        <f t="shared" si="272"/>
        <v>0</v>
      </c>
      <c r="DP193">
        <f t="shared" si="273"/>
        <v>0</v>
      </c>
      <c r="DQ193">
        <f t="shared" si="284"/>
        <v>0</v>
      </c>
      <c r="DR193">
        <f t="shared" si="285"/>
        <v>0</v>
      </c>
      <c r="DS193">
        <f t="shared" si="286"/>
        <v>0</v>
      </c>
      <c r="DT193">
        <f t="shared" si="287"/>
        <v>0</v>
      </c>
      <c r="DU193">
        <f t="shared" si="288"/>
        <v>0</v>
      </c>
      <c r="DV193"/>
      <c r="DW193"/>
      <c r="DX193">
        <f t="shared" si="289"/>
        <v>0</v>
      </c>
      <c r="DY193">
        <f t="shared" si="290"/>
        <v>0</v>
      </c>
      <c r="DZ193">
        <f t="shared" si="291"/>
        <v>0</v>
      </c>
      <c r="EA193" t="str">
        <f t="shared" si="292"/>
        <v/>
      </c>
      <c r="EB193">
        <f t="shared" si="293"/>
        <v>0</v>
      </c>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c r="HB193"/>
      <c r="HC193"/>
      <c r="HD193"/>
      <c r="HE193"/>
      <c r="HF193"/>
      <c r="HG19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c r="IU193"/>
      <c r="IV193"/>
    </row>
    <row r="194" spans="1:256" s="1" customFormat="1"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f t="shared" si="265"/>
        <v>0</v>
      </c>
      <c r="BE194"/>
      <c r="BF194">
        <f t="shared" si="266"/>
        <v>0</v>
      </c>
      <c r="BG194"/>
      <c r="BH194" t="str">
        <f t="shared" ref="BH194:CA194" si="318">IF(BG153="","",IF(BG153="f",IF(BH153="r",0,IF(BH153="",0,1)),
IF(BG153="r",1,
IF(BG153="l",IF(BH153="l",1,0)))))</f>
        <v/>
      </c>
      <c r="BI194" t="str">
        <f t="shared" si="318"/>
        <v/>
      </c>
      <c r="BJ194" t="str">
        <f t="shared" si="318"/>
        <v/>
      </c>
      <c r="BK194" t="str">
        <f t="shared" si="318"/>
        <v/>
      </c>
      <c r="BL194" t="str">
        <f t="shared" si="318"/>
        <v/>
      </c>
      <c r="BM194" t="str">
        <f t="shared" si="318"/>
        <v/>
      </c>
      <c r="BN194" t="str">
        <f t="shared" si="318"/>
        <v/>
      </c>
      <c r="BO194" t="str">
        <f t="shared" si="318"/>
        <v/>
      </c>
      <c r="BP194" t="str">
        <f t="shared" si="318"/>
        <v/>
      </c>
      <c r="BQ194" t="str">
        <f t="shared" si="318"/>
        <v/>
      </c>
      <c r="BR194" t="str">
        <f t="shared" si="318"/>
        <v/>
      </c>
      <c r="BS194" t="str">
        <f t="shared" si="318"/>
        <v/>
      </c>
      <c r="BT194" t="str">
        <f t="shared" si="318"/>
        <v/>
      </c>
      <c r="BU194" t="str">
        <f t="shared" si="318"/>
        <v/>
      </c>
      <c r="BV194" t="str">
        <f t="shared" si="318"/>
        <v/>
      </c>
      <c r="BW194" t="str">
        <f t="shared" si="318"/>
        <v/>
      </c>
      <c r="BX194" t="str">
        <f t="shared" si="318"/>
        <v/>
      </c>
      <c r="BY194" t="str">
        <f t="shared" si="318"/>
        <v/>
      </c>
      <c r="BZ194" t="str">
        <f t="shared" si="318"/>
        <v/>
      </c>
      <c r="CA194" t="str">
        <f t="shared" si="318"/>
        <v/>
      </c>
      <c r="CB194" t="str">
        <f t="shared" si="268"/>
        <v/>
      </c>
      <c r="CC194">
        <f t="shared" si="269"/>
        <v>0</v>
      </c>
      <c r="CD194"/>
      <c r="CE194"/>
      <c r="CF194"/>
      <c r="CG194"/>
      <c r="CH194"/>
      <c r="CI194"/>
      <c r="CJ194"/>
      <c r="CK194"/>
      <c r="CL194"/>
      <c r="CM194"/>
      <c r="CN194"/>
      <c r="CO194"/>
      <c r="CP194"/>
      <c r="CQ194"/>
      <c r="CR194"/>
      <c r="CS194"/>
      <c r="CT194"/>
      <c r="CU194"/>
      <c r="CV194"/>
      <c r="CW194"/>
      <c r="CX194"/>
      <c r="CY194"/>
      <c r="CZ194"/>
      <c r="DA194"/>
      <c r="DB194"/>
      <c r="DC194"/>
      <c r="DD194"/>
      <c r="DE194"/>
      <c r="DF194"/>
      <c r="DG194" t="str">
        <f t="shared" si="277"/>
        <v/>
      </c>
      <c r="DH194" t="str">
        <f t="shared" si="278"/>
        <v>W</v>
      </c>
      <c r="DI194" t="e">
        <f t="shared" si="279"/>
        <v>#N/A</v>
      </c>
      <c r="DJ194" t="e">
        <f t="shared" si="280"/>
        <v>#N/A</v>
      </c>
      <c r="DK194" t="e">
        <f t="shared" si="281"/>
        <v>#N/A</v>
      </c>
      <c r="DL194" t="e">
        <f t="shared" si="282"/>
        <v>#N/A</v>
      </c>
      <c r="DM194">
        <f t="shared" si="271"/>
        <v>0</v>
      </c>
      <c r="DN194">
        <f t="shared" si="283"/>
        <v>0</v>
      </c>
      <c r="DO194">
        <f t="shared" si="272"/>
        <v>0</v>
      </c>
      <c r="DP194">
        <f t="shared" si="273"/>
        <v>0</v>
      </c>
      <c r="DQ194">
        <f t="shared" si="284"/>
        <v>0</v>
      </c>
      <c r="DR194">
        <f t="shared" si="285"/>
        <v>0</v>
      </c>
      <c r="DS194">
        <f t="shared" si="286"/>
        <v>0</v>
      </c>
      <c r="DT194">
        <f t="shared" si="287"/>
        <v>0</v>
      </c>
      <c r="DU194">
        <f t="shared" si="288"/>
        <v>0</v>
      </c>
      <c r="DV194"/>
      <c r="DW194"/>
      <c r="DX194">
        <f t="shared" si="289"/>
        <v>0</v>
      </c>
      <c r="DY194">
        <f t="shared" si="290"/>
        <v>0</v>
      </c>
      <c r="DZ194">
        <f t="shared" si="291"/>
        <v>0</v>
      </c>
      <c r="EA194" t="str">
        <f t="shared" si="292"/>
        <v/>
      </c>
      <c r="EB194">
        <f t="shared" si="293"/>
        <v>0</v>
      </c>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c r="HB194"/>
      <c r="HC194"/>
      <c r="HD194"/>
      <c r="HE194"/>
      <c r="HF194"/>
      <c r="HG194"/>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c r="IU194"/>
      <c r="IV194"/>
    </row>
    <row r="195" spans="1:256" s="1" customFormat="1"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f t="shared" si="265"/>
        <v>0</v>
      </c>
      <c r="BE195"/>
      <c r="BF195">
        <f t="shared" si="266"/>
        <v>0</v>
      </c>
      <c r="BG195"/>
      <c r="BH195" t="str">
        <f t="shared" ref="BH195:CA195" si="319">IF(BG154="","",IF(BG154="f",IF(BH154="r",0,IF(BH154="",0,1)),
IF(BG154="r",1,
IF(BG154="l",IF(BH154="l",1,0)))))</f>
        <v/>
      </c>
      <c r="BI195" t="str">
        <f t="shared" si="319"/>
        <v/>
      </c>
      <c r="BJ195" t="str">
        <f t="shared" si="319"/>
        <v/>
      </c>
      <c r="BK195" t="str">
        <f t="shared" si="319"/>
        <v/>
      </c>
      <c r="BL195" t="str">
        <f t="shared" si="319"/>
        <v/>
      </c>
      <c r="BM195" t="str">
        <f t="shared" si="319"/>
        <v/>
      </c>
      <c r="BN195" t="str">
        <f t="shared" si="319"/>
        <v/>
      </c>
      <c r="BO195" t="str">
        <f t="shared" si="319"/>
        <v/>
      </c>
      <c r="BP195" t="str">
        <f t="shared" si="319"/>
        <v/>
      </c>
      <c r="BQ195" t="str">
        <f t="shared" si="319"/>
        <v/>
      </c>
      <c r="BR195" t="str">
        <f t="shared" si="319"/>
        <v/>
      </c>
      <c r="BS195" t="str">
        <f t="shared" si="319"/>
        <v/>
      </c>
      <c r="BT195" t="str">
        <f t="shared" si="319"/>
        <v/>
      </c>
      <c r="BU195" t="str">
        <f t="shared" si="319"/>
        <v/>
      </c>
      <c r="BV195" t="str">
        <f t="shared" si="319"/>
        <v/>
      </c>
      <c r="BW195" t="str">
        <f t="shared" si="319"/>
        <v/>
      </c>
      <c r="BX195" t="str">
        <f t="shared" si="319"/>
        <v/>
      </c>
      <c r="BY195" t="str">
        <f t="shared" si="319"/>
        <v/>
      </c>
      <c r="BZ195" t="str">
        <f t="shared" si="319"/>
        <v/>
      </c>
      <c r="CA195" t="str">
        <f t="shared" si="319"/>
        <v/>
      </c>
      <c r="CB195" t="str">
        <f t="shared" si="268"/>
        <v/>
      </c>
      <c r="CC195">
        <f t="shared" si="269"/>
        <v>0</v>
      </c>
      <c r="CD195"/>
      <c r="CE195"/>
      <c r="CF195"/>
      <c r="CG195"/>
      <c r="CH195"/>
      <c r="CI195"/>
      <c r="CJ195"/>
      <c r="CK195"/>
      <c r="CL195"/>
      <c r="CM195"/>
      <c r="CN195"/>
      <c r="CO195"/>
      <c r="CP195"/>
      <c r="CQ195"/>
      <c r="CR195"/>
      <c r="CS195"/>
      <c r="CT195"/>
      <c r="CU195"/>
      <c r="CV195"/>
      <c r="CW195"/>
      <c r="CX195"/>
      <c r="CY195"/>
      <c r="CZ195"/>
      <c r="DA195"/>
      <c r="DB195"/>
      <c r="DC195"/>
      <c r="DD195"/>
      <c r="DE195"/>
      <c r="DF195"/>
      <c r="DG195" t="str">
        <f t="shared" si="277"/>
        <v/>
      </c>
      <c r="DH195" t="str">
        <f t="shared" si="278"/>
        <v>W</v>
      </c>
      <c r="DI195" t="e">
        <f t="shared" si="279"/>
        <v>#N/A</v>
      </c>
      <c r="DJ195" t="e">
        <f t="shared" si="280"/>
        <v>#N/A</v>
      </c>
      <c r="DK195" t="e">
        <f t="shared" si="281"/>
        <v>#N/A</v>
      </c>
      <c r="DL195" t="e">
        <f t="shared" si="282"/>
        <v>#N/A</v>
      </c>
      <c r="DM195">
        <f t="shared" si="271"/>
        <v>0</v>
      </c>
      <c r="DN195">
        <f t="shared" si="283"/>
        <v>0</v>
      </c>
      <c r="DO195">
        <f t="shared" si="272"/>
        <v>0</v>
      </c>
      <c r="DP195">
        <f t="shared" si="273"/>
        <v>0</v>
      </c>
      <c r="DQ195">
        <f t="shared" si="284"/>
        <v>0</v>
      </c>
      <c r="DR195">
        <f t="shared" si="285"/>
        <v>0</v>
      </c>
      <c r="DS195">
        <f t="shared" si="286"/>
        <v>0</v>
      </c>
      <c r="DT195">
        <f t="shared" si="287"/>
        <v>0</v>
      </c>
      <c r="DU195">
        <f t="shared" si="288"/>
        <v>0</v>
      </c>
      <c r="DV195"/>
      <c r="DW195"/>
      <c r="DX195">
        <f t="shared" si="289"/>
        <v>0</v>
      </c>
      <c r="DY195">
        <f t="shared" si="290"/>
        <v>0</v>
      </c>
      <c r="DZ195">
        <f t="shared" si="291"/>
        <v>0</v>
      </c>
      <c r="EA195" t="str">
        <f t="shared" si="292"/>
        <v/>
      </c>
      <c r="EB195">
        <f t="shared" si="293"/>
        <v>0</v>
      </c>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c r="HB195"/>
      <c r="HC195"/>
      <c r="HD195"/>
      <c r="HE195"/>
      <c r="HF195"/>
      <c r="HG195"/>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c r="IU195"/>
      <c r="IV195"/>
    </row>
    <row r="196" spans="1:256" s="1" customFormat="1"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f t="shared" si="265"/>
        <v>0</v>
      </c>
      <c r="BE196"/>
      <c r="BF196">
        <f t="shared" si="266"/>
        <v>0</v>
      </c>
      <c r="BG196"/>
      <c r="BH196" t="str">
        <f t="shared" ref="BH196:CA196" si="320">IF(BG155="","",IF(BG155="f",IF(BH155="r",0,IF(BH155="",0,1)),
IF(BG155="r",1,
IF(BG155="l",IF(BH155="l",1,0)))))</f>
        <v/>
      </c>
      <c r="BI196" t="str">
        <f t="shared" si="320"/>
        <v/>
      </c>
      <c r="BJ196" t="str">
        <f t="shared" si="320"/>
        <v/>
      </c>
      <c r="BK196" t="str">
        <f t="shared" si="320"/>
        <v/>
      </c>
      <c r="BL196" t="str">
        <f t="shared" si="320"/>
        <v/>
      </c>
      <c r="BM196" t="str">
        <f t="shared" si="320"/>
        <v/>
      </c>
      <c r="BN196" t="str">
        <f t="shared" si="320"/>
        <v/>
      </c>
      <c r="BO196" t="str">
        <f t="shared" si="320"/>
        <v/>
      </c>
      <c r="BP196" t="str">
        <f t="shared" si="320"/>
        <v/>
      </c>
      <c r="BQ196" t="str">
        <f t="shared" si="320"/>
        <v/>
      </c>
      <c r="BR196" t="str">
        <f t="shared" si="320"/>
        <v/>
      </c>
      <c r="BS196" t="str">
        <f t="shared" si="320"/>
        <v/>
      </c>
      <c r="BT196" t="str">
        <f t="shared" si="320"/>
        <v/>
      </c>
      <c r="BU196" t="str">
        <f t="shared" si="320"/>
        <v/>
      </c>
      <c r="BV196" t="str">
        <f t="shared" si="320"/>
        <v/>
      </c>
      <c r="BW196" t="str">
        <f t="shared" si="320"/>
        <v/>
      </c>
      <c r="BX196" t="str">
        <f t="shared" si="320"/>
        <v/>
      </c>
      <c r="BY196" t="str">
        <f t="shared" si="320"/>
        <v/>
      </c>
      <c r="BZ196" t="str">
        <f t="shared" si="320"/>
        <v/>
      </c>
      <c r="CA196" t="str">
        <f t="shared" si="320"/>
        <v/>
      </c>
      <c r="CB196" t="str">
        <f t="shared" si="268"/>
        <v/>
      </c>
      <c r="CC196">
        <f t="shared" si="269"/>
        <v>0</v>
      </c>
      <c r="CD196"/>
      <c r="CE196"/>
      <c r="CF196"/>
      <c r="CG196"/>
      <c r="CH196"/>
      <c r="CI196"/>
      <c r="CJ196"/>
      <c r="CK196"/>
      <c r="CL196"/>
      <c r="CM196"/>
      <c r="CN196"/>
      <c r="CO196"/>
      <c r="CP196"/>
      <c r="CQ196"/>
      <c r="CR196"/>
      <c r="CS196"/>
      <c r="CT196"/>
      <c r="CU196"/>
      <c r="CV196"/>
      <c r="CW196"/>
      <c r="CX196"/>
      <c r="CY196"/>
      <c r="CZ196"/>
      <c r="DA196"/>
      <c r="DB196"/>
      <c r="DC196"/>
      <c r="DD196"/>
      <c r="DE196"/>
      <c r="DF196"/>
      <c r="DG196" t="str">
        <f t="shared" si="277"/>
        <v/>
      </c>
      <c r="DH196" t="str">
        <f t="shared" si="278"/>
        <v>W</v>
      </c>
      <c r="DI196" t="e">
        <f t="shared" si="279"/>
        <v>#N/A</v>
      </c>
      <c r="DJ196" t="e">
        <f t="shared" si="280"/>
        <v>#N/A</v>
      </c>
      <c r="DK196" t="e">
        <f t="shared" si="281"/>
        <v>#N/A</v>
      </c>
      <c r="DL196" t="e">
        <f t="shared" si="282"/>
        <v>#N/A</v>
      </c>
      <c r="DM196">
        <f t="shared" si="271"/>
        <v>0</v>
      </c>
      <c r="DN196">
        <f t="shared" si="283"/>
        <v>0</v>
      </c>
      <c r="DO196">
        <f t="shared" si="272"/>
        <v>0</v>
      </c>
      <c r="DP196">
        <f t="shared" si="273"/>
        <v>0</v>
      </c>
      <c r="DQ196">
        <f t="shared" si="284"/>
        <v>0</v>
      </c>
      <c r="DR196">
        <f t="shared" si="285"/>
        <v>0</v>
      </c>
      <c r="DS196">
        <f t="shared" si="286"/>
        <v>0</v>
      </c>
      <c r="DT196">
        <f t="shared" si="287"/>
        <v>0</v>
      </c>
      <c r="DU196">
        <f t="shared" si="288"/>
        <v>0</v>
      </c>
      <c r="DV196"/>
      <c r="DW196"/>
      <c r="DX196">
        <f t="shared" si="289"/>
        <v>0</v>
      </c>
      <c r="DY196">
        <f t="shared" si="290"/>
        <v>0</v>
      </c>
      <c r="DZ196">
        <f t="shared" si="291"/>
        <v>0</v>
      </c>
      <c r="EA196" t="str">
        <f t="shared" si="292"/>
        <v/>
      </c>
      <c r="EB196">
        <f t="shared" si="293"/>
        <v>0</v>
      </c>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c r="HB196"/>
      <c r="HC196"/>
      <c r="HD196"/>
      <c r="HE196"/>
      <c r="HF196"/>
      <c r="HG196"/>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c r="IU196"/>
      <c r="IV196"/>
    </row>
    <row r="197" spans="1:256" s="1" customFormat="1"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f t="shared" si="265"/>
        <v>0</v>
      </c>
      <c r="BE197"/>
      <c r="BF197">
        <f t="shared" si="266"/>
        <v>0</v>
      </c>
      <c r="BG197"/>
      <c r="BH197" t="str">
        <f t="shared" ref="BH197:CA197" si="321">IF(BG156="","",IF(BG156="f",IF(BH156="r",0,IF(BH156="",0,1)),
IF(BG156="r",1,
IF(BG156="l",IF(BH156="l",1,0)))))</f>
        <v/>
      </c>
      <c r="BI197" t="str">
        <f t="shared" si="321"/>
        <v/>
      </c>
      <c r="BJ197" t="str">
        <f t="shared" si="321"/>
        <v/>
      </c>
      <c r="BK197" t="str">
        <f t="shared" si="321"/>
        <v/>
      </c>
      <c r="BL197" t="str">
        <f t="shared" si="321"/>
        <v/>
      </c>
      <c r="BM197" t="str">
        <f t="shared" si="321"/>
        <v/>
      </c>
      <c r="BN197" t="str">
        <f t="shared" si="321"/>
        <v/>
      </c>
      <c r="BO197" t="str">
        <f t="shared" si="321"/>
        <v/>
      </c>
      <c r="BP197" t="str">
        <f t="shared" si="321"/>
        <v/>
      </c>
      <c r="BQ197" t="str">
        <f t="shared" si="321"/>
        <v/>
      </c>
      <c r="BR197" t="str">
        <f t="shared" si="321"/>
        <v/>
      </c>
      <c r="BS197" t="str">
        <f t="shared" si="321"/>
        <v/>
      </c>
      <c r="BT197" t="str">
        <f t="shared" si="321"/>
        <v/>
      </c>
      <c r="BU197" t="str">
        <f t="shared" si="321"/>
        <v/>
      </c>
      <c r="BV197" t="str">
        <f t="shared" si="321"/>
        <v/>
      </c>
      <c r="BW197" t="str">
        <f t="shared" si="321"/>
        <v/>
      </c>
      <c r="BX197" t="str">
        <f t="shared" si="321"/>
        <v/>
      </c>
      <c r="BY197" t="str">
        <f t="shared" si="321"/>
        <v/>
      </c>
      <c r="BZ197" t="str">
        <f t="shared" si="321"/>
        <v/>
      </c>
      <c r="CA197" t="str">
        <f t="shared" si="321"/>
        <v/>
      </c>
      <c r="CB197" t="str">
        <f t="shared" si="268"/>
        <v/>
      </c>
      <c r="CC197">
        <f t="shared" si="269"/>
        <v>0</v>
      </c>
      <c r="CD197"/>
      <c r="CE197"/>
      <c r="CF197"/>
      <c r="CG197"/>
      <c r="CH197"/>
      <c r="CI197"/>
      <c r="CJ197"/>
      <c r="CK197"/>
      <c r="CL197"/>
      <c r="CM197"/>
      <c r="CN197"/>
      <c r="CO197"/>
      <c r="CP197"/>
      <c r="CQ197"/>
      <c r="CR197"/>
      <c r="CS197"/>
      <c r="CT197"/>
      <c r="CU197"/>
      <c r="CV197"/>
      <c r="CW197"/>
      <c r="CX197"/>
      <c r="CY197"/>
      <c r="CZ197"/>
      <c r="DA197"/>
      <c r="DB197"/>
      <c r="DC197"/>
      <c r="DD197"/>
      <c r="DE197"/>
      <c r="DF197"/>
      <c r="DG197" t="str">
        <f t="shared" si="277"/>
        <v/>
      </c>
      <c r="DH197" t="str">
        <f t="shared" si="278"/>
        <v>W</v>
      </c>
      <c r="DI197" t="e">
        <f t="shared" si="279"/>
        <v>#N/A</v>
      </c>
      <c r="DJ197" t="e">
        <f t="shared" si="280"/>
        <v>#N/A</v>
      </c>
      <c r="DK197" t="e">
        <f t="shared" si="281"/>
        <v>#N/A</v>
      </c>
      <c r="DL197" t="e">
        <f t="shared" si="282"/>
        <v>#N/A</v>
      </c>
      <c r="DM197">
        <f t="shared" si="271"/>
        <v>0</v>
      </c>
      <c r="DN197">
        <f t="shared" si="283"/>
        <v>0</v>
      </c>
      <c r="DO197">
        <f t="shared" si="272"/>
        <v>0</v>
      </c>
      <c r="DP197">
        <f t="shared" si="273"/>
        <v>0</v>
      </c>
      <c r="DQ197">
        <f t="shared" si="284"/>
        <v>0</v>
      </c>
      <c r="DR197">
        <f t="shared" si="285"/>
        <v>0</v>
      </c>
      <c r="DS197">
        <f t="shared" si="286"/>
        <v>0</v>
      </c>
      <c r="DT197">
        <f t="shared" si="287"/>
        <v>0</v>
      </c>
      <c r="DU197">
        <f t="shared" si="288"/>
        <v>0</v>
      </c>
      <c r="DV197"/>
      <c r="DW197"/>
      <c r="DX197">
        <f t="shared" si="289"/>
        <v>0</v>
      </c>
      <c r="DY197">
        <f t="shared" si="290"/>
        <v>0</v>
      </c>
      <c r="DZ197">
        <f t="shared" si="291"/>
        <v>0</v>
      </c>
      <c r="EA197" t="str">
        <f t="shared" si="292"/>
        <v/>
      </c>
      <c r="EB197">
        <f t="shared" si="293"/>
        <v>0</v>
      </c>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c r="IU197"/>
      <c r="IV197"/>
    </row>
    <row r="198" spans="1:256" s="1" customFormat="1"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f t="shared" si="265"/>
        <v>0</v>
      </c>
      <c r="BE198"/>
      <c r="BF198">
        <f t="shared" si="266"/>
        <v>0</v>
      </c>
      <c r="BG198"/>
      <c r="BH198" t="str">
        <f t="shared" ref="BH198:CA198" si="322">IF(BG157="","",IF(BG157="f",IF(BH157="r",0,IF(BH157="",0,1)),
IF(BG157="r",1,
IF(BG157="l",IF(BH157="l",1,0)))))</f>
        <v/>
      </c>
      <c r="BI198" t="str">
        <f t="shared" si="322"/>
        <v/>
      </c>
      <c r="BJ198" t="str">
        <f t="shared" si="322"/>
        <v/>
      </c>
      <c r="BK198" t="str">
        <f t="shared" si="322"/>
        <v/>
      </c>
      <c r="BL198" t="str">
        <f t="shared" si="322"/>
        <v/>
      </c>
      <c r="BM198" t="str">
        <f t="shared" si="322"/>
        <v/>
      </c>
      <c r="BN198" t="str">
        <f t="shared" si="322"/>
        <v/>
      </c>
      <c r="BO198" t="str">
        <f t="shared" si="322"/>
        <v/>
      </c>
      <c r="BP198" t="str">
        <f t="shared" si="322"/>
        <v/>
      </c>
      <c r="BQ198" t="str">
        <f t="shared" si="322"/>
        <v/>
      </c>
      <c r="BR198" t="str">
        <f t="shared" si="322"/>
        <v/>
      </c>
      <c r="BS198" t="str">
        <f t="shared" si="322"/>
        <v/>
      </c>
      <c r="BT198" t="str">
        <f t="shared" si="322"/>
        <v/>
      </c>
      <c r="BU198" t="str">
        <f t="shared" si="322"/>
        <v/>
      </c>
      <c r="BV198" t="str">
        <f t="shared" si="322"/>
        <v/>
      </c>
      <c r="BW198" t="str">
        <f t="shared" si="322"/>
        <v/>
      </c>
      <c r="BX198" t="str">
        <f t="shared" si="322"/>
        <v/>
      </c>
      <c r="BY198" t="str">
        <f t="shared" si="322"/>
        <v/>
      </c>
      <c r="BZ198" t="str">
        <f t="shared" si="322"/>
        <v/>
      </c>
      <c r="CA198" t="str">
        <f t="shared" si="322"/>
        <v/>
      </c>
      <c r="CB198" t="str">
        <f t="shared" si="268"/>
        <v/>
      </c>
      <c r="CC198">
        <f t="shared" si="269"/>
        <v>0</v>
      </c>
      <c r="CD198"/>
      <c r="CE198"/>
      <c r="CF198"/>
      <c r="CG198"/>
      <c r="CH198"/>
      <c r="CI198"/>
      <c r="CJ198"/>
      <c r="CK198"/>
      <c r="CL198"/>
      <c r="CM198"/>
      <c r="CN198"/>
      <c r="CO198"/>
      <c r="CP198"/>
      <c r="CQ198"/>
      <c r="CR198"/>
      <c r="CS198"/>
      <c r="CT198"/>
      <c r="CU198"/>
      <c r="CV198"/>
      <c r="CW198"/>
      <c r="CX198"/>
      <c r="CY198"/>
      <c r="CZ198"/>
      <c r="DA198"/>
      <c r="DB198"/>
      <c r="DC198"/>
      <c r="DD198"/>
      <c r="DE198"/>
      <c r="DF198"/>
      <c r="DG198" t="str">
        <f t="shared" si="277"/>
        <v/>
      </c>
      <c r="DH198" t="str">
        <f t="shared" si="278"/>
        <v>W</v>
      </c>
      <c r="DI198" t="e">
        <f t="shared" si="279"/>
        <v>#N/A</v>
      </c>
      <c r="DJ198" t="e">
        <f t="shared" si="280"/>
        <v>#N/A</v>
      </c>
      <c r="DK198" t="e">
        <f t="shared" si="281"/>
        <v>#N/A</v>
      </c>
      <c r="DL198" t="e">
        <f t="shared" si="282"/>
        <v>#N/A</v>
      </c>
      <c r="DM198">
        <f t="shared" si="271"/>
        <v>0</v>
      </c>
      <c r="DN198">
        <f t="shared" si="283"/>
        <v>0</v>
      </c>
      <c r="DO198">
        <f t="shared" si="272"/>
        <v>0</v>
      </c>
      <c r="DP198">
        <f t="shared" si="273"/>
        <v>0</v>
      </c>
      <c r="DQ198">
        <f t="shared" si="284"/>
        <v>0</v>
      </c>
      <c r="DR198">
        <f t="shared" si="285"/>
        <v>0</v>
      </c>
      <c r="DS198">
        <f t="shared" si="286"/>
        <v>0</v>
      </c>
      <c r="DT198">
        <f t="shared" si="287"/>
        <v>0</v>
      </c>
      <c r="DU198">
        <f t="shared" si="288"/>
        <v>0</v>
      </c>
      <c r="DV198"/>
      <c r="DW198"/>
      <c r="DX198">
        <f t="shared" si="289"/>
        <v>0</v>
      </c>
      <c r="DY198">
        <f t="shared" si="290"/>
        <v>0</v>
      </c>
      <c r="DZ198">
        <f t="shared" si="291"/>
        <v>0</v>
      </c>
      <c r="EA198" t="str">
        <f t="shared" si="292"/>
        <v/>
      </c>
      <c r="EB198">
        <f t="shared" si="293"/>
        <v>0</v>
      </c>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c r="IU198"/>
      <c r="IV198"/>
    </row>
    <row r="199" spans="1:256" s="1" customFormat="1"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f t="shared" si="265"/>
        <v>0</v>
      </c>
      <c r="BE199"/>
      <c r="BF199">
        <f t="shared" si="266"/>
        <v>0</v>
      </c>
      <c r="BG199"/>
      <c r="BH199" t="str">
        <f t="shared" ref="BH199:CA199" si="323">IF(BG158="","",IF(BG158="f",IF(BH158="r",0,IF(BH158="",0,1)),
IF(BG158="r",1,
IF(BG158="l",IF(BH158="l",1,0)))))</f>
        <v/>
      </c>
      <c r="BI199" t="str">
        <f t="shared" si="323"/>
        <v/>
      </c>
      <c r="BJ199" t="str">
        <f t="shared" si="323"/>
        <v/>
      </c>
      <c r="BK199" t="str">
        <f t="shared" si="323"/>
        <v/>
      </c>
      <c r="BL199" t="str">
        <f t="shared" si="323"/>
        <v/>
      </c>
      <c r="BM199" t="str">
        <f t="shared" si="323"/>
        <v/>
      </c>
      <c r="BN199" t="str">
        <f t="shared" si="323"/>
        <v/>
      </c>
      <c r="BO199" t="str">
        <f t="shared" si="323"/>
        <v/>
      </c>
      <c r="BP199" t="str">
        <f t="shared" si="323"/>
        <v/>
      </c>
      <c r="BQ199" t="str">
        <f t="shared" si="323"/>
        <v/>
      </c>
      <c r="BR199" t="str">
        <f t="shared" si="323"/>
        <v/>
      </c>
      <c r="BS199" t="str">
        <f t="shared" si="323"/>
        <v/>
      </c>
      <c r="BT199" t="str">
        <f t="shared" si="323"/>
        <v/>
      </c>
      <c r="BU199" t="str">
        <f t="shared" si="323"/>
        <v/>
      </c>
      <c r="BV199" t="str">
        <f t="shared" si="323"/>
        <v/>
      </c>
      <c r="BW199" t="str">
        <f t="shared" si="323"/>
        <v/>
      </c>
      <c r="BX199" t="str">
        <f t="shared" si="323"/>
        <v/>
      </c>
      <c r="BY199" t="str">
        <f t="shared" si="323"/>
        <v/>
      </c>
      <c r="BZ199" t="str">
        <f t="shared" si="323"/>
        <v/>
      </c>
      <c r="CA199" t="str">
        <f t="shared" si="323"/>
        <v/>
      </c>
      <c r="CB199" t="str">
        <f t="shared" si="268"/>
        <v/>
      </c>
      <c r="CC199">
        <f t="shared" si="269"/>
        <v>0</v>
      </c>
      <c r="CD199"/>
      <c r="CE199"/>
      <c r="CF199"/>
      <c r="CG199"/>
      <c r="CH199"/>
      <c r="CI199"/>
      <c r="CJ199"/>
      <c r="CK199"/>
      <c r="CL199"/>
      <c r="CM199"/>
      <c r="CN199"/>
      <c r="CO199"/>
      <c r="CP199"/>
      <c r="CQ199"/>
      <c r="CR199"/>
      <c r="CS199"/>
      <c r="CT199"/>
      <c r="CU199"/>
      <c r="CV199"/>
      <c r="CW199"/>
      <c r="CX199"/>
      <c r="CY199"/>
      <c r="CZ199"/>
      <c r="DA199"/>
      <c r="DB199"/>
      <c r="DC199"/>
      <c r="DD199"/>
      <c r="DE199"/>
      <c r="DF199"/>
      <c r="DG199" t="str">
        <f t="shared" si="277"/>
        <v/>
      </c>
      <c r="DH199" t="str">
        <f t="shared" si="278"/>
        <v>W</v>
      </c>
      <c r="DI199" t="e">
        <f t="shared" si="279"/>
        <v>#N/A</v>
      </c>
      <c r="DJ199" t="e">
        <f t="shared" si="280"/>
        <v>#N/A</v>
      </c>
      <c r="DK199" t="e">
        <f t="shared" si="281"/>
        <v>#N/A</v>
      </c>
      <c r="DL199" t="e">
        <f t="shared" si="282"/>
        <v>#N/A</v>
      </c>
      <c r="DM199">
        <f t="shared" si="271"/>
        <v>0</v>
      </c>
      <c r="DN199">
        <f t="shared" si="283"/>
        <v>0</v>
      </c>
      <c r="DO199">
        <f t="shared" si="272"/>
        <v>0</v>
      </c>
      <c r="DP199">
        <f t="shared" si="273"/>
        <v>0</v>
      </c>
      <c r="DQ199">
        <f t="shared" si="284"/>
        <v>0</v>
      </c>
      <c r="DR199">
        <f t="shared" si="285"/>
        <v>0</v>
      </c>
      <c r="DS199">
        <f t="shared" si="286"/>
        <v>0</v>
      </c>
      <c r="DT199">
        <f t="shared" si="287"/>
        <v>0</v>
      </c>
      <c r="DU199">
        <f t="shared" si="288"/>
        <v>0</v>
      </c>
      <c r="DV199"/>
      <c r="DW199"/>
      <c r="DX199">
        <f t="shared" si="289"/>
        <v>0</v>
      </c>
      <c r="DY199">
        <f t="shared" si="290"/>
        <v>0</v>
      </c>
      <c r="DZ199">
        <f t="shared" si="291"/>
        <v>0</v>
      </c>
      <c r="EA199" t="str">
        <f t="shared" si="292"/>
        <v/>
      </c>
      <c r="EB199">
        <f t="shared" si="293"/>
        <v>0</v>
      </c>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c r="HB199"/>
      <c r="HC199"/>
      <c r="HD199"/>
      <c r="HE199"/>
      <c r="HF199"/>
      <c r="HG199"/>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c r="IU199"/>
      <c r="IV199"/>
    </row>
    <row r="200" spans="1:256" s="1" customFormat="1"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f t="shared" si="265"/>
        <v>0</v>
      </c>
      <c r="BE200"/>
      <c r="BF200">
        <f t="shared" si="266"/>
        <v>0</v>
      </c>
      <c r="BG200"/>
      <c r="BH200" t="str">
        <f t="shared" ref="BH200:CA200" si="324">IF(BG159="","",IF(BG159="f",IF(BH159="r",0,IF(BH159="",0,1)),
IF(BG159="r",1,
IF(BG159="l",IF(BH159="l",1,0)))))</f>
        <v/>
      </c>
      <c r="BI200" t="str">
        <f t="shared" si="324"/>
        <v/>
      </c>
      <c r="BJ200" t="str">
        <f t="shared" si="324"/>
        <v/>
      </c>
      <c r="BK200" t="str">
        <f t="shared" si="324"/>
        <v/>
      </c>
      <c r="BL200" t="str">
        <f t="shared" si="324"/>
        <v/>
      </c>
      <c r="BM200" t="str">
        <f t="shared" si="324"/>
        <v/>
      </c>
      <c r="BN200" t="str">
        <f t="shared" si="324"/>
        <v/>
      </c>
      <c r="BO200" t="str">
        <f t="shared" si="324"/>
        <v/>
      </c>
      <c r="BP200" t="str">
        <f t="shared" si="324"/>
        <v/>
      </c>
      <c r="BQ200" t="str">
        <f t="shared" si="324"/>
        <v/>
      </c>
      <c r="BR200" t="str">
        <f t="shared" si="324"/>
        <v/>
      </c>
      <c r="BS200" t="str">
        <f t="shared" si="324"/>
        <v/>
      </c>
      <c r="BT200" t="str">
        <f t="shared" si="324"/>
        <v/>
      </c>
      <c r="BU200" t="str">
        <f t="shared" si="324"/>
        <v/>
      </c>
      <c r="BV200" t="str">
        <f t="shared" si="324"/>
        <v/>
      </c>
      <c r="BW200" t="str">
        <f t="shared" si="324"/>
        <v/>
      </c>
      <c r="BX200" t="str">
        <f t="shared" si="324"/>
        <v/>
      </c>
      <c r="BY200" t="str">
        <f t="shared" si="324"/>
        <v/>
      </c>
      <c r="BZ200" t="str">
        <f t="shared" si="324"/>
        <v/>
      </c>
      <c r="CA200" t="str">
        <f t="shared" si="324"/>
        <v/>
      </c>
      <c r="CB200" t="str">
        <f t="shared" si="268"/>
        <v/>
      </c>
      <c r="CC200">
        <f t="shared" si="269"/>
        <v>0</v>
      </c>
      <c r="CD200"/>
      <c r="CE200"/>
      <c r="CF200"/>
      <c r="CG200"/>
      <c r="CH200"/>
      <c r="CI200"/>
      <c r="CJ200"/>
      <c r="CK200"/>
      <c r="CL200"/>
      <c r="CM200"/>
      <c r="CN200"/>
      <c r="CO200"/>
      <c r="CP200"/>
      <c r="CQ200"/>
      <c r="CR200"/>
      <c r="CS200"/>
      <c r="CT200"/>
      <c r="CU200"/>
      <c r="CV200"/>
      <c r="CW200"/>
      <c r="CX200"/>
      <c r="CY200"/>
      <c r="CZ200"/>
      <c r="DA200"/>
      <c r="DB200"/>
      <c r="DC200"/>
      <c r="DD200"/>
      <c r="DE200"/>
      <c r="DF200"/>
      <c r="DG200" t="str">
        <f t="shared" si="277"/>
        <v/>
      </c>
      <c r="DH200" t="str">
        <f t="shared" si="278"/>
        <v>W</v>
      </c>
      <c r="DI200" t="e">
        <f t="shared" si="279"/>
        <v>#N/A</v>
      </c>
      <c r="DJ200" t="e">
        <f t="shared" si="280"/>
        <v>#N/A</v>
      </c>
      <c r="DK200" t="e">
        <f t="shared" si="281"/>
        <v>#N/A</v>
      </c>
      <c r="DL200" t="e">
        <f t="shared" si="282"/>
        <v>#N/A</v>
      </c>
      <c r="DM200">
        <f t="shared" si="271"/>
        <v>0</v>
      </c>
      <c r="DN200">
        <f t="shared" si="283"/>
        <v>0</v>
      </c>
      <c r="DO200">
        <f t="shared" si="272"/>
        <v>0</v>
      </c>
      <c r="DP200">
        <f t="shared" si="273"/>
        <v>0</v>
      </c>
      <c r="DQ200">
        <f t="shared" si="284"/>
        <v>0</v>
      </c>
      <c r="DR200">
        <f t="shared" si="285"/>
        <v>0</v>
      </c>
      <c r="DS200">
        <f t="shared" si="286"/>
        <v>0</v>
      </c>
      <c r="DT200">
        <f t="shared" si="287"/>
        <v>0</v>
      </c>
      <c r="DU200">
        <f t="shared" si="288"/>
        <v>0</v>
      </c>
      <c r="DV200"/>
      <c r="DW200"/>
      <c r="DX200">
        <f t="shared" si="289"/>
        <v>0</v>
      </c>
      <c r="DY200">
        <f t="shared" si="290"/>
        <v>0</v>
      </c>
      <c r="DZ200">
        <f t="shared" si="291"/>
        <v>0</v>
      </c>
      <c r="EA200" t="str">
        <f t="shared" si="292"/>
        <v/>
      </c>
      <c r="EB200">
        <f t="shared" si="293"/>
        <v>0</v>
      </c>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c r="HB200"/>
      <c r="HC200"/>
      <c r="HD200"/>
      <c r="HE200"/>
      <c r="HF200"/>
      <c r="HG200"/>
      <c r="HH200"/>
      <c r="HI200"/>
      <c r="HJ200"/>
      <c r="HK200"/>
      <c r="HL200"/>
      <c r="HM200"/>
      <c r="HN200"/>
      <c r="HO200"/>
      <c r="HP200"/>
      <c r="HQ200"/>
      <c r="HR200"/>
      <c r="HS200"/>
      <c r="HT200"/>
      <c r="HU200"/>
      <c r="HV200"/>
      <c r="HW200"/>
      <c r="HX200"/>
      <c r="HY200"/>
      <c r="HZ200"/>
      <c r="IA200"/>
      <c r="IB200"/>
      <c r="IC200"/>
      <c r="ID200"/>
      <c r="IE200"/>
      <c r="IF200"/>
      <c r="IG200"/>
      <c r="IH200"/>
      <c r="II200"/>
      <c r="IJ200"/>
      <c r="IK200"/>
      <c r="IL200"/>
      <c r="IM200"/>
      <c r="IN200"/>
      <c r="IO200"/>
      <c r="IP200"/>
      <c r="IQ200"/>
      <c r="IR200"/>
      <c r="IS200"/>
      <c r="IT200"/>
      <c r="IU200"/>
      <c r="IV200"/>
    </row>
    <row r="201" spans="1:256" s="1" customFormat="1"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f t="shared" si="265"/>
        <v>0</v>
      </c>
      <c r="BE201"/>
      <c r="BF201">
        <f t="shared" si="266"/>
        <v>0</v>
      </c>
      <c r="BG201"/>
      <c r="BH201" t="str">
        <f t="shared" ref="BH201:CA201" si="325">IF(BG160="","",IF(BG160="f",IF(BH160="r",0,IF(BH160="",0,1)),
IF(BG160="r",1,
IF(BG160="l",IF(BH160="l",1,0)))))</f>
        <v/>
      </c>
      <c r="BI201" t="str">
        <f t="shared" si="325"/>
        <v/>
      </c>
      <c r="BJ201" t="str">
        <f t="shared" si="325"/>
        <v/>
      </c>
      <c r="BK201" t="str">
        <f t="shared" si="325"/>
        <v/>
      </c>
      <c r="BL201" t="str">
        <f t="shared" si="325"/>
        <v/>
      </c>
      <c r="BM201" t="str">
        <f t="shared" si="325"/>
        <v/>
      </c>
      <c r="BN201" t="str">
        <f t="shared" si="325"/>
        <v/>
      </c>
      <c r="BO201" t="str">
        <f t="shared" si="325"/>
        <v/>
      </c>
      <c r="BP201" t="str">
        <f t="shared" si="325"/>
        <v/>
      </c>
      <c r="BQ201" t="str">
        <f t="shared" si="325"/>
        <v/>
      </c>
      <c r="BR201" t="str">
        <f t="shared" si="325"/>
        <v/>
      </c>
      <c r="BS201" t="str">
        <f t="shared" si="325"/>
        <v/>
      </c>
      <c r="BT201" t="str">
        <f t="shared" si="325"/>
        <v/>
      </c>
      <c r="BU201" t="str">
        <f t="shared" si="325"/>
        <v/>
      </c>
      <c r="BV201" t="str">
        <f t="shared" si="325"/>
        <v/>
      </c>
      <c r="BW201" t="str">
        <f t="shared" si="325"/>
        <v/>
      </c>
      <c r="BX201" t="str">
        <f t="shared" si="325"/>
        <v/>
      </c>
      <c r="BY201" t="str">
        <f t="shared" si="325"/>
        <v/>
      </c>
      <c r="BZ201" t="str">
        <f t="shared" si="325"/>
        <v/>
      </c>
      <c r="CA201" t="str">
        <f t="shared" si="325"/>
        <v/>
      </c>
      <c r="CB201" t="str">
        <f t="shared" si="268"/>
        <v/>
      </c>
      <c r="CC201">
        <f t="shared" si="269"/>
        <v>0</v>
      </c>
      <c r="CD201"/>
      <c r="CE201"/>
      <c r="CF201"/>
      <c r="CG201"/>
      <c r="CH201"/>
      <c r="CI201"/>
      <c r="CJ201"/>
      <c r="CK201"/>
      <c r="CL201"/>
      <c r="CM201"/>
      <c r="CN201"/>
      <c r="CO201"/>
      <c r="CP201"/>
      <c r="CQ201"/>
      <c r="CR201"/>
      <c r="CS201"/>
      <c r="CT201"/>
      <c r="CU201"/>
      <c r="CV201"/>
      <c r="CW201"/>
      <c r="CX201"/>
      <c r="CY201"/>
      <c r="CZ201"/>
      <c r="DA201"/>
      <c r="DB201"/>
      <c r="DC201"/>
      <c r="DD201"/>
      <c r="DE201"/>
      <c r="DF201"/>
      <c r="DG201" t="str">
        <f t="shared" si="277"/>
        <v/>
      </c>
      <c r="DH201" t="str">
        <f t="shared" si="278"/>
        <v>W</v>
      </c>
      <c r="DI201" t="e">
        <f t="shared" si="279"/>
        <v>#N/A</v>
      </c>
      <c r="DJ201" t="e">
        <f t="shared" si="280"/>
        <v>#N/A</v>
      </c>
      <c r="DK201" t="e">
        <f t="shared" si="281"/>
        <v>#N/A</v>
      </c>
      <c r="DL201" t="e">
        <f t="shared" si="282"/>
        <v>#N/A</v>
      </c>
      <c r="DM201">
        <f t="shared" si="271"/>
        <v>0</v>
      </c>
      <c r="DN201">
        <f t="shared" si="283"/>
        <v>0</v>
      </c>
      <c r="DO201">
        <f t="shared" si="272"/>
        <v>0</v>
      </c>
      <c r="DP201">
        <f t="shared" si="273"/>
        <v>0</v>
      </c>
      <c r="DQ201">
        <f t="shared" si="284"/>
        <v>0</v>
      </c>
      <c r="DR201">
        <f t="shared" si="285"/>
        <v>0</v>
      </c>
      <c r="DS201">
        <f t="shared" si="286"/>
        <v>0</v>
      </c>
      <c r="DT201">
        <f t="shared" si="287"/>
        <v>0</v>
      </c>
      <c r="DU201">
        <f t="shared" si="288"/>
        <v>0</v>
      </c>
      <c r="DV201"/>
      <c r="DW201"/>
      <c r="DX201">
        <f t="shared" si="289"/>
        <v>0</v>
      </c>
      <c r="DY201">
        <f t="shared" si="290"/>
        <v>0</v>
      </c>
      <c r="DZ201">
        <f t="shared" si="291"/>
        <v>0</v>
      </c>
      <c r="EA201" t="str">
        <f t="shared" si="292"/>
        <v/>
      </c>
      <c r="EB201">
        <f t="shared" si="293"/>
        <v>0</v>
      </c>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c r="HB201"/>
      <c r="HC201"/>
      <c r="HD201"/>
      <c r="HE201"/>
      <c r="HF201"/>
      <c r="HG201"/>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c r="IU201"/>
      <c r="IV201"/>
    </row>
    <row r="202" spans="1:256" s="1" customFormat="1"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t="s">
        <v>165</v>
      </c>
      <c r="BG202"/>
      <c r="BH202">
        <f>IF(BG120="",0,
IF(BG120="f",IF(BH120="r",1,0),
IF(BG120="l",IF(BH120="l",0,IF(BH120="",0,1)),)))</f>
        <v>0</v>
      </c>
      <c r="BI202">
        <f t="shared" ref="BI202:CA202" si="326">IF(BH120="",0,
IF(BH120="f",IF(BI120="r",1,0),
IF(BH120="l",IF(BI120="l",0,IF(BI120="",0,1)),)))</f>
        <v>0</v>
      </c>
      <c r="BJ202">
        <f t="shared" si="326"/>
        <v>0</v>
      </c>
      <c r="BK202">
        <f t="shared" si="326"/>
        <v>0</v>
      </c>
      <c r="BL202">
        <f t="shared" si="326"/>
        <v>0</v>
      </c>
      <c r="BM202">
        <f t="shared" si="326"/>
        <v>0</v>
      </c>
      <c r="BN202">
        <f t="shared" si="326"/>
        <v>0</v>
      </c>
      <c r="BO202">
        <f t="shared" si="326"/>
        <v>0</v>
      </c>
      <c r="BP202">
        <f t="shared" si="326"/>
        <v>0</v>
      </c>
      <c r="BQ202">
        <f t="shared" si="326"/>
        <v>0</v>
      </c>
      <c r="BR202">
        <f t="shared" si="326"/>
        <v>0</v>
      </c>
      <c r="BS202">
        <f t="shared" si="326"/>
        <v>0</v>
      </c>
      <c r="BT202">
        <f t="shared" si="326"/>
        <v>0</v>
      </c>
      <c r="BU202">
        <f t="shared" si="326"/>
        <v>0</v>
      </c>
      <c r="BV202">
        <f t="shared" si="326"/>
        <v>0</v>
      </c>
      <c r="BW202">
        <f t="shared" si="326"/>
        <v>0</v>
      </c>
      <c r="BX202">
        <f t="shared" si="326"/>
        <v>0</v>
      </c>
      <c r="BY202">
        <f t="shared" si="326"/>
        <v>0</v>
      </c>
      <c r="BZ202">
        <f t="shared" si="326"/>
        <v>0</v>
      </c>
      <c r="CA202">
        <f t="shared" si="326"/>
        <v>0</v>
      </c>
      <c r="CB202">
        <f>IF(CA120="",0,
IF(CA120="f",IF(CB120="r",1,0),
IF(CA120="l",IF(CB120="l",0,IF(CB120="",0,1)),)))</f>
        <v>0</v>
      </c>
      <c r="CC202">
        <f>SUM(BG202:CB202)</f>
        <v>0</v>
      </c>
      <c r="CD202"/>
      <c r="CE202"/>
      <c r="CF202"/>
      <c r="CG202"/>
      <c r="CH202"/>
      <c r="CI202"/>
      <c r="CJ202"/>
      <c r="CK202"/>
      <c r="CL202"/>
      <c r="CM202"/>
      <c r="CN202"/>
      <c r="CO202"/>
      <c r="CP202"/>
      <c r="CQ202"/>
      <c r="CR202"/>
      <c r="CS202"/>
      <c r="CT202"/>
      <c r="CU202"/>
      <c r="CV202"/>
      <c r="CW202"/>
      <c r="CX202"/>
      <c r="CY202"/>
      <c r="CZ202"/>
      <c r="DA202"/>
      <c r="DB202"/>
      <c r="DC202"/>
      <c r="DD202"/>
      <c r="DE202"/>
      <c r="DF202"/>
      <c r="DG202" t="str">
        <f t="shared" si="277"/>
        <v/>
      </c>
      <c r="DH202" t="str">
        <f t="shared" si="278"/>
        <v>W</v>
      </c>
      <c r="DI202" t="e">
        <f t="shared" si="279"/>
        <v>#N/A</v>
      </c>
      <c r="DJ202" t="e">
        <f t="shared" si="280"/>
        <v>#N/A</v>
      </c>
      <c r="DK202" t="e">
        <f t="shared" si="281"/>
        <v>#N/A</v>
      </c>
      <c r="DL202" t="e">
        <f t="shared" si="282"/>
        <v>#N/A</v>
      </c>
      <c r="DM202">
        <f t="shared" si="271"/>
        <v>0</v>
      </c>
      <c r="DN202">
        <f t="shared" si="283"/>
        <v>0</v>
      </c>
      <c r="DO202">
        <f t="shared" si="272"/>
        <v>0</v>
      </c>
      <c r="DP202">
        <f t="shared" si="273"/>
        <v>0</v>
      </c>
      <c r="DQ202">
        <f t="shared" si="284"/>
        <v>0</v>
      </c>
      <c r="DR202">
        <f t="shared" si="285"/>
        <v>0</v>
      </c>
      <c r="DS202">
        <f t="shared" si="286"/>
        <v>0</v>
      </c>
      <c r="DT202">
        <f t="shared" si="287"/>
        <v>0</v>
      </c>
      <c r="DU202">
        <f t="shared" si="288"/>
        <v>0</v>
      </c>
      <c r="DV202"/>
      <c r="DW202"/>
      <c r="DX202">
        <f t="shared" si="289"/>
        <v>0</v>
      </c>
      <c r="DY202">
        <f t="shared" si="290"/>
        <v>0</v>
      </c>
      <c r="DZ202">
        <f t="shared" si="291"/>
        <v>0</v>
      </c>
      <c r="EA202" t="str">
        <f t="shared" si="292"/>
        <v/>
      </c>
      <c r="EB202">
        <f t="shared" si="293"/>
        <v>0</v>
      </c>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c r="HB202"/>
      <c r="HC202"/>
      <c r="HD202"/>
      <c r="HE202"/>
      <c r="HF202"/>
      <c r="HG202"/>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c r="IU202"/>
      <c r="IV202"/>
    </row>
    <row r="203" spans="1:256" s="1" customFormat="1"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f>Q108</f>
        <v>0</v>
      </c>
      <c r="BG203"/>
      <c r="BH203">
        <f t="shared" ref="BH203:CA203" si="327">IF(BG121="",0,
IF(BG121="f",IF(BH121="r",1,0),
IF(BG121="l",IF(BH121="l",0,IF(BH121="",0,1)),)))</f>
        <v>0</v>
      </c>
      <c r="BI203">
        <f t="shared" si="327"/>
        <v>0</v>
      </c>
      <c r="BJ203">
        <f t="shared" si="327"/>
        <v>0</v>
      </c>
      <c r="BK203">
        <f t="shared" si="327"/>
        <v>0</v>
      </c>
      <c r="BL203">
        <f t="shared" si="327"/>
        <v>0</v>
      </c>
      <c r="BM203">
        <f t="shared" si="327"/>
        <v>0</v>
      </c>
      <c r="BN203">
        <f t="shared" si="327"/>
        <v>0</v>
      </c>
      <c r="BO203">
        <f t="shared" si="327"/>
        <v>0</v>
      </c>
      <c r="BP203">
        <f t="shared" si="327"/>
        <v>0</v>
      </c>
      <c r="BQ203">
        <f t="shared" si="327"/>
        <v>0</v>
      </c>
      <c r="BR203">
        <f t="shared" si="327"/>
        <v>0</v>
      </c>
      <c r="BS203">
        <f t="shared" si="327"/>
        <v>0</v>
      </c>
      <c r="BT203">
        <f t="shared" si="327"/>
        <v>0</v>
      </c>
      <c r="BU203">
        <f t="shared" si="327"/>
        <v>0</v>
      </c>
      <c r="BV203">
        <f t="shared" si="327"/>
        <v>0</v>
      </c>
      <c r="BW203">
        <f t="shared" si="327"/>
        <v>0</v>
      </c>
      <c r="BX203">
        <f t="shared" si="327"/>
        <v>0</v>
      </c>
      <c r="BY203">
        <f t="shared" si="327"/>
        <v>0</v>
      </c>
      <c r="BZ203">
        <f t="shared" si="327"/>
        <v>0</v>
      </c>
      <c r="CA203">
        <f t="shared" si="327"/>
        <v>0</v>
      </c>
      <c r="CB203">
        <f>IF(CA121="",0,
IF(CA121="f",IF(CB121="r",1,0),
IF(CA121="l",IF(CB121="l",0,IF(CB121="",0,1)),)))</f>
        <v>0</v>
      </c>
      <c r="CC203">
        <f>SUM(BG203:CB203)</f>
        <v>0</v>
      </c>
      <c r="CD203"/>
      <c r="CE203"/>
      <c r="CF203"/>
      <c r="CG203"/>
      <c r="CH203"/>
      <c r="CI203"/>
      <c r="CJ203"/>
      <c r="CK203"/>
      <c r="CL203"/>
      <c r="CM203"/>
      <c r="CN203"/>
      <c r="CO203"/>
      <c r="CP203"/>
      <c r="CQ203"/>
      <c r="CR203"/>
      <c r="CS203"/>
      <c r="CT203"/>
      <c r="CU203"/>
      <c r="CV203"/>
      <c r="CW203"/>
      <c r="CX203"/>
      <c r="CY203"/>
      <c r="CZ203"/>
      <c r="DA203"/>
      <c r="DB203"/>
      <c r="DC203"/>
      <c r="DD203"/>
      <c r="DE203"/>
      <c r="DF203"/>
      <c r="DG203" t="str">
        <f t="shared" si="277"/>
        <v/>
      </c>
      <c r="DH203" t="str">
        <f t="shared" si="278"/>
        <v>W</v>
      </c>
      <c r="DI203" t="e">
        <f t="shared" si="279"/>
        <v>#N/A</v>
      </c>
      <c r="DJ203" t="e">
        <f t="shared" si="280"/>
        <v>#N/A</v>
      </c>
      <c r="DK203" t="e">
        <f t="shared" si="281"/>
        <v>#N/A</v>
      </c>
      <c r="DL203" t="e">
        <f t="shared" si="282"/>
        <v>#N/A</v>
      </c>
      <c r="DM203">
        <f t="shared" si="271"/>
        <v>0</v>
      </c>
      <c r="DN203">
        <f t="shared" si="283"/>
        <v>0</v>
      </c>
      <c r="DO203">
        <f t="shared" si="272"/>
        <v>0</v>
      </c>
      <c r="DP203">
        <f t="shared" si="273"/>
        <v>0</v>
      </c>
      <c r="DQ203">
        <f t="shared" si="284"/>
        <v>0</v>
      </c>
      <c r="DR203">
        <f t="shared" si="285"/>
        <v>0</v>
      </c>
      <c r="DS203">
        <f t="shared" si="286"/>
        <v>0</v>
      </c>
      <c r="DT203">
        <f t="shared" si="287"/>
        <v>0</v>
      </c>
      <c r="DU203">
        <f t="shared" si="288"/>
        <v>0</v>
      </c>
      <c r="DV203"/>
      <c r="DW203"/>
      <c r="DX203">
        <f t="shared" si="289"/>
        <v>0</v>
      </c>
      <c r="DY203">
        <f t="shared" si="290"/>
        <v>0</v>
      </c>
      <c r="DZ203">
        <f t="shared" si="291"/>
        <v>0</v>
      </c>
      <c r="EA203" t="str">
        <f t="shared" si="292"/>
        <v/>
      </c>
      <c r="EB203">
        <f t="shared" si="293"/>
        <v>0</v>
      </c>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c r="HB203"/>
      <c r="HC203"/>
      <c r="HD203"/>
      <c r="HE203"/>
      <c r="HF203"/>
      <c r="HG203"/>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c r="IU203"/>
      <c r="IV203"/>
    </row>
    <row r="204" spans="1:256" s="1" customFormat="1"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f t="shared" ref="BF204:BF242" si="328">Q109</f>
        <v>0</v>
      </c>
      <c r="BG204"/>
      <c r="BH204">
        <f t="shared" ref="BH204:BH242" si="329">IF(BG122="",0,
IF(BG122="f",IF(BH122="r",1,0),
IF(BG122="l",IF(BH122="l",0,IF(BH122="",0,1)),)))</f>
        <v>0</v>
      </c>
      <c r="BI204">
        <f t="shared" ref="BI204:BI242" si="330">IF(BH122="",0,
IF(BH122="f",IF(BI122="r",1,0),
IF(BH122="l",IF(BI122="l",0,IF(BI122="",0,1)),)))</f>
        <v>0</v>
      </c>
      <c r="BJ204">
        <f t="shared" ref="BJ204:BJ242" si="331">IF(BI122="",0,
IF(BI122="f",IF(BJ122="r",1,0),
IF(BI122="l",IF(BJ122="l",0,IF(BJ122="",0,1)),)))</f>
        <v>0</v>
      </c>
      <c r="BK204">
        <f t="shared" ref="BK204:BK242" si="332">IF(BJ122="",0,
IF(BJ122="f",IF(BK122="r",1,0),
IF(BJ122="l",IF(BK122="l",0,IF(BK122="",0,1)),)))</f>
        <v>0</v>
      </c>
      <c r="BL204">
        <f t="shared" ref="BL204:BL242" si="333">IF(BK122="",0,
IF(BK122="f",IF(BL122="r",1,0),
IF(BK122="l",IF(BL122="l",0,IF(BL122="",0,1)),)))</f>
        <v>0</v>
      </c>
      <c r="BM204">
        <f t="shared" ref="BM204:BM242" si="334">IF(BL122="",0,
IF(BL122="f",IF(BM122="r",1,0),
IF(BL122="l",IF(BM122="l",0,IF(BM122="",0,1)),)))</f>
        <v>0</v>
      </c>
      <c r="BN204">
        <f t="shared" ref="BN204:BN242" si="335">IF(BM122="",0,
IF(BM122="f",IF(BN122="r",1,0),
IF(BM122="l",IF(BN122="l",0,IF(BN122="",0,1)),)))</f>
        <v>0</v>
      </c>
      <c r="BO204">
        <f t="shared" ref="BO204:BO242" si="336">IF(BN122="",0,
IF(BN122="f",IF(BO122="r",1,0),
IF(BN122="l",IF(BO122="l",0,IF(BO122="",0,1)),)))</f>
        <v>0</v>
      </c>
      <c r="BP204">
        <f t="shared" ref="BP204:BP242" si="337">IF(BO122="",0,
IF(BO122="f",IF(BP122="r",1,0),
IF(BO122="l",IF(BP122="l",0,IF(BP122="",0,1)),)))</f>
        <v>0</v>
      </c>
      <c r="BQ204">
        <f t="shared" ref="BQ204:BQ242" si="338">IF(BP122="",0,
IF(BP122="f",IF(BQ122="r",1,0),
IF(BP122="l",IF(BQ122="l",0,IF(BQ122="",0,1)),)))</f>
        <v>0</v>
      </c>
      <c r="BR204">
        <f t="shared" ref="BR204:BR242" si="339">IF(BQ122="",0,
IF(BQ122="f",IF(BR122="r",1,0),
IF(BQ122="l",IF(BR122="l",0,IF(BR122="",0,1)),)))</f>
        <v>0</v>
      </c>
      <c r="BS204">
        <f t="shared" ref="BS204:BS242" si="340">IF(BR122="",0,
IF(BR122="f",IF(BS122="r",1,0),
IF(BR122="l",IF(BS122="l",0,IF(BS122="",0,1)),)))</f>
        <v>0</v>
      </c>
      <c r="BT204">
        <f t="shared" ref="BT204:BT242" si="341">IF(BS122="",0,
IF(BS122="f",IF(BT122="r",1,0),
IF(BS122="l",IF(BT122="l",0,IF(BT122="",0,1)),)))</f>
        <v>0</v>
      </c>
      <c r="BU204">
        <f t="shared" ref="BU204:BU242" si="342">IF(BT122="",0,
IF(BT122="f",IF(BU122="r",1,0),
IF(BT122="l",IF(BU122="l",0,IF(BU122="",0,1)),)))</f>
        <v>0</v>
      </c>
      <c r="BV204">
        <f t="shared" ref="BV204:BV242" si="343">IF(BU122="",0,
IF(BU122="f",IF(BV122="r",1,0),
IF(BU122="l",IF(BV122="l",0,IF(BV122="",0,1)),)))</f>
        <v>0</v>
      </c>
      <c r="BW204">
        <f t="shared" ref="BW204:BW242" si="344">IF(BV122="",0,
IF(BV122="f",IF(BW122="r",1,0),
IF(BV122="l",IF(BW122="l",0,IF(BW122="",0,1)),)))</f>
        <v>0</v>
      </c>
      <c r="BX204">
        <f t="shared" ref="BX204:BX242" si="345">IF(BW122="",0,
IF(BW122="f",IF(BX122="r",1,0),
IF(BW122="l",IF(BX122="l",0,IF(BX122="",0,1)),)))</f>
        <v>0</v>
      </c>
      <c r="BY204">
        <f t="shared" ref="BY204:BY242" si="346">IF(BX122="",0,
IF(BX122="f",IF(BY122="r",1,0),
IF(BX122="l",IF(BY122="l",0,IF(BY122="",0,1)),)))</f>
        <v>0</v>
      </c>
      <c r="BZ204">
        <f t="shared" ref="BZ204:BZ242" si="347">IF(BY122="",0,
IF(BY122="f",IF(BZ122="r",1,0),
IF(BY122="l",IF(BZ122="l",0,IF(BZ122="",0,1)),)))</f>
        <v>0</v>
      </c>
      <c r="CA204">
        <f t="shared" ref="CA204:CB219" si="348">IF(BZ122="",0,
IF(BZ122="f",IF(CA122="r",1,0),
IF(BZ122="l",IF(CA122="l",0,IF(CA122="",0,1)),)))</f>
        <v>0</v>
      </c>
      <c r="CB204">
        <f t="shared" si="348"/>
        <v>0</v>
      </c>
      <c r="CC204">
        <f t="shared" ref="CC204:CC242" si="349">SUM(BG204:CB204)</f>
        <v>0</v>
      </c>
      <c r="CD204"/>
      <c r="CE204"/>
      <c r="CF204"/>
      <c r="CG204"/>
      <c r="CH204"/>
      <c r="CI204"/>
      <c r="CJ204"/>
      <c r="CK204"/>
      <c r="CL204"/>
      <c r="CM204"/>
      <c r="CN204"/>
      <c r="CO204"/>
      <c r="CP204"/>
      <c r="CQ204"/>
      <c r="CR204"/>
      <c r="CS204"/>
      <c r="CT204"/>
      <c r="CU204"/>
      <c r="CV204"/>
      <c r="CW204"/>
      <c r="CX204"/>
      <c r="CY204"/>
      <c r="CZ204"/>
      <c r="DA204"/>
      <c r="DB204"/>
      <c r="DC204"/>
      <c r="DD204"/>
      <c r="DE204"/>
      <c r="DF204"/>
      <c r="DG204" t="str">
        <f t="shared" si="277"/>
        <v/>
      </c>
      <c r="DH204" t="str">
        <f t="shared" si="278"/>
        <v>W</v>
      </c>
      <c r="DI204" t="e">
        <f t="shared" si="279"/>
        <v>#N/A</v>
      </c>
      <c r="DJ204" t="e">
        <f t="shared" si="280"/>
        <v>#N/A</v>
      </c>
      <c r="DK204" t="e">
        <f t="shared" si="281"/>
        <v>#N/A</v>
      </c>
      <c r="DL204" t="e">
        <f t="shared" si="282"/>
        <v>#N/A</v>
      </c>
      <c r="DM204">
        <f t="shared" si="271"/>
        <v>0</v>
      </c>
      <c r="DN204">
        <f t="shared" si="283"/>
        <v>0</v>
      </c>
      <c r="DO204">
        <f t="shared" si="272"/>
        <v>0</v>
      </c>
      <c r="DP204">
        <f t="shared" si="273"/>
        <v>0</v>
      </c>
      <c r="DQ204">
        <f t="shared" si="284"/>
        <v>0</v>
      </c>
      <c r="DR204">
        <f t="shared" si="285"/>
        <v>0</v>
      </c>
      <c r="DS204">
        <f t="shared" si="286"/>
        <v>0</v>
      </c>
      <c r="DT204">
        <f t="shared" si="287"/>
        <v>0</v>
      </c>
      <c r="DU204">
        <f t="shared" si="288"/>
        <v>0</v>
      </c>
      <c r="DV204"/>
      <c r="DW204"/>
      <c r="DX204">
        <f t="shared" si="289"/>
        <v>0</v>
      </c>
      <c r="DY204">
        <f t="shared" si="290"/>
        <v>0</v>
      </c>
      <c r="DZ204">
        <f t="shared" si="291"/>
        <v>0</v>
      </c>
      <c r="EA204" t="str">
        <f t="shared" si="292"/>
        <v/>
      </c>
      <c r="EB204">
        <f t="shared" si="293"/>
        <v>0</v>
      </c>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c r="HB204"/>
      <c r="HC204"/>
      <c r="HD204"/>
      <c r="HE204"/>
      <c r="HF204"/>
      <c r="HG204"/>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c r="IU204"/>
      <c r="IV204"/>
    </row>
    <row r="205" spans="1:256" s="1" customFormat="1"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f t="shared" si="328"/>
        <v>0</v>
      </c>
      <c r="BG205"/>
      <c r="BH205">
        <f t="shared" si="329"/>
        <v>0</v>
      </c>
      <c r="BI205">
        <f t="shared" si="330"/>
        <v>0</v>
      </c>
      <c r="BJ205">
        <f t="shared" si="331"/>
        <v>0</v>
      </c>
      <c r="BK205">
        <f t="shared" si="332"/>
        <v>0</v>
      </c>
      <c r="BL205">
        <f t="shared" si="333"/>
        <v>0</v>
      </c>
      <c r="BM205">
        <f t="shared" si="334"/>
        <v>0</v>
      </c>
      <c r="BN205">
        <f t="shared" si="335"/>
        <v>0</v>
      </c>
      <c r="BO205">
        <f t="shared" si="336"/>
        <v>0</v>
      </c>
      <c r="BP205">
        <f t="shared" si="337"/>
        <v>0</v>
      </c>
      <c r="BQ205">
        <f t="shared" si="338"/>
        <v>0</v>
      </c>
      <c r="BR205">
        <f t="shared" si="339"/>
        <v>0</v>
      </c>
      <c r="BS205">
        <f t="shared" si="340"/>
        <v>0</v>
      </c>
      <c r="BT205">
        <f t="shared" si="341"/>
        <v>0</v>
      </c>
      <c r="BU205">
        <f t="shared" si="342"/>
        <v>0</v>
      </c>
      <c r="BV205">
        <f t="shared" si="343"/>
        <v>0</v>
      </c>
      <c r="BW205">
        <f t="shared" si="344"/>
        <v>0</v>
      </c>
      <c r="BX205">
        <f t="shared" si="345"/>
        <v>0</v>
      </c>
      <c r="BY205">
        <f t="shared" si="346"/>
        <v>0</v>
      </c>
      <c r="BZ205">
        <f t="shared" si="347"/>
        <v>0</v>
      </c>
      <c r="CA205">
        <f t="shared" si="348"/>
        <v>0</v>
      </c>
      <c r="CB205">
        <f t="shared" ref="CB205:CB242" si="350">IF(CA123="",0,
IF(CA123="f",IF(CB123="r",1,0),
IF(CA123="l",IF(CB123="l",0,IF(CB123="",0,1)),)))</f>
        <v>0</v>
      </c>
      <c r="CC205">
        <f t="shared" si="349"/>
        <v>0</v>
      </c>
      <c r="CD205"/>
      <c r="CE205"/>
      <c r="CF205"/>
      <c r="CG205"/>
      <c r="CH205"/>
      <c r="CI205"/>
      <c r="CJ205"/>
      <c r="CK205"/>
      <c r="CL205"/>
      <c r="CM205"/>
      <c r="CN205"/>
      <c r="CO205"/>
      <c r="CP205"/>
      <c r="CQ205"/>
      <c r="CR205"/>
      <c r="CS205"/>
      <c r="CT205"/>
      <c r="CU205"/>
      <c r="CV205"/>
      <c r="CW205"/>
      <c r="CX205"/>
      <c r="CY205"/>
      <c r="CZ205"/>
      <c r="DA205"/>
      <c r="DB205"/>
      <c r="DC205"/>
      <c r="DD205"/>
      <c r="DE205"/>
      <c r="DF205"/>
      <c r="DG205" t="str">
        <f t="shared" si="277"/>
        <v/>
      </c>
      <c r="DH205" t="str">
        <f t="shared" si="278"/>
        <v>W</v>
      </c>
      <c r="DI205" t="e">
        <f t="shared" si="279"/>
        <v>#N/A</v>
      </c>
      <c r="DJ205" t="e">
        <f t="shared" si="280"/>
        <v>#N/A</v>
      </c>
      <c r="DK205" t="e">
        <f t="shared" si="281"/>
        <v>#N/A</v>
      </c>
      <c r="DL205" t="e">
        <f t="shared" si="282"/>
        <v>#N/A</v>
      </c>
      <c r="DM205">
        <f t="shared" si="271"/>
        <v>0</v>
      </c>
      <c r="DN205">
        <f t="shared" si="283"/>
        <v>0</v>
      </c>
      <c r="DO205">
        <f t="shared" si="272"/>
        <v>0</v>
      </c>
      <c r="DP205">
        <f t="shared" si="273"/>
        <v>0</v>
      </c>
      <c r="DQ205">
        <f t="shared" si="284"/>
        <v>0</v>
      </c>
      <c r="DR205">
        <f t="shared" si="285"/>
        <v>0</v>
      </c>
      <c r="DS205">
        <f t="shared" si="286"/>
        <v>0</v>
      </c>
      <c r="DT205">
        <f t="shared" si="287"/>
        <v>0</v>
      </c>
      <c r="DU205">
        <f t="shared" si="288"/>
        <v>0</v>
      </c>
      <c r="DV205"/>
      <c r="DW205"/>
      <c r="DX205">
        <f t="shared" si="289"/>
        <v>0</v>
      </c>
      <c r="DY205">
        <f t="shared" si="290"/>
        <v>0</v>
      </c>
      <c r="DZ205">
        <f t="shared" si="291"/>
        <v>0</v>
      </c>
      <c r="EA205" t="str">
        <f t="shared" si="292"/>
        <v/>
      </c>
      <c r="EB205">
        <f t="shared" si="293"/>
        <v>0</v>
      </c>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c r="HB205"/>
      <c r="HC205"/>
      <c r="HD205"/>
      <c r="HE205"/>
      <c r="HF205"/>
      <c r="HG205"/>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c r="IU205"/>
      <c r="IV205"/>
    </row>
    <row r="206" spans="1:256" s="1" customFormat="1"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f t="shared" si="328"/>
        <v>0</v>
      </c>
      <c r="BG206"/>
      <c r="BH206">
        <f t="shared" si="329"/>
        <v>0</v>
      </c>
      <c r="BI206">
        <f t="shared" si="330"/>
        <v>0</v>
      </c>
      <c r="BJ206">
        <f t="shared" si="331"/>
        <v>0</v>
      </c>
      <c r="BK206">
        <f t="shared" si="332"/>
        <v>0</v>
      </c>
      <c r="BL206">
        <f t="shared" si="333"/>
        <v>0</v>
      </c>
      <c r="BM206">
        <f t="shared" si="334"/>
        <v>0</v>
      </c>
      <c r="BN206">
        <f t="shared" si="335"/>
        <v>0</v>
      </c>
      <c r="BO206">
        <f t="shared" si="336"/>
        <v>0</v>
      </c>
      <c r="BP206">
        <f t="shared" si="337"/>
        <v>0</v>
      </c>
      <c r="BQ206">
        <f t="shared" si="338"/>
        <v>0</v>
      </c>
      <c r="BR206">
        <f t="shared" si="339"/>
        <v>0</v>
      </c>
      <c r="BS206">
        <f t="shared" si="340"/>
        <v>0</v>
      </c>
      <c r="BT206">
        <f t="shared" si="341"/>
        <v>0</v>
      </c>
      <c r="BU206">
        <f t="shared" si="342"/>
        <v>0</v>
      </c>
      <c r="BV206">
        <f t="shared" si="343"/>
        <v>0</v>
      </c>
      <c r="BW206">
        <f t="shared" si="344"/>
        <v>0</v>
      </c>
      <c r="BX206">
        <f t="shared" si="345"/>
        <v>0</v>
      </c>
      <c r="BY206">
        <f t="shared" si="346"/>
        <v>0</v>
      </c>
      <c r="BZ206">
        <f t="shared" si="347"/>
        <v>0</v>
      </c>
      <c r="CA206">
        <f t="shared" si="348"/>
        <v>0</v>
      </c>
      <c r="CB206">
        <f t="shared" si="350"/>
        <v>0</v>
      </c>
      <c r="CC206">
        <f t="shared" si="349"/>
        <v>0</v>
      </c>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f>IF(DG206=$CV$49,$CV$104,
IF(DG206=$CW$49,$CW$104,
IF(DG206=$CX$49,$CX$104,
IF(DG206=$CY$49,$CY$104,
IF(DG206=$CZ$49,$CZ$104,
IF(DG206=$DA$49,$DA$104,
IF(DG206=$DG$49,$DG$104,
IF(DG206=$DH$49,$DH$104,))))))))</f>
        <v>0</v>
      </c>
      <c r="DP206">
        <f>IF(DG206=$CV$49,$CV$105,
IF(DG206=$CW$49,$CW$105,
IF(DG206=$CX$49,$CX$105,
IF(DG206=$CY$49,$CY$105,
IF(DG206=$CZ$49,$CZ$105,
IF(DG206=$DA$49,$DA$105,
IF(DG206=$DG$49,$DG$105,
IF(DG206=$DH$49,$DH$105,))))))))</f>
        <v>0</v>
      </c>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c r="HB206"/>
      <c r="HC206"/>
      <c r="HD206"/>
      <c r="HE206"/>
      <c r="HF206"/>
      <c r="HG206"/>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c r="IU206"/>
      <c r="IV206"/>
    </row>
    <row r="207" spans="1:256" s="1" customFormat="1"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f t="shared" si="328"/>
        <v>0</v>
      </c>
      <c r="BG207"/>
      <c r="BH207">
        <f t="shared" si="329"/>
        <v>0</v>
      </c>
      <c r="BI207">
        <f t="shared" si="330"/>
        <v>0</v>
      </c>
      <c r="BJ207">
        <f t="shared" si="331"/>
        <v>0</v>
      </c>
      <c r="BK207">
        <f t="shared" si="332"/>
        <v>0</v>
      </c>
      <c r="BL207">
        <f t="shared" si="333"/>
        <v>0</v>
      </c>
      <c r="BM207">
        <f t="shared" si="334"/>
        <v>0</v>
      </c>
      <c r="BN207">
        <f t="shared" si="335"/>
        <v>0</v>
      </c>
      <c r="BO207">
        <f t="shared" si="336"/>
        <v>0</v>
      </c>
      <c r="BP207">
        <f t="shared" si="337"/>
        <v>0</v>
      </c>
      <c r="BQ207">
        <f t="shared" si="338"/>
        <v>0</v>
      </c>
      <c r="BR207">
        <f t="shared" si="339"/>
        <v>0</v>
      </c>
      <c r="BS207">
        <f t="shared" si="340"/>
        <v>0</v>
      </c>
      <c r="BT207">
        <f t="shared" si="341"/>
        <v>0</v>
      </c>
      <c r="BU207">
        <f t="shared" si="342"/>
        <v>0</v>
      </c>
      <c r="BV207">
        <f t="shared" si="343"/>
        <v>0</v>
      </c>
      <c r="BW207">
        <f t="shared" si="344"/>
        <v>0</v>
      </c>
      <c r="BX207">
        <f t="shared" si="345"/>
        <v>0</v>
      </c>
      <c r="BY207">
        <f t="shared" si="346"/>
        <v>0</v>
      </c>
      <c r="BZ207">
        <f t="shared" si="347"/>
        <v>0</v>
      </c>
      <c r="CA207">
        <f t="shared" si="348"/>
        <v>0</v>
      </c>
      <c r="CB207">
        <f t="shared" si="350"/>
        <v>0</v>
      </c>
      <c r="CC207">
        <f t="shared" si="349"/>
        <v>0</v>
      </c>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c r="IU207"/>
      <c r="IV207"/>
    </row>
    <row r="208" spans="1:256" s="1" customFormat="1"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f t="shared" si="328"/>
        <v>0</v>
      </c>
      <c r="BG208"/>
      <c r="BH208">
        <f t="shared" si="329"/>
        <v>0</v>
      </c>
      <c r="BI208">
        <f t="shared" si="330"/>
        <v>0</v>
      </c>
      <c r="BJ208">
        <f t="shared" si="331"/>
        <v>0</v>
      </c>
      <c r="BK208">
        <f t="shared" si="332"/>
        <v>0</v>
      </c>
      <c r="BL208">
        <f t="shared" si="333"/>
        <v>0</v>
      </c>
      <c r="BM208">
        <f t="shared" si="334"/>
        <v>0</v>
      </c>
      <c r="BN208">
        <f t="shared" si="335"/>
        <v>0</v>
      </c>
      <c r="BO208">
        <f t="shared" si="336"/>
        <v>0</v>
      </c>
      <c r="BP208">
        <f t="shared" si="337"/>
        <v>0</v>
      </c>
      <c r="BQ208">
        <f t="shared" si="338"/>
        <v>0</v>
      </c>
      <c r="BR208">
        <f t="shared" si="339"/>
        <v>0</v>
      </c>
      <c r="BS208">
        <f t="shared" si="340"/>
        <v>0</v>
      </c>
      <c r="BT208">
        <f t="shared" si="341"/>
        <v>0</v>
      </c>
      <c r="BU208">
        <f t="shared" si="342"/>
        <v>0</v>
      </c>
      <c r="BV208">
        <f t="shared" si="343"/>
        <v>0</v>
      </c>
      <c r="BW208">
        <f t="shared" si="344"/>
        <v>0</v>
      </c>
      <c r="BX208">
        <f t="shared" si="345"/>
        <v>0</v>
      </c>
      <c r="BY208">
        <f t="shared" si="346"/>
        <v>0</v>
      </c>
      <c r="BZ208">
        <f t="shared" si="347"/>
        <v>0</v>
      </c>
      <c r="CA208">
        <f t="shared" si="348"/>
        <v>0</v>
      </c>
      <c r="CB208">
        <f t="shared" si="350"/>
        <v>0</v>
      </c>
      <c r="CC208">
        <f t="shared" si="349"/>
        <v>0</v>
      </c>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c r="IU208"/>
      <c r="IV208"/>
    </row>
    <row r="209" spans="1:256" s="1" customFormat="1"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f t="shared" si="328"/>
        <v>0</v>
      </c>
      <c r="BG209"/>
      <c r="BH209">
        <f t="shared" si="329"/>
        <v>0</v>
      </c>
      <c r="BI209">
        <f t="shared" si="330"/>
        <v>0</v>
      </c>
      <c r="BJ209">
        <f t="shared" si="331"/>
        <v>0</v>
      </c>
      <c r="BK209">
        <f t="shared" si="332"/>
        <v>0</v>
      </c>
      <c r="BL209">
        <f t="shared" si="333"/>
        <v>0</v>
      </c>
      <c r="BM209">
        <f t="shared" si="334"/>
        <v>0</v>
      </c>
      <c r="BN209">
        <f t="shared" si="335"/>
        <v>0</v>
      </c>
      <c r="BO209">
        <f t="shared" si="336"/>
        <v>0</v>
      </c>
      <c r="BP209">
        <f t="shared" si="337"/>
        <v>0</v>
      </c>
      <c r="BQ209">
        <f t="shared" si="338"/>
        <v>0</v>
      </c>
      <c r="BR209">
        <f t="shared" si="339"/>
        <v>0</v>
      </c>
      <c r="BS209">
        <f t="shared" si="340"/>
        <v>0</v>
      </c>
      <c r="BT209">
        <f t="shared" si="341"/>
        <v>0</v>
      </c>
      <c r="BU209">
        <f t="shared" si="342"/>
        <v>0</v>
      </c>
      <c r="BV209">
        <f t="shared" si="343"/>
        <v>0</v>
      </c>
      <c r="BW209">
        <f t="shared" si="344"/>
        <v>0</v>
      </c>
      <c r="BX209">
        <f t="shared" si="345"/>
        <v>0</v>
      </c>
      <c r="BY209">
        <f t="shared" si="346"/>
        <v>0</v>
      </c>
      <c r="BZ209">
        <f t="shared" si="347"/>
        <v>0</v>
      </c>
      <c r="CA209">
        <f t="shared" si="348"/>
        <v>0</v>
      </c>
      <c r="CB209">
        <f t="shared" si="350"/>
        <v>0</v>
      </c>
      <c r="CC209">
        <f t="shared" si="349"/>
        <v>0</v>
      </c>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c r="IU209"/>
      <c r="IV209"/>
    </row>
    <row r="210" spans="1:256" s="1" customFormat="1"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f t="shared" si="328"/>
        <v>0</v>
      </c>
      <c r="BG210"/>
      <c r="BH210">
        <f t="shared" si="329"/>
        <v>0</v>
      </c>
      <c r="BI210">
        <f t="shared" si="330"/>
        <v>0</v>
      </c>
      <c r="BJ210">
        <f t="shared" si="331"/>
        <v>0</v>
      </c>
      <c r="BK210">
        <f t="shared" si="332"/>
        <v>0</v>
      </c>
      <c r="BL210">
        <f t="shared" si="333"/>
        <v>0</v>
      </c>
      <c r="BM210">
        <f t="shared" si="334"/>
        <v>0</v>
      </c>
      <c r="BN210">
        <f t="shared" si="335"/>
        <v>0</v>
      </c>
      <c r="BO210">
        <f t="shared" si="336"/>
        <v>0</v>
      </c>
      <c r="BP210">
        <f t="shared" si="337"/>
        <v>0</v>
      </c>
      <c r="BQ210">
        <f t="shared" si="338"/>
        <v>0</v>
      </c>
      <c r="BR210">
        <f t="shared" si="339"/>
        <v>0</v>
      </c>
      <c r="BS210">
        <f t="shared" si="340"/>
        <v>0</v>
      </c>
      <c r="BT210">
        <f t="shared" si="341"/>
        <v>0</v>
      </c>
      <c r="BU210">
        <f t="shared" si="342"/>
        <v>0</v>
      </c>
      <c r="BV210">
        <f t="shared" si="343"/>
        <v>0</v>
      </c>
      <c r="BW210">
        <f t="shared" si="344"/>
        <v>0</v>
      </c>
      <c r="BX210">
        <f t="shared" si="345"/>
        <v>0</v>
      </c>
      <c r="BY210">
        <f t="shared" si="346"/>
        <v>0</v>
      </c>
      <c r="BZ210">
        <f t="shared" si="347"/>
        <v>0</v>
      </c>
      <c r="CA210">
        <f t="shared" si="348"/>
        <v>0</v>
      </c>
      <c r="CB210">
        <f t="shared" si="350"/>
        <v>0</v>
      </c>
      <c r="CC210">
        <f t="shared" si="349"/>
        <v>0</v>
      </c>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c r="HB210"/>
      <c r="HC210"/>
      <c r="HD210"/>
      <c r="HE210"/>
      <c r="HF210"/>
      <c r="HG210"/>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c r="IU210"/>
      <c r="IV210"/>
    </row>
    <row r="211" spans="1:256" s="1" customFormat="1"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f t="shared" si="328"/>
        <v>0</v>
      </c>
      <c r="BG211"/>
      <c r="BH211">
        <f t="shared" si="329"/>
        <v>0</v>
      </c>
      <c r="BI211">
        <f t="shared" si="330"/>
        <v>0</v>
      </c>
      <c r="BJ211">
        <f t="shared" si="331"/>
        <v>0</v>
      </c>
      <c r="BK211">
        <f t="shared" si="332"/>
        <v>0</v>
      </c>
      <c r="BL211">
        <f t="shared" si="333"/>
        <v>0</v>
      </c>
      <c r="BM211">
        <f t="shared" si="334"/>
        <v>0</v>
      </c>
      <c r="BN211">
        <f t="shared" si="335"/>
        <v>0</v>
      </c>
      <c r="BO211">
        <f t="shared" si="336"/>
        <v>0</v>
      </c>
      <c r="BP211">
        <f t="shared" si="337"/>
        <v>0</v>
      </c>
      <c r="BQ211">
        <f t="shared" si="338"/>
        <v>0</v>
      </c>
      <c r="BR211">
        <f t="shared" si="339"/>
        <v>0</v>
      </c>
      <c r="BS211">
        <f t="shared" si="340"/>
        <v>0</v>
      </c>
      <c r="BT211">
        <f t="shared" si="341"/>
        <v>0</v>
      </c>
      <c r="BU211">
        <f t="shared" si="342"/>
        <v>0</v>
      </c>
      <c r="BV211">
        <f t="shared" si="343"/>
        <v>0</v>
      </c>
      <c r="BW211">
        <f t="shared" si="344"/>
        <v>0</v>
      </c>
      <c r="BX211">
        <f t="shared" si="345"/>
        <v>0</v>
      </c>
      <c r="BY211">
        <f t="shared" si="346"/>
        <v>0</v>
      </c>
      <c r="BZ211">
        <f t="shared" si="347"/>
        <v>0</v>
      </c>
      <c r="CA211">
        <f t="shared" si="348"/>
        <v>0</v>
      </c>
      <c r="CB211">
        <f t="shared" si="350"/>
        <v>0</v>
      </c>
      <c r="CC211">
        <f t="shared" si="349"/>
        <v>0</v>
      </c>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c r="IU211"/>
      <c r="IV211"/>
    </row>
    <row r="212" spans="1:256" s="1" customFormat="1"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f t="shared" si="328"/>
        <v>0</v>
      </c>
      <c r="BG212"/>
      <c r="BH212">
        <f t="shared" si="329"/>
        <v>0</v>
      </c>
      <c r="BI212">
        <f t="shared" si="330"/>
        <v>0</v>
      </c>
      <c r="BJ212">
        <f t="shared" si="331"/>
        <v>0</v>
      </c>
      <c r="BK212">
        <f t="shared" si="332"/>
        <v>0</v>
      </c>
      <c r="BL212">
        <f t="shared" si="333"/>
        <v>0</v>
      </c>
      <c r="BM212">
        <f t="shared" si="334"/>
        <v>0</v>
      </c>
      <c r="BN212">
        <f t="shared" si="335"/>
        <v>0</v>
      </c>
      <c r="BO212">
        <f t="shared" si="336"/>
        <v>0</v>
      </c>
      <c r="BP212">
        <f t="shared" si="337"/>
        <v>0</v>
      </c>
      <c r="BQ212">
        <f t="shared" si="338"/>
        <v>0</v>
      </c>
      <c r="BR212">
        <f t="shared" si="339"/>
        <v>0</v>
      </c>
      <c r="BS212">
        <f t="shared" si="340"/>
        <v>0</v>
      </c>
      <c r="BT212">
        <f t="shared" si="341"/>
        <v>0</v>
      </c>
      <c r="BU212">
        <f t="shared" si="342"/>
        <v>0</v>
      </c>
      <c r="BV212">
        <f t="shared" si="343"/>
        <v>0</v>
      </c>
      <c r="BW212">
        <f t="shared" si="344"/>
        <v>0</v>
      </c>
      <c r="BX212">
        <f t="shared" si="345"/>
        <v>0</v>
      </c>
      <c r="BY212">
        <f t="shared" si="346"/>
        <v>0</v>
      </c>
      <c r="BZ212">
        <f t="shared" si="347"/>
        <v>0</v>
      </c>
      <c r="CA212">
        <f t="shared" si="348"/>
        <v>0</v>
      </c>
      <c r="CB212">
        <f t="shared" si="350"/>
        <v>0</v>
      </c>
      <c r="CC212">
        <f t="shared" si="349"/>
        <v>0</v>
      </c>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c r="IU212"/>
      <c r="IV212"/>
    </row>
    <row r="213" spans="1:256" s="1" customFormat="1"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f t="shared" si="328"/>
        <v>0</v>
      </c>
      <c r="BG213"/>
      <c r="BH213">
        <f t="shared" si="329"/>
        <v>0</v>
      </c>
      <c r="BI213">
        <f t="shared" si="330"/>
        <v>0</v>
      </c>
      <c r="BJ213">
        <f t="shared" si="331"/>
        <v>0</v>
      </c>
      <c r="BK213">
        <f t="shared" si="332"/>
        <v>0</v>
      </c>
      <c r="BL213">
        <f t="shared" si="333"/>
        <v>0</v>
      </c>
      <c r="BM213">
        <f t="shared" si="334"/>
        <v>0</v>
      </c>
      <c r="BN213">
        <f t="shared" si="335"/>
        <v>0</v>
      </c>
      <c r="BO213">
        <f t="shared" si="336"/>
        <v>0</v>
      </c>
      <c r="BP213">
        <f t="shared" si="337"/>
        <v>0</v>
      </c>
      <c r="BQ213">
        <f t="shared" si="338"/>
        <v>0</v>
      </c>
      <c r="BR213">
        <f t="shared" si="339"/>
        <v>0</v>
      </c>
      <c r="BS213">
        <f t="shared" si="340"/>
        <v>0</v>
      </c>
      <c r="BT213">
        <f t="shared" si="341"/>
        <v>0</v>
      </c>
      <c r="BU213">
        <f t="shared" si="342"/>
        <v>0</v>
      </c>
      <c r="BV213">
        <f t="shared" si="343"/>
        <v>0</v>
      </c>
      <c r="BW213">
        <f t="shared" si="344"/>
        <v>0</v>
      </c>
      <c r="BX213">
        <f t="shared" si="345"/>
        <v>0</v>
      </c>
      <c r="BY213">
        <f t="shared" si="346"/>
        <v>0</v>
      </c>
      <c r="BZ213">
        <f t="shared" si="347"/>
        <v>0</v>
      </c>
      <c r="CA213">
        <f t="shared" si="348"/>
        <v>0</v>
      </c>
      <c r="CB213">
        <f t="shared" si="350"/>
        <v>0</v>
      </c>
      <c r="CC213">
        <f t="shared" si="349"/>
        <v>0</v>
      </c>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c r="IU213"/>
      <c r="IV213"/>
    </row>
    <row r="214" spans="1:256" s="1" customFormat="1"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f t="shared" si="328"/>
        <v>0</v>
      </c>
      <c r="BG214"/>
      <c r="BH214">
        <f t="shared" si="329"/>
        <v>0</v>
      </c>
      <c r="BI214">
        <f t="shared" si="330"/>
        <v>0</v>
      </c>
      <c r="BJ214">
        <f t="shared" si="331"/>
        <v>0</v>
      </c>
      <c r="BK214">
        <f t="shared" si="332"/>
        <v>0</v>
      </c>
      <c r="BL214">
        <f t="shared" si="333"/>
        <v>0</v>
      </c>
      <c r="BM214">
        <f t="shared" si="334"/>
        <v>0</v>
      </c>
      <c r="BN214">
        <f t="shared" si="335"/>
        <v>0</v>
      </c>
      <c r="BO214">
        <f t="shared" si="336"/>
        <v>0</v>
      </c>
      <c r="BP214">
        <f t="shared" si="337"/>
        <v>0</v>
      </c>
      <c r="BQ214">
        <f t="shared" si="338"/>
        <v>0</v>
      </c>
      <c r="BR214">
        <f t="shared" si="339"/>
        <v>0</v>
      </c>
      <c r="BS214">
        <f t="shared" si="340"/>
        <v>0</v>
      </c>
      <c r="BT214">
        <f t="shared" si="341"/>
        <v>0</v>
      </c>
      <c r="BU214">
        <f t="shared" si="342"/>
        <v>0</v>
      </c>
      <c r="BV214">
        <f t="shared" si="343"/>
        <v>0</v>
      </c>
      <c r="BW214">
        <f t="shared" si="344"/>
        <v>0</v>
      </c>
      <c r="BX214">
        <f t="shared" si="345"/>
        <v>0</v>
      </c>
      <c r="BY214">
        <f t="shared" si="346"/>
        <v>0</v>
      </c>
      <c r="BZ214">
        <f t="shared" si="347"/>
        <v>0</v>
      </c>
      <c r="CA214">
        <f t="shared" si="348"/>
        <v>0</v>
      </c>
      <c r="CB214">
        <f t="shared" si="350"/>
        <v>0</v>
      </c>
      <c r="CC214">
        <f t="shared" si="349"/>
        <v>0</v>
      </c>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row>
    <row r="215" spans="1:256" s="1" customFormat="1"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f t="shared" si="328"/>
        <v>0</v>
      </c>
      <c r="BG215"/>
      <c r="BH215">
        <f t="shared" si="329"/>
        <v>0</v>
      </c>
      <c r="BI215">
        <f t="shared" si="330"/>
        <v>0</v>
      </c>
      <c r="BJ215">
        <f t="shared" si="331"/>
        <v>0</v>
      </c>
      <c r="BK215">
        <f t="shared" si="332"/>
        <v>0</v>
      </c>
      <c r="BL215">
        <f t="shared" si="333"/>
        <v>0</v>
      </c>
      <c r="BM215">
        <f t="shared" si="334"/>
        <v>0</v>
      </c>
      <c r="BN215">
        <f t="shared" si="335"/>
        <v>0</v>
      </c>
      <c r="BO215">
        <f t="shared" si="336"/>
        <v>0</v>
      </c>
      <c r="BP215">
        <f t="shared" si="337"/>
        <v>0</v>
      </c>
      <c r="BQ215">
        <f t="shared" si="338"/>
        <v>0</v>
      </c>
      <c r="BR215">
        <f t="shared" si="339"/>
        <v>0</v>
      </c>
      <c r="BS215">
        <f t="shared" si="340"/>
        <v>0</v>
      </c>
      <c r="BT215">
        <f t="shared" si="341"/>
        <v>0</v>
      </c>
      <c r="BU215">
        <f t="shared" si="342"/>
        <v>0</v>
      </c>
      <c r="BV215">
        <f t="shared" si="343"/>
        <v>0</v>
      </c>
      <c r="BW215">
        <f t="shared" si="344"/>
        <v>0</v>
      </c>
      <c r="BX215">
        <f t="shared" si="345"/>
        <v>0</v>
      </c>
      <c r="BY215">
        <f t="shared" si="346"/>
        <v>0</v>
      </c>
      <c r="BZ215">
        <f t="shared" si="347"/>
        <v>0</v>
      </c>
      <c r="CA215">
        <f t="shared" si="348"/>
        <v>0</v>
      </c>
      <c r="CB215">
        <f t="shared" si="350"/>
        <v>0</v>
      </c>
      <c r="CC215">
        <f t="shared" si="349"/>
        <v>0</v>
      </c>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c r="HB215"/>
      <c r="HC215"/>
      <c r="HD215"/>
      <c r="HE215"/>
      <c r="HF215"/>
      <c r="HG215"/>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c r="IU215"/>
      <c r="IV215"/>
    </row>
    <row r="216" spans="1:256" s="1" customFormat="1"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f t="shared" si="328"/>
        <v>0</v>
      </c>
      <c r="BG216"/>
      <c r="BH216">
        <f t="shared" si="329"/>
        <v>0</v>
      </c>
      <c r="BI216">
        <f t="shared" si="330"/>
        <v>0</v>
      </c>
      <c r="BJ216">
        <f t="shared" si="331"/>
        <v>0</v>
      </c>
      <c r="BK216">
        <f t="shared" si="332"/>
        <v>0</v>
      </c>
      <c r="BL216">
        <f t="shared" si="333"/>
        <v>0</v>
      </c>
      <c r="BM216">
        <f t="shared" si="334"/>
        <v>0</v>
      </c>
      <c r="BN216">
        <f t="shared" si="335"/>
        <v>0</v>
      </c>
      <c r="BO216">
        <f t="shared" si="336"/>
        <v>0</v>
      </c>
      <c r="BP216">
        <f t="shared" si="337"/>
        <v>0</v>
      </c>
      <c r="BQ216">
        <f t="shared" si="338"/>
        <v>0</v>
      </c>
      <c r="BR216">
        <f t="shared" si="339"/>
        <v>0</v>
      </c>
      <c r="BS216">
        <f t="shared" si="340"/>
        <v>0</v>
      </c>
      <c r="BT216">
        <f t="shared" si="341"/>
        <v>0</v>
      </c>
      <c r="BU216">
        <f t="shared" si="342"/>
        <v>0</v>
      </c>
      <c r="BV216">
        <f t="shared" si="343"/>
        <v>0</v>
      </c>
      <c r="BW216">
        <f t="shared" si="344"/>
        <v>0</v>
      </c>
      <c r="BX216">
        <f t="shared" si="345"/>
        <v>0</v>
      </c>
      <c r="BY216">
        <f t="shared" si="346"/>
        <v>0</v>
      </c>
      <c r="BZ216">
        <f t="shared" si="347"/>
        <v>0</v>
      </c>
      <c r="CA216">
        <f t="shared" si="348"/>
        <v>0</v>
      </c>
      <c r="CB216">
        <f t="shared" si="350"/>
        <v>0</v>
      </c>
      <c r="CC216">
        <f t="shared" si="349"/>
        <v>0</v>
      </c>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c r="HB216"/>
      <c r="HC216"/>
      <c r="HD216"/>
      <c r="HE216"/>
      <c r="HF216"/>
      <c r="HG216"/>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c r="IU216"/>
      <c r="IV216"/>
    </row>
    <row r="217" spans="1:256" s="1" customFormat="1"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f t="shared" si="328"/>
        <v>0</v>
      </c>
      <c r="BG217"/>
      <c r="BH217">
        <f t="shared" si="329"/>
        <v>0</v>
      </c>
      <c r="BI217">
        <f t="shared" si="330"/>
        <v>0</v>
      </c>
      <c r="BJ217">
        <f t="shared" si="331"/>
        <v>0</v>
      </c>
      <c r="BK217">
        <f t="shared" si="332"/>
        <v>0</v>
      </c>
      <c r="BL217">
        <f t="shared" si="333"/>
        <v>0</v>
      </c>
      <c r="BM217">
        <f t="shared" si="334"/>
        <v>0</v>
      </c>
      <c r="BN217">
        <f t="shared" si="335"/>
        <v>0</v>
      </c>
      <c r="BO217">
        <f t="shared" si="336"/>
        <v>0</v>
      </c>
      <c r="BP217">
        <f t="shared" si="337"/>
        <v>0</v>
      </c>
      <c r="BQ217">
        <f t="shared" si="338"/>
        <v>0</v>
      </c>
      <c r="BR217">
        <f t="shared" si="339"/>
        <v>0</v>
      </c>
      <c r="BS217">
        <f t="shared" si="340"/>
        <v>0</v>
      </c>
      <c r="BT217">
        <f t="shared" si="341"/>
        <v>0</v>
      </c>
      <c r="BU217">
        <f t="shared" si="342"/>
        <v>0</v>
      </c>
      <c r="BV217">
        <f t="shared" si="343"/>
        <v>0</v>
      </c>
      <c r="BW217">
        <f t="shared" si="344"/>
        <v>0</v>
      </c>
      <c r="BX217">
        <f t="shared" si="345"/>
        <v>0</v>
      </c>
      <c r="BY217">
        <f t="shared" si="346"/>
        <v>0</v>
      </c>
      <c r="BZ217">
        <f t="shared" si="347"/>
        <v>0</v>
      </c>
      <c r="CA217">
        <f t="shared" si="348"/>
        <v>0</v>
      </c>
      <c r="CB217">
        <f t="shared" si="350"/>
        <v>0</v>
      </c>
      <c r="CC217">
        <f t="shared" si="349"/>
        <v>0</v>
      </c>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c r="IU217"/>
      <c r="IV217"/>
    </row>
    <row r="218" spans="1:256" s="1" customFormat="1"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f t="shared" si="328"/>
        <v>0</v>
      </c>
      <c r="BG218"/>
      <c r="BH218">
        <f t="shared" si="329"/>
        <v>0</v>
      </c>
      <c r="BI218">
        <f t="shared" si="330"/>
        <v>0</v>
      </c>
      <c r="BJ218">
        <f t="shared" si="331"/>
        <v>0</v>
      </c>
      <c r="BK218">
        <f t="shared" si="332"/>
        <v>0</v>
      </c>
      <c r="BL218">
        <f t="shared" si="333"/>
        <v>0</v>
      </c>
      <c r="BM218">
        <f t="shared" si="334"/>
        <v>0</v>
      </c>
      <c r="BN218">
        <f t="shared" si="335"/>
        <v>0</v>
      </c>
      <c r="BO218">
        <f t="shared" si="336"/>
        <v>0</v>
      </c>
      <c r="BP218">
        <f t="shared" si="337"/>
        <v>0</v>
      </c>
      <c r="BQ218">
        <f t="shared" si="338"/>
        <v>0</v>
      </c>
      <c r="BR218">
        <f t="shared" si="339"/>
        <v>0</v>
      </c>
      <c r="BS218">
        <f t="shared" si="340"/>
        <v>0</v>
      </c>
      <c r="BT218">
        <f t="shared" si="341"/>
        <v>0</v>
      </c>
      <c r="BU218">
        <f t="shared" si="342"/>
        <v>0</v>
      </c>
      <c r="BV218">
        <f t="shared" si="343"/>
        <v>0</v>
      </c>
      <c r="BW218">
        <f t="shared" si="344"/>
        <v>0</v>
      </c>
      <c r="BX218">
        <f t="shared" si="345"/>
        <v>0</v>
      </c>
      <c r="BY218">
        <f t="shared" si="346"/>
        <v>0</v>
      </c>
      <c r="BZ218">
        <f t="shared" si="347"/>
        <v>0</v>
      </c>
      <c r="CA218">
        <f t="shared" si="348"/>
        <v>0</v>
      </c>
      <c r="CB218">
        <f t="shared" si="350"/>
        <v>0</v>
      </c>
      <c r="CC218">
        <f t="shared" si="349"/>
        <v>0</v>
      </c>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c r="IU218"/>
      <c r="IV218"/>
    </row>
    <row r="219" spans="1:256" s="1" customFormat="1"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f t="shared" si="328"/>
        <v>0</v>
      </c>
      <c r="BG219"/>
      <c r="BH219">
        <f t="shared" si="329"/>
        <v>0</v>
      </c>
      <c r="BI219">
        <f t="shared" si="330"/>
        <v>0</v>
      </c>
      <c r="BJ219">
        <f t="shared" si="331"/>
        <v>0</v>
      </c>
      <c r="BK219">
        <f t="shared" si="332"/>
        <v>0</v>
      </c>
      <c r="BL219">
        <f t="shared" si="333"/>
        <v>0</v>
      </c>
      <c r="BM219">
        <f t="shared" si="334"/>
        <v>0</v>
      </c>
      <c r="BN219">
        <f t="shared" si="335"/>
        <v>0</v>
      </c>
      <c r="BO219">
        <f t="shared" si="336"/>
        <v>0</v>
      </c>
      <c r="BP219">
        <f t="shared" si="337"/>
        <v>0</v>
      </c>
      <c r="BQ219">
        <f t="shared" si="338"/>
        <v>0</v>
      </c>
      <c r="BR219">
        <f t="shared" si="339"/>
        <v>0</v>
      </c>
      <c r="BS219">
        <f t="shared" si="340"/>
        <v>0</v>
      </c>
      <c r="BT219">
        <f t="shared" si="341"/>
        <v>0</v>
      </c>
      <c r="BU219">
        <f t="shared" si="342"/>
        <v>0</v>
      </c>
      <c r="BV219">
        <f t="shared" si="343"/>
        <v>0</v>
      </c>
      <c r="BW219">
        <f t="shared" si="344"/>
        <v>0</v>
      </c>
      <c r="BX219">
        <f t="shared" si="345"/>
        <v>0</v>
      </c>
      <c r="BY219">
        <f t="shared" si="346"/>
        <v>0</v>
      </c>
      <c r="BZ219">
        <f t="shared" si="347"/>
        <v>0</v>
      </c>
      <c r="CA219">
        <f t="shared" si="348"/>
        <v>0</v>
      </c>
      <c r="CB219">
        <f t="shared" si="350"/>
        <v>0</v>
      </c>
      <c r="CC219">
        <f t="shared" si="349"/>
        <v>0</v>
      </c>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c r="IU219"/>
      <c r="IV219"/>
    </row>
    <row r="220" spans="1:256" s="1" customFormat="1"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f t="shared" si="328"/>
        <v>0</v>
      </c>
      <c r="BG220"/>
      <c r="BH220">
        <f t="shared" si="329"/>
        <v>0</v>
      </c>
      <c r="BI220">
        <f t="shared" si="330"/>
        <v>0</v>
      </c>
      <c r="BJ220">
        <f t="shared" si="331"/>
        <v>0</v>
      </c>
      <c r="BK220">
        <f t="shared" si="332"/>
        <v>0</v>
      </c>
      <c r="BL220">
        <f t="shared" si="333"/>
        <v>0</v>
      </c>
      <c r="BM220">
        <f t="shared" si="334"/>
        <v>0</v>
      </c>
      <c r="BN220">
        <f t="shared" si="335"/>
        <v>0</v>
      </c>
      <c r="BO220">
        <f t="shared" si="336"/>
        <v>0</v>
      </c>
      <c r="BP220">
        <f t="shared" si="337"/>
        <v>0</v>
      </c>
      <c r="BQ220">
        <f t="shared" si="338"/>
        <v>0</v>
      </c>
      <c r="BR220">
        <f t="shared" si="339"/>
        <v>0</v>
      </c>
      <c r="BS220">
        <f t="shared" si="340"/>
        <v>0</v>
      </c>
      <c r="BT220">
        <f t="shared" si="341"/>
        <v>0</v>
      </c>
      <c r="BU220">
        <f t="shared" si="342"/>
        <v>0</v>
      </c>
      <c r="BV220">
        <f t="shared" si="343"/>
        <v>0</v>
      </c>
      <c r="BW220">
        <f t="shared" si="344"/>
        <v>0</v>
      </c>
      <c r="BX220">
        <f t="shared" si="345"/>
        <v>0</v>
      </c>
      <c r="BY220">
        <f t="shared" si="346"/>
        <v>0</v>
      </c>
      <c r="BZ220">
        <f t="shared" si="347"/>
        <v>0</v>
      </c>
      <c r="CA220">
        <f t="shared" ref="CA220:CA242" si="351">IF(BZ138="",0,
IF(BZ138="f",IF(CA138="r",1,0),
IF(BZ138="l",IF(CA138="l",0,IF(CA138="",0,1)),)))</f>
        <v>0</v>
      </c>
      <c r="CB220">
        <f t="shared" si="350"/>
        <v>0</v>
      </c>
      <c r="CC220">
        <f t="shared" si="349"/>
        <v>0</v>
      </c>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c r="IU220"/>
      <c r="IV220"/>
    </row>
    <row r="221" spans="1:256" s="1" customFormat="1"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f t="shared" si="328"/>
        <v>0</v>
      </c>
      <c r="BG221"/>
      <c r="BH221">
        <f t="shared" si="329"/>
        <v>0</v>
      </c>
      <c r="BI221">
        <f t="shared" si="330"/>
        <v>0</v>
      </c>
      <c r="BJ221">
        <f t="shared" si="331"/>
        <v>0</v>
      </c>
      <c r="BK221">
        <f t="shared" si="332"/>
        <v>0</v>
      </c>
      <c r="BL221">
        <f t="shared" si="333"/>
        <v>0</v>
      </c>
      <c r="BM221">
        <f t="shared" si="334"/>
        <v>0</v>
      </c>
      <c r="BN221">
        <f t="shared" si="335"/>
        <v>0</v>
      </c>
      <c r="BO221">
        <f t="shared" si="336"/>
        <v>0</v>
      </c>
      <c r="BP221">
        <f t="shared" si="337"/>
        <v>0</v>
      </c>
      <c r="BQ221">
        <f t="shared" si="338"/>
        <v>0</v>
      </c>
      <c r="BR221">
        <f t="shared" si="339"/>
        <v>0</v>
      </c>
      <c r="BS221">
        <f t="shared" si="340"/>
        <v>0</v>
      </c>
      <c r="BT221">
        <f t="shared" si="341"/>
        <v>0</v>
      </c>
      <c r="BU221">
        <f t="shared" si="342"/>
        <v>0</v>
      </c>
      <c r="BV221">
        <f t="shared" si="343"/>
        <v>0</v>
      </c>
      <c r="BW221">
        <f t="shared" si="344"/>
        <v>0</v>
      </c>
      <c r="BX221">
        <f t="shared" si="345"/>
        <v>0</v>
      </c>
      <c r="BY221">
        <f t="shared" si="346"/>
        <v>0</v>
      </c>
      <c r="BZ221">
        <f t="shared" si="347"/>
        <v>0</v>
      </c>
      <c r="CA221">
        <f t="shared" si="351"/>
        <v>0</v>
      </c>
      <c r="CB221">
        <f t="shared" si="350"/>
        <v>0</v>
      </c>
      <c r="CC221">
        <f t="shared" si="349"/>
        <v>0</v>
      </c>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c r="IU221"/>
      <c r="IV221"/>
    </row>
    <row r="222" spans="1:256" s="1" customFormat="1"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f t="shared" si="328"/>
        <v>0</v>
      </c>
      <c r="BG222"/>
      <c r="BH222">
        <f t="shared" si="329"/>
        <v>0</v>
      </c>
      <c r="BI222">
        <f t="shared" si="330"/>
        <v>0</v>
      </c>
      <c r="BJ222">
        <f t="shared" si="331"/>
        <v>0</v>
      </c>
      <c r="BK222">
        <f t="shared" si="332"/>
        <v>0</v>
      </c>
      <c r="BL222">
        <f t="shared" si="333"/>
        <v>0</v>
      </c>
      <c r="BM222">
        <f t="shared" si="334"/>
        <v>0</v>
      </c>
      <c r="BN222">
        <f t="shared" si="335"/>
        <v>0</v>
      </c>
      <c r="BO222">
        <f t="shared" si="336"/>
        <v>0</v>
      </c>
      <c r="BP222">
        <f t="shared" si="337"/>
        <v>0</v>
      </c>
      <c r="BQ222">
        <f t="shared" si="338"/>
        <v>0</v>
      </c>
      <c r="BR222">
        <f t="shared" si="339"/>
        <v>0</v>
      </c>
      <c r="BS222">
        <f t="shared" si="340"/>
        <v>0</v>
      </c>
      <c r="BT222">
        <f t="shared" si="341"/>
        <v>0</v>
      </c>
      <c r="BU222">
        <f t="shared" si="342"/>
        <v>0</v>
      </c>
      <c r="BV222">
        <f t="shared" si="343"/>
        <v>0</v>
      </c>
      <c r="BW222">
        <f t="shared" si="344"/>
        <v>0</v>
      </c>
      <c r="BX222">
        <f t="shared" si="345"/>
        <v>0</v>
      </c>
      <c r="BY222">
        <f t="shared" si="346"/>
        <v>0</v>
      </c>
      <c r="BZ222">
        <f t="shared" si="347"/>
        <v>0</v>
      </c>
      <c r="CA222">
        <f t="shared" si="351"/>
        <v>0</v>
      </c>
      <c r="CB222">
        <f t="shared" si="350"/>
        <v>0</v>
      </c>
      <c r="CC222">
        <f t="shared" si="349"/>
        <v>0</v>
      </c>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c r="IU222"/>
      <c r="IV222"/>
    </row>
    <row r="223" spans="1:256" s="1" customFormat="1"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f t="shared" si="328"/>
        <v>0</v>
      </c>
      <c r="BG223"/>
      <c r="BH223">
        <f t="shared" si="329"/>
        <v>0</v>
      </c>
      <c r="BI223">
        <f t="shared" si="330"/>
        <v>0</v>
      </c>
      <c r="BJ223">
        <f t="shared" si="331"/>
        <v>0</v>
      </c>
      <c r="BK223">
        <f t="shared" si="332"/>
        <v>0</v>
      </c>
      <c r="BL223">
        <f t="shared" si="333"/>
        <v>0</v>
      </c>
      <c r="BM223">
        <f t="shared" si="334"/>
        <v>0</v>
      </c>
      <c r="BN223">
        <f t="shared" si="335"/>
        <v>0</v>
      </c>
      <c r="BO223">
        <f t="shared" si="336"/>
        <v>0</v>
      </c>
      <c r="BP223">
        <f t="shared" si="337"/>
        <v>0</v>
      </c>
      <c r="BQ223">
        <f t="shared" si="338"/>
        <v>0</v>
      </c>
      <c r="BR223">
        <f t="shared" si="339"/>
        <v>0</v>
      </c>
      <c r="BS223">
        <f t="shared" si="340"/>
        <v>0</v>
      </c>
      <c r="BT223">
        <f t="shared" si="341"/>
        <v>0</v>
      </c>
      <c r="BU223">
        <f t="shared" si="342"/>
        <v>0</v>
      </c>
      <c r="BV223">
        <f t="shared" si="343"/>
        <v>0</v>
      </c>
      <c r="BW223">
        <f t="shared" si="344"/>
        <v>0</v>
      </c>
      <c r="BX223">
        <f t="shared" si="345"/>
        <v>0</v>
      </c>
      <c r="BY223">
        <f t="shared" si="346"/>
        <v>0</v>
      </c>
      <c r="BZ223">
        <f t="shared" si="347"/>
        <v>0</v>
      </c>
      <c r="CA223">
        <f t="shared" si="351"/>
        <v>0</v>
      </c>
      <c r="CB223">
        <f t="shared" si="350"/>
        <v>0</v>
      </c>
      <c r="CC223">
        <f t="shared" si="349"/>
        <v>0</v>
      </c>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c r="IU223"/>
      <c r="IV223"/>
    </row>
    <row r="224" spans="1:256" s="1" customFormat="1"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f t="shared" si="328"/>
        <v>0</v>
      </c>
      <c r="BG224"/>
      <c r="BH224">
        <f t="shared" si="329"/>
        <v>0</v>
      </c>
      <c r="BI224">
        <f t="shared" si="330"/>
        <v>0</v>
      </c>
      <c r="BJ224">
        <f t="shared" si="331"/>
        <v>0</v>
      </c>
      <c r="BK224">
        <f t="shared" si="332"/>
        <v>0</v>
      </c>
      <c r="BL224">
        <f t="shared" si="333"/>
        <v>0</v>
      </c>
      <c r="BM224">
        <f t="shared" si="334"/>
        <v>0</v>
      </c>
      <c r="BN224">
        <f t="shared" si="335"/>
        <v>0</v>
      </c>
      <c r="BO224">
        <f t="shared" si="336"/>
        <v>0</v>
      </c>
      <c r="BP224">
        <f t="shared" si="337"/>
        <v>0</v>
      </c>
      <c r="BQ224">
        <f t="shared" si="338"/>
        <v>0</v>
      </c>
      <c r="BR224">
        <f t="shared" si="339"/>
        <v>0</v>
      </c>
      <c r="BS224">
        <f t="shared" si="340"/>
        <v>0</v>
      </c>
      <c r="BT224">
        <f t="shared" si="341"/>
        <v>0</v>
      </c>
      <c r="BU224">
        <f t="shared" si="342"/>
        <v>0</v>
      </c>
      <c r="BV224">
        <f t="shared" si="343"/>
        <v>0</v>
      </c>
      <c r="BW224">
        <f t="shared" si="344"/>
        <v>0</v>
      </c>
      <c r="BX224">
        <f t="shared" si="345"/>
        <v>0</v>
      </c>
      <c r="BY224">
        <f t="shared" si="346"/>
        <v>0</v>
      </c>
      <c r="BZ224">
        <f t="shared" si="347"/>
        <v>0</v>
      </c>
      <c r="CA224">
        <f t="shared" si="351"/>
        <v>0</v>
      </c>
      <c r="CB224">
        <f t="shared" si="350"/>
        <v>0</v>
      </c>
      <c r="CC224">
        <f t="shared" si="349"/>
        <v>0</v>
      </c>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c r="IU224"/>
      <c r="IV224"/>
    </row>
    <row r="225" spans="1:256" s="1" customFormat="1"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f t="shared" si="328"/>
        <v>0</v>
      </c>
      <c r="BG225"/>
      <c r="BH225">
        <f t="shared" si="329"/>
        <v>0</v>
      </c>
      <c r="BI225">
        <f t="shared" si="330"/>
        <v>0</v>
      </c>
      <c r="BJ225">
        <f t="shared" si="331"/>
        <v>0</v>
      </c>
      <c r="BK225">
        <f t="shared" si="332"/>
        <v>0</v>
      </c>
      <c r="BL225">
        <f t="shared" si="333"/>
        <v>0</v>
      </c>
      <c r="BM225">
        <f t="shared" si="334"/>
        <v>0</v>
      </c>
      <c r="BN225">
        <f t="shared" si="335"/>
        <v>0</v>
      </c>
      <c r="BO225">
        <f t="shared" si="336"/>
        <v>0</v>
      </c>
      <c r="BP225">
        <f t="shared" si="337"/>
        <v>0</v>
      </c>
      <c r="BQ225">
        <f t="shared" si="338"/>
        <v>0</v>
      </c>
      <c r="BR225">
        <f t="shared" si="339"/>
        <v>0</v>
      </c>
      <c r="BS225">
        <f t="shared" si="340"/>
        <v>0</v>
      </c>
      <c r="BT225">
        <f t="shared" si="341"/>
        <v>0</v>
      </c>
      <c r="BU225">
        <f t="shared" si="342"/>
        <v>0</v>
      </c>
      <c r="BV225">
        <f t="shared" si="343"/>
        <v>0</v>
      </c>
      <c r="BW225">
        <f t="shared" si="344"/>
        <v>0</v>
      </c>
      <c r="BX225">
        <f t="shared" si="345"/>
        <v>0</v>
      </c>
      <c r="BY225">
        <f t="shared" si="346"/>
        <v>0</v>
      </c>
      <c r="BZ225">
        <f t="shared" si="347"/>
        <v>0</v>
      </c>
      <c r="CA225">
        <f t="shared" si="351"/>
        <v>0</v>
      </c>
      <c r="CB225">
        <f t="shared" si="350"/>
        <v>0</v>
      </c>
      <c r="CC225">
        <f t="shared" si="349"/>
        <v>0</v>
      </c>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c r="IU225"/>
      <c r="IV225"/>
    </row>
    <row r="226" spans="1:256" s="1" customFormat="1"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f t="shared" si="328"/>
        <v>0</v>
      </c>
      <c r="BG226"/>
      <c r="BH226">
        <f t="shared" si="329"/>
        <v>0</v>
      </c>
      <c r="BI226">
        <f t="shared" si="330"/>
        <v>0</v>
      </c>
      <c r="BJ226">
        <f t="shared" si="331"/>
        <v>0</v>
      </c>
      <c r="BK226">
        <f t="shared" si="332"/>
        <v>0</v>
      </c>
      <c r="BL226">
        <f t="shared" si="333"/>
        <v>0</v>
      </c>
      <c r="BM226">
        <f t="shared" si="334"/>
        <v>0</v>
      </c>
      <c r="BN226">
        <f t="shared" si="335"/>
        <v>0</v>
      </c>
      <c r="BO226">
        <f t="shared" si="336"/>
        <v>0</v>
      </c>
      <c r="BP226">
        <f t="shared" si="337"/>
        <v>0</v>
      </c>
      <c r="BQ226">
        <f t="shared" si="338"/>
        <v>0</v>
      </c>
      <c r="BR226">
        <f t="shared" si="339"/>
        <v>0</v>
      </c>
      <c r="BS226">
        <f t="shared" si="340"/>
        <v>0</v>
      </c>
      <c r="BT226">
        <f t="shared" si="341"/>
        <v>0</v>
      </c>
      <c r="BU226">
        <f t="shared" si="342"/>
        <v>0</v>
      </c>
      <c r="BV226">
        <f t="shared" si="343"/>
        <v>0</v>
      </c>
      <c r="BW226">
        <f t="shared" si="344"/>
        <v>0</v>
      </c>
      <c r="BX226">
        <f t="shared" si="345"/>
        <v>0</v>
      </c>
      <c r="BY226">
        <f t="shared" si="346"/>
        <v>0</v>
      </c>
      <c r="BZ226">
        <f t="shared" si="347"/>
        <v>0</v>
      </c>
      <c r="CA226">
        <f t="shared" si="351"/>
        <v>0</v>
      </c>
      <c r="CB226">
        <f t="shared" si="350"/>
        <v>0</v>
      </c>
      <c r="CC226">
        <f t="shared" si="349"/>
        <v>0</v>
      </c>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c r="IU226"/>
      <c r="IV226"/>
    </row>
    <row r="227" spans="1:256" s="1" customFormat="1"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f t="shared" si="328"/>
        <v>0</v>
      </c>
      <c r="BG227"/>
      <c r="BH227">
        <f t="shared" si="329"/>
        <v>0</v>
      </c>
      <c r="BI227">
        <f t="shared" si="330"/>
        <v>0</v>
      </c>
      <c r="BJ227">
        <f t="shared" si="331"/>
        <v>0</v>
      </c>
      <c r="BK227">
        <f t="shared" si="332"/>
        <v>0</v>
      </c>
      <c r="BL227">
        <f t="shared" si="333"/>
        <v>0</v>
      </c>
      <c r="BM227">
        <f t="shared" si="334"/>
        <v>0</v>
      </c>
      <c r="BN227">
        <f t="shared" si="335"/>
        <v>0</v>
      </c>
      <c r="BO227">
        <f t="shared" si="336"/>
        <v>0</v>
      </c>
      <c r="BP227">
        <f t="shared" si="337"/>
        <v>0</v>
      </c>
      <c r="BQ227">
        <f t="shared" si="338"/>
        <v>0</v>
      </c>
      <c r="BR227">
        <f t="shared" si="339"/>
        <v>0</v>
      </c>
      <c r="BS227">
        <f t="shared" si="340"/>
        <v>0</v>
      </c>
      <c r="BT227">
        <f t="shared" si="341"/>
        <v>0</v>
      </c>
      <c r="BU227">
        <f t="shared" si="342"/>
        <v>0</v>
      </c>
      <c r="BV227">
        <f t="shared" si="343"/>
        <v>0</v>
      </c>
      <c r="BW227">
        <f t="shared" si="344"/>
        <v>0</v>
      </c>
      <c r="BX227">
        <f t="shared" si="345"/>
        <v>0</v>
      </c>
      <c r="BY227">
        <f t="shared" si="346"/>
        <v>0</v>
      </c>
      <c r="BZ227">
        <f t="shared" si="347"/>
        <v>0</v>
      </c>
      <c r="CA227">
        <f t="shared" si="351"/>
        <v>0</v>
      </c>
      <c r="CB227">
        <f t="shared" si="350"/>
        <v>0</v>
      </c>
      <c r="CC227">
        <f t="shared" si="349"/>
        <v>0</v>
      </c>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c r="HB227"/>
      <c r="HC227"/>
      <c r="HD227"/>
      <c r="HE227"/>
      <c r="HF227"/>
      <c r="HG227"/>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c r="IU227"/>
      <c r="IV227"/>
    </row>
    <row r="228" spans="1:256" s="1" customFormat="1"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f t="shared" si="328"/>
        <v>0</v>
      </c>
      <c r="BG228"/>
      <c r="BH228">
        <f t="shared" si="329"/>
        <v>0</v>
      </c>
      <c r="BI228">
        <f t="shared" si="330"/>
        <v>0</v>
      </c>
      <c r="BJ228">
        <f t="shared" si="331"/>
        <v>0</v>
      </c>
      <c r="BK228">
        <f t="shared" si="332"/>
        <v>0</v>
      </c>
      <c r="BL228">
        <f t="shared" si="333"/>
        <v>0</v>
      </c>
      <c r="BM228">
        <f t="shared" si="334"/>
        <v>0</v>
      </c>
      <c r="BN228">
        <f t="shared" si="335"/>
        <v>0</v>
      </c>
      <c r="BO228">
        <f t="shared" si="336"/>
        <v>0</v>
      </c>
      <c r="BP228">
        <f t="shared" si="337"/>
        <v>0</v>
      </c>
      <c r="BQ228">
        <f t="shared" si="338"/>
        <v>0</v>
      </c>
      <c r="BR228">
        <f t="shared" si="339"/>
        <v>0</v>
      </c>
      <c r="BS228">
        <f t="shared" si="340"/>
        <v>0</v>
      </c>
      <c r="BT228">
        <f t="shared" si="341"/>
        <v>0</v>
      </c>
      <c r="BU228">
        <f t="shared" si="342"/>
        <v>0</v>
      </c>
      <c r="BV228">
        <f t="shared" si="343"/>
        <v>0</v>
      </c>
      <c r="BW228">
        <f t="shared" si="344"/>
        <v>0</v>
      </c>
      <c r="BX228">
        <f t="shared" si="345"/>
        <v>0</v>
      </c>
      <c r="BY228">
        <f t="shared" si="346"/>
        <v>0</v>
      </c>
      <c r="BZ228">
        <f t="shared" si="347"/>
        <v>0</v>
      </c>
      <c r="CA228">
        <f t="shared" si="351"/>
        <v>0</v>
      </c>
      <c r="CB228">
        <f t="shared" si="350"/>
        <v>0</v>
      </c>
      <c r="CC228">
        <f t="shared" si="349"/>
        <v>0</v>
      </c>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c r="IU228"/>
      <c r="IV228"/>
    </row>
    <row r="229" spans="1:256" s="1" customFormat="1"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f t="shared" si="328"/>
        <v>0</v>
      </c>
      <c r="BG229"/>
      <c r="BH229">
        <f t="shared" si="329"/>
        <v>0</v>
      </c>
      <c r="BI229">
        <f t="shared" si="330"/>
        <v>0</v>
      </c>
      <c r="BJ229">
        <f t="shared" si="331"/>
        <v>0</v>
      </c>
      <c r="BK229">
        <f t="shared" si="332"/>
        <v>0</v>
      </c>
      <c r="BL229">
        <f t="shared" si="333"/>
        <v>0</v>
      </c>
      <c r="BM229">
        <f t="shared" si="334"/>
        <v>0</v>
      </c>
      <c r="BN229">
        <f t="shared" si="335"/>
        <v>0</v>
      </c>
      <c r="BO229">
        <f t="shared" si="336"/>
        <v>0</v>
      </c>
      <c r="BP229">
        <f t="shared" si="337"/>
        <v>0</v>
      </c>
      <c r="BQ229">
        <f t="shared" si="338"/>
        <v>0</v>
      </c>
      <c r="BR229">
        <f t="shared" si="339"/>
        <v>0</v>
      </c>
      <c r="BS229">
        <f t="shared" si="340"/>
        <v>0</v>
      </c>
      <c r="BT229">
        <f t="shared" si="341"/>
        <v>0</v>
      </c>
      <c r="BU229">
        <f t="shared" si="342"/>
        <v>0</v>
      </c>
      <c r="BV229">
        <f t="shared" si="343"/>
        <v>0</v>
      </c>
      <c r="BW229">
        <f t="shared" si="344"/>
        <v>0</v>
      </c>
      <c r="BX229">
        <f t="shared" si="345"/>
        <v>0</v>
      </c>
      <c r="BY229">
        <f t="shared" si="346"/>
        <v>0</v>
      </c>
      <c r="BZ229">
        <f t="shared" si="347"/>
        <v>0</v>
      </c>
      <c r="CA229">
        <f t="shared" si="351"/>
        <v>0</v>
      </c>
      <c r="CB229">
        <f t="shared" si="350"/>
        <v>0</v>
      </c>
      <c r="CC229">
        <f t="shared" si="349"/>
        <v>0</v>
      </c>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c r="IU229"/>
      <c r="IV229"/>
    </row>
    <row r="230" spans="1:256" s="1" customFormat="1"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f t="shared" si="328"/>
        <v>0</v>
      </c>
      <c r="BG230"/>
      <c r="BH230">
        <f t="shared" si="329"/>
        <v>0</v>
      </c>
      <c r="BI230">
        <f t="shared" si="330"/>
        <v>0</v>
      </c>
      <c r="BJ230">
        <f t="shared" si="331"/>
        <v>0</v>
      </c>
      <c r="BK230">
        <f t="shared" si="332"/>
        <v>0</v>
      </c>
      <c r="BL230">
        <f t="shared" si="333"/>
        <v>0</v>
      </c>
      <c r="BM230">
        <f t="shared" si="334"/>
        <v>0</v>
      </c>
      <c r="BN230">
        <f t="shared" si="335"/>
        <v>0</v>
      </c>
      <c r="BO230">
        <f t="shared" si="336"/>
        <v>0</v>
      </c>
      <c r="BP230">
        <f t="shared" si="337"/>
        <v>0</v>
      </c>
      <c r="BQ230">
        <f t="shared" si="338"/>
        <v>0</v>
      </c>
      <c r="BR230">
        <f t="shared" si="339"/>
        <v>0</v>
      </c>
      <c r="BS230">
        <f t="shared" si="340"/>
        <v>0</v>
      </c>
      <c r="BT230">
        <f t="shared" si="341"/>
        <v>0</v>
      </c>
      <c r="BU230">
        <f t="shared" si="342"/>
        <v>0</v>
      </c>
      <c r="BV230">
        <f t="shared" si="343"/>
        <v>0</v>
      </c>
      <c r="BW230">
        <f t="shared" si="344"/>
        <v>0</v>
      </c>
      <c r="BX230">
        <f t="shared" si="345"/>
        <v>0</v>
      </c>
      <c r="BY230">
        <f t="shared" si="346"/>
        <v>0</v>
      </c>
      <c r="BZ230">
        <f t="shared" si="347"/>
        <v>0</v>
      </c>
      <c r="CA230">
        <f t="shared" si="351"/>
        <v>0</v>
      </c>
      <c r="CB230">
        <f t="shared" si="350"/>
        <v>0</v>
      </c>
      <c r="CC230">
        <f t="shared" si="349"/>
        <v>0</v>
      </c>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c r="HB230"/>
      <c r="HC230"/>
      <c r="HD230"/>
      <c r="HE230"/>
      <c r="HF230"/>
      <c r="HG230"/>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c r="IU230"/>
      <c r="IV230"/>
    </row>
    <row r="231" spans="1:256" s="1" customFormat="1"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f t="shared" si="328"/>
        <v>0</v>
      </c>
      <c r="BG231"/>
      <c r="BH231">
        <f t="shared" si="329"/>
        <v>0</v>
      </c>
      <c r="BI231">
        <f t="shared" si="330"/>
        <v>0</v>
      </c>
      <c r="BJ231">
        <f t="shared" si="331"/>
        <v>0</v>
      </c>
      <c r="BK231">
        <f t="shared" si="332"/>
        <v>0</v>
      </c>
      <c r="BL231">
        <f t="shared" si="333"/>
        <v>0</v>
      </c>
      <c r="BM231">
        <f t="shared" si="334"/>
        <v>0</v>
      </c>
      <c r="BN231">
        <f t="shared" si="335"/>
        <v>0</v>
      </c>
      <c r="BO231">
        <f t="shared" si="336"/>
        <v>0</v>
      </c>
      <c r="BP231">
        <f t="shared" si="337"/>
        <v>0</v>
      </c>
      <c r="BQ231">
        <f t="shared" si="338"/>
        <v>0</v>
      </c>
      <c r="BR231">
        <f t="shared" si="339"/>
        <v>0</v>
      </c>
      <c r="BS231">
        <f t="shared" si="340"/>
        <v>0</v>
      </c>
      <c r="BT231">
        <f t="shared" si="341"/>
        <v>0</v>
      </c>
      <c r="BU231">
        <f t="shared" si="342"/>
        <v>0</v>
      </c>
      <c r="BV231">
        <f t="shared" si="343"/>
        <v>0</v>
      </c>
      <c r="BW231">
        <f t="shared" si="344"/>
        <v>0</v>
      </c>
      <c r="BX231">
        <f t="shared" si="345"/>
        <v>0</v>
      </c>
      <c r="BY231">
        <f t="shared" si="346"/>
        <v>0</v>
      </c>
      <c r="BZ231">
        <f t="shared" si="347"/>
        <v>0</v>
      </c>
      <c r="CA231">
        <f t="shared" si="351"/>
        <v>0</v>
      </c>
      <c r="CB231">
        <f t="shared" si="350"/>
        <v>0</v>
      </c>
      <c r="CC231">
        <f t="shared" si="349"/>
        <v>0</v>
      </c>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c r="IU231"/>
      <c r="IV231"/>
    </row>
    <row r="232" spans="1:256" s="1" customFormat="1"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f t="shared" si="328"/>
        <v>0</v>
      </c>
      <c r="BG232"/>
      <c r="BH232">
        <f t="shared" si="329"/>
        <v>0</v>
      </c>
      <c r="BI232">
        <f t="shared" si="330"/>
        <v>0</v>
      </c>
      <c r="BJ232">
        <f t="shared" si="331"/>
        <v>0</v>
      </c>
      <c r="BK232">
        <f t="shared" si="332"/>
        <v>0</v>
      </c>
      <c r="BL232">
        <f t="shared" si="333"/>
        <v>0</v>
      </c>
      <c r="BM232">
        <f t="shared" si="334"/>
        <v>0</v>
      </c>
      <c r="BN232">
        <f t="shared" si="335"/>
        <v>0</v>
      </c>
      <c r="BO232">
        <f t="shared" si="336"/>
        <v>0</v>
      </c>
      <c r="BP232">
        <f t="shared" si="337"/>
        <v>0</v>
      </c>
      <c r="BQ232">
        <f t="shared" si="338"/>
        <v>0</v>
      </c>
      <c r="BR232">
        <f t="shared" si="339"/>
        <v>0</v>
      </c>
      <c r="BS232">
        <f t="shared" si="340"/>
        <v>0</v>
      </c>
      <c r="BT232">
        <f t="shared" si="341"/>
        <v>0</v>
      </c>
      <c r="BU232">
        <f t="shared" si="342"/>
        <v>0</v>
      </c>
      <c r="BV232">
        <f t="shared" si="343"/>
        <v>0</v>
      </c>
      <c r="BW232">
        <f t="shared" si="344"/>
        <v>0</v>
      </c>
      <c r="BX232">
        <f t="shared" si="345"/>
        <v>0</v>
      </c>
      <c r="BY232">
        <f t="shared" si="346"/>
        <v>0</v>
      </c>
      <c r="BZ232">
        <f t="shared" si="347"/>
        <v>0</v>
      </c>
      <c r="CA232">
        <f t="shared" si="351"/>
        <v>0</v>
      </c>
      <c r="CB232">
        <f t="shared" si="350"/>
        <v>0</v>
      </c>
      <c r="CC232">
        <f t="shared" si="349"/>
        <v>0</v>
      </c>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c r="HB232"/>
      <c r="HC232"/>
      <c r="HD232"/>
      <c r="HE232"/>
      <c r="HF232"/>
      <c r="HG232"/>
      <c r="HH232"/>
      <c r="HI232"/>
      <c r="HJ232"/>
      <c r="HK232"/>
      <c r="HL232"/>
      <c r="HM232"/>
      <c r="HN232"/>
      <c r="HO232"/>
      <c r="HP232"/>
      <c r="HQ232"/>
      <c r="HR232"/>
      <c r="HS232"/>
      <c r="HT232"/>
      <c r="HU232"/>
      <c r="HV232"/>
      <c r="HW232"/>
      <c r="HX232"/>
      <c r="HY232"/>
      <c r="HZ232"/>
      <c r="IA232"/>
      <c r="IB232"/>
      <c r="IC232"/>
      <c r="ID232"/>
      <c r="IE232"/>
      <c r="IF232"/>
      <c r="IG232"/>
      <c r="IH232"/>
      <c r="II232"/>
      <c r="IJ232"/>
      <c r="IK232"/>
      <c r="IL232"/>
      <c r="IM232"/>
      <c r="IN232"/>
      <c r="IO232"/>
      <c r="IP232"/>
      <c r="IQ232"/>
      <c r="IR232"/>
      <c r="IS232"/>
      <c r="IT232"/>
      <c r="IU232"/>
      <c r="IV232"/>
    </row>
    <row r="233" spans="1:256" s="1" customFormat="1"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f t="shared" si="328"/>
        <v>0</v>
      </c>
      <c r="BG233"/>
      <c r="BH233">
        <f t="shared" si="329"/>
        <v>0</v>
      </c>
      <c r="BI233">
        <f t="shared" si="330"/>
        <v>0</v>
      </c>
      <c r="BJ233">
        <f t="shared" si="331"/>
        <v>0</v>
      </c>
      <c r="BK233">
        <f t="shared" si="332"/>
        <v>0</v>
      </c>
      <c r="BL233">
        <f t="shared" si="333"/>
        <v>0</v>
      </c>
      <c r="BM233">
        <f t="shared" si="334"/>
        <v>0</v>
      </c>
      <c r="BN233">
        <f t="shared" si="335"/>
        <v>0</v>
      </c>
      <c r="BO233">
        <f t="shared" si="336"/>
        <v>0</v>
      </c>
      <c r="BP233">
        <f t="shared" si="337"/>
        <v>0</v>
      </c>
      <c r="BQ233">
        <f t="shared" si="338"/>
        <v>0</v>
      </c>
      <c r="BR233">
        <f t="shared" si="339"/>
        <v>0</v>
      </c>
      <c r="BS233">
        <f t="shared" si="340"/>
        <v>0</v>
      </c>
      <c r="BT233">
        <f t="shared" si="341"/>
        <v>0</v>
      </c>
      <c r="BU233">
        <f t="shared" si="342"/>
        <v>0</v>
      </c>
      <c r="BV233">
        <f t="shared" si="343"/>
        <v>0</v>
      </c>
      <c r="BW233">
        <f t="shared" si="344"/>
        <v>0</v>
      </c>
      <c r="BX233">
        <f t="shared" si="345"/>
        <v>0</v>
      </c>
      <c r="BY233">
        <f t="shared" si="346"/>
        <v>0</v>
      </c>
      <c r="BZ233">
        <f t="shared" si="347"/>
        <v>0</v>
      </c>
      <c r="CA233">
        <f t="shared" si="351"/>
        <v>0</v>
      </c>
      <c r="CB233">
        <f t="shared" si="350"/>
        <v>0</v>
      </c>
      <c r="CC233">
        <f t="shared" si="349"/>
        <v>0</v>
      </c>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c r="HB233"/>
      <c r="HC233"/>
      <c r="HD233"/>
      <c r="HE233"/>
      <c r="HF233"/>
      <c r="HG233"/>
      <c r="HH233"/>
      <c r="HI233"/>
      <c r="HJ233"/>
      <c r="HK233"/>
      <c r="HL233"/>
      <c r="HM233"/>
      <c r="HN233"/>
      <c r="HO233"/>
      <c r="HP233"/>
      <c r="HQ233"/>
      <c r="HR233"/>
      <c r="HS233"/>
      <c r="HT233"/>
      <c r="HU233"/>
      <c r="HV233"/>
      <c r="HW233"/>
      <c r="HX233"/>
      <c r="HY233"/>
      <c r="HZ233"/>
      <c r="IA233"/>
      <c r="IB233"/>
      <c r="IC233"/>
      <c r="ID233"/>
      <c r="IE233"/>
      <c r="IF233"/>
      <c r="IG233"/>
      <c r="IH233"/>
      <c r="II233"/>
      <c r="IJ233"/>
      <c r="IK233"/>
      <c r="IL233"/>
      <c r="IM233"/>
      <c r="IN233"/>
      <c r="IO233"/>
      <c r="IP233"/>
      <c r="IQ233"/>
      <c r="IR233"/>
      <c r="IS233"/>
      <c r="IT233"/>
      <c r="IU233"/>
      <c r="IV233"/>
    </row>
    <row r="234" spans="1:256" s="1" customFormat="1"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f t="shared" si="328"/>
        <v>0</v>
      </c>
      <c r="BG234"/>
      <c r="BH234">
        <f t="shared" si="329"/>
        <v>0</v>
      </c>
      <c r="BI234">
        <f t="shared" si="330"/>
        <v>0</v>
      </c>
      <c r="BJ234">
        <f t="shared" si="331"/>
        <v>0</v>
      </c>
      <c r="BK234">
        <f t="shared" si="332"/>
        <v>0</v>
      </c>
      <c r="BL234">
        <f t="shared" si="333"/>
        <v>0</v>
      </c>
      <c r="BM234">
        <f t="shared" si="334"/>
        <v>0</v>
      </c>
      <c r="BN234">
        <f t="shared" si="335"/>
        <v>0</v>
      </c>
      <c r="BO234">
        <f t="shared" si="336"/>
        <v>0</v>
      </c>
      <c r="BP234">
        <f t="shared" si="337"/>
        <v>0</v>
      </c>
      <c r="BQ234">
        <f t="shared" si="338"/>
        <v>0</v>
      </c>
      <c r="BR234">
        <f t="shared" si="339"/>
        <v>0</v>
      </c>
      <c r="BS234">
        <f t="shared" si="340"/>
        <v>0</v>
      </c>
      <c r="BT234">
        <f t="shared" si="341"/>
        <v>0</v>
      </c>
      <c r="BU234">
        <f t="shared" si="342"/>
        <v>0</v>
      </c>
      <c r="BV234">
        <f t="shared" si="343"/>
        <v>0</v>
      </c>
      <c r="BW234">
        <f t="shared" si="344"/>
        <v>0</v>
      </c>
      <c r="BX234">
        <f t="shared" si="345"/>
        <v>0</v>
      </c>
      <c r="BY234">
        <f t="shared" si="346"/>
        <v>0</v>
      </c>
      <c r="BZ234">
        <f t="shared" si="347"/>
        <v>0</v>
      </c>
      <c r="CA234">
        <f t="shared" si="351"/>
        <v>0</v>
      </c>
      <c r="CB234">
        <f t="shared" si="350"/>
        <v>0</v>
      </c>
      <c r="CC234">
        <f t="shared" si="349"/>
        <v>0</v>
      </c>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c r="HB234"/>
      <c r="HC234"/>
      <c r="HD234"/>
      <c r="HE234"/>
      <c r="HF234"/>
      <c r="HG234"/>
      <c r="HH234"/>
      <c r="HI234"/>
      <c r="HJ234"/>
      <c r="HK234"/>
      <c r="HL234"/>
      <c r="HM234"/>
      <c r="HN234"/>
      <c r="HO234"/>
      <c r="HP234"/>
      <c r="HQ234"/>
      <c r="HR234"/>
      <c r="HS234"/>
      <c r="HT234"/>
      <c r="HU234"/>
      <c r="HV234"/>
      <c r="HW234"/>
      <c r="HX234"/>
      <c r="HY234"/>
      <c r="HZ234"/>
      <c r="IA234"/>
      <c r="IB234"/>
      <c r="IC234"/>
      <c r="ID234"/>
      <c r="IE234"/>
      <c r="IF234"/>
      <c r="IG234"/>
      <c r="IH234"/>
      <c r="II234"/>
      <c r="IJ234"/>
      <c r="IK234"/>
      <c r="IL234"/>
      <c r="IM234"/>
      <c r="IN234"/>
      <c r="IO234"/>
      <c r="IP234"/>
      <c r="IQ234"/>
      <c r="IR234"/>
      <c r="IS234"/>
      <c r="IT234"/>
      <c r="IU234"/>
      <c r="IV234"/>
    </row>
    <row r="235" spans="1:256" s="1" customFormat="1"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f t="shared" si="328"/>
        <v>0</v>
      </c>
      <c r="BG235"/>
      <c r="BH235">
        <f t="shared" si="329"/>
        <v>0</v>
      </c>
      <c r="BI235">
        <f t="shared" si="330"/>
        <v>0</v>
      </c>
      <c r="BJ235">
        <f t="shared" si="331"/>
        <v>0</v>
      </c>
      <c r="BK235">
        <f t="shared" si="332"/>
        <v>0</v>
      </c>
      <c r="BL235">
        <f t="shared" si="333"/>
        <v>0</v>
      </c>
      <c r="BM235">
        <f t="shared" si="334"/>
        <v>0</v>
      </c>
      <c r="BN235">
        <f t="shared" si="335"/>
        <v>0</v>
      </c>
      <c r="BO235">
        <f t="shared" si="336"/>
        <v>0</v>
      </c>
      <c r="BP235">
        <f t="shared" si="337"/>
        <v>0</v>
      </c>
      <c r="BQ235">
        <f t="shared" si="338"/>
        <v>0</v>
      </c>
      <c r="BR235">
        <f t="shared" si="339"/>
        <v>0</v>
      </c>
      <c r="BS235">
        <f t="shared" si="340"/>
        <v>0</v>
      </c>
      <c r="BT235">
        <f t="shared" si="341"/>
        <v>0</v>
      </c>
      <c r="BU235">
        <f t="shared" si="342"/>
        <v>0</v>
      </c>
      <c r="BV235">
        <f t="shared" si="343"/>
        <v>0</v>
      </c>
      <c r="BW235">
        <f t="shared" si="344"/>
        <v>0</v>
      </c>
      <c r="BX235">
        <f t="shared" si="345"/>
        <v>0</v>
      </c>
      <c r="BY235">
        <f t="shared" si="346"/>
        <v>0</v>
      </c>
      <c r="BZ235">
        <f t="shared" si="347"/>
        <v>0</v>
      </c>
      <c r="CA235">
        <f t="shared" si="351"/>
        <v>0</v>
      </c>
      <c r="CB235">
        <f t="shared" si="350"/>
        <v>0</v>
      </c>
      <c r="CC235">
        <f t="shared" si="349"/>
        <v>0</v>
      </c>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c r="HB235"/>
      <c r="HC235"/>
      <c r="HD235"/>
      <c r="HE235"/>
      <c r="HF235"/>
      <c r="HG235"/>
      <c r="HH235"/>
      <c r="HI235"/>
      <c r="HJ235"/>
      <c r="HK235"/>
      <c r="HL235"/>
      <c r="HM235"/>
      <c r="HN235"/>
      <c r="HO235"/>
      <c r="HP235"/>
      <c r="HQ235"/>
      <c r="HR235"/>
      <c r="HS235"/>
      <c r="HT235"/>
      <c r="HU235"/>
      <c r="HV235"/>
      <c r="HW235"/>
      <c r="HX235"/>
      <c r="HY235"/>
      <c r="HZ235"/>
      <c r="IA235"/>
      <c r="IB235"/>
      <c r="IC235"/>
      <c r="ID235"/>
      <c r="IE235"/>
      <c r="IF235"/>
      <c r="IG235"/>
      <c r="IH235"/>
      <c r="II235"/>
      <c r="IJ235"/>
      <c r="IK235"/>
      <c r="IL235"/>
      <c r="IM235"/>
      <c r="IN235"/>
      <c r="IO235"/>
      <c r="IP235"/>
      <c r="IQ235"/>
      <c r="IR235"/>
      <c r="IS235"/>
      <c r="IT235"/>
      <c r="IU235"/>
      <c r="IV235"/>
    </row>
    <row r="236" spans="1:256" s="1" customFormat="1"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f t="shared" si="328"/>
        <v>0</v>
      </c>
      <c r="BG236"/>
      <c r="BH236">
        <f t="shared" si="329"/>
        <v>0</v>
      </c>
      <c r="BI236">
        <f t="shared" si="330"/>
        <v>0</v>
      </c>
      <c r="BJ236">
        <f t="shared" si="331"/>
        <v>0</v>
      </c>
      <c r="BK236">
        <f t="shared" si="332"/>
        <v>0</v>
      </c>
      <c r="BL236">
        <f t="shared" si="333"/>
        <v>0</v>
      </c>
      <c r="BM236">
        <f t="shared" si="334"/>
        <v>0</v>
      </c>
      <c r="BN236">
        <f t="shared" si="335"/>
        <v>0</v>
      </c>
      <c r="BO236">
        <f t="shared" si="336"/>
        <v>0</v>
      </c>
      <c r="BP236">
        <f t="shared" si="337"/>
        <v>0</v>
      </c>
      <c r="BQ236">
        <f t="shared" si="338"/>
        <v>0</v>
      </c>
      <c r="BR236">
        <f t="shared" si="339"/>
        <v>0</v>
      </c>
      <c r="BS236">
        <f t="shared" si="340"/>
        <v>0</v>
      </c>
      <c r="BT236">
        <f t="shared" si="341"/>
        <v>0</v>
      </c>
      <c r="BU236">
        <f t="shared" si="342"/>
        <v>0</v>
      </c>
      <c r="BV236">
        <f t="shared" si="343"/>
        <v>0</v>
      </c>
      <c r="BW236">
        <f t="shared" si="344"/>
        <v>0</v>
      </c>
      <c r="BX236">
        <f t="shared" si="345"/>
        <v>0</v>
      </c>
      <c r="BY236">
        <f t="shared" si="346"/>
        <v>0</v>
      </c>
      <c r="BZ236">
        <f t="shared" si="347"/>
        <v>0</v>
      </c>
      <c r="CA236">
        <f t="shared" si="351"/>
        <v>0</v>
      </c>
      <c r="CB236">
        <f t="shared" si="350"/>
        <v>0</v>
      </c>
      <c r="CC236">
        <f t="shared" si="349"/>
        <v>0</v>
      </c>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c r="HB236"/>
      <c r="HC236"/>
      <c r="HD236"/>
      <c r="HE236"/>
      <c r="HF236"/>
      <c r="HG236"/>
      <c r="HH236"/>
      <c r="HI236"/>
      <c r="HJ236"/>
      <c r="HK236"/>
      <c r="HL236"/>
      <c r="HM236"/>
      <c r="HN236"/>
      <c r="HO236"/>
      <c r="HP236"/>
      <c r="HQ236"/>
      <c r="HR236"/>
      <c r="HS236"/>
      <c r="HT236"/>
      <c r="HU236"/>
      <c r="HV236"/>
      <c r="HW236"/>
      <c r="HX236"/>
      <c r="HY236"/>
      <c r="HZ236"/>
      <c r="IA236"/>
      <c r="IB236"/>
      <c r="IC236"/>
      <c r="ID236"/>
      <c r="IE236"/>
      <c r="IF236"/>
      <c r="IG236"/>
      <c r="IH236"/>
      <c r="II236"/>
      <c r="IJ236"/>
      <c r="IK236"/>
      <c r="IL236"/>
      <c r="IM236"/>
      <c r="IN236"/>
      <c r="IO236"/>
      <c r="IP236"/>
      <c r="IQ236"/>
      <c r="IR236"/>
      <c r="IS236"/>
      <c r="IT236"/>
      <c r="IU236"/>
      <c r="IV236"/>
    </row>
    <row r="237" spans="1:256" s="1" customFormat="1"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f t="shared" si="328"/>
        <v>0</v>
      </c>
      <c r="BG237"/>
      <c r="BH237">
        <f t="shared" si="329"/>
        <v>0</v>
      </c>
      <c r="BI237">
        <f t="shared" si="330"/>
        <v>0</v>
      </c>
      <c r="BJ237">
        <f t="shared" si="331"/>
        <v>0</v>
      </c>
      <c r="BK237">
        <f t="shared" si="332"/>
        <v>0</v>
      </c>
      <c r="BL237">
        <f t="shared" si="333"/>
        <v>0</v>
      </c>
      <c r="BM237">
        <f t="shared" si="334"/>
        <v>0</v>
      </c>
      <c r="BN237">
        <f t="shared" si="335"/>
        <v>0</v>
      </c>
      <c r="BO237">
        <f t="shared" si="336"/>
        <v>0</v>
      </c>
      <c r="BP237">
        <f t="shared" si="337"/>
        <v>0</v>
      </c>
      <c r="BQ237">
        <f t="shared" si="338"/>
        <v>0</v>
      </c>
      <c r="BR237">
        <f t="shared" si="339"/>
        <v>0</v>
      </c>
      <c r="BS237">
        <f t="shared" si="340"/>
        <v>0</v>
      </c>
      <c r="BT237">
        <f t="shared" si="341"/>
        <v>0</v>
      </c>
      <c r="BU237">
        <f t="shared" si="342"/>
        <v>0</v>
      </c>
      <c r="BV237">
        <f t="shared" si="343"/>
        <v>0</v>
      </c>
      <c r="BW237">
        <f t="shared" si="344"/>
        <v>0</v>
      </c>
      <c r="BX237">
        <f t="shared" si="345"/>
        <v>0</v>
      </c>
      <c r="BY237">
        <f t="shared" si="346"/>
        <v>0</v>
      </c>
      <c r="BZ237">
        <f t="shared" si="347"/>
        <v>0</v>
      </c>
      <c r="CA237">
        <f t="shared" si="351"/>
        <v>0</v>
      </c>
      <c r="CB237">
        <f t="shared" si="350"/>
        <v>0</v>
      </c>
      <c r="CC237">
        <f t="shared" si="349"/>
        <v>0</v>
      </c>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c r="HB237"/>
      <c r="HC237"/>
      <c r="HD237"/>
      <c r="HE237"/>
      <c r="HF237"/>
      <c r="HG237"/>
      <c r="HH237"/>
      <c r="HI237"/>
      <c r="HJ237"/>
      <c r="HK237"/>
      <c r="HL237"/>
      <c r="HM237"/>
      <c r="HN237"/>
      <c r="HO237"/>
      <c r="HP237"/>
      <c r="HQ237"/>
      <c r="HR237"/>
      <c r="HS237"/>
      <c r="HT237"/>
      <c r="HU237"/>
      <c r="HV237"/>
      <c r="HW237"/>
      <c r="HX237"/>
      <c r="HY237"/>
      <c r="HZ237"/>
      <c r="IA237"/>
      <c r="IB237"/>
      <c r="IC237"/>
      <c r="ID237"/>
      <c r="IE237"/>
      <c r="IF237"/>
      <c r="IG237"/>
      <c r="IH237"/>
      <c r="II237"/>
      <c r="IJ237"/>
      <c r="IK237"/>
      <c r="IL237"/>
      <c r="IM237"/>
      <c r="IN237"/>
      <c r="IO237"/>
      <c r="IP237"/>
      <c r="IQ237"/>
      <c r="IR237"/>
      <c r="IS237"/>
      <c r="IT237"/>
      <c r="IU237"/>
      <c r="IV237"/>
    </row>
    <row r="238" spans="1:256" s="1" customFormat="1"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f t="shared" si="328"/>
        <v>0</v>
      </c>
      <c r="BG238"/>
      <c r="BH238">
        <f t="shared" si="329"/>
        <v>0</v>
      </c>
      <c r="BI238">
        <f t="shared" si="330"/>
        <v>0</v>
      </c>
      <c r="BJ238">
        <f t="shared" si="331"/>
        <v>0</v>
      </c>
      <c r="BK238">
        <f t="shared" si="332"/>
        <v>0</v>
      </c>
      <c r="BL238">
        <f t="shared" si="333"/>
        <v>0</v>
      </c>
      <c r="BM238">
        <f t="shared" si="334"/>
        <v>0</v>
      </c>
      <c r="BN238">
        <f t="shared" si="335"/>
        <v>0</v>
      </c>
      <c r="BO238">
        <f t="shared" si="336"/>
        <v>0</v>
      </c>
      <c r="BP238">
        <f t="shared" si="337"/>
        <v>0</v>
      </c>
      <c r="BQ238">
        <f t="shared" si="338"/>
        <v>0</v>
      </c>
      <c r="BR238">
        <f t="shared" si="339"/>
        <v>0</v>
      </c>
      <c r="BS238">
        <f t="shared" si="340"/>
        <v>0</v>
      </c>
      <c r="BT238">
        <f t="shared" si="341"/>
        <v>0</v>
      </c>
      <c r="BU238">
        <f t="shared" si="342"/>
        <v>0</v>
      </c>
      <c r="BV238">
        <f t="shared" si="343"/>
        <v>0</v>
      </c>
      <c r="BW238">
        <f t="shared" si="344"/>
        <v>0</v>
      </c>
      <c r="BX238">
        <f t="shared" si="345"/>
        <v>0</v>
      </c>
      <c r="BY238">
        <f t="shared" si="346"/>
        <v>0</v>
      </c>
      <c r="BZ238">
        <f t="shared" si="347"/>
        <v>0</v>
      </c>
      <c r="CA238">
        <f t="shared" si="351"/>
        <v>0</v>
      </c>
      <c r="CB238">
        <f t="shared" si="350"/>
        <v>0</v>
      </c>
      <c r="CC238">
        <f t="shared" si="349"/>
        <v>0</v>
      </c>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c r="HB238"/>
      <c r="HC238"/>
      <c r="HD238"/>
      <c r="HE238"/>
      <c r="HF238"/>
      <c r="HG238"/>
      <c r="HH238"/>
      <c r="HI238"/>
      <c r="HJ238"/>
      <c r="HK238"/>
      <c r="HL238"/>
      <c r="HM238"/>
      <c r="HN238"/>
      <c r="HO238"/>
      <c r="HP238"/>
      <c r="HQ238"/>
      <c r="HR238"/>
      <c r="HS238"/>
      <c r="HT238"/>
      <c r="HU238"/>
      <c r="HV238"/>
      <c r="HW238"/>
      <c r="HX238"/>
      <c r="HY238"/>
      <c r="HZ238"/>
      <c r="IA238"/>
      <c r="IB238"/>
      <c r="IC238"/>
      <c r="ID238"/>
      <c r="IE238"/>
      <c r="IF238"/>
      <c r="IG238"/>
      <c r="IH238"/>
      <c r="II238"/>
      <c r="IJ238"/>
      <c r="IK238"/>
      <c r="IL238"/>
      <c r="IM238"/>
      <c r="IN238"/>
      <c r="IO238"/>
      <c r="IP238"/>
      <c r="IQ238"/>
      <c r="IR238"/>
      <c r="IS238"/>
      <c r="IT238"/>
      <c r="IU238"/>
      <c r="IV238"/>
    </row>
    <row r="239" spans="1:256" s="1" customFormat="1"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f t="shared" si="328"/>
        <v>0</v>
      </c>
      <c r="BG239"/>
      <c r="BH239">
        <f t="shared" si="329"/>
        <v>0</v>
      </c>
      <c r="BI239">
        <f t="shared" si="330"/>
        <v>0</v>
      </c>
      <c r="BJ239">
        <f t="shared" si="331"/>
        <v>0</v>
      </c>
      <c r="BK239">
        <f t="shared" si="332"/>
        <v>0</v>
      </c>
      <c r="BL239">
        <f t="shared" si="333"/>
        <v>0</v>
      </c>
      <c r="BM239">
        <f t="shared" si="334"/>
        <v>0</v>
      </c>
      <c r="BN239">
        <f t="shared" si="335"/>
        <v>0</v>
      </c>
      <c r="BO239">
        <f t="shared" si="336"/>
        <v>0</v>
      </c>
      <c r="BP239">
        <f t="shared" si="337"/>
        <v>0</v>
      </c>
      <c r="BQ239">
        <f t="shared" si="338"/>
        <v>0</v>
      </c>
      <c r="BR239">
        <f t="shared" si="339"/>
        <v>0</v>
      </c>
      <c r="BS239">
        <f t="shared" si="340"/>
        <v>0</v>
      </c>
      <c r="BT239">
        <f t="shared" si="341"/>
        <v>0</v>
      </c>
      <c r="BU239">
        <f t="shared" si="342"/>
        <v>0</v>
      </c>
      <c r="BV239">
        <f t="shared" si="343"/>
        <v>0</v>
      </c>
      <c r="BW239">
        <f t="shared" si="344"/>
        <v>0</v>
      </c>
      <c r="BX239">
        <f t="shared" si="345"/>
        <v>0</v>
      </c>
      <c r="BY239">
        <f t="shared" si="346"/>
        <v>0</v>
      </c>
      <c r="BZ239">
        <f t="shared" si="347"/>
        <v>0</v>
      </c>
      <c r="CA239">
        <f t="shared" si="351"/>
        <v>0</v>
      </c>
      <c r="CB239">
        <f t="shared" si="350"/>
        <v>0</v>
      </c>
      <c r="CC239">
        <f t="shared" si="349"/>
        <v>0</v>
      </c>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c r="IU239"/>
      <c r="IV239"/>
    </row>
    <row r="240" spans="1:256" s="1" customFormat="1"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f t="shared" si="328"/>
        <v>0</v>
      </c>
      <c r="BG240"/>
      <c r="BH240">
        <f t="shared" si="329"/>
        <v>0</v>
      </c>
      <c r="BI240">
        <f t="shared" si="330"/>
        <v>0</v>
      </c>
      <c r="BJ240">
        <f t="shared" si="331"/>
        <v>0</v>
      </c>
      <c r="BK240">
        <f t="shared" si="332"/>
        <v>0</v>
      </c>
      <c r="BL240">
        <f t="shared" si="333"/>
        <v>0</v>
      </c>
      <c r="BM240">
        <f t="shared" si="334"/>
        <v>0</v>
      </c>
      <c r="BN240">
        <f t="shared" si="335"/>
        <v>0</v>
      </c>
      <c r="BO240">
        <f t="shared" si="336"/>
        <v>0</v>
      </c>
      <c r="BP240">
        <f t="shared" si="337"/>
        <v>0</v>
      </c>
      <c r="BQ240">
        <f t="shared" si="338"/>
        <v>0</v>
      </c>
      <c r="BR240">
        <f t="shared" si="339"/>
        <v>0</v>
      </c>
      <c r="BS240">
        <f t="shared" si="340"/>
        <v>0</v>
      </c>
      <c r="BT240">
        <f t="shared" si="341"/>
        <v>0</v>
      </c>
      <c r="BU240">
        <f t="shared" si="342"/>
        <v>0</v>
      </c>
      <c r="BV240">
        <f t="shared" si="343"/>
        <v>0</v>
      </c>
      <c r="BW240">
        <f t="shared" si="344"/>
        <v>0</v>
      </c>
      <c r="BX240">
        <f t="shared" si="345"/>
        <v>0</v>
      </c>
      <c r="BY240">
        <f t="shared" si="346"/>
        <v>0</v>
      </c>
      <c r="BZ240">
        <f t="shared" si="347"/>
        <v>0</v>
      </c>
      <c r="CA240">
        <f t="shared" si="351"/>
        <v>0</v>
      </c>
      <c r="CB240">
        <f t="shared" si="350"/>
        <v>0</v>
      </c>
      <c r="CC240">
        <f t="shared" si="349"/>
        <v>0</v>
      </c>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c r="IU240"/>
      <c r="IV240"/>
    </row>
    <row r="241" spans="1:256" s="1" customFormat="1"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f t="shared" si="328"/>
        <v>0</v>
      </c>
      <c r="BG241"/>
      <c r="BH241">
        <f t="shared" si="329"/>
        <v>0</v>
      </c>
      <c r="BI241">
        <f t="shared" si="330"/>
        <v>0</v>
      </c>
      <c r="BJ241">
        <f t="shared" si="331"/>
        <v>0</v>
      </c>
      <c r="BK241">
        <f t="shared" si="332"/>
        <v>0</v>
      </c>
      <c r="BL241">
        <f t="shared" si="333"/>
        <v>0</v>
      </c>
      <c r="BM241">
        <f t="shared" si="334"/>
        <v>0</v>
      </c>
      <c r="BN241">
        <f t="shared" si="335"/>
        <v>0</v>
      </c>
      <c r="BO241">
        <f t="shared" si="336"/>
        <v>0</v>
      </c>
      <c r="BP241">
        <f t="shared" si="337"/>
        <v>0</v>
      </c>
      <c r="BQ241">
        <f t="shared" si="338"/>
        <v>0</v>
      </c>
      <c r="BR241">
        <f t="shared" si="339"/>
        <v>0</v>
      </c>
      <c r="BS241">
        <f t="shared" si="340"/>
        <v>0</v>
      </c>
      <c r="BT241">
        <f t="shared" si="341"/>
        <v>0</v>
      </c>
      <c r="BU241">
        <f t="shared" si="342"/>
        <v>0</v>
      </c>
      <c r="BV241">
        <f t="shared" si="343"/>
        <v>0</v>
      </c>
      <c r="BW241">
        <f t="shared" si="344"/>
        <v>0</v>
      </c>
      <c r="BX241">
        <f t="shared" si="345"/>
        <v>0</v>
      </c>
      <c r="BY241">
        <f t="shared" si="346"/>
        <v>0</v>
      </c>
      <c r="BZ241">
        <f t="shared" si="347"/>
        <v>0</v>
      </c>
      <c r="CA241">
        <f t="shared" si="351"/>
        <v>0</v>
      </c>
      <c r="CB241">
        <f t="shared" si="350"/>
        <v>0</v>
      </c>
      <c r="CC241">
        <f t="shared" si="349"/>
        <v>0</v>
      </c>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c r="HB241"/>
      <c r="HC241"/>
      <c r="HD241"/>
      <c r="HE241"/>
      <c r="HF241"/>
      <c r="HG241"/>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c r="IU241"/>
      <c r="IV241"/>
    </row>
    <row r="242" spans="1:256" s="1" customFormat="1"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f t="shared" si="328"/>
        <v>0</v>
      </c>
      <c r="BG242"/>
      <c r="BH242">
        <f t="shared" si="329"/>
        <v>0</v>
      </c>
      <c r="BI242">
        <f t="shared" si="330"/>
        <v>0</v>
      </c>
      <c r="BJ242">
        <f t="shared" si="331"/>
        <v>0</v>
      </c>
      <c r="BK242">
        <f t="shared" si="332"/>
        <v>0</v>
      </c>
      <c r="BL242">
        <f t="shared" si="333"/>
        <v>0</v>
      </c>
      <c r="BM242">
        <f t="shared" si="334"/>
        <v>0</v>
      </c>
      <c r="BN242">
        <f t="shared" si="335"/>
        <v>0</v>
      </c>
      <c r="BO242">
        <f t="shared" si="336"/>
        <v>0</v>
      </c>
      <c r="BP242">
        <f t="shared" si="337"/>
        <v>0</v>
      </c>
      <c r="BQ242">
        <f t="shared" si="338"/>
        <v>0</v>
      </c>
      <c r="BR242">
        <f t="shared" si="339"/>
        <v>0</v>
      </c>
      <c r="BS242">
        <f t="shared" si="340"/>
        <v>0</v>
      </c>
      <c r="BT242">
        <f t="shared" si="341"/>
        <v>0</v>
      </c>
      <c r="BU242">
        <f t="shared" si="342"/>
        <v>0</v>
      </c>
      <c r="BV242">
        <f t="shared" si="343"/>
        <v>0</v>
      </c>
      <c r="BW242">
        <f t="shared" si="344"/>
        <v>0</v>
      </c>
      <c r="BX242">
        <f t="shared" si="345"/>
        <v>0</v>
      </c>
      <c r="BY242">
        <f t="shared" si="346"/>
        <v>0</v>
      </c>
      <c r="BZ242">
        <f t="shared" si="347"/>
        <v>0</v>
      </c>
      <c r="CA242">
        <f t="shared" si="351"/>
        <v>0</v>
      </c>
      <c r="CB242">
        <f t="shared" si="350"/>
        <v>0</v>
      </c>
      <c r="CC242">
        <f t="shared" si="349"/>
        <v>0</v>
      </c>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c r="HB242"/>
      <c r="HC242"/>
      <c r="HD242"/>
      <c r="HE242"/>
      <c r="HF242"/>
      <c r="HG242"/>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c r="IU242"/>
      <c r="IV242"/>
    </row>
    <row r="243" spans="1:256" s="1" customFormat="1"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t="e">
        <f>IF(BG243=1,IF(P5=CK61,"Kein Zylinder L",),
IF(CC243-BG243=1,IF(P5=CL61,"Kein Zylinder R",),))</f>
        <v>#VALUE!</v>
      </c>
      <c r="BE243"/>
      <c r="BF243" t="s">
        <v>13</v>
      </c>
      <c r="BG243" t="str">
        <f>IF(BG120="","",
IF(BG120="r",1,""))</f>
        <v/>
      </c>
      <c r="BH243" t="str">
        <f>IF(BG120="","",
IF(BG120="l",IF(BH120="",1,""),))</f>
        <v/>
      </c>
      <c r="BI243" t="str">
        <f t="shared" ref="BI243:CB243" si="352">IF(BH120="","",
IF(BH120="l",IF(BI120="",1,""),))</f>
        <v/>
      </c>
      <c r="BJ243" t="str">
        <f t="shared" si="352"/>
        <v/>
      </c>
      <c r="BK243" t="str">
        <f t="shared" si="352"/>
        <v/>
      </c>
      <c r="BL243" t="str">
        <f t="shared" si="352"/>
        <v/>
      </c>
      <c r="BM243" t="str">
        <f t="shared" si="352"/>
        <v/>
      </c>
      <c r="BN243" t="str">
        <f t="shared" si="352"/>
        <v/>
      </c>
      <c r="BO243" t="str">
        <f t="shared" si="352"/>
        <v/>
      </c>
      <c r="BP243" t="str">
        <f t="shared" si="352"/>
        <v/>
      </c>
      <c r="BQ243" t="str">
        <f t="shared" si="352"/>
        <v/>
      </c>
      <c r="BR243" t="str">
        <f t="shared" si="352"/>
        <v/>
      </c>
      <c r="BS243" t="str">
        <f t="shared" si="352"/>
        <v/>
      </c>
      <c r="BT243" t="str">
        <f t="shared" si="352"/>
        <v/>
      </c>
      <c r="BU243" t="str">
        <f t="shared" si="352"/>
        <v/>
      </c>
      <c r="BV243" t="str">
        <f t="shared" si="352"/>
        <v/>
      </c>
      <c r="BW243" t="str">
        <f t="shared" si="352"/>
        <v/>
      </c>
      <c r="BX243" t="str">
        <f t="shared" si="352"/>
        <v/>
      </c>
      <c r="BY243" t="str">
        <f t="shared" si="352"/>
        <v/>
      </c>
      <c r="BZ243" t="str">
        <f t="shared" si="352"/>
        <v/>
      </c>
      <c r="CA243" t="str">
        <f t="shared" si="352"/>
        <v/>
      </c>
      <c r="CB243" t="str">
        <f t="shared" si="352"/>
        <v/>
      </c>
      <c r="CC243">
        <f>SUM(BG243:CB243)</f>
        <v>0</v>
      </c>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c r="IU243"/>
      <c r="IV243"/>
    </row>
    <row r="244" spans="1:256" s="1" customFormat="1"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f>Q149</f>
        <v>0</v>
      </c>
      <c r="BG244" t="str">
        <f>IF(BG121="","",
IF(BG121="r",1,""))</f>
        <v/>
      </c>
      <c r="BH244" t="str">
        <f t="shared" ref="BH244:CB244" si="353">IF(BG121="","",
IF(BG121="l",IF(BH121="",1,""),))</f>
        <v/>
      </c>
      <c r="BI244" t="str">
        <f t="shared" si="353"/>
        <v/>
      </c>
      <c r="BJ244" t="str">
        <f t="shared" si="353"/>
        <v/>
      </c>
      <c r="BK244" t="str">
        <f t="shared" si="353"/>
        <v/>
      </c>
      <c r="BL244" t="str">
        <f t="shared" si="353"/>
        <v/>
      </c>
      <c r="BM244" t="str">
        <f t="shared" si="353"/>
        <v/>
      </c>
      <c r="BN244" t="str">
        <f t="shared" si="353"/>
        <v/>
      </c>
      <c r="BO244" t="str">
        <f t="shared" si="353"/>
        <v/>
      </c>
      <c r="BP244" t="str">
        <f t="shared" si="353"/>
        <v/>
      </c>
      <c r="BQ244" t="str">
        <f t="shared" si="353"/>
        <v/>
      </c>
      <c r="BR244" t="str">
        <f t="shared" si="353"/>
        <v/>
      </c>
      <c r="BS244" t="str">
        <f t="shared" si="353"/>
        <v/>
      </c>
      <c r="BT244" t="str">
        <f t="shared" si="353"/>
        <v/>
      </c>
      <c r="BU244" t="str">
        <f t="shared" si="353"/>
        <v/>
      </c>
      <c r="BV244" t="str">
        <f t="shared" si="353"/>
        <v/>
      </c>
      <c r="BW244" t="str">
        <f t="shared" si="353"/>
        <v/>
      </c>
      <c r="BX244" t="str">
        <f t="shared" si="353"/>
        <v/>
      </c>
      <c r="BY244" t="str">
        <f t="shared" si="353"/>
        <v/>
      </c>
      <c r="BZ244" t="str">
        <f t="shared" si="353"/>
        <v/>
      </c>
      <c r="CA244" t="str">
        <f t="shared" si="353"/>
        <v/>
      </c>
      <c r="CB244" t="str">
        <f t="shared" si="353"/>
        <v/>
      </c>
      <c r="CC244">
        <f>SUM(BG244:CB244)</f>
        <v>0</v>
      </c>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c r="HB244"/>
      <c r="HC244"/>
      <c r="HD244"/>
      <c r="HE244"/>
      <c r="HF244"/>
      <c r="HG244"/>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c r="IU244"/>
      <c r="IV244"/>
    </row>
    <row r="245" spans="1:256" s="1" customFormat="1"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f>Q150</f>
        <v>0</v>
      </c>
      <c r="BG245" t="str">
        <f>IF(BG122="","",
IF(BG122="r",1,""))</f>
        <v/>
      </c>
      <c r="BH245" t="str">
        <f t="shared" ref="BH245:CB245" si="354">IF(BG122="","",
IF(BG122="l",IF(BH122="",1,""),))</f>
        <v/>
      </c>
      <c r="BI245" t="str">
        <f t="shared" si="354"/>
        <v/>
      </c>
      <c r="BJ245" t="str">
        <f t="shared" si="354"/>
        <v/>
      </c>
      <c r="BK245" t="str">
        <f t="shared" si="354"/>
        <v/>
      </c>
      <c r="BL245" t="str">
        <f t="shared" si="354"/>
        <v/>
      </c>
      <c r="BM245" t="str">
        <f t="shared" si="354"/>
        <v/>
      </c>
      <c r="BN245" t="str">
        <f t="shared" si="354"/>
        <v/>
      </c>
      <c r="BO245" t="str">
        <f t="shared" si="354"/>
        <v/>
      </c>
      <c r="BP245" t="str">
        <f t="shared" si="354"/>
        <v/>
      </c>
      <c r="BQ245" t="str">
        <f t="shared" si="354"/>
        <v/>
      </c>
      <c r="BR245" t="str">
        <f t="shared" si="354"/>
        <v/>
      </c>
      <c r="BS245" t="str">
        <f t="shared" si="354"/>
        <v/>
      </c>
      <c r="BT245" t="str">
        <f t="shared" si="354"/>
        <v/>
      </c>
      <c r="BU245" t="str">
        <f t="shared" si="354"/>
        <v/>
      </c>
      <c r="BV245" t="str">
        <f t="shared" si="354"/>
        <v/>
      </c>
      <c r="BW245" t="str">
        <f t="shared" si="354"/>
        <v/>
      </c>
      <c r="BX245" t="str">
        <f t="shared" si="354"/>
        <v/>
      </c>
      <c r="BY245" t="str">
        <f t="shared" si="354"/>
        <v/>
      </c>
      <c r="BZ245" t="str">
        <f t="shared" si="354"/>
        <v/>
      </c>
      <c r="CA245" t="str">
        <f t="shared" si="354"/>
        <v/>
      </c>
      <c r="CB245" t="str">
        <f t="shared" si="354"/>
        <v/>
      </c>
      <c r="CC245">
        <f>SUM(BG245:CB245)</f>
        <v>0</v>
      </c>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c r="HB245"/>
      <c r="HC245"/>
      <c r="HD245"/>
      <c r="HE245"/>
      <c r="HF245"/>
      <c r="HG245"/>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c r="IU245"/>
      <c r="IV245"/>
    </row>
    <row r="246" spans="1:256" s="1" customFormat="1"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f t="shared" ref="BF246:BF283" si="355">Q151</f>
        <v>0</v>
      </c>
      <c r="BG246" t="str">
        <f t="shared" ref="BG246:BG283" si="356">IF(BG123="","",
IF(BG123="r",1,""))</f>
        <v/>
      </c>
      <c r="BH246" t="str">
        <f t="shared" ref="BH246:BH283" si="357">IF(BG123="","",
IF(BG123="l",IF(BH123="",1,""),))</f>
        <v/>
      </c>
      <c r="BI246" t="str">
        <f t="shared" ref="BI246:BI283" si="358">IF(BH123="","",
IF(BH123="l",IF(BI123="",1,""),))</f>
        <v/>
      </c>
      <c r="BJ246" t="str">
        <f t="shared" ref="BJ246:BJ283" si="359">IF(BI123="","",
IF(BI123="l",IF(BJ123="",1,""),))</f>
        <v/>
      </c>
      <c r="BK246" t="str">
        <f t="shared" ref="BK246:BK283" si="360">IF(BJ123="","",
IF(BJ123="l",IF(BK123="",1,""),))</f>
        <v/>
      </c>
      <c r="BL246" t="str">
        <f t="shared" ref="BL246:BL283" si="361">IF(BK123="","",
IF(BK123="l",IF(BL123="",1,""),))</f>
        <v/>
      </c>
      <c r="BM246" t="str">
        <f t="shared" ref="BM246:BM283" si="362">IF(BL123="","",
IF(BL123="l",IF(BM123="",1,""),))</f>
        <v/>
      </c>
      <c r="BN246" t="str">
        <f t="shared" ref="BN246:BN283" si="363">IF(BM123="","",
IF(BM123="l",IF(BN123="",1,""),))</f>
        <v/>
      </c>
      <c r="BO246" t="str">
        <f t="shared" ref="BO246:BO283" si="364">IF(BN123="","",
IF(BN123="l",IF(BO123="",1,""),))</f>
        <v/>
      </c>
      <c r="BP246" t="str">
        <f t="shared" ref="BP246:BP283" si="365">IF(BO123="","",
IF(BO123="l",IF(BP123="",1,""),))</f>
        <v/>
      </c>
      <c r="BQ246" t="str">
        <f t="shared" ref="BQ246:BQ283" si="366">IF(BP123="","",
IF(BP123="l",IF(BQ123="",1,""),))</f>
        <v/>
      </c>
      <c r="BR246" t="str">
        <f t="shared" ref="BR246:BR283" si="367">IF(BQ123="","",
IF(BQ123="l",IF(BR123="",1,""),))</f>
        <v/>
      </c>
      <c r="BS246" t="str">
        <f t="shared" ref="BS246:BS283" si="368">IF(BR123="","",
IF(BR123="l",IF(BS123="",1,""),))</f>
        <v/>
      </c>
      <c r="BT246" t="str">
        <f t="shared" ref="BT246:BT283" si="369">IF(BS123="","",
IF(BS123="l",IF(BT123="",1,""),))</f>
        <v/>
      </c>
      <c r="BU246" t="str">
        <f t="shared" ref="BU246:BU283" si="370">IF(BT123="","",
IF(BT123="l",IF(BU123="",1,""),))</f>
        <v/>
      </c>
      <c r="BV246" t="str">
        <f t="shared" ref="BV246:BV283" si="371">IF(BU123="","",
IF(BU123="l",IF(BV123="",1,""),))</f>
        <v/>
      </c>
      <c r="BW246" t="str">
        <f t="shared" ref="BW246:BW283" si="372">IF(BV123="","",
IF(BV123="l",IF(BW123="",1,""),))</f>
        <v/>
      </c>
      <c r="BX246" t="str">
        <f t="shared" ref="BX246:BX283" si="373">IF(BW123="","",
IF(BW123="l",IF(BX123="",1,""),))</f>
        <v/>
      </c>
      <c r="BY246" t="str">
        <f t="shared" ref="BY246:BY283" si="374">IF(BX123="","",
IF(BX123="l",IF(BY123="",1,""),))</f>
        <v/>
      </c>
      <c r="BZ246" t="str">
        <f t="shared" ref="BZ246:BZ283" si="375">IF(BY123="","",
IF(BY123="l",IF(BZ123="",1,""),))</f>
        <v/>
      </c>
      <c r="CA246" t="str">
        <f t="shared" ref="CA246:CA283" si="376">IF(BZ123="","",
IF(BZ123="l",IF(CA123="",1,""),))</f>
        <v/>
      </c>
      <c r="CB246" t="str">
        <f t="shared" ref="CB246:CB283" si="377">IF(CA123="","",
IF(CA123="l",IF(CB123="",1,""),))</f>
        <v/>
      </c>
      <c r="CC246">
        <f t="shared" ref="CC246:CC283" si="378">SUM(BG246:CB246)</f>
        <v>0</v>
      </c>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c r="HB246"/>
      <c r="HC246"/>
      <c r="HD246"/>
      <c r="HE246"/>
      <c r="HF246"/>
      <c r="HG246"/>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c r="IU246"/>
      <c r="IV246"/>
    </row>
    <row r="247" spans="1:256" s="1" customFormat="1"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f t="shared" si="355"/>
        <v>0</v>
      </c>
      <c r="BG247" t="str">
        <f t="shared" si="356"/>
        <v/>
      </c>
      <c r="BH247" t="str">
        <f t="shared" si="357"/>
        <v/>
      </c>
      <c r="BI247" t="str">
        <f t="shared" si="358"/>
        <v/>
      </c>
      <c r="BJ247" t="str">
        <f t="shared" si="359"/>
        <v/>
      </c>
      <c r="BK247" t="str">
        <f t="shared" si="360"/>
        <v/>
      </c>
      <c r="BL247" t="str">
        <f t="shared" si="361"/>
        <v/>
      </c>
      <c r="BM247" t="str">
        <f t="shared" si="362"/>
        <v/>
      </c>
      <c r="BN247" t="str">
        <f t="shared" si="363"/>
        <v/>
      </c>
      <c r="BO247" t="str">
        <f t="shared" si="364"/>
        <v/>
      </c>
      <c r="BP247" t="str">
        <f t="shared" si="365"/>
        <v/>
      </c>
      <c r="BQ247" t="str">
        <f t="shared" si="366"/>
        <v/>
      </c>
      <c r="BR247" t="str">
        <f t="shared" si="367"/>
        <v/>
      </c>
      <c r="BS247" t="str">
        <f t="shared" si="368"/>
        <v/>
      </c>
      <c r="BT247" t="str">
        <f t="shared" si="369"/>
        <v/>
      </c>
      <c r="BU247" t="str">
        <f t="shared" si="370"/>
        <v/>
      </c>
      <c r="BV247" t="str">
        <f t="shared" si="371"/>
        <v/>
      </c>
      <c r="BW247" t="str">
        <f t="shared" si="372"/>
        <v/>
      </c>
      <c r="BX247" t="str">
        <f t="shared" si="373"/>
        <v/>
      </c>
      <c r="BY247" t="str">
        <f t="shared" si="374"/>
        <v/>
      </c>
      <c r="BZ247" t="str">
        <f t="shared" si="375"/>
        <v/>
      </c>
      <c r="CA247" t="str">
        <f t="shared" si="376"/>
        <v/>
      </c>
      <c r="CB247" t="str">
        <f t="shared" si="377"/>
        <v/>
      </c>
      <c r="CC247">
        <f t="shared" si="378"/>
        <v>0</v>
      </c>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c r="HB247"/>
      <c r="HC247"/>
      <c r="HD247"/>
      <c r="HE247"/>
      <c r="HF247"/>
      <c r="HG247"/>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c r="IU247"/>
      <c r="IV247"/>
    </row>
    <row r="248" spans="1:256" s="1" customFormat="1"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f t="shared" si="355"/>
        <v>0</v>
      </c>
      <c r="BG248" t="str">
        <f t="shared" si="356"/>
        <v/>
      </c>
      <c r="BH248" t="str">
        <f t="shared" si="357"/>
        <v/>
      </c>
      <c r="BI248" t="str">
        <f t="shared" si="358"/>
        <v/>
      </c>
      <c r="BJ248" t="str">
        <f t="shared" si="359"/>
        <v/>
      </c>
      <c r="BK248" t="str">
        <f t="shared" si="360"/>
        <v/>
      </c>
      <c r="BL248" t="str">
        <f t="shared" si="361"/>
        <v/>
      </c>
      <c r="BM248" t="str">
        <f t="shared" si="362"/>
        <v/>
      </c>
      <c r="BN248" t="str">
        <f t="shared" si="363"/>
        <v/>
      </c>
      <c r="BO248" t="str">
        <f t="shared" si="364"/>
        <v/>
      </c>
      <c r="BP248" t="str">
        <f t="shared" si="365"/>
        <v/>
      </c>
      <c r="BQ248" t="str">
        <f t="shared" si="366"/>
        <v/>
      </c>
      <c r="BR248" t="str">
        <f t="shared" si="367"/>
        <v/>
      </c>
      <c r="BS248" t="str">
        <f t="shared" si="368"/>
        <v/>
      </c>
      <c r="BT248" t="str">
        <f t="shared" si="369"/>
        <v/>
      </c>
      <c r="BU248" t="str">
        <f t="shared" si="370"/>
        <v/>
      </c>
      <c r="BV248" t="str">
        <f t="shared" si="371"/>
        <v/>
      </c>
      <c r="BW248" t="str">
        <f t="shared" si="372"/>
        <v/>
      </c>
      <c r="BX248" t="str">
        <f t="shared" si="373"/>
        <v/>
      </c>
      <c r="BY248" t="str">
        <f t="shared" si="374"/>
        <v/>
      </c>
      <c r="BZ248" t="str">
        <f t="shared" si="375"/>
        <v/>
      </c>
      <c r="CA248" t="str">
        <f t="shared" si="376"/>
        <v/>
      </c>
      <c r="CB248" t="str">
        <f t="shared" si="377"/>
        <v/>
      </c>
      <c r="CC248">
        <f t="shared" si="378"/>
        <v>0</v>
      </c>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c r="HB248"/>
      <c r="HC248"/>
      <c r="HD248"/>
      <c r="HE248"/>
      <c r="HF248"/>
      <c r="HG248"/>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c r="IU248"/>
      <c r="IV248"/>
    </row>
    <row r="249" spans="1:256" s="1" customFormat="1"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f t="shared" si="355"/>
        <v>0</v>
      </c>
      <c r="BG249" t="str">
        <f t="shared" si="356"/>
        <v/>
      </c>
      <c r="BH249" t="str">
        <f t="shared" si="357"/>
        <v/>
      </c>
      <c r="BI249" t="str">
        <f t="shared" si="358"/>
        <v/>
      </c>
      <c r="BJ249" t="str">
        <f t="shared" si="359"/>
        <v/>
      </c>
      <c r="BK249" t="str">
        <f t="shared" si="360"/>
        <v/>
      </c>
      <c r="BL249" t="str">
        <f t="shared" si="361"/>
        <v/>
      </c>
      <c r="BM249" t="str">
        <f t="shared" si="362"/>
        <v/>
      </c>
      <c r="BN249" t="str">
        <f t="shared" si="363"/>
        <v/>
      </c>
      <c r="BO249" t="str">
        <f t="shared" si="364"/>
        <v/>
      </c>
      <c r="BP249" t="str">
        <f t="shared" si="365"/>
        <v/>
      </c>
      <c r="BQ249" t="str">
        <f t="shared" si="366"/>
        <v/>
      </c>
      <c r="BR249" t="str">
        <f t="shared" si="367"/>
        <v/>
      </c>
      <c r="BS249" t="str">
        <f t="shared" si="368"/>
        <v/>
      </c>
      <c r="BT249" t="str">
        <f t="shared" si="369"/>
        <v/>
      </c>
      <c r="BU249" t="str">
        <f t="shared" si="370"/>
        <v/>
      </c>
      <c r="BV249" t="str">
        <f t="shared" si="371"/>
        <v/>
      </c>
      <c r="BW249" t="str">
        <f t="shared" si="372"/>
        <v/>
      </c>
      <c r="BX249" t="str">
        <f t="shared" si="373"/>
        <v/>
      </c>
      <c r="BY249" t="str">
        <f t="shared" si="374"/>
        <v/>
      </c>
      <c r="BZ249" t="str">
        <f t="shared" si="375"/>
        <v/>
      </c>
      <c r="CA249" t="str">
        <f t="shared" si="376"/>
        <v/>
      </c>
      <c r="CB249" t="str">
        <f t="shared" si="377"/>
        <v/>
      </c>
      <c r="CC249">
        <f t="shared" si="378"/>
        <v>0</v>
      </c>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c r="HB249"/>
      <c r="HC249"/>
      <c r="HD249"/>
      <c r="HE249"/>
      <c r="HF249"/>
      <c r="HG249"/>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c r="IU249"/>
      <c r="IV249"/>
    </row>
    <row r="250" spans="1:256" s="1" customFormat="1"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f t="shared" si="355"/>
        <v>0</v>
      </c>
      <c r="BG250" t="str">
        <f t="shared" si="356"/>
        <v/>
      </c>
      <c r="BH250" t="str">
        <f t="shared" si="357"/>
        <v/>
      </c>
      <c r="BI250" t="str">
        <f t="shared" si="358"/>
        <v/>
      </c>
      <c r="BJ250" t="str">
        <f t="shared" si="359"/>
        <v/>
      </c>
      <c r="BK250" t="str">
        <f t="shared" si="360"/>
        <v/>
      </c>
      <c r="BL250" t="str">
        <f t="shared" si="361"/>
        <v/>
      </c>
      <c r="BM250" t="str">
        <f t="shared" si="362"/>
        <v/>
      </c>
      <c r="BN250" t="str">
        <f t="shared" si="363"/>
        <v/>
      </c>
      <c r="BO250" t="str">
        <f t="shared" si="364"/>
        <v/>
      </c>
      <c r="BP250" t="str">
        <f t="shared" si="365"/>
        <v/>
      </c>
      <c r="BQ250" t="str">
        <f t="shared" si="366"/>
        <v/>
      </c>
      <c r="BR250" t="str">
        <f t="shared" si="367"/>
        <v/>
      </c>
      <c r="BS250" t="str">
        <f t="shared" si="368"/>
        <v/>
      </c>
      <c r="BT250" t="str">
        <f t="shared" si="369"/>
        <v/>
      </c>
      <c r="BU250" t="str">
        <f t="shared" si="370"/>
        <v/>
      </c>
      <c r="BV250" t="str">
        <f t="shared" si="371"/>
        <v/>
      </c>
      <c r="BW250" t="str">
        <f t="shared" si="372"/>
        <v/>
      </c>
      <c r="BX250" t="str">
        <f t="shared" si="373"/>
        <v/>
      </c>
      <c r="BY250" t="str">
        <f t="shared" si="374"/>
        <v/>
      </c>
      <c r="BZ250" t="str">
        <f t="shared" si="375"/>
        <v/>
      </c>
      <c r="CA250" t="str">
        <f t="shared" si="376"/>
        <v/>
      </c>
      <c r="CB250" t="str">
        <f t="shared" si="377"/>
        <v/>
      </c>
      <c r="CC250">
        <f t="shared" si="378"/>
        <v>0</v>
      </c>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c r="HB250"/>
      <c r="HC250"/>
      <c r="HD250"/>
      <c r="HE250"/>
      <c r="HF250"/>
      <c r="HG250"/>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c r="IU250"/>
      <c r="IV250"/>
    </row>
    <row r="251" spans="1:256" s="1" customFormat="1"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f t="shared" si="355"/>
        <v>0</v>
      </c>
      <c r="BG251" t="str">
        <f t="shared" si="356"/>
        <v/>
      </c>
      <c r="BH251" t="str">
        <f t="shared" si="357"/>
        <v/>
      </c>
      <c r="BI251" t="str">
        <f t="shared" si="358"/>
        <v/>
      </c>
      <c r="BJ251" t="str">
        <f t="shared" si="359"/>
        <v/>
      </c>
      <c r="BK251" t="str">
        <f t="shared" si="360"/>
        <v/>
      </c>
      <c r="BL251" t="str">
        <f t="shared" si="361"/>
        <v/>
      </c>
      <c r="BM251" t="str">
        <f t="shared" si="362"/>
        <v/>
      </c>
      <c r="BN251" t="str">
        <f t="shared" si="363"/>
        <v/>
      </c>
      <c r="BO251" t="str">
        <f t="shared" si="364"/>
        <v/>
      </c>
      <c r="BP251" t="str">
        <f t="shared" si="365"/>
        <v/>
      </c>
      <c r="BQ251" t="str">
        <f t="shared" si="366"/>
        <v/>
      </c>
      <c r="BR251" t="str">
        <f t="shared" si="367"/>
        <v/>
      </c>
      <c r="BS251" t="str">
        <f t="shared" si="368"/>
        <v/>
      </c>
      <c r="BT251" t="str">
        <f t="shared" si="369"/>
        <v/>
      </c>
      <c r="BU251" t="str">
        <f t="shared" si="370"/>
        <v/>
      </c>
      <c r="BV251" t="str">
        <f t="shared" si="371"/>
        <v/>
      </c>
      <c r="BW251" t="str">
        <f t="shared" si="372"/>
        <v/>
      </c>
      <c r="BX251" t="str">
        <f t="shared" si="373"/>
        <v/>
      </c>
      <c r="BY251" t="str">
        <f t="shared" si="374"/>
        <v/>
      </c>
      <c r="BZ251" t="str">
        <f t="shared" si="375"/>
        <v/>
      </c>
      <c r="CA251" t="str">
        <f t="shared" si="376"/>
        <v/>
      </c>
      <c r="CB251" t="str">
        <f t="shared" si="377"/>
        <v/>
      </c>
      <c r="CC251">
        <f t="shared" si="378"/>
        <v>0</v>
      </c>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c r="HB251"/>
      <c r="HC251"/>
      <c r="HD251"/>
      <c r="HE251"/>
      <c r="HF251"/>
      <c r="HG251"/>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c r="IU251"/>
      <c r="IV251"/>
    </row>
    <row r="252" spans="1:256" s="1" customFormat="1"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f t="shared" si="355"/>
        <v>0</v>
      </c>
      <c r="BG252" t="str">
        <f t="shared" si="356"/>
        <v/>
      </c>
      <c r="BH252" t="str">
        <f t="shared" si="357"/>
        <v/>
      </c>
      <c r="BI252" t="str">
        <f t="shared" si="358"/>
        <v/>
      </c>
      <c r="BJ252" t="str">
        <f t="shared" si="359"/>
        <v/>
      </c>
      <c r="BK252" t="str">
        <f t="shared" si="360"/>
        <v/>
      </c>
      <c r="BL252" t="str">
        <f t="shared" si="361"/>
        <v/>
      </c>
      <c r="BM252" t="str">
        <f t="shared" si="362"/>
        <v/>
      </c>
      <c r="BN252" t="str">
        <f t="shared" si="363"/>
        <v/>
      </c>
      <c r="BO252" t="str">
        <f t="shared" si="364"/>
        <v/>
      </c>
      <c r="BP252" t="str">
        <f t="shared" si="365"/>
        <v/>
      </c>
      <c r="BQ252" t="str">
        <f t="shared" si="366"/>
        <v/>
      </c>
      <c r="BR252" t="str">
        <f t="shared" si="367"/>
        <v/>
      </c>
      <c r="BS252" t="str">
        <f t="shared" si="368"/>
        <v/>
      </c>
      <c r="BT252" t="str">
        <f t="shared" si="369"/>
        <v/>
      </c>
      <c r="BU252" t="str">
        <f t="shared" si="370"/>
        <v/>
      </c>
      <c r="BV252" t="str">
        <f t="shared" si="371"/>
        <v/>
      </c>
      <c r="BW252" t="str">
        <f t="shared" si="372"/>
        <v/>
      </c>
      <c r="BX252" t="str">
        <f t="shared" si="373"/>
        <v/>
      </c>
      <c r="BY252" t="str">
        <f t="shared" si="374"/>
        <v/>
      </c>
      <c r="BZ252" t="str">
        <f t="shared" si="375"/>
        <v/>
      </c>
      <c r="CA252" t="str">
        <f t="shared" si="376"/>
        <v/>
      </c>
      <c r="CB252" t="str">
        <f t="shared" si="377"/>
        <v/>
      </c>
      <c r="CC252">
        <f t="shared" si="378"/>
        <v>0</v>
      </c>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c r="HB252"/>
      <c r="HC252"/>
      <c r="HD252"/>
      <c r="HE252"/>
      <c r="HF252"/>
      <c r="HG252"/>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c r="IU252"/>
      <c r="IV252"/>
    </row>
    <row r="253" spans="1:256" s="1" customFormat="1"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f t="shared" si="355"/>
        <v>0</v>
      </c>
      <c r="BG253" t="str">
        <f t="shared" si="356"/>
        <v/>
      </c>
      <c r="BH253" t="str">
        <f t="shared" si="357"/>
        <v/>
      </c>
      <c r="BI253" t="str">
        <f t="shared" si="358"/>
        <v/>
      </c>
      <c r="BJ253" t="str">
        <f t="shared" si="359"/>
        <v/>
      </c>
      <c r="BK253" t="str">
        <f t="shared" si="360"/>
        <v/>
      </c>
      <c r="BL253" t="str">
        <f t="shared" si="361"/>
        <v/>
      </c>
      <c r="BM253" t="str">
        <f t="shared" si="362"/>
        <v/>
      </c>
      <c r="BN253" t="str">
        <f t="shared" si="363"/>
        <v/>
      </c>
      <c r="BO253" t="str">
        <f t="shared" si="364"/>
        <v/>
      </c>
      <c r="BP253" t="str">
        <f t="shared" si="365"/>
        <v/>
      </c>
      <c r="BQ253" t="str">
        <f t="shared" si="366"/>
        <v/>
      </c>
      <c r="BR253" t="str">
        <f t="shared" si="367"/>
        <v/>
      </c>
      <c r="BS253" t="str">
        <f t="shared" si="368"/>
        <v/>
      </c>
      <c r="BT253" t="str">
        <f t="shared" si="369"/>
        <v/>
      </c>
      <c r="BU253" t="str">
        <f t="shared" si="370"/>
        <v/>
      </c>
      <c r="BV253" t="str">
        <f t="shared" si="371"/>
        <v/>
      </c>
      <c r="BW253" t="str">
        <f t="shared" si="372"/>
        <v/>
      </c>
      <c r="BX253" t="str">
        <f t="shared" si="373"/>
        <v/>
      </c>
      <c r="BY253" t="str">
        <f t="shared" si="374"/>
        <v/>
      </c>
      <c r="BZ253" t="str">
        <f t="shared" si="375"/>
        <v/>
      </c>
      <c r="CA253" t="str">
        <f t="shared" si="376"/>
        <v/>
      </c>
      <c r="CB253" t="str">
        <f t="shared" si="377"/>
        <v/>
      </c>
      <c r="CC253">
        <f t="shared" si="378"/>
        <v>0</v>
      </c>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c r="IU253"/>
      <c r="IV253"/>
    </row>
    <row r="254" spans="1:256" s="1" customFormat="1"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f t="shared" si="355"/>
        <v>0</v>
      </c>
      <c r="BG254" t="str">
        <f t="shared" si="356"/>
        <v/>
      </c>
      <c r="BH254" t="str">
        <f t="shared" si="357"/>
        <v/>
      </c>
      <c r="BI254" t="str">
        <f t="shared" si="358"/>
        <v/>
      </c>
      <c r="BJ254" t="str">
        <f t="shared" si="359"/>
        <v/>
      </c>
      <c r="BK254" t="str">
        <f t="shared" si="360"/>
        <v/>
      </c>
      <c r="BL254" t="str">
        <f t="shared" si="361"/>
        <v/>
      </c>
      <c r="BM254" t="str">
        <f t="shared" si="362"/>
        <v/>
      </c>
      <c r="BN254" t="str">
        <f t="shared" si="363"/>
        <v/>
      </c>
      <c r="BO254" t="str">
        <f t="shared" si="364"/>
        <v/>
      </c>
      <c r="BP254" t="str">
        <f t="shared" si="365"/>
        <v/>
      </c>
      <c r="BQ254" t="str">
        <f t="shared" si="366"/>
        <v/>
      </c>
      <c r="BR254" t="str">
        <f t="shared" si="367"/>
        <v/>
      </c>
      <c r="BS254" t="str">
        <f t="shared" si="368"/>
        <v/>
      </c>
      <c r="BT254" t="str">
        <f t="shared" si="369"/>
        <v/>
      </c>
      <c r="BU254" t="str">
        <f t="shared" si="370"/>
        <v/>
      </c>
      <c r="BV254" t="str">
        <f t="shared" si="371"/>
        <v/>
      </c>
      <c r="BW254" t="str">
        <f t="shared" si="372"/>
        <v/>
      </c>
      <c r="BX254" t="str">
        <f t="shared" si="373"/>
        <v/>
      </c>
      <c r="BY254" t="str">
        <f t="shared" si="374"/>
        <v/>
      </c>
      <c r="BZ254" t="str">
        <f t="shared" si="375"/>
        <v/>
      </c>
      <c r="CA254" t="str">
        <f t="shared" si="376"/>
        <v/>
      </c>
      <c r="CB254" t="str">
        <f t="shared" si="377"/>
        <v/>
      </c>
      <c r="CC254">
        <f t="shared" si="378"/>
        <v>0</v>
      </c>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c r="IU254"/>
      <c r="IV254"/>
    </row>
    <row r="255" spans="1:256" s="1" customFormat="1"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f t="shared" si="355"/>
        <v>0</v>
      </c>
      <c r="BG255" t="str">
        <f t="shared" si="356"/>
        <v/>
      </c>
      <c r="BH255" t="str">
        <f t="shared" si="357"/>
        <v/>
      </c>
      <c r="BI255" t="str">
        <f t="shared" si="358"/>
        <v/>
      </c>
      <c r="BJ255" t="str">
        <f t="shared" si="359"/>
        <v/>
      </c>
      <c r="BK255" t="str">
        <f t="shared" si="360"/>
        <v/>
      </c>
      <c r="BL255" t="str">
        <f t="shared" si="361"/>
        <v/>
      </c>
      <c r="BM255" t="str">
        <f t="shared" si="362"/>
        <v/>
      </c>
      <c r="BN255" t="str">
        <f t="shared" si="363"/>
        <v/>
      </c>
      <c r="BO255" t="str">
        <f t="shared" si="364"/>
        <v/>
      </c>
      <c r="BP255" t="str">
        <f t="shared" si="365"/>
        <v/>
      </c>
      <c r="BQ255" t="str">
        <f t="shared" si="366"/>
        <v/>
      </c>
      <c r="BR255" t="str">
        <f t="shared" si="367"/>
        <v/>
      </c>
      <c r="BS255" t="str">
        <f t="shared" si="368"/>
        <v/>
      </c>
      <c r="BT255" t="str">
        <f t="shared" si="369"/>
        <v/>
      </c>
      <c r="BU255" t="str">
        <f t="shared" si="370"/>
        <v/>
      </c>
      <c r="BV255" t="str">
        <f t="shared" si="371"/>
        <v/>
      </c>
      <c r="BW255" t="str">
        <f t="shared" si="372"/>
        <v/>
      </c>
      <c r="BX255" t="str">
        <f t="shared" si="373"/>
        <v/>
      </c>
      <c r="BY255" t="str">
        <f t="shared" si="374"/>
        <v/>
      </c>
      <c r="BZ255" t="str">
        <f t="shared" si="375"/>
        <v/>
      </c>
      <c r="CA255" t="str">
        <f t="shared" si="376"/>
        <v/>
      </c>
      <c r="CB255" t="str">
        <f t="shared" si="377"/>
        <v/>
      </c>
      <c r="CC255">
        <f t="shared" si="378"/>
        <v>0</v>
      </c>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c r="HB255"/>
      <c r="HC255"/>
      <c r="HD255"/>
      <c r="HE255"/>
      <c r="HF255"/>
      <c r="HG255"/>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c r="IU255"/>
      <c r="IV255"/>
    </row>
    <row r="256" spans="1:256" s="1" customFormat="1"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f t="shared" si="355"/>
        <v>0</v>
      </c>
      <c r="BG256" t="str">
        <f t="shared" si="356"/>
        <v/>
      </c>
      <c r="BH256" t="str">
        <f t="shared" si="357"/>
        <v/>
      </c>
      <c r="BI256" t="str">
        <f t="shared" si="358"/>
        <v/>
      </c>
      <c r="BJ256" t="str">
        <f t="shared" si="359"/>
        <v/>
      </c>
      <c r="BK256" t="str">
        <f t="shared" si="360"/>
        <v/>
      </c>
      <c r="BL256" t="str">
        <f t="shared" si="361"/>
        <v/>
      </c>
      <c r="BM256" t="str">
        <f t="shared" si="362"/>
        <v/>
      </c>
      <c r="BN256" t="str">
        <f t="shared" si="363"/>
        <v/>
      </c>
      <c r="BO256" t="str">
        <f t="shared" si="364"/>
        <v/>
      </c>
      <c r="BP256" t="str">
        <f t="shared" si="365"/>
        <v/>
      </c>
      <c r="BQ256" t="str">
        <f t="shared" si="366"/>
        <v/>
      </c>
      <c r="BR256" t="str">
        <f t="shared" si="367"/>
        <v/>
      </c>
      <c r="BS256" t="str">
        <f t="shared" si="368"/>
        <v/>
      </c>
      <c r="BT256" t="str">
        <f t="shared" si="369"/>
        <v/>
      </c>
      <c r="BU256" t="str">
        <f t="shared" si="370"/>
        <v/>
      </c>
      <c r="BV256" t="str">
        <f t="shared" si="371"/>
        <v/>
      </c>
      <c r="BW256" t="str">
        <f t="shared" si="372"/>
        <v/>
      </c>
      <c r="BX256" t="str">
        <f t="shared" si="373"/>
        <v/>
      </c>
      <c r="BY256" t="str">
        <f t="shared" si="374"/>
        <v/>
      </c>
      <c r="BZ256" t="str">
        <f t="shared" si="375"/>
        <v/>
      </c>
      <c r="CA256" t="str">
        <f t="shared" si="376"/>
        <v/>
      </c>
      <c r="CB256" t="str">
        <f t="shared" si="377"/>
        <v/>
      </c>
      <c r="CC256">
        <f t="shared" si="378"/>
        <v>0</v>
      </c>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c r="HB256"/>
      <c r="HC256"/>
      <c r="HD256"/>
      <c r="HE256"/>
      <c r="HF256"/>
      <c r="HG256"/>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c r="IU256"/>
      <c r="IV256"/>
    </row>
    <row r="257" spans="1:256" s="1" customFormat="1"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f t="shared" si="355"/>
        <v>0</v>
      </c>
      <c r="BG257" t="str">
        <f t="shared" si="356"/>
        <v/>
      </c>
      <c r="BH257" t="str">
        <f t="shared" si="357"/>
        <v/>
      </c>
      <c r="BI257" t="str">
        <f t="shared" si="358"/>
        <v/>
      </c>
      <c r="BJ257" t="str">
        <f t="shared" si="359"/>
        <v/>
      </c>
      <c r="BK257" t="str">
        <f t="shared" si="360"/>
        <v/>
      </c>
      <c r="BL257" t="str">
        <f t="shared" si="361"/>
        <v/>
      </c>
      <c r="BM257" t="str">
        <f t="shared" si="362"/>
        <v/>
      </c>
      <c r="BN257" t="str">
        <f t="shared" si="363"/>
        <v/>
      </c>
      <c r="BO257" t="str">
        <f t="shared" si="364"/>
        <v/>
      </c>
      <c r="BP257" t="str">
        <f t="shared" si="365"/>
        <v/>
      </c>
      <c r="BQ257" t="str">
        <f t="shared" si="366"/>
        <v/>
      </c>
      <c r="BR257" t="str">
        <f t="shared" si="367"/>
        <v/>
      </c>
      <c r="BS257" t="str">
        <f t="shared" si="368"/>
        <v/>
      </c>
      <c r="BT257" t="str">
        <f t="shared" si="369"/>
        <v/>
      </c>
      <c r="BU257" t="str">
        <f t="shared" si="370"/>
        <v/>
      </c>
      <c r="BV257" t="str">
        <f t="shared" si="371"/>
        <v/>
      </c>
      <c r="BW257" t="str">
        <f t="shared" si="372"/>
        <v/>
      </c>
      <c r="BX257" t="str">
        <f t="shared" si="373"/>
        <v/>
      </c>
      <c r="BY257" t="str">
        <f t="shared" si="374"/>
        <v/>
      </c>
      <c r="BZ257" t="str">
        <f t="shared" si="375"/>
        <v/>
      </c>
      <c r="CA257" t="str">
        <f t="shared" si="376"/>
        <v/>
      </c>
      <c r="CB257" t="str">
        <f t="shared" si="377"/>
        <v/>
      </c>
      <c r="CC257">
        <f t="shared" si="378"/>
        <v>0</v>
      </c>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c r="HB257"/>
      <c r="HC257"/>
      <c r="HD257"/>
      <c r="HE257"/>
      <c r="HF257"/>
      <c r="HG257"/>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c r="IU257"/>
      <c r="IV257"/>
    </row>
    <row r="258" spans="1:256" s="1" customFormat="1"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f t="shared" si="355"/>
        <v>0</v>
      </c>
      <c r="BG258" t="str">
        <f t="shared" si="356"/>
        <v/>
      </c>
      <c r="BH258" t="str">
        <f t="shared" si="357"/>
        <v/>
      </c>
      <c r="BI258" t="str">
        <f t="shared" si="358"/>
        <v/>
      </c>
      <c r="BJ258" t="str">
        <f t="shared" si="359"/>
        <v/>
      </c>
      <c r="BK258" t="str">
        <f t="shared" si="360"/>
        <v/>
      </c>
      <c r="BL258" t="str">
        <f t="shared" si="361"/>
        <v/>
      </c>
      <c r="BM258" t="str">
        <f t="shared" si="362"/>
        <v/>
      </c>
      <c r="BN258" t="str">
        <f t="shared" si="363"/>
        <v/>
      </c>
      <c r="BO258" t="str">
        <f t="shared" si="364"/>
        <v/>
      </c>
      <c r="BP258" t="str">
        <f t="shared" si="365"/>
        <v/>
      </c>
      <c r="BQ258" t="str">
        <f t="shared" si="366"/>
        <v/>
      </c>
      <c r="BR258" t="str">
        <f t="shared" si="367"/>
        <v/>
      </c>
      <c r="BS258" t="str">
        <f t="shared" si="368"/>
        <v/>
      </c>
      <c r="BT258" t="str">
        <f t="shared" si="369"/>
        <v/>
      </c>
      <c r="BU258" t="str">
        <f t="shared" si="370"/>
        <v/>
      </c>
      <c r="BV258" t="str">
        <f t="shared" si="371"/>
        <v/>
      </c>
      <c r="BW258" t="str">
        <f t="shared" si="372"/>
        <v/>
      </c>
      <c r="BX258" t="str">
        <f t="shared" si="373"/>
        <v/>
      </c>
      <c r="BY258" t="str">
        <f t="shared" si="374"/>
        <v/>
      </c>
      <c r="BZ258" t="str">
        <f t="shared" si="375"/>
        <v/>
      </c>
      <c r="CA258" t="str">
        <f t="shared" si="376"/>
        <v/>
      </c>
      <c r="CB258" t="str">
        <f t="shared" si="377"/>
        <v/>
      </c>
      <c r="CC258">
        <f t="shared" si="378"/>
        <v>0</v>
      </c>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c r="HB258"/>
      <c r="HC258"/>
      <c r="HD258"/>
      <c r="HE258"/>
      <c r="HF258"/>
      <c r="HG258"/>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c r="IU258"/>
      <c r="IV258"/>
    </row>
    <row r="259" spans="1:256" s="1" customFormat="1"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f t="shared" si="355"/>
        <v>0</v>
      </c>
      <c r="BG259" t="str">
        <f t="shared" si="356"/>
        <v/>
      </c>
      <c r="BH259" t="str">
        <f t="shared" si="357"/>
        <v/>
      </c>
      <c r="BI259" t="str">
        <f t="shared" si="358"/>
        <v/>
      </c>
      <c r="BJ259" t="str">
        <f t="shared" si="359"/>
        <v/>
      </c>
      <c r="BK259" t="str">
        <f t="shared" si="360"/>
        <v/>
      </c>
      <c r="BL259" t="str">
        <f t="shared" si="361"/>
        <v/>
      </c>
      <c r="BM259" t="str">
        <f t="shared" si="362"/>
        <v/>
      </c>
      <c r="BN259" t="str">
        <f t="shared" si="363"/>
        <v/>
      </c>
      <c r="BO259" t="str">
        <f t="shared" si="364"/>
        <v/>
      </c>
      <c r="BP259" t="str">
        <f t="shared" si="365"/>
        <v/>
      </c>
      <c r="BQ259" t="str">
        <f t="shared" si="366"/>
        <v/>
      </c>
      <c r="BR259" t="str">
        <f t="shared" si="367"/>
        <v/>
      </c>
      <c r="BS259" t="str">
        <f t="shared" si="368"/>
        <v/>
      </c>
      <c r="BT259" t="str">
        <f t="shared" si="369"/>
        <v/>
      </c>
      <c r="BU259" t="str">
        <f t="shared" si="370"/>
        <v/>
      </c>
      <c r="BV259" t="str">
        <f t="shared" si="371"/>
        <v/>
      </c>
      <c r="BW259" t="str">
        <f t="shared" si="372"/>
        <v/>
      </c>
      <c r="BX259" t="str">
        <f t="shared" si="373"/>
        <v/>
      </c>
      <c r="BY259" t="str">
        <f t="shared" si="374"/>
        <v/>
      </c>
      <c r="BZ259" t="str">
        <f t="shared" si="375"/>
        <v/>
      </c>
      <c r="CA259" t="str">
        <f t="shared" si="376"/>
        <v/>
      </c>
      <c r="CB259" t="str">
        <f t="shared" si="377"/>
        <v/>
      </c>
      <c r="CC259">
        <f t="shared" si="378"/>
        <v>0</v>
      </c>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c r="HB259"/>
      <c r="HC259"/>
      <c r="HD259"/>
      <c r="HE259"/>
      <c r="HF259"/>
      <c r="HG259"/>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c r="IU259"/>
      <c r="IV259"/>
    </row>
    <row r="260" spans="1:256" s="1" customFormat="1"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f t="shared" si="355"/>
        <v>0</v>
      </c>
      <c r="BG260" t="str">
        <f t="shared" si="356"/>
        <v/>
      </c>
      <c r="BH260" t="str">
        <f t="shared" si="357"/>
        <v/>
      </c>
      <c r="BI260" t="str">
        <f t="shared" si="358"/>
        <v/>
      </c>
      <c r="BJ260" t="str">
        <f t="shared" si="359"/>
        <v/>
      </c>
      <c r="BK260" t="str">
        <f t="shared" si="360"/>
        <v/>
      </c>
      <c r="BL260" t="str">
        <f t="shared" si="361"/>
        <v/>
      </c>
      <c r="BM260" t="str">
        <f t="shared" si="362"/>
        <v/>
      </c>
      <c r="BN260" t="str">
        <f t="shared" si="363"/>
        <v/>
      </c>
      <c r="BO260" t="str">
        <f t="shared" si="364"/>
        <v/>
      </c>
      <c r="BP260" t="str">
        <f t="shared" si="365"/>
        <v/>
      </c>
      <c r="BQ260" t="str">
        <f t="shared" si="366"/>
        <v/>
      </c>
      <c r="BR260" t="str">
        <f t="shared" si="367"/>
        <v/>
      </c>
      <c r="BS260" t="str">
        <f t="shared" si="368"/>
        <v/>
      </c>
      <c r="BT260" t="str">
        <f t="shared" si="369"/>
        <v/>
      </c>
      <c r="BU260" t="str">
        <f t="shared" si="370"/>
        <v/>
      </c>
      <c r="BV260" t="str">
        <f t="shared" si="371"/>
        <v/>
      </c>
      <c r="BW260" t="str">
        <f t="shared" si="372"/>
        <v/>
      </c>
      <c r="BX260" t="str">
        <f t="shared" si="373"/>
        <v/>
      </c>
      <c r="BY260" t="str">
        <f t="shared" si="374"/>
        <v/>
      </c>
      <c r="BZ260" t="str">
        <f t="shared" si="375"/>
        <v/>
      </c>
      <c r="CA260" t="str">
        <f t="shared" si="376"/>
        <v/>
      </c>
      <c r="CB260" t="str">
        <f t="shared" si="377"/>
        <v/>
      </c>
      <c r="CC260">
        <f t="shared" si="378"/>
        <v>0</v>
      </c>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c r="HB260"/>
      <c r="HC260"/>
      <c r="HD260"/>
      <c r="HE260"/>
      <c r="HF260"/>
      <c r="HG260"/>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c r="IU260"/>
      <c r="IV260"/>
    </row>
    <row r="261" spans="1:256" s="1" customFormat="1"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f t="shared" si="355"/>
        <v>0</v>
      </c>
      <c r="BG261" t="str">
        <f t="shared" si="356"/>
        <v/>
      </c>
      <c r="BH261" t="str">
        <f t="shared" si="357"/>
        <v/>
      </c>
      <c r="BI261" t="str">
        <f t="shared" si="358"/>
        <v/>
      </c>
      <c r="BJ261" t="str">
        <f t="shared" si="359"/>
        <v/>
      </c>
      <c r="BK261" t="str">
        <f t="shared" si="360"/>
        <v/>
      </c>
      <c r="BL261" t="str">
        <f t="shared" si="361"/>
        <v/>
      </c>
      <c r="BM261" t="str">
        <f t="shared" si="362"/>
        <v/>
      </c>
      <c r="BN261" t="str">
        <f t="shared" si="363"/>
        <v/>
      </c>
      <c r="BO261" t="str">
        <f t="shared" si="364"/>
        <v/>
      </c>
      <c r="BP261" t="str">
        <f t="shared" si="365"/>
        <v/>
      </c>
      <c r="BQ261" t="str">
        <f t="shared" si="366"/>
        <v/>
      </c>
      <c r="BR261" t="str">
        <f t="shared" si="367"/>
        <v/>
      </c>
      <c r="BS261" t="str">
        <f t="shared" si="368"/>
        <v/>
      </c>
      <c r="BT261" t="str">
        <f t="shared" si="369"/>
        <v/>
      </c>
      <c r="BU261" t="str">
        <f t="shared" si="370"/>
        <v/>
      </c>
      <c r="BV261" t="str">
        <f t="shared" si="371"/>
        <v/>
      </c>
      <c r="BW261" t="str">
        <f t="shared" si="372"/>
        <v/>
      </c>
      <c r="BX261" t="str">
        <f t="shared" si="373"/>
        <v/>
      </c>
      <c r="BY261" t="str">
        <f t="shared" si="374"/>
        <v/>
      </c>
      <c r="BZ261" t="str">
        <f t="shared" si="375"/>
        <v/>
      </c>
      <c r="CA261" t="str">
        <f t="shared" si="376"/>
        <v/>
      </c>
      <c r="CB261" t="str">
        <f t="shared" si="377"/>
        <v/>
      </c>
      <c r="CC261">
        <f t="shared" si="378"/>
        <v>0</v>
      </c>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c r="HB261"/>
      <c r="HC261"/>
      <c r="HD261"/>
      <c r="HE261"/>
      <c r="HF261"/>
      <c r="HG261"/>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c r="IU261"/>
      <c r="IV261"/>
    </row>
    <row r="262" spans="1:256" s="1" customFormat="1"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f t="shared" si="355"/>
        <v>0</v>
      </c>
      <c r="BG262" t="str">
        <f t="shared" si="356"/>
        <v/>
      </c>
      <c r="BH262" t="str">
        <f t="shared" si="357"/>
        <v/>
      </c>
      <c r="BI262" t="str">
        <f t="shared" si="358"/>
        <v/>
      </c>
      <c r="BJ262" t="str">
        <f t="shared" si="359"/>
        <v/>
      </c>
      <c r="BK262" t="str">
        <f t="shared" si="360"/>
        <v/>
      </c>
      <c r="BL262" t="str">
        <f t="shared" si="361"/>
        <v/>
      </c>
      <c r="BM262" t="str">
        <f t="shared" si="362"/>
        <v/>
      </c>
      <c r="BN262" t="str">
        <f t="shared" si="363"/>
        <v/>
      </c>
      <c r="BO262" t="str">
        <f t="shared" si="364"/>
        <v/>
      </c>
      <c r="BP262" t="str">
        <f t="shared" si="365"/>
        <v/>
      </c>
      <c r="BQ262" t="str">
        <f t="shared" si="366"/>
        <v/>
      </c>
      <c r="BR262" t="str">
        <f t="shared" si="367"/>
        <v/>
      </c>
      <c r="BS262" t="str">
        <f t="shared" si="368"/>
        <v/>
      </c>
      <c r="BT262" t="str">
        <f t="shared" si="369"/>
        <v/>
      </c>
      <c r="BU262" t="str">
        <f t="shared" si="370"/>
        <v/>
      </c>
      <c r="BV262" t="str">
        <f t="shared" si="371"/>
        <v/>
      </c>
      <c r="BW262" t="str">
        <f t="shared" si="372"/>
        <v/>
      </c>
      <c r="BX262" t="str">
        <f t="shared" si="373"/>
        <v/>
      </c>
      <c r="BY262" t="str">
        <f t="shared" si="374"/>
        <v/>
      </c>
      <c r="BZ262" t="str">
        <f t="shared" si="375"/>
        <v/>
      </c>
      <c r="CA262" t="str">
        <f t="shared" si="376"/>
        <v/>
      </c>
      <c r="CB262" t="str">
        <f t="shared" si="377"/>
        <v/>
      </c>
      <c r="CC262">
        <f t="shared" si="378"/>
        <v>0</v>
      </c>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c r="HB262"/>
      <c r="HC262"/>
      <c r="HD262"/>
      <c r="HE262"/>
      <c r="HF262"/>
      <c r="HG262"/>
      <c r="HH262"/>
      <c r="HI262"/>
      <c r="HJ262"/>
      <c r="HK262"/>
      <c r="HL262"/>
      <c r="HM262"/>
      <c r="HN262"/>
      <c r="HO262"/>
      <c r="HP262"/>
      <c r="HQ262"/>
      <c r="HR262"/>
      <c r="HS262"/>
      <c r="HT262"/>
      <c r="HU262"/>
      <c r="HV262"/>
      <c r="HW262"/>
      <c r="HX262"/>
      <c r="HY262"/>
      <c r="HZ262"/>
      <c r="IA262"/>
      <c r="IB262"/>
      <c r="IC262"/>
      <c r="ID262"/>
      <c r="IE262"/>
      <c r="IF262"/>
      <c r="IG262"/>
      <c r="IH262"/>
      <c r="II262"/>
      <c r="IJ262"/>
      <c r="IK262"/>
      <c r="IL262"/>
      <c r="IM262"/>
      <c r="IN262"/>
      <c r="IO262"/>
      <c r="IP262"/>
      <c r="IQ262"/>
      <c r="IR262"/>
      <c r="IS262"/>
      <c r="IT262"/>
      <c r="IU262"/>
      <c r="IV262"/>
    </row>
    <row r="263" spans="1:256" s="1" customFormat="1"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f t="shared" si="355"/>
        <v>0</v>
      </c>
      <c r="BG263" t="str">
        <f t="shared" si="356"/>
        <v/>
      </c>
      <c r="BH263" t="str">
        <f t="shared" si="357"/>
        <v/>
      </c>
      <c r="BI263" t="str">
        <f t="shared" si="358"/>
        <v/>
      </c>
      <c r="BJ263" t="str">
        <f t="shared" si="359"/>
        <v/>
      </c>
      <c r="BK263" t="str">
        <f t="shared" si="360"/>
        <v/>
      </c>
      <c r="BL263" t="str">
        <f t="shared" si="361"/>
        <v/>
      </c>
      <c r="BM263" t="str">
        <f t="shared" si="362"/>
        <v/>
      </c>
      <c r="BN263" t="str">
        <f t="shared" si="363"/>
        <v/>
      </c>
      <c r="BO263" t="str">
        <f t="shared" si="364"/>
        <v/>
      </c>
      <c r="BP263" t="str">
        <f t="shared" si="365"/>
        <v/>
      </c>
      <c r="BQ263" t="str">
        <f t="shared" si="366"/>
        <v/>
      </c>
      <c r="BR263" t="str">
        <f t="shared" si="367"/>
        <v/>
      </c>
      <c r="BS263" t="str">
        <f t="shared" si="368"/>
        <v/>
      </c>
      <c r="BT263" t="str">
        <f t="shared" si="369"/>
        <v/>
      </c>
      <c r="BU263" t="str">
        <f t="shared" si="370"/>
        <v/>
      </c>
      <c r="BV263" t="str">
        <f t="shared" si="371"/>
        <v/>
      </c>
      <c r="BW263" t="str">
        <f t="shared" si="372"/>
        <v/>
      </c>
      <c r="BX263" t="str">
        <f t="shared" si="373"/>
        <v/>
      </c>
      <c r="BY263" t="str">
        <f t="shared" si="374"/>
        <v/>
      </c>
      <c r="BZ263" t="str">
        <f t="shared" si="375"/>
        <v/>
      </c>
      <c r="CA263" t="str">
        <f t="shared" si="376"/>
        <v/>
      </c>
      <c r="CB263" t="str">
        <f t="shared" si="377"/>
        <v/>
      </c>
      <c r="CC263">
        <f t="shared" si="378"/>
        <v>0</v>
      </c>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c r="HB263"/>
      <c r="HC263"/>
      <c r="HD263"/>
      <c r="HE263"/>
      <c r="HF263"/>
      <c r="HG263"/>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c r="IU263"/>
      <c r="IV263"/>
    </row>
    <row r="264" spans="1:256" s="1" customFormat="1"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f t="shared" si="355"/>
        <v>0</v>
      </c>
      <c r="BG264" t="str">
        <f t="shared" si="356"/>
        <v/>
      </c>
      <c r="BH264" t="str">
        <f t="shared" si="357"/>
        <v/>
      </c>
      <c r="BI264" t="str">
        <f t="shared" si="358"/>
        <v/>
      </c>
      <c r="BJ264" t="str">
        <f t="shared" si="359"/>
        <v/>
      </c>
      <c r="BK264" t="str">
        <f t="shared" si="360"/>
        <v/>
      </c>
      <c r="BL264" t="str">
        <f t="shared" si="361"/>
        <v/>
      </c>
      <c r="BM264" t="str">
        <f t="shared" si="362"/>
        <v/>
      </c>
      <c r="BN264" t="str">
        <f t="shared" si="363"/>
        <v/>
      </c>
      <c r="BO264" t="str">
        <f t="shared" si="364"/>
        <v/>
      </c>
      <c r="BP264" t="str">
        <f t="shared" si="365"/>
        <v/>
      </c>
      <c r="BQ264" t="str">
        <f t="shared" si="366"/>
        <v/>
      </c>
      <c r="BR264" t="str">
        <f t="shared" si="367"/>
        <v/>
      </c>
      <c r="BS264" t="str">
        <f t="shared" si="368"/>
        <v/>
      </c>
      <c r="BT264" t="str">
        <f t="shared" si="369"/>
        <v/>
      </c>
      <c r="BU264" t="str">
        <f t="shared" si="370"/>
        <v/>
      </c>
      <c r="BV264" t="str">
        <f t="shared" si="371"/>
        <v/>
      </c>
      <c r="BW264" t="str">
        <f t="shared" si="372"/>
        <v/>
      </c>
      <c r="BX264" t="str">
        <f t="shared" si="373"/>
        <v/>
      </c>
      <c r="BY264" t="str">
        <f t="shared" si="374"/>
        <v/>
      </c>
      <c r="BZ264" t="str">
        <f t="shared" si="375"/>
        <v/>
      </c>
      <c r="CA264" t="str">
        <f t="shared" si="376"/>
        <v/>
      </c>
      <c r="CB264" t="str">
        <f t="shared" si="377"/>
        <v/>
      </c>
      <c r="CC264">
        <f t="shared" si="378"/>
        <v>0</v>
      </c>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c r="HB264"/>
      <c r="HC264"/>
      <c r="HD264"/>
      <c r="HE264"/>
      <c r="HF264"/>
      <c r="HG264"/>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c r="IU264"/>
      <c r="IV264"/>
    </row>
    <row r="265" spans="1:256" s="1" customFormat="1"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f t="shared" si="355"/>
        <v>0</v>
      </c>
      <c r="BG265" t="str">
        <f t="shared" si="356"/>
        <v/>
      </c>
      <c r="BH265" t="str">
        <f t="shared" si="357"/>
        <v/>
      </c>
      <c r="BI265" t="str">
        <f t="shared" si="358"/>
        <v/>
      </c>
      <c r="BJ265" t="str">
        <f t="shared" si="359"/>
        <v/>
      </c>
      <c r="BK265" t="str">
        <f t="shared" si="360"/>
        <v/>
      </c>
      <c r="BL265" t="str">
        <f t="shared" si="361"/>
        <v/>
      </c>
      <c r="BM265" t="str">
        <f t="shared" si="362"/>
        <v/>
      </c>
      <c r="BN265" t="str">
        <f t="shared" si="363"/>
        <v/>
      </c>
      <c r="BO265" t="str">
        <f t="shared" si="364"/>
        <v/>
      </c>
      <c r="BP265" t="str">
        <f t="shared" si="365"/>
        <v/>
      </c>
      <c r="BQ265" t="str">
        <f t="shared" si="366"/>
        <v/>
      </c>
      <c r="BR265" t="str">
        <f t="shared" si="367"/>
        <v/>
      </c>
      <c r="BS265" t="str">
        <f t="shared" si="368"/>
        <v/>
      </c>
      <c r="BT265" t="str">
        <f t="shared" si="369"/>
        <v/>
      </c>
      <c r="BU265" t="str">
        <f t="shared" si="370"/>
        <v/>
      </c>
      <c r="BV265" t="str">
        <f t="shared" si="371"/>
        <v/>
      </c>
      <c r="BW265" t="str">
        <f t="shared" si="372"/>
        <v/>
      </c>
      <c r="BX265" t="str">
        <f t="shared" si="373"/>
        <v/>
      </c>
      <c r="BY265" t="str">
        <f t="shared" si="374"/>
        <v/>
      </c>
      <c r="BZ265" t="str">
        <f t="shared" si="375"/>
        <v/>
      </c>
      <c r="CA265" t="str">
        <f t="shared" si="376"/>
        <v/>
      </c>
      <c r="CB265" t="str">
        <f t="shared" si="377"/>
        <v/>
      </c>
      <c r="CC265">
        <f t="shared" si="378"/>
        <v>0</v>
      </c>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c r="HB265"/>
      <c r="HC265"/>
      <c r="HD265"/>
      <c r="HE265"/>
      <c r="HF265"/>
      <c r="HG265"/>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c r="IU265"/>
      <c r="IV265"/>
    </row>
    <row r="266" spans="1:256" s="1" customFormat="1"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f t="shared" si="355"/>
        <v>0</v>
      </c>
      <c r="BG266" t="str">
        <f t="shared" si="356"/>
        <v/>
      </c>
      <c r="BH266" t="str">
        <f t="shared" si="357"/>
        <v/>
      </c>
      <c r="BI266" t="str">
        <f t="shared" si="358"/>
        <v/>
      </c>
      <c r="BJ266" t="str">
        <f t="shared" si="359"/>
        <v/>
      </c>
      <c r="BK266" t="str">
        <f t="shared" si="360"/>
        <v/>
      </c>
      <c r="BL266" t="str">
        <f t="shared" si="361"/>
        <v/>
      </c>
      <c r="BM266" t="str">
        <f t="shared" si="362"/>
        <v/>
      </c>
      <c r="BN266" t="str">
        <f t="shared" si="363"/>
        <v/>
      </c>
      <c r="BO266" t="str">
        <f t="shared" si="364"/>
        <v/>
      </c>
      <c r="BP266" t="str">
        <f t="shared" si="365"/>
        <v/>
      </c>
      <c r="BQ266" t="str">
        <f t="shared" si="366"/>
        <v/>
      </c>
      <c r="BR266" t="str">
        <f t="shared" si="367"/>
        <v/>
      </c>
      <c r="BS266" t="str">
        <f t="shared" si="368"/>
        <v/>
      </c>
      <c r="BT266" t="str">
        <f t="shared" si="369"/>
        <v/>
      </c>
      <c r="BU266" t="str">
        <f t="shared" si="370"/>
        <v/>
      </c>
      <c r="BV266" t="str">
        <f t="shared" si="371"/>
        <v/>
      </c>
      <c r="BW266" t="str">
        <f t="shared" si="372"/>
        <v/>
      </c>
      <c r="BX266" t="str">
        <f t="shared" si="373"/>
        <v/>
      </c>
      <c r="BY266" t="str">
        <f t="shared" si="374"/>
        <v/>
      </c>
      <c r="BZ266" t="str">
        <f t="shared" si="375"/>
        <v/>
      </c>
      <c r="CA266" t="str">
        <f t="shared" si="376"/>
        <v/>
      </c>
      <c r="CB266" t="str">
        <f t="shared" si="377"/>
        <v/>
      </c>
      <c r="CC266">
        <f t="shared" si="378"/>
        <v>0</v>
      </c>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c r="HB266"/>
      <c r="HC266"/>
      <c r="HD266"/>
      <c r="HE266"/>
      <c r="HF266"/>
      <c r="HG266"/>
      <c r="HH266"/>
      <c r="HI266"/>
      <c r="HJ266"/>
      <c r="HK266"/>
      <c r="HL266"/>
      <c r="HM266"/>
      <c r="HN266"/>
      <c r="HO266"/>
      <c r="HP266"/>
      <c r="HQ266"/>
      <c r="HR266"/>
      <c r="HS266"/>
      <c r="HT266"/>
      <c r="HU266"/>
      <c r="HV266"/>
      <c r="HW266"/>
      <c r="HX266"/>
      <c r="HY266"/>
      <c r="HZ266"/>
      <c r="IA266"/>
      <c r="IB266"/>
      <c r="IC266"/>
      <c r="ID266"/>
      <c r="IE266"/>
      <c r="IF266"/>
      <c r="IG266"/>
      <c r="IH266"/>
      <c r="II266"/>
      <c r="IJ266"/>
      <c r="IK266"/>
      <c r="IL266"/>
      <c r="IM266"/>
      <c r="IN266"/>
      <c r="IO266"/>
      <c r="IP266"/>
      <c r="IQ266"/>
      <c r="IR266"/>
      <c r="IS266"/>
      <c r="IT266"/>
      <c r="IU266"/>
      <c r="IV266"/>
    </row>
    <row r="267" spans="1:256" s="1" customFormat="1"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f t="shared" si="355"/>
        <v>0</v>
      </c>
      <c r="BG267" t="str">
        <f t="shared" si="356"/>
        <v/>
      </c>
      <c r="BH267" t="str">
        <f t="shared" si="357"/>
        <v/>
      </c>
      <c r="BI267" t="str">
        <f t="shared" si="358"/>
        <v/>
      </c>
      <c r="BJ267" t="str">
        <f t="shared" si="359"/>
        <v/>
      </c>
      <c r="BK267" t="str">
        <f t="shared" si="360"/>
        <v/>
      </c>
      <c r="BL267" t="str">
        <f t="shared" si="361"/>
        <v/>
      </c>
      <c r="BM267" t="str">
        <f t="shared" si="362"/>
        <v/>
      </c>
      <c r="BN267" t="str">
        <f t="shared" si="363"/>
        <v/>
      </c>
      <c r="BO267" t="str">
        <f t="shared" si="364"/>
        <v/>
      </c>
      <c r="BP267" t="str">
        <f t="shared" si="365"/>
        <v/>
      </c>
      <c r="BQ267" t="str">
        <f t="shared" si="366"/>
        <v/>
      </c>
      <c r="BR267" t="str">
        <f t="shared" si="367"/>
        <v/>
      </c>
      <c r="BS267" t="str">
        <f t="shared" si="368"/>
        <v/>
      </c>
      <c r="BT267" t="str">
        <f t="shared" si="369"/>
        <v/>
      </c>
      <c r="BU267" t="str">
        <f t="shared" si="370"/>
        <v/>
      </c>
      <c r="BV267" t="str">
        <f t="shared" si="371"/>
        <v/>
      </c>
      <c r="BW267" t="str">
        <f t="shared" si="372"/>
        <v/>
      </c>
      <c r="BX267" t="str">
        <f t="shared" si="373"/>
        <v/>
      </c>
      <c r="BY267" t="str">
        <f t="shared" si="374"/>
        <v/>
      </c>
      <c r="BZ267" t="str">
        <f t="shared" si="375"/>
        <v/>
      </c>
      <c r="CA267" t="str">
        <f t="shared" si="376"/>
        <v/>
      </c>
      <c r="CB267" t="str">
        <f t="shared" si="377"/>
        <v/>
      </c>
      <c r="CC267">
        <f t="shared" si="378"/>
        <v>0</v>
      </c>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c r="HB267"/>
      <c r="HC267"/>
      <c r="HD267"/>
      <c r="HE267"/>
      <c r="HF267"/>
      <c r="HG267"/>
      <c r="HH267"/>
      <c r="HI267"/>
      <c r="HJ267"/>
      <c r="HK267"/>
      <c r="HL267"/>
      <c r="HM267"/>
      <c r="HN267"/>
      <c r="HO267"/>
      <c r="HP267"/>
      <c r="HQ267"/>
      <c r="HR267"/>
      <c r="HS267"/>
      <c r="HT267"/>
      <c r="HU267"/>
      <c r="HV267"/>
      <c r="HW267"/>
      <c r="HX267"/>
      <c r="HY267"/>
      <c r="HZ267"/>
      <c r="IA267"/>
      <c r="IB267"/>
      <c r="IC267"/>
      <c r="ID267"/>
      <c r="IE267"/>
      <c r="IF267"/>
      <c r="IG267"/>
      <c r="IH267"/>
      <c r="II267"/>
      <c r="IJ267"/>
      <c r="IK267"/>
      <c r="IL267"/>
      <c r="IM267"/>
      <c r="IN267"/>
      <c r="IO267"/>
      <c r="IP267"/>
      <c r="IQ267"/>
      <c r="IR267"/>
      <c r="IS267"/>
      <c r="IT267"/>
      <c r="IU267"/>
      <c r="IV267"/>
    </row>
    <row r="268" spans="1:256" s="1" customFormat="1"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f t="shared" si="355"/>
        <v>0</v>
      </c>
      <c r="BG268" t="str">
        <f t="shared" si="356"/>
        <v/>
      </c>
      <c r="BH268" t="str">
        <f t="shared" si="357"/>
        <v/>
      </c>
      <c r="BI268" t="str">
        <f t="shared" si="358"/>
        <v/>
      </c>
      <c r="BJ268" t="str">
        <f t="shared" si="359"/>
        <v/>
      </c>
      <c r="BK268" t="str">
        <f t="shared" si="360"/>
        <v/>
      </c>
      <c r="BL268" t="str">
        <f t="shared" si="361"/>
        <v/>
      </c>
      <c r="BM268" t="str">
        <f t="shared" si="362"/>
        <v/>
      </c>
      <c r="BN268" t="str">
        <f t="shared" si="363"/>
        <v/>
      </c>
      <c r="BO268" t="str">
        <f t="shared" si="364"/>
        <v/>
      </c>
      <c r="BP268" t="str">
        <f t="shared" si="365"/>
        <v/>
      </c>
      <c r="BQ268" t="str">
        <f t="shared" si="366"/>
        <v/>
      </c>
      <c r="BR268" t="str">
        <f t="shared" si="367"/>
        <v/>
      </c>
      <c r="BS268" t="str">
        <f t="shared" si="368"/>
        <v/>
      </c>
      <c r="BT268" t="str">
        <f t="shared" si="369"/>
        <v/>
      </c>
      <c r="BU268" t="str">
        <f t="shared" si="370"/>
        <v/>
      </c>
      <c r="BV268" t="str">
        <f t="shared" si="371"/>
        <v/>
      </c>
      <c r="BW268" t="str">
        <f t="shared" si="372"/>
        <v/>
      </c>
      <c r="BX268" t="str">
        <f t="shared" si="373"/>
        <v/>
      </c>
      <c r="BY268" t="str">
        <f t="shared" si="374"/>
        <v/>
      </c>
      <c r="BZ268" t="str">
        <f t="shared" si="375"/>
        <v/>
      </c>
      <c r="CA268" t="str">
        <f t="shared" si="376"/>
        <v/>
      </c>
      <c r="CB268" t="str">
        <f t="shared" si="377"/>
        <v/>
      </c>
      <c r="CC268">
        <f t="shared" si="378"/>
        <v>0</v>
      </c>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c r="HB268"/>
      <c r="HC268"/>
      <c r="HD268"/>
      <c r="HE268"/>
      <c r="HF268"/>
      <c r="HG268"/>
      <c r="HH268"/>
      <c r="HI268"/>
      <c r="HJ268"/>
      <c r="HK268"/>
      <c r="HL268"/>
      <c r="HM268"/>
      <c r="HN268"/>
      <c r="HO268"/>
      <c r="HP268"/>
      <c r="HQ268"/>
      <c r="HR268"/>
      <c r="HS268"/>
      <c r="HT268"/>
      <c r="HU268"/>
      <c r="HV268"/>
      <c r="HW268"/>
      <c r="HX268"/>
      <c r="HY268"/>
      <c r="HZ268"/>
      <c r="IA268"/>
      <c r="IB268"/>
      <c r="IC268"/>
      <c r="ID268"/>
      <c r="IE268"/>
      <c r="IF268"/>
      <c r="IG268"/>
      <c r="IH268"/>
      <c r="II268"/>
      <c r="IJ268"/>
      <c r="IK268"/>
      <c r="IL268"/>
      <c r="IM268"/>
      <c r="IN268"/>
      <c r="IO268"/>
      <c r="IP268"/>
      <c r="IQ268"/>
      <c r="IR268"/>
      <c r="IS268"/>
      <c r="IT268"/>
      <c r="IU268"/>
      <c r="IV268"/>
    </row>
    <row r="269" spans="1:256" s="1" customFormat="1"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f t="shared" si="355"/>
        <v>0</v>
      </c>
      <c r="BG269" t="str">
        <f t="shared" si="356"/>
        <v/>
      </c>
      <c r="BH269" t="str">
        <f t="shared" si="357"/>
        <v/>
      </c>
      <c r="BI269" t="str">
        <f t="shared" si="358"/>
        <v/>
      </c>
      <c r="BJ269" t="str">
        <f t="shared" si="359"/>
        <v/>
      </c>
      <c r="BK269" t="str">
        <f t="shared" si="360"/>
        <v/>
      </c>
      <c r="BL269" t="str">
        <f t="shared" si="361"/>
        <v/>
      </c>
      <c r="BM269" t="str">
        <f t="shared" si="362"/>
        <v/>
      </c>
      <c r="BN269" t="str">
        <f t="shared" si="363"/>
        <v/>
      </c>
      <c r="BO269" t="str">
        <f t="shared" si="364"/>
        <v/>
      </c>
      <c r="BP269" t="str">
        <f t="shared" si="365"/>
        <v/>
      </c>
      <c r="BQ269" t="str">
        <f t="shared" si="366"/>
        <v/>
      </c>
      <c r="BR269" t="str">
        <f t="shared" si="367"/>
        <v/>
      </c>
      <c r="BS269" t="str">
        <f t="shared" si="368"/>
        <v/>
      </c>
      <c r="BT269" t="str">
        <f t="shared" si="369"/>
        <v/>
      </c>
      <c r="BU269" t="str">
        <f t="shared" si="370"/>
        <v/>
      </c>
      <c r="BV269" t="str">
        <f t="shared" si="371"/>
        <v/>
      </c>
      <c r="BW269" t="str">
        <f t="shared" si="372"/>
        <v/>
      </c>
      <c r="BX269" t="str">
        <f t="shared" si="373"/>
        <v/>
      </c>
      <c r="BY269" t="str">
        <f t="shared" si="374"/>
        <v/>
      </c>
      <c r="BZ269" t="str">
        <f t="shared" si="375"/>
        <v/>
      </c>
      <c r="CA269" t="str">
        <f t="shared" si="376"/>
        <v/>
      </c>
      <c r="CB269" t="str">
        <f t="shared" si="377"/>
        <v/>
      </c>
      <c r="CC269">
        <f t="shared" si="378"/>
        <v>0</v>
      </c>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c r="HB269"/>
      <c r="HC269"/>
      <c r="HD269"/>
      <c r="HE269"/>
      <c r="HF269"/>
      <c r="HG269"/>
      <c r="HH269"/>
      <c r="HI269"/>
      <c r="HJ269"/>
      <c r="HK269"/>
      <c r="HL269"/>
      <c r="HM269"/>
      <c r="HN269"/>
      <c r="HO269"/>
      <c r="HP269"/>
      <c r="HQ269"/>
      <c r="HR269"/>
      <c r="HS269"/>
      <c r="HT269"/>
      <c r="HU269"/>
      <c r="HV269"/>
      <c r="HW269"/>
      <c r="HX269"/>
      <c r="HY269"/>
      <c r="HZ269"/>
      <c r="IA269"/>
      <c r="IB269"/>
      <c r="IC269"/>
      <c r="ID269"/>
      <c r="IE269"/>
      <c r="IF269"/>
      <c r="IG269"/>
      <c r="IH269"/>
      <c r="II269"/>
      <c r="IJ269"/>
      <c r="IK269"/>
      <c r="IL269"/>
      <c r="IM269"/>
      <c r="IN269"/>
      <c r="IO269"/>
      <c r="IP269"/>
      <c r="IQ269"/>
      <c r="IR269"/>
      <c r="IS269"/>
      <c r="IT269"/>
      <c r="IU269"/>
      <c r="IV269"/>
    </row>
    <row r="270" spans="1:256" s="1" customFormat="1"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f t="shared" si="355"/>
        <v>0</v>
      </c>
      <c r="BG270" t="str">
        <f t="shared" si="356"/>
        <v/>
      </c>
      <c r="BH270" t="str">
        <f t="shared" si="357"/>
        <v/>
      </c>
      <c r="BI270" t="str">
        <f t="shared" si="358"/>
        <v/>
      </c>
      <c r="BJ270" t="str">
        <f t="shared" si="359"/>
        <v/>
      </c>
      <c r="BK270" t="str">
        <f t="shared" si="360"/>
        <v/>
      </c>
      <c r="BL270" t="str">
        <f t="shared" si="361"/>
        <v/>
      </c>
      <c r="BM270" t="str">
        <f t="shared" si="362"/>
        <v/>
      </c>
      <c r="BN270" t="str">
        <f t="shared" si="363"/>
        <v/>
      </c>
      <c r="BO270" t="str">
        <f t="shared" si="364"/>
        <v/>
      </c>
      <c r="BP270" t="str">
        <f t="shared" si="365"/>
        <v/>
      </c>
      <c r="BQ270" t="str">
        <f t="shared" si="366"/>
        <v/>
      </c>
      <c r="BR270" t="str">
        <f t="shared" si="367"/>
        <v/>
      </c>
      <c r="BS270" t="str">
        <f t="shared" si="368"/>
        <v/>
      </c>
      <c r="BT270" t="str">
        <f t="shared" si="369"/>
        <v/>
      </c>
      <c r="BU270" t="str">
        <f t="shared" si="370"/>
        <v/>
      </c>
      <c r="BV270" t="str">
        <f t="shared" si="371"/>
        <v/>
      </c>
      <c r="BW270" t="str">
        <f t="shared" si="372"/>
        <v/>
      </c>
      <c r="BX270" t="str">
        <f t="shared" si="373"/>
        <v/>
      </c>
      <c r="BY270" t="str">
        <f t="shared" si="374"/>
        <v/>
      </c>
      <c r="BZ270" t="str">
        <f t="shared" si="375"/>
        <v/>
      </c>
      <c r="CA270" t="str">
        <f t="shared" si="376"/>
        <v/>
      </c>
      <c r="CB270" t="str">
        <f t="shared" si="377"/>
        <v/>
      </c>
      <c r="CC270">
        <f t="shared" si="378"/>
        <v>0</v>
      </c>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c r="HB270"/>
      <c r="HC270"/>
      <c r="HD270"/>
      <c r="HE270"/>
      <c r="HF270"/>
      <c r="HG270"/>
      <c r="HH270"/>
      <c r="HI270"/>
      <c r="HJ270"/>
      <c r="HK270"/>
      <c r="HL270"/>
      <c r="HM270"/>
      <c r="HN270"/>
      <c r="HO270"/>
      <c r="HP270"/>
      <c r="HQ270"/>
      <c r="HR270"/>
      <c r="HS270"/>
      <c r="HT270"/>
      <c r="HU270"/>
      <c r="HV270"/>
      <c r="HW270"/>
      <c r="HX270"/>
      <c r="HY270"/>
      <c r="HZ270"/>
      <c r="IA270"/>
      <c r="IB270"/>
      <c r="IC270"/>
      <c r="ID270"/>
      <c r="IE270"/>
      <c r="IF270"/>
      <c r="IG270"/>
      <c r="IH270"/>
      <c r="II270"/>
      <c r="IJ270"/>
      <c r="IK270"/>
      <c r="IL270"/>
      <c r="IM270"/>
      <c r="IN270"/>
      <c r="IO270"/>
      <c r="IP270"/>
      <c r="IQ270"/>
      <c r="IR270"/>
      <c r="IS270"/>
      <c r="IT270"/>
      <c r="IU270"/>
      <c r="IV270"/>
    </row>
    <row r="271" spans="1:256" s="1" customFormat="1"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f t="shared" si="355"/>
        <v>0</v>
      </c>
      <c r="BG271" t="str">
        <f t="shared" si="356"/>
        <v/>
      </c>
      <c r="BH271" t="str">
        <f t="shared" si="357"/>
        <v/>
      </c>
      <c r="BI271" t="str">
        <f t="shared" si="358"/>
        <v/>
      </c>
      <c r="BJ271" t="str">
        <f t="shared" si="359"/>
        <v/>
      </c>
      <c r="BK271" t="str">
        <f t="shared" si="360"/>
        <v/>
      </c>
      <c r="BL271" t="str">
        <f t="shared" si="361"/>
        <v/>
      </c>
      <c r="BM271" t="str">
        <f t="shared" si="362"/>
        <v/>
      </c>
      <c r="BN271" t="str">
        <f t="shared" si="363"/>
        <v/>
      </c>
      <c r="BO271" t="str">
        <f t="shared" si="364"/>
        <v/>
      </c>
      <c r="BP271" t="str">
        <f t="shared" si="365"/>
        <v/>
      </c>
      <c r="BQ271" t="str">
        <f t="shared" si="366"/>
        <v/>
      </c>
      <c r="BR271" t="str">
        <f t="shared" si="367"/>
        <v/>
      </c>
      <c r="BS271" t="str">
        <f t="shared" si="368"/>
        <v/>
      </c>
      <c r="BT271" t="str">
        <f t="shared" si="369"/>
        <v/>
      </c>
      <c r="BU271" t="str">
        <f t="shared" si="370"/>
        <v/>
      </c>
      <c r="BV271" t="str">
        <f t="shared" si="371"/>
        <v/>
      </c>
      <c r="BW271" t="str">
        <f t="shared" si="372"/>
        <v/>
      </c>
      <c r="BX271" t="str">
        <f t="shared" si="373"/>
        <v/>
      </c>
      <c r="BY271" t="str">
        <f t="shared" si="374"/>
        <v/>
      </c>
      <c r="BZ271" t="str">
        <f t="shared" si="375"/>
        <v/>
      </c>
      <c r="CA271" t="str">
        <f t="shared" si="376"/>
        <v/>
      </c>
      <c r="CB271" t="str">
        <f t="shared" si="377"/>
        <v/>
      </c>
      <c r="CC271">
        <f t="shared" si="378"/>
        <v>0</v>
      </c>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c r="HB271"/>
      <c r="HC271"/>
      <c r="HD271"/>
      <c r="HE271"/>
      <c r="HF271"/>
      <c r="HG271"/>
      <c r="HH271"/>
      <c r="HI271"/>
      <c r="HJ271"/>
      <c r="HK271"/>
      <c r="HL271"/>
      <c r="HM271"/>
      <c r="HN271"/>
      <c r="HO271"/>
      <c r="HP271"/>
      <c r="HQ271"/>
      <c r="HR271"/>
      <c r="HS271"/>
      <c r="HT271"/>
      <c r="HU271"/>
      <c r="HV271"/>
      <c r="HW271"/>
      <c r="HX271"/>
      <c r="HY271"/>
      <c r="HZ271"/>
      <c r="IA271"/>
      <c r="IB271"/>
      <c r="IC271"/>
      <c r="ID271"/>
      <c r="IE271"/>
      <c r="IF271"/>
      <c r="IG271"/>
      <c r="IH271"/>
      <c r="II271"/>
      <c r="IJ271"/>
      <c r="IK271"/>
      <c r="IL271"/>
      <c r="IM271"/>
      <c r="IN271"/>
      <c r="IO271"/>
      <c r="IP271"/>
      <c r="IQ271"/>
      <c r="IR271"/>
      <c r="IS271"/>
      <c r="IT271"/>
      <c r="IU271"/>
      <c r="IV271"/>
    </row>
    <row r="272" spans="1:256" s="1" customFormat="1"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f t="shared" si="355"/>
        <v>0</v>
      </c>
      <c r="BG272" t="str">
        <f t="shared" si="356"/>
        <v/>
      </c>
      <c r="BH272" t="str">
        <f t="shared" si="357"/>
        <v/>
      </c>
      <c r="BI272" t="str">
        <f t="shared" si="358"/>
        <v/>
      </c>
      <c r="BJ272" t="str">
        <f t="shared" si="359"/>
        <v/>
      </c>
      <c r="BK272" t="str">
        <f t="shared" si="360"/>
        <v/>
      </c>
      <c r="BL272" t="str">
        <f t="shared" si="361"/>
        <v/>
      </c>
      <c r="BM272" t="str">
        <f t="shared" si="362"/>
        <v/>
      </c>
      <c r="BN272" t="str">
        <f t="shared" si="363"/>
        <v/>
      </c>
      <c r="BO272" t="str">
        <f t="shared" si="364"/>
        <v/>
      </c>
      <c r="BP272" t="str">
        <f t="shared" si="365"/>
        <v/>
      </c>
      <c r="BQ272" t="str">
        <f t="shared" si="366"/>
        <v/>
      </c>
      <c r="BR272" t="str">
        <f t="shared" si="367"/>
        <v/>
      </c>
      <c r="BS272" t="str">
        <f t="shared" si="368"/>
        <v/>
      </c>
      <c r="BT272" t="str">
        <f t="shared" si="369"/>
        <v/>
      </c>
      <c r="BU272" t="str">
        <f t="shared" si="370"/>
        <v/>
      </c>
      <c r="BV272" t="str">
        <f t="shared" si="371"/>
        <v/>
      </c>
      <c r="BW272" t="str">
        <f t="shared" si="372"/>
        <v/>
      </c>
      <c r="BX272" t="str">
        <f t="shared" si="373"/>
        <v/>
      </c>
      <c r="BY272" t="str">
        <f t="shared" si="374"/>
        <v/>
      </c>
      <c r="BZ272" t="str">
        <f t="shared" si="375"/>
        <v/>
      </c>
      <c r="CA272" t="str">
        <f t="shared" si="376"/>
        <v/>
      </c>
      <c r="CB272" t="str">
        <f t="shared" si="377"/>
        <v/>
      </c>
      <c r="CC272">
        <f t="shared" si="378"/>
        <v>0</v>
      </c>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c r="HB272"/>
      <c r="HC272"/>
      <c r="HD272"/>
      <c r="HE272"/>
      <c r="HF272"/>
      <c r="HG272"/>
      <c r="HH272"/>
      <c r="HI272"/>
      <c r="HJ272"/>
      <c r="HK272"/>
      <c r="HL272"/>
      <c r="HM272"/>
      <c r="HN272"/>
      <c r="HO272"/>
      <c r="HP272"/>
      <c r="HQ272"/>
      <c r="HR272"/>
      <c r="HS272"/>
      <c r="HT272"/>
      <c r="HU272"/>
      <c r="HV272"/>
      <c r="HW272"/>
      <c r="HX272"/>
      <c r="HY272"/>
      <c r="HZ272"/>
      <c r="IA272"/>
      <c r="IB272"/>
      <c r="IC272"/>
      <c r="ID272"/>
      <c r="IE272"/>
      <c r="IF272"/>
      <c r="IG272"/>
      <c r="IH272"/>
      <c r="II272"/>
      <c r="IJ272"/>
      <c r="IK272"/>
      <c r="IL272"/>
      <c r="IM272"/>
      <c r="IN272"/>
      <c r="IO272"/>
      <c r="IP272"/>
      <c r="IQ272"/>
      <c r="IR272"/>
      <c r="IS272"/>
      <c r="IT272"/>
      <c r="IU272"/>
      <c r="IV272"/>
    </row>
    <row r="273" spans="1:256" s="1" customFormat="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f t="shared" si="355"/>
        <v>0</v>
      </c>
      <c r="BG273" t="str">
        <f t="shared" si="356"/>
        <v/>
      </c>
      <c r="BH273" t="str">
        <f t="shared" si="357"/>
        <v/>
      </c>
      <c r="BI273" t="str">
        <f t="shared" si="358"/>
        <v/>
      </c>
      <c r="BJ273" t="str">
        <f t="shared" si="359"/>
        <v/>
      </c>
      <c r="BK273" t="str">
        <f t="shared" si="360"/>
        <v/>
      </c>
      <c r="BL273" t="str">
        <f t="shared" si="361"/>
        <v/>
      </c>
      <c r="BM273" t="str">
        <f t="shared" si="362"/>
        <v/>
      </c>
      <c r="BN273" t="str">
        <f t="shared" si="363"/>
        <v/>
      </c>
      <c r="BO273" t="str">
        <f t="shared" si="364"/>
        <v/>
      </c>
      <c r="BP273" t="str">
        <f t="shared" si="365"/>
        <v/>
      </c>
      <c r="BQ273" t="str">
        <f t="shared" si="366"/>
        <v/>
      </c>
      <c r="BR273" t="str">
        <f t="shared" si="367"/>
        <v/>
      </c>
      <c r="BS273" t="str">
        <f t="shared" si="368"/>
        <v/>
      </c>
      <c r="BT273" t="str">
        <f t="shared" si="369"/>
        <v/>
      </c>
      <c r="BU273" t="str">
        <f t="shared" si="370"/>
        <v/>
      </c>
      <c r="BV273" t="str">
        <f t="shared" si="371"/>
        <v/>
      </c>
      <c r="BW273" t="str">
        <f t="shared" si="372"/>
        <v/>
      </c>
      <c r="BX273" t="str">
        <f t="shared" si="373"/>
        <v/>
      </c>
      <c r="BY273" t="str">
        <f t="shared" si="374"/>
        <v/>
      </c>
      <c r="BZ273" t="str">
        <f t="shared" si="375"/>
        <v/>
      </c>
      <c r="CA273" t="str">
        <f t="shared" si="376"/>
        <v/>
      </c>
      <c r="CB273" t="str">
        <f t="shared" si="377"/>
        <v/>
      </c>
      <c r="CC273">
        <f t="shared" si="378"/>
        <v>0</v>
      </c>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c r="HB273"/>
      <c r="HC273"/>
      <c r="HD273"/>
      <c r="HE273"/>
      <c r="HF273"/>
      <c r="HG273"/>
      <c r="HH273"/>
      <c r="HI273"/>
      <c r="HJ273"/>
      <c r="HK273"/>
      <c r="HL273"/>
      <c r="HM273"/>
      <c r="HN273"/>
      <c r="HO273"/>
      <c r="HP273"/>
      <c r="HQ273"/>
      <c r="HR273"/>
      <c r="HS273"/>
      <c r="HT273"/>
      <c r="HU273"/>
      <c r="HV273"/>
      <c r="HW273"/>
      <c r="HX273"/>
      <c r="HY273"/>
      <c r="HZ273"/>
      <c r="IA273"/>
      <c r="IB273"/>
      <c r="IC273"/>
      <c r="ID273"/>
      <c r="IE273"/>
      <c r="IF273"/>
      <c r="IG273"/>
      <c r="IH273"/>
      <c r="II273"/>
      <c r="IJ273"/>
      <c r="IK273"/>
      <c r="IL273"/>
      <c r="IM273"/>
      <c r="IN273"/>
      <c r="IO273"/>
      <c r="IP273"/>
      <c r="IQ273"/>
      <c r="IR273"/>
      <c r="IS273"/>
      <c r="IT273"/>
      <c r="IU273"/>
      <c r="IV273"/>
    </row>
    <row r="274" spans="1:256" s="1" customFormat="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f t="shared" si="355"/>
        <v>0</v>
      </c>
      <c r="BG274" t="str">
        <f t="shared" si="356"/>
        <v/>
      </c>
      <c r="BH274" t="str">
        <f t="shared" si="357"/>
        <v/>
      </c>
      <c r="BI274" t="str">
        <f t="shared" si="358"/>
        <v/>
      </c>
      <c r="BJ274" t="str">
        <f t="shared" si="359"/>
        <v/>
      </c>
      <c r="BK274" t="str">
        <f t="shared" si="360"/>
        <v/>
      </c>
      <c r="BL274" t="str">
        <f t="shared" si="361"/>
        <v/>
      </c>
      <c r="BM274" t="str">
        <f t="shared" si="362"/>
        <v/>
      </c>
      <c r="BN274" t="str">
        <f t="shared" si="363"/>
        <v/>
      </c>
      <c r="BO274" t="str">
        <f t="shared" si="364"/>
        <v/>
      </c>
      <c r="BP274" t="str">
        <f t="shared" si="365"/>
        <v/>
      </c>
      <c r="BQ274" t="str">
        <f t="shared" si="366"/>
        <v/>
      </c>
      <c r="BR274" t="str">
        <f t="shared" si="367"/>
        <v/>
      </c>
      <c r="BS274" t="str">
        <f t="shared" si="368"/>
        <v/>
      </c>
      <c r="BT274" t="str">
        <f t="shared" si="369"/>
        <v/>
      </c>
      <c r="BU274" t="str">
        <f t="shared" si="370"/>
        <v/>
      </c>
      <c r="BV274" t="str">
        <f t="shared" si="371"/>
        <v/>
      </c>
      <c r="BW274" t="str">
        <f t="shared" si="372"/>
        <v/>
      </c>
      <c r="BX274" t="str">
        <f t="shared" si="373"/>
        <v/>
      </c>
      <c r="BY274" t="str">
        <f t="shared" si="374"/>
        <v/>
      </c>
      <c r="BZ274" t="str">
        <f t="shared" si="375"/>
        <v/>
      </c>
      <c r="CA274" t="str">
        <f t="shared" si="376"/>
        <v/>
      </c>
      <c r="CB274" t="str">
        <f t="shared" si="377"/>
        <v/>
      </c>
      <c r="CC274">
        <f t="shared" si="378"/>
        <v>0</v>
      </c>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c r="HB274"/>
      <c r="HC274"/>
      <c r="HD274"/>
      <c r="HE274"/>
      <c r="HF274"/>
      <c r="HG274"/>
      <c r="HH274"/>
      <c r="HI274"/>
      <c r="HJ274"/>
      <c r="HK274"/>
      <c r="HL274"/>
      <c r="HM274"/>
      <c r="HN274"/>
      <c r="HO274"/>
      <c r="HP274"/>
      <c r="HQ274"/>
      <c r="HR274"/>
      <c r="HS274"/>
      <c r="HT274"/>
      <c r="HU274"/>
      <c r="HV274"/>
      <c r="HW274"/>
      <c r="HX274"/>
      <c r="HY274"/>
      <c r="HZ274"/>
      <c r="IA274"/>
      <c r="IB274"/>
      <c r="IC274"/>
      <c r="ID274"/>
      <c r="IE274"/>
      <c r="IF274"/>
      <c r="IG274"/>
      <c r="IH274"/>
      <c r="II274"/>
      <c r="IJ274"/>
      <c r="IK274"/>
      <c r="IL274"/>
      <c r="IM274"/>
      <c r="IN274"/>
      <c r="IO274"/>
      <c r="IP274"/>
      <c r="IQ274"/>
      <c r="IR274"/>
      <c r="IS274"/>
      <c r="IT274"/>
      <c r="IU274"/>
      <c r="IV274"/>
    </row>
    <row r="275" spans="1:256" s="1" customFormat="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f t="shared" si="355"/>
        <v>0</v>
      </c>
      <c r="BG275" t="str">
        <f t="shared" si="356"/>
        <v/>
      </c>
      <c r="BH275" t="str">
        <f t="shared" si="357"/>
        <v/>
      </c>
      <c r="BI275" t="str">
        <f t="shared" si="358"/>
        <v/>
      </c>
      <c r="BJ275" t="str">
        <f t="shared" si="359"/>
        <v/>
      </c>
      <c r="BK275" t="str">
        <f t="shared" si="360"/>
        <v/>
      </c>
      <c r="BL275" t="str">
        <f t="shared" si="361"/>
        <v/>
      </c>
      <c r="BM275" t="str">
        <f t="shared" si="362"/>
        <v/>
      </c>
      <c r="BN275" t="str">
        <f t="shared" si="363"/>
        <v/>
      </c>
      <c r="BO275" t="str">
        <f t="shared" si="364"/>
        <v/>
      </c>
      <c r="BP275" t="str">
        <f t="shared" si="365"/>
        <v/>
      </c>
      <c r="BQ275" t="str">
        <f t="shared" si="366"/>
        <v/>
      </c>
      <c r="BR275" t="str">
        <f t="shared" si="367"/>
        <v/>
      </c>
      <c r="BS275" t="str">
        <f t="shared" si="368"/>
        <v/>
      </c>
      <c r="BT275" t="str">
        <f t="shared" si="369"/>
        <v/>
      </c>
      <c r="BU275" t="str">
        <f t="shared" si="370"/>
        <v/>
      </c>
      <c r="BV275" t="str">
        <f t="shared" si="371"/>
        <v/>
      </c>
      <c r="BW275" t="str">
        <f t="shared" si="372"/>
        <v/>
      </c>
      <c r="BX275" t="str">
        <f t="shared" si="373"/>
        <v/>
      </c>
      <c r="BY275" t="str">
        <f t="shared" si="374"/>
        <v/>
      </c>
      <c r="BZ275" t="str">
        <f t="shared" si="375"/>
        <v/>
      </c>
      <c r="CA275" t="str">
        <f t="shared" si="376"/>
        <v/>
      </c>
      <c r="CB275" t="str">
        <f t="shared" si="377"/>
        <v/>
      </c>
      <c r="CC275">
        <f t="shared" si="378"/>
        <v>0</v>
      </c>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c r="HB275"/>
      <c r="HC275"/>
      <c r="HD275"/>
      <c r="HE275"/>
      <c r="HF275"/>
      <c r="HG275"/>
      <c r="HH275"/>
      <c r="HI275"/>
      <c r="HJ275"/>
      <c r="HK275"/>
      <c r="HL275"/>
      <c r="HM275"/>
      <c r="HN275"/>
      <c r="HO275"/>
      <c r="HP275"/>
      <c r="HQ275"/>
      <c r="HR275"/>
      <c r="HS275"/>
      <c r="HT275"/>
      <c r="HU275"/>
      <c r="HV275"/>
      <c r="HW275"/>
      <c r="HX275"/>
      <c r="HY275"/>
      <c r="HZ275"/>
      <c r="IA275"/>
      <c r="IB275"/>
      <c r="IC275"/>
      <c r="ID275"/>
      <c r="IE275"/>
      <c r="IF275"/>
      <c r="IG275"/>
      <c r="IH275"/>
      <c r="II275"/>
      <c r="IJ275"/>
      <c r="IK275"/>
      <c r="IL275"/>
      <c r="IM275"/>
      <c r="IN275"/>
      <c r="IO275"/>
      <c r="IP275"/>
      <c r="IQ275"/>
      <c r="IR275"/>
      <c r="IS275"/>
      <c r="IT275"/>
      <c r="IU275"/>
      <c r="IV275"/>
    </row>
    <row r="276" spans="1:256" s="1" customFormat="1"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f t="shared" si="355"/>
        <v>0</v>
      </c>
      <c r="BG276" t="str">
        <f t="shared" si="356"/>
        <v/>
      </c>
      <c r="BH276" t="str">
        <f t="shared" si="357"/>
        <v/>
      </c>
      <c r="BI276" t="str">
        <f t="shared" si="358"/>
        <v/>
      </c>
      <c r="BJ276" t="str">
        <f t="shared" si="359"/>
        <v/>
      </c>
      <c r="BK276" t="str">
        <f t="shared" si="360"/>
        <v/>
      </c>
      <c r="BL276" t="str">
        <f t="shared" si="361"/>
        <v/>
      </c>
      <c r="BM276" t="str">
        <f t="shared" si="362"/>
        <v/>
      </c>
      <c r="BN276" t="str">
        <f t="shared" si="363"/>
        <v/>
      </c>
      <c r="BO276" t="str">
        <f t="shared" si="364"/>
        <v/>
      </c>
      <c r="BP276" t="str">
        <f t="shared" si="365"/>
        <v/>
      </c>
      <c r="BQ276" t="str">
        <f t="shared" si="366"/>
        <v/>
      </c>
      <c r="BR276" t="str">
        <f t="shared" si="367"/>
        <v/>
      </c>
      <c r="BS276" t="str">
        <f t="shared" si="368"/>
        <v/>
      </c>
      <c r="BT276" t="str">
        <f t="shared" si="369"/>
        <v/>
      </c>
      <c r="BU276" t="str">
        <f t="shared" si="370"/>
        <v/>
      </c>
      <c r="BV276" t="str">
        <f t="shared" si="371"/>
        <v/>
      </c>
      <c r="BW276" t="str">
        <f t="shared" si="372"/>
        <v/>
      </c>
      <c r="BX276" t="str">
        <f t="shared" si="373"/>
        <v/>
      </c>
      <c r="BY276" t="str">
        <f t="shared" si="374"/>
        <v/>
      </c>
      <c r="BZ276" t="str">
        <f t="shared" si="375"/>
        <v/>
      </c>
      <c r="CA276" t="str">
        <f t="shared" si="376"/>
        <v/>
      </c>
      <c r="CB276" t="str">
        <f t="shared" si="377"/>
        <v/>
      </c>
      <c r="CC276">
        <f t="shared" si="378"/>
        <v>0</v>
      </c>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c r="HB276"/>
      <c r="HC276"/>
      <c r="HD276"/>
      <c r="HE276"/>
      <c r="HF276"/>
      <c r="HG276"/>
      <c r="HH276"/>
      <c r="HI276"/>
      <c r="HJ276"/>
      <c r="HK276"/>
      <c r="HL276"/>
      <c r="HM276"/>
      <c r="HN276"/>
      <c r="HO276"/>
      <c r="HP276"/>
      <c r="HQ276"/>
      <c r="HR276"/>
      <c r="HS276"/>
      <c r="HT276"/>
      <c r="HU276"/>
      <c r="HV276"/>
      <c r="HW276"/>
      <c r="HX276"/>
      <c r="HY276"/>
      <c r="HZ276"/>
      <c r="IA276"/>
      <c r="IB276"/>
      <c r="IC276"/>
      <c r="ID276"/>
      <c r="IE276"/>
      <c r="IF276"/>
      <c r="IG276"/>
      <c r="IH276"/>
      <c r="II276"/>
      <c r="IJ276"/>
      <c r="IK276"/>
      <c r="IL276"/>
      <c r="IM276"/>
      <c r="IN276"/>
      <c r="IO276"/>
      <c r="IP276"/>
      <c r="IQ276"/>
      <c r="IR276"/>
      <c r="IS276"/>
      <c r="IT276"/>
      <c r="IU276"/>
      <c r="IV276"/>
    </row>
    <row r="277" spans="1:256" s="1" customFormat="1"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f t="shared" si="355"/>
        <v>0</v>
      </c>
      <c r="BG277" t="str">
        <f t="shared" si="356"/>
        <v/>
      </c>
      <c r="BH277" t="str">
        <f t="shared" si="357"/>
        <v/>
      </c>
      <c r="BI277" t="str">
        <f t="shared" si="358"/>
        <v/>
      </c>
      <c r="BJ277" t="str">
        <f t="shared" si="359"/>
        <v/>
      </c>
      <c r="BK277" t="str">
        <f t="shared" si="360"/>
        <v/>
      </c>
      <c r="BL277" t="str">
        <f t="shared" si="361"/>
        <v/>
      </c>
      <c r="BM277" t="str">
        <f t="shared" si="362"/>
        <v/>
      </c>
      <c r="BN277" t="str">
        <f t="shared" si="363"/>
        <v/>
      </c>
      <c r="BO277" t="str">
        <f t="shared" si="364"/>
        <v/>
      </c>
      <c r="BP277" t="str">
        <f t="shared" si="365"/>
        <v/>
      </c>
      <c r="BQ277" t="str">
        <f t="shared" si="366"/>
        <v/>
      </c>
      <c r="BR277" t="str">
        <f t="shared" si="367"/>
        <v/>
      </c>
      <c r="BS277" t="str">
        <f t="shared" si="368"/>
        <v/>
      </c>
      <c r="BT277" t="str">
        <f t="shared" si="369"/>
        <v/>
      </c>
      <c r="BU277" t="str">
        <f t="shared" si="370"/>
        <v/>
      </c>
      <c r="BV277" t="str">
        <f t="shared" si="371"/>
        <v/>
      </c>
      <c r="BW277" t="str">
        <f t="shared" si="372"/>
        <v/>
      </c>
      <c r="BX277" t="str">
        <f t="shared" si="373"/>
        <v/>
      </c>
      <c r="BY277" t="str">
        <f t="shared" si="374"/>
        <v/>
      </c>
      <c r="BZ277" t="str">
        <f t="shared" si="375"/>
        <v/>
      </c>
      <c r="CA277" t="str">
        <f t="shared" si="376"/>
        <v/>
      </c>
      <c r="CB277" t="str">
        <f t="shared" si="377"/>
        <v/>
      </c>
      <c r="CC277">
        <f t="shared" si="378"/>
        <v>0</v>
      </c>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c r="HB277"/>
      <c r="HC277"/>
      <c r="HD277"/>
      <c r="HE277"/>
      <c r="HF277"/>
      <c r="HG277"/>
      <c r="HH277"/>
      <c r="HI277"/>
      <c r="HJ277"/>
      <c r="HK277"/>
      <c r="HL277"/>
      <c r="HM277"/>
      <c r="HN277"/>
      <c r="HO277"/>
      <c r="HP277"/>
      <c r="HQ277"/>
      <c r="HR277"/>
      <c r="HS277"/>
      <c r="HT277"/>
      <c r="HU277"/>
      <c r="HV277"/>
      <c r="HW277"/>
      <c r="HX277"/>
      <c r="HY277"/>
      <c r="HZ277"/>
      <c r="IA277"/>
      <c r="IB277"/>
      <c r="IC277"/>
      <c r="ID277"/>
      <c r="IE277"/>
      <c r="IF277"/>
      <c r="IG277"/>
      <c r="IH277"/>
      <c r="II277"/>
      <c r="IJ277"/>
      <c r="IK277"/>
      <c r="IL277"/>
      <c r="IM277"/>
      <c r="IN277"/>
      <c r="IO277"/>
      <c r="IP277"/>
      <c r="IQ277"/>
      <c r="IR277"/>
      <c r="IS277"/>
      <c r="IT277"/>
      <c r="IU277"/>
      <c r="IV277"/>
    </row>
    <row r="278" spans="1:256" s="1" customFormat="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f t="shared" si="355"/>
        <v>0</v>
      </c>
      <c r="BG278" t="str">
        <f t="shared" si="356"/>
        <v/>
      </c>
      <c r="BH278" t="str">
        <f t="shared" si="357"/>
        <v/>
      </c>
      <c r="BI278" t="str">
        <f t="shared" si="358"/>
        <v/>
      </c>
      <c r="BJ278" t="str">
        <f t="shared" si="359"/>
        <v/>
      </c>
      <c r="BK278" t="str">
        <f t="shared" si="360"/>
        <v/>
      </c>
      <c r="BL278" t="str">
        <f t="shared" si="361"/>
        <v/>
      </c>
      <c r="BM278" t="str">
        <f t="shared" si="362"/>
        <v/>
      </c>
      <c r="BN278" t="str">
        <f t="shared" si="363"/>
        <v/>
      </c>
      <c r="BO278" t="str">
        <f t="shared" si="364"/>
        <v/>
      </c>
      <c r="BP278" t="str">
        <f t="shared" si="365"/>
        <v/>
      </c>
      <c r="BQ278" t="str">
        <f t="shared" si="366"/>
        <v/>
      </c>
      <c r="BR278" t="str">
        <f t="shared" si="367"/>
        <v/>
      </c>
      <c r="BS278" t="str">
        <f t="shared" si="368"/>
        <v/>
      </c>
      <c r="BT278" t="str">
        <f t="shared" si="369"/>
        <v/>
      </c>
      <c r="BU278" t="str">
        <f t="shared" si="370"/>
        <v/>
      </c>
      <c r="BV278" t="str">
        <f t="shared" si="371"/>
        <v/>
      </c>
      <c r="BW278" t="str">
        <f t="shared" si="372"/>
        <v/>
      </c>
      <c r="BX278" t="str">
        <f t="shared" si="373"/>
        <v/>
      </c>
      <c r="BY278" t="str">
        <f t="shared" si="374"/>
        <v/>
      </c>
      <c r="BZ278" t="str">
        <f t="shared" si="375"/>
        <v/>
      </c>
      <c r="CA278" t="str">
        <f t="shared" si="376"/>
        <v/>
      </c>
      <c r="CB278" t="str">
        <f t="shared" si="377"/>
        <v/>
      </c>
      <c r="CC278">
        <f t="shared" si="378"/>
        <v>0</v>
      </c>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c r="HB278"/>
      <c r="HC278"/>
      <c r="HD278"/>
      <c r="HE278"/>
      <c r="HF278"/>
      <c r="HG278"/>
      <c r="HH278"/>
      <c r="HI278"/>
      <c r="HJ278"/>
      <c r="HK278"/>
      <c r="HL278"/>
      <c r="HM278"/>
      <c r="HN278"/>
      <c r="HO278"/>
      <c r="HP278"/>
      <c r="HQ278"/>
      <c r="HR278"/>
      <c r="HS278"/>
      <c r="HT278"/>
      <c r="HU278"/>
      <c r="HV278"/>
      <c r="HW278"/>
      <c r="HX278"/>
      <c r="HY278"/>
      <c r="HZ278"/>
      <c r="IA278"/>
      <c r="IB278"/>
      <c r="IC278"/>
      <c r="ID278"/>
      <c r="IE278"/>
      <c r="IF278"/>
      <c r="IG278"/>
      <c r="IH278"/>
      <c r="II278"/>
      <c r="IJ278"/>
      <c r="IK278"/>
      <c r="IL278"/>
      <c r="IM278"/>
      <c r="IN278"/>
      <c r="IO278"/>
      <c r="IP278"/>
      <c r="IQ278"/>
      <c r="IR278"/>
      <c r="IS278"/>
      <c r="IT278"/>
      <c r="IU278"/>
      <c r="IV278"/>
    </row>
    <row r="279" spans="1:256" s="1" customFormat="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f t="shared" si="355"/>
        <v>0</v>
      </c>
      <c r="BG279" t="str">
        <f t="shared" si="356"/>
        <v/>
      </c>
      <c r="BH279" t="str">
        <f t="shared" si="357"/>
        <v/>
      </c>
      <c r="BI279" t="str">
        <f t="shared" si="358"/>
        <v/>
      </c>
      <c r="BJ279" t="str">
        <f t="shared" si="359"/>
        <v/>
      </c>
      <c r="BK279" t="str">
        <f t="shared" si="360"/>
        <v/>
      </c>
      <c r="BL279" t="str">
        <f t="shared" si="361"/>
        <v/>
      </c>
      <c r="BM279" t="str">
        <f t="shared" si="362"/>
        <v/>
      </c>
      <c r="BN279" t="str">
        <f t="shared" si="363"/>
        <v/>
      </c>
      <c r="BO279" t="str">
        <f t="shared" si="364"/>
        <v/>
      </c>
      <c r="BP279" t="str">
        <f t="shared" si="365"/>
        <v/>
      </c>
      <c r="BQ279" t="str">
        <f t="shared" si="366"/>
        <v/>
      </c>
      <c r="BR279" t="str">
        <f t="shared" si="367"/>
        <v/>
      </c>
      <c r="BS279" t="str">
        <f t="shared" si="368"/>
        <v/>
      </c>
      <c r="BT279" t="str">
        <f t="shared" si="369"/>
        <v/>
      </c>
      <c r="BU279" t="str">
        <f t="shared" si="370"/>
        <v/>
      </c>
      <c r="BV279" t="str">
        <f t="shared" si="371"/>
        <v/>
      </c>
      <c r="BW279" t="str">
        <f t="shared" si="372"/>
        <v/>
      </c>
      <c r="BX279" t="str">
        <f t="shared" si="373"/>
        <v/>
      </c>
      <c r="BY279" t="str">
        <f t="shared" si="374"/>
        <v/>
      </c>
      <c r="BZ279" t="str">
        <f t="shared" si="375"/>
        <v/>
      </c>
      <c r="CA279" t="str">
        <f t="shared" si="376"/>
        <v/>
      </c>
      <c r="CB279" t="str">
        <f t="shared" si="377"/>
        <v/>
      </c>
      <c r="CC279">
        <f t="shared" si="378"/>
        <v>0</v>
      </c>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c r="HB279"/>
      <c r="HC279"/>
      <c r="HD279"/>
      <c r="HE279"/>
      <c r="HF279"/>
      <c r="HG279"/>
      <c r="HH279"/>
      <c r="HI279"/>
      <c r="HJ279"/>
      <c r="HK279"/>
      <c r="HL279"/>
      <c r="HM279"/>
      <c r="HN279"/>
      <c r="HO279"/>
      <c r="HP279"/>
      <c r="HQ279"/>
      <c r="HR279"/>
      <c r="HS279"/>
      <c r="HT279"/>
      <c r="HU279"/>
      <c r="HV279"/>
      <c r="HW279"/>
      <c r="HX279"/>
      <c r="HY279"/>
      <c r="HZ279"/>
      <c r="IA279"/>
      <c r="IB279"/>
      <c r="IC279"/>
      <c r="ID279"/>
      <c r="IE279"/>
      <c r="IF279"/>
      <c r="IG279"/>
      <c r="IH279"/>
      <c r="II279"/>
      <c r="IJ279"/>
      <c r="IK279"/>
      <c r="IL279"/>
      <c r="IM279"/>
      <c r="IN279"/>
      <c r="IO279"/>
      <c r="IP279"/>
      <c r="IQ279"/>
      <c r="IR279"/>
      <c r="IS279"/>
      <c r="IT279"/>
      <c r="IU279"/>
      <c r="IV279"/>
    </row>
    <row r="280" spans="1:256" s="1" customFormat="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f t="shared" si="355"/>
        <v>0</v>
      </c>
      <c r="BG280" t="str">
        <f t="shared" si="356"/>
        <v/>
      </c>
      <c r="BH280" t="str">
        <f t="shared" si="357"/>
        <v/>
      </c>
      <c r="BI280" t="str">
        <f t="shared" si="358"/>
        <v/>
      </c>
      <c r="BJ280" t="str">
        <f t="shared" si="359"/>
        <v/>
      </c>
      <c r="BK280" t="str">
        <f t="shared" si="360"/>
        <v/>
      </c>
      <c r="BL280" t="str">
        <f t="shared" si="361"/>
        <v/>
      </c>
      <c r="BM280" t="str">
        <f t="shared" si="362"/>
        <v/>
      </c>
      <c r="BN280" t="str">
        <f t="shared" si="363"/>
        <v/>
      </c>
      <c r="BO280" t="str">
        <f t="shared" si="364"/>
        <v/>
      </c>
      <c r="BP280" t="str">
        <f t="shared" si="365"/>
        <v/>
      </c>
      <c r="BQ280" t="str">
        <f t="shared" si="366"/>
        <v/>
      </c>
      <c r="BR280" t="str">
        <f t="shared" si="367"/>
        <v/>
      </c>
      <c r="BS280" t="str">
        <f t="shared" si="368"/>
        <v/>
      </c>
      <c r="BT280" t="str">
        <f t="shared" si="369"/>
        <v/>
      </c>
      <c r="BU280" t="str">
        <f t="shared" si="370"/>
        <v/>
      </c>
      <c r="BV280" t="str">
        <f t="shared" si="371"/>
        <v/>
      </c>
      <c r="BW280" t="str">
        <f t="shared" si="372"/>
        <v/>
      </c>
      <c r="BX280" t="str">
        <f t="shared" si="373"/>
        <v/>
      </c>
      <c r="BY280" t="str">
        <f t="shared" si="374"/>
        <v/>
      </c>
      <c r="BZ280" t="str">
        <f t="shared" si="375"/>
        <v/>
      </c>
      <c r="CA280" t="str">
        <f t="shared" si="376"/>
        <v/>
      </c>
      <c r="CB280" t="str">
        <f t="shared" si="377"/>
        <v/>
      </c>
      <c r="CC280">
        <f t="shared" si="378"/>
        <v>0</v>
      </c>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c r="HB280"/>
      <c r="HC280"/>
      <c r="HD280"/>
      <c r="HE280"/>
      <c r="HF280"/>
      <c r="HG280"/>
      <c r="HH280"/>
      <c r="HI280"/>
      <c r="HJ280"/>
      <c r="HK280"/>
      <c r="HL280"/>
      <c r="HM280"/>
      <c r="HN280"/>
      <c r="HO280"/>
      <c r="HP280"/>
      <c r="HQ280"/>
      <c r="HR280"/>
      <c r="HS280"/>
      <c r="HT280"/>
      <c r="HU280"/>
      <c r="HV280"/>
      <c r="HW280"/>
      <c r="HX280"/>
      <c r="HY280"/>
      <c r="HZ280"/>
      <c r="IA280"/>
      <c r="IB280"/>
      <c r="IC280"/>
      <c r="ID280"/>
      <c r="IE280"/>
      <c r="IF280"/>
      <c r="IG280"/>
      <c r="IH280"/>
      <c r="II280"/>
      <c r="IJ280"/>
      <c r="IK280"/>
      <c r="IL280"/>
      <c r="IM280"/>
      <c r="IN280"/>
      <c r="IO280"/>
      <c r="IP280"/>
      <c r="IQ280"/>
      <c r="IR280"/>
      <c r="IS280"/>
      <c r="IT280"/>
      <c r="IU280"/>
      <c r="IV280"/>
    </row>
    <row r="281" spans="1:256" s="1" customFormat="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f t="shared" si="355"/>
        <v>0</v>
      </c>
      <c r="BG281" t="str">
        <f t="shared" si="356"/>
        <v/>
      </c>
      <c r="BH281" t="str">
        <f t="shared" si="357"/>
        <v/>
      </c>
      <c r="BI281" t="str">
        <f t="shared" si="358"/>
        <v/>
      </c>
      <c r="BJ281" t="str">
        <f t="shared" si="359"/>
        <v/>
      </c>
      <c r="BK281" t="str">
        <f t="shared" si="360"/>
        <v/>
      </c>
      <c r="BL281" t="str">
        <f t="shared" si="361"/>
        <v/>
      </c>
      <c r="BM281" t="str">
        <f t="shared" si="362"/>
        <v/>
      </c>
      <c r="BN281" t="str">
        <f t="shared" si="363"/>
        <v/>
      </c>
      <c r="BO281" t="str">
        <f t="shared" si="364"/>
        <v/>
      </c>
      <c r="BP281" t="str">
        <f t="shared" si="365"/>
        <v/>
      </c>
      <c r="BQ281" t="str">
        <f t="shared" si="366"/>
        <v/>
      </c>
      <c r="BR281" t="str">
        <f t="shared" si="367"/>
        <v/>
      </c>
      <c r="BS281" t="str">
        <f t="shared" si="368"/>
        <v/>
      </c>
      <c r="BT281" t="str">
        <f t="shared" si="369"/>
        <v/>
      </c>
      <c r="BU281" t="str">
        <f t="shared" si="370"/>
        <v/>
      </c>
      <c r="BV281" t="str">
        <f t="shared" si="371"/>
        <v/>
      </c>
      <c r="BW281" t="str">
        <f t="shared" si="372"/>
        <v/>
      </c>
      <c r="BX281" t="str">
        <f t="shared" si="373"/>
        <v/>
      </c>
      <c r="BY281" t="str">
        <f t="shared" si="374"/>
        <v/>
      </c>
      <c r="BZ281" t="str">
        <f t="shared" si="375"/>
        <v/>
      </c>
      <c r="CA281" t="str">
        <f t="shared" si="376"/>
        <v/>
      </c>
      <c r="CB281" t="str">
        <f t="shared" si="377"/>
        <v/>
      </c>
      <c r="CC281">
        <f t="shared" si="378"/>
        <v>0</v>
      </c>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c r="HB281"/>
      <c r="HC281"/>
      <c r="HD281"/>
      <c r="HE281"/>
      <c r="HF281"/>
      <c r="HG281"/>
      <c r="HH281"/>
      <c r="HI281"/>
      <c r="HJ281"/>
      <c r="HK281"/>
      <c r="HL281"/>
      <c r="HM281"/>
      <c r="HN281"/>
      <c r="HO281"/>
      <c r="HP281"/>
      <c r="HQ281"/>
      <c r="HR281"/>
      <c r="HS281"/>
      <c r="HT281"/>
      <c r="HU281"/>
      <c r="HV281"/>
      <c r="HW281"/>
      <c r="HX281"/>
      <c r="HY281"/>
      <c r="HZ281"/>
      <c r="IA281"/>
      <c r="IB281"/>
      <c r="IC281"/>
      <c r="ID281"/>
      <c r="IE281"/>
      <c r="IF281"/>
      <c r="IG281"/>
      <c r="IH281"/>
      <c r="II281"/>
      <c r="IJ281"/>
      <c r="IK281"/>
      <c r="IL281"/>
      <c r="IM281"/>
      <c r="IN281"/>
      <c r="IO281"/>
      <c r="IP281"/>
      <c r="IQ281"/>
      <c r="IR281"/>
      <c r="IS281"/>
      <c r="IT281"/>
      <c r="IU281"/>
      <c r="IV281"/>
    </row>
    <row r="282" spans="1:256" s="1" customFormat="1"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f t="shared" si="355"/>
        <v>0</v>
      </c>
      <c r="BG282" t="str">
        <f t="shared" si="356"/>
        <v/>
      </c>
      <c r="BH282" t="str">
        <f t="shared" si="357"/>
        <v/>
      </c>
      <c r="BI282" t="str">
        <f t="shared" si="358"/>
        <v/>
      </c>
      <c r="BJ282" t="str">
        <f t="shared" si="359"/>
        <v/>
      </c>
      <c r="BK282" t="str">
        <f t="shared" si="360"/>
        <v/>
      </c>
      <c r="BL282" t="str">
        <f t="shared" si="361"/>
        <v/>
      </c>
      <c r="BM282" t="str">
        <f t="shared" si="362"/>
        <v/>
      </c>
      <c r="BN282" t="str">
        <f t="shared" si="363"/>
        <v/>
      </c>
      <c r="BO282" t="str">
        <f t="shared" si="364"/>
        <v/>
      </c>
      <c r="BP282" t="str">
        <f t="shared" si="365"/>
        <v/>
      </c>
      <c r="BQ282" t="str">
        <f t="shared" si="366"/>
        <v/>
      </c>
      <c r="BR282" t="str">
        <f t="shared" si="367"/>
        <v/>
      </c>
      <c r="BS282" t="str">
        <f t="shared" si="368"/>
        <v/>
      </c>
      <c r="BT282" t="str">
        <f t="shared" si="369"/>
        <v/>
      </c>
      <c r="BU282" t="str">
        <f t="shared" si="370"/>
        <v/>
      </c>
      <c r="BV282" t="str">
        <f t="shared" si="371"/>
        <v/>
      </c>
      <c r="BW282" t="str">
        <f t="shared" si="372"/>
        <v/>
      </c>
      <c r="BX282" t="str">
        <f t="shared" si="373"/>
        <v/>
      </c>
      <c r="BY282" t="str">
        <f t="shared" si="374"/>
        <v/>
      </c>
      <c r="BZ282" t="str">
        <f t="shared" si="375"/>
        <v/>
      </c>
      <c r="CA282" t="str">
        <f t="shared" si="376"/>
        <v/>
      </c>
      <c r="CB282" t="str">
        <f t="shared" si="377"/>
        <v/>
      </c>
      <c r="CC282">
        <f t="shared" si="378"/>
        <v>0</v>
      </c>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c r="HB282"/>
      <c r="HC282"/>
      <c r="HD282"/>
      <c r="HE282"/>
      <c r="HF282"/>
      <c r="HG282"/>
      <c r="HH282"/>
      <c r="HI282"/>
      <c r="HJ282"/>
      <c r="HK282"/>
      <c r="HL282"/>
      <c r="HM282"/>
      <c r="HN282"/>
      <c r="HO282"/>
      <c r="HP282"/>
      <c r="HQ282"/>
      <c r="HR282"/>
      <c r="HS282"/>
      <c r="HT282"/>
      <c r="HU282"/>
      <c r="HV282"/>
      <c r="HW282"/>
      <c r="HX282"/>
      <c r="HY282"/>
      <c r="HZ282"/>
      <c r="IA282"/>
      <c r="IB282"/>
      <c r="IC282"/>
      <c r="ID282"/>
      <c r="IE282"/>
      <c r="IF282"/>
      <c r="IG282"/>
      <c r="IH282"/>
      <c r="II282"/>
      <c r="IJ282"/>
      <c r="IK282"/>
      <c r="IL282"/>
      <c r="IM282"/>
      <c r="IN282"/>
      <c r="IO282"/>
      <c r="IP282"/>
      <c r="IQ282"/>
      <c r="IR282"/>
      <c r="IS282"/>
      <c r="IT282"/>
      <c r="IU282"/>
      <c r="IV282"/>
    </row>
    <row r="283" spans="1:256" s="1" customFormat="1"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f t="shared" si="355"/>
        <v>0</v>
      </c>
      <c r="BG283" t="str">
        <f t="shared" si="356"/>
        <v/>
      </c>
      <c r="BH283" t="str">
        <f t="shared" si="357"/>
        <v/>
      </c>
      <c r="BI283" t="str">
        <f t="shared" si="358"/>
        <v/>
      </c>
      <c r="BJ283" t="str">
        <f t="shared" si="359"/>
        <v/>
      </c>
      <c r="BK283" t="str">
        <f t="shared" si="360"/>
        <v/>
      </c>
      <c r="BL283" t="str">
        <f t="shared" si="361"/>
        <v/>
      </c>
      <c r="BM283" t="str">
        <f t="shared" si="362"/>
        <v/>
      </c>
      <c r="BN283" t="str">
        <f t="shared" si="363"/>
        <v/>
      </c>
      <c r="BO283" t="str">
        <f t="shared" si="364"/>
        <v/>
      </c>
      <c r="BP283" t="str">
        <f t="shared" si="365"/>
        <v/>
      </c>
      <c r="BQ283" t="str">
        <f t="shared" si="366"/>
        <v/>
      </c>
      <c r="BR283" t="str">
        <f t="shared" si="367"/>
        <v/>
      </c>
      <c r="BS283" t="str">
        <f t="shared" si="368"/>
        <v/>
      </c>
      <c r="BT283" t="str">
        <f t="shared" si="369"/>
        <v/>
      </c>
      <c r="BU283" t="str">
        <f t="shared" si="370"/>
        <v/>
      </c>
      <c r="BV283" t="str">
        <f t="shared" si="371"/>
        <v/>
      </c>
      <c r="BW283" t="str">
        <f t="shared" si="372"/>
        <v/>
      </c>
      <c r="BX283" t="str">
        <f t="shared" si="373"/>
        <v/>
      </c>
      <c r="BY283" t="str">
        <f t="shared" si="374"/>
        <v/>
      </c>
      <c r="BZ283" t="str">
        <f t="shared" si="375"/>
        <v/>
      </c>
      <c r="CA283" t="str">
        <f t="shared" si="376"/>
        <v/>
      </c>
      <c r="CB283" t="str">
        <f t="shared" si="377"/>
        <v/>
      </c>
      <c r="CC283">
        <f t="shared" si="378"/>
        <v>0</v>
      </c>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c r="HB283"/>
      <c r="HC283"/>
      <c r="HD283"/>
      <c r="HE283"/>
      <c r="HF283"/>
      <c r="HG283"/>
      <c r="HH283"/>
      <c r="HI283"/>
      <c r="HJ283"/>
      <c r="HK283"/>
      <c r="HL283"/>
      <c r="HM283"/>
      <c r="HN283"/>
      <c r="HO283"/>
      <c r="HP283"/>
      <c r="HQ283"/>
      <c r="HR283"/>
      <c r="HS283"/>
      <c r="HT283"/>
      <c r="HU283"/>
      <c r="HV283"/>
      <c r="HW283"/>
      <c r="HX283"/>
      <c r="HY283"/>
      <c r="HZ283"/>
      <c r="IA283"/>
      <c r="IB283"/>
      <c r="IC283"/>
      <c r="ID283"/>
      <c r="IE283"/>
      <c r="IF283"/>
      <c r="IG283"/>
      <c r="IH283"/>
      <c r="II283"/>
      <c r="IJ283"/>
      <c r="IK283"/>
      <c r="IL283"/>
      <c r="IM283"/>
      <c r="IN283"/>
      <c r="IO283"/>
      <c r="IP283"/>
      <c r="IQ283"/>
      <c r="IR283"/>
      <c r="IS283"/>
      <c r="IT283"/>
      <c r="IU283"/>
      <c r="IV283"/>
    </row>
    <row r="284" spans="1:256" s="1" customFormat="1"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t="s">
        <v>167</v>
      </c>
      <c r="BG284">
        <f>IF(BG120="R",1,IF(BG120="L",1,0))</f>
        <v>0</v>
      </c>
      <c r="BH284">
        <f t="shared" ref="BH284:CB284" si="379">IF(BH120="R",1,IF(BH120="L",1,0))</f>
        <v>0</v>
      </c>
      <c r="BI284">
        <f t="shared" si="379"/>
        <v>0</v>
      </c>
      <c r="BJ284">
        <f t="shared" si="379"/>
        <v>0</v>
      </c>
      <c r="BK284">
        <f t="shared" si="379"/>
        <v>0</v>
      </c>
      <c r="BL284">
        <f t="shared" si="379"/>
        <v>0</v>
      </c>
      <c r="BM284">
        <f t="shared" si="379"/>
        <v>0</v>
      </c>
      <c r="BN284">
        <f t="shared" si="379"/>
        <v>0</v>
      </c>
      <c r="BO284">
        <f t="shared" si="379"/>
        <v>0</v>
      </c>
      <c r="BP284">
        <f t="shared" si="379"/>
        <v>0</v>
      </c>
      <c r="BQ284">
        <f t="shared" si="379"/>
        <v>0</v>
      </c>
      <c r="BR284">
        <f t="shared" si="379"/>
        <v>0</v>
      </c>
      <c r="BS284">
        <f t="shared" si="379"/>
        <v>0</v>
      </c>
      <c r="BT284">
        <f t="shared" si="379"/>
        <v>0</v>
      </c>
      <c r="BU284">
        <f t="shared" si="379"/>
        <v>0</v>
      </c>
      <c r="BV284">
        <f t="shared" si="379"/>
        <v>0</v>
      </c>
      <c r="BW284">
        <f t="shared" si="379"/>
        <v>0</v>
      </c>
      <c r="BX284">
        <f t="shared" si="379"/>
        <v>0</v>
      </c>
      <c r="BY284">
        <f t="shared" si="379"/>
        <v>0</v>
      </c>
      <c r="BZ284">
        <f t="shared" si="379"/>
        <v>0</v>
      </c>
      <c r="CA284">
        <f t="shared" si="379"/>
        <v>0</v>
      </c>
      <c r="CB284">
        <f t="shared" si="379"/>
        <v>0</v>
      </c>
      <c r="CC284">
        <f>SUM(BG284:CB284)</f>
        <v>0</v>
      </c>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c r="HB284"/>
      <c r="HC284"/>
      <c r="HD284"/>
      <c r="HE284"/>
      <c r="HF284"/>
      <c r="HG284"/>
      <c r="HH284"/>
      <c r="HI284"/>
      <c r="HJ284"/>
      <c r="HK284"/>
      <c r="HL284"/>
      <c r="HM284"/>
      <c r="HN284"/>
      <c r="HO284"/>
      <c r="HP284"/>
      <c r="HQ284"/>
      <c r="HR284"/>
      <c r="HS284"/>
      <c r="HT284"/>
      <c r="HU284"/>
      <c r="HV284"/>
      <c r="HW284"/>
      <c r="HX284"/>
      <c r="HY284"/>
      <c r="HZ284"/>
      <c r="IA284"/>
      <c r="IB284"/>
      <c r="IC284"/>
      <c r="ID284"/>
      <c r="IE284"/>
      <c r="IF284"/>
      <c r="IG284"/>
      <c r="IH284"/>
      <c r="II284"/>
      <c r="IJ284"/>
      <c r="IK284"/>
      <c r="IL284"/>
      <c r="IM284"/>
      <c r="IN284"/>
      <c r="IO284"/>
      <c r="IP284"/>
      <c r="IQ284"/>
      <c r="IR284"/>
      <c r="IS284"/>
      <c r="IT284"/>
      <c r="IU284"/>
      <c r="IV284"/>
    </row>
    <row r="285" spans="1:256" s="1" customFormat="1"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f>Q190</f>
        <v>0</v>
      </c>
      <c r="BG285">
        <f t="shared" ref="BG285:CB285" si="380">IF(BG121="R",1,IF(BG121="L",1,0))</f>
        <v>0</v>
      </c>
      <c r="BH285">
        <f t="shared" si="380"/>
        <v>0</v>
      </c>
      <c r="BI285">
        <f t="shared" si="380"/>
        <v>0</v>
      </c>
      <c r="BJ285">
        <f t="shared" si="380"/>
        <v>0</v>
      </c>
      <c r="BK285">
        <f t="shared" si="380"/>
        <v>0</v>
      </c>
      <c r="BL285">
        <f t="shared" si="380"/>
        <v>0</v>
      </c>
      <c r="BM285">
        <f t="shared" si="380"/>
        <v>0</v>
      </c>
      <c r="BN285">
        <f t="shared" si="380"/>
        <v>0</v>
      </c>
      <c r="BO285">
        <f t="shared" si="380"/>
        <v>0</v>
      </c>
      <c r="BP285">
        <f t="shared" si="380"/>
        <v>0</v>
      </c>
      <c r="BQ285">
        <f t="shared" si="380"/>
        <v>0</v>
      </c>
      <c r="BR285">
        <f t="shared" si="380"/>
        <v>0</v>
      </c>
      <c r="BS285">
        <f t="shared" si="380"/>
        <v>0</v>
      </c>
      <c r="BT285">
        <f t="shared" si="380"/>
        <v>0</v>
      </c>
      <c r="BU285">
        <f t="shared" si="380"/>
        <v>0</v>
      </c>
      <c r="BV285">
        <f t="shared" si="380"/>
        <v>0</v>
      </c>
      <c r="BW285">
        <f t="shared" si="380"/>
        <v>0</v>
      </c>
      <c r="BX285">
        <f t="shared" si="380"/>
        <v>0</v>
      </c>
      <c r="BY285">
        <f t="shared" si="380"/>
        <v>0</v>
      </c>
      <c r="BZ285">
        <f t="shared" si="380"/>
        <v>0</v>
      </c>
      <c r="CA285">
        <f t="shared" si="380"/>
        <v>0</v>
      </c>
      <c r="CB285">
        <f t="shared" si="380"/>
        <v>0</v>
      </c>
      <c r="CC285">
        <f>SUM(BG285:CB285)</f>
        <v>0</v>
      </c>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c r="HB285"/>
      <c r="HC285"/>
      <c r="HD285"/>
      <c r="HE285"/>
      <c r="HF285"/>
      <c r="HG285"/>
      <c r="HH285"/>
      <c r="HI285"/>
      <c r="HJ285"/>
      <c r="HK285"/>
      <c r="HL285"/>
      <c r="HM285"/>
      <c r="HN285"/>
      <c r="HO285"/>
      <c r="HP285"/>
      <c r="HQ285"/>
      <c r="HR285"/>
      <c r="HS285"/>
      <c r="HT285"/>
      <c r="HU285"/>
      <c r="HV285"/>
      <c r="HW285"/>
      <c r="HX285"/>
      <c r="HY285"/>
      <c r="HZ285"/>
      <c r="IA285"/>
      <c r="IB285"/>
      <c r="IC285"/>
      <c r="ID285"/>
      <c r="IE285"/>
      <c r="IF285"/>
      <c r="IG285"/>
      <c r="IH285"/>
      <c r="II285"/>
      <c r="IJ285"/>
      <c r="IK285"/>
      <c r="IL285"/>
      <c r="IM285"/>
      <c r="IN285"/>
      <c r="IO285"/>
      <c r="IP285"/>
      <c r="IQ285"/>
      <c r="IR285"/>
      <c r="IS285"/>
      <c r="IT285"/>
      <c r="IU285"/>
      <c r="IV285"/>
    </row>
    <row r="286" spans="1:256" s="1" customFormat="1"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f>Q191</f>
        <v>0</v>
      </c>
      <c r="BG286">
        <f t="shared" ref="BG286:CB286" si="381">IF(BG122="R",1,IF(BG122="L",1,0))</f>
        <v>0</v>
      </c>
      <c r="BH286">
        <f t="shared" si="381"/>
        <v>0</v>
      </c>
      <c r="BI286">
        <f t="shared" si="381"/>
        <v>0</v>
      </c>
      <c r="BJ286">
        <f t="shared" si="381"/>
        <v>0</v>
      </c>
      <c r="BK286">
        <f t="shared" si="381"/>
        <v>0</v>
      </c>
      <c r="BL286">
        <f t="shared" si="381"/>
        <v>0</v>
      </c>
      <c r="BM286">
        <f t="shared" si="381"/>
        <v>0</v>
      </c>
      <c r="BN286">
        <f t="shared" si="381"/>
        <v>0</v>
      </c>
      <c r="BO286">
        <f t="shared" si="381"/>
        <v>0</v>
      </c>
      <c r="BP286">
        <f t="shared" si="381"/>
        <v>0</v>
      </c>
      <c r="BQ286">
        <f t="shared" si="381"/>
        <v>0</v>
      </c>
      <c r="BR286">
        <f t="shared" si="381"/>
        <v>0</v>
      </c>
      <c r="BS286">
        <f t="shared" si="381"/>
        <v>0</v>
      </c>
      <c r="BT286">
        <f t="shared" si="381"/>
        <v>0</v>
      </c>
      <c r="BU286">
        <f t="shared" si="381"/>
        <v>0</v>
      </c>
      <c r="BV286">
        <f t="shared" si="381"/>
        <v>0</v>
      </c>
      <c r="BW286">
        <f t="shared" si="381"/>
        <v>0</v>
      </c>
      <c r="BX286">
        <f t="shared" si="381"/>
        <v>0</v>
      </c>
      <c r="BY286">
        <f t="shared" si="381"/>
        <v>0</v>
      </c>
      <c r="BZ286">
        <f t="shared" si="381"/>
        <v>0</v>
      </c>
      <c r="CA286">
        <f t="shared" si="381"/>
        <v>0</v>
      </c>
      <c r="CB286">
        <f t="shared" si="381"/>
        <v>0</v>
      </c>
      <c r="CC286">
        <f>SUM(BG286:CB286)</f>
        <v>0</v>
      </c>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c r="HB286"/>
      <c r="HC286"/>
      <c r="HD286"/>
      <c r="HE286"/>
      <c r="HF286"/>
      <c r="HG286"/>
      <c r="HH286"/>
      <c r="HI286"/>
      <c r="HJ286"/>
      <c r="HK286"/>
      <c r="HL286"/>
      <c r="HM286"/>
      <c r="HN286"/>
      <c r="HO286"/>
      <c r="HP286"/>
      <c r="HQ286"/>
      <c r="HR286"/>
      <c r="HS286"/>
      <c r="HT286"/>
      <c r="HU286"/>
      <c r="HV286"/>
      <c r="HW286"/>
      <c r="HX286"/>
      <c r="HY286"/>
      <c r="HZ286"/>
      <c r="IA286"/>
      <c r="IB286"/>
      <c r="IC286"/>
      <c r="ID286"/>
      <c r="IE286"/>
      <c r="IF286"/>
      <c r="IG286"/>
      <c r="IH286"/>
      <c r="II286"/>
      <c r="IJ286"/>
      <c r="IK286"/>
      <c r="IL286"/>
      <c r="IM286"/>
      <c r="IN286"/>
      <c r="IO286"/>
      <c r="IP286"/>
      <c r="IQ286"/>
      <c r="IR286"/>
      <c r="IS286"/>
      <c r="IT286"/>
      <c r="IU286"/>
      <c r="IV286"/>
    </row>
    <row r="287" spans="1:256" s="1" customFormat="1"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f>Q192</f>
        <v>0</v>
      </c>
      <c r="BG287">
        <f t="shared" ref="BG287:CB287" si="382">IF(BG123="R",1,IF(BG123="L",1,0))</f>
        <v>0</v>
      </c>
      <c r="BH287">
        <f t="shared" si="382"/>
        <v>0</v>
      </c>
      <c r="BI287">
        <f t="shared" si="382"/>
        <v>0</v>
      </c>
      <c r="BJ287">
        <f t="shared" si="382"/>
        <v>0</v>
      </c>
      <c r="BK287">
        <f t="shared" si="382"/>
        <v>0</v>
      </c>
      <c r="BL287">
        <f t="shared" si="382"/>
        <v>0</v>
      </c>
      <c r="BM287">
        <f t="shared" si="382"/>
        <v>0</v>
      </c>
      <c r="BN287">
        <f t="shared" si="382"/>
        <v>0</v>
      </c>
      <c r="BO287">
        <f t="shared" si="382"/>
        <v>0</v>
      </c>
      <c r="BP287">
        <f t="shared" si="382"/>
        <v>0</v>
      </c>
      <c r="BQ287">
        <f t="shared" si="382"/>
        <v>0</v>
      </c>
      <c r="BR287">
        <f t="shared" si="382"/>
        <v>0</v>
      </c>
      <c r="BS287">
        <f t="shared" si="382"/>
        <v>0</v>
      </c>
      <c r="BT287">
        <f t="shared" si="382"/>
        <v>0</v>
      </c>
      <c r="BU287">
        <f t="shared" si="382"/>
        <v>0</v>
      </c>
      <c r="BV287">
        <f t="shared" si="382"/>
        <v>0</v>
      </c>
      <c r="BW287">
        <f t="shared" si="382"/>
        <v>0</v>
      </c>
      <c r="BX287">
        <f t="shared" si="382"/>
        <v>0</v>
      </c>
      <c r="BY287">
        <f t="shared" si="382"/>
        <v>0</v>
      </c>
      <c r="BZ287">
        <f t="shared" si="382"/>
        <v>0</v>
      </c>
      <c r="CA287">
        <f t="shared" si="382"/>
        <v>0</v>
      </c>
      <c r="CB287">
        <f t="shared" si="382"/>
        <v>0</v>
      </c>
      <c r="CC287">
        <f>SUM(BG287:CB287)</f>
        <v>0</v>
      </c>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c r="HB287"/>
      <c r="HC287"/>
      <c r="HD287"/>
      <c r="HE287"/>
      <c r="HF287"/>
      <c r="HG287"/>
      <c r="HH287"/>
      <c r="HI287"/>
      <c r="HJ287"/>
      <c r="HK287"/>
      <c r="HL287"/>
      <c r="HM287"/>
      <c r="HN287"/>
      <c r="HO287"/>
      <c r="HP287"/>
      <c r="HQ287"/>
      <c r="HR287"/>
      <c r="HS287"/>
      <c r="HT287"/>
      <c r="HU287"/>
      <c r="HV287"/>
      <c r="HW287"/>
      <c r="HX287"/>
      <c r="HY287"/>
      <c r="HZ287"/>
      <c r="IA287"/>
      <c r="IB287"/>
      <c r="IC287"/>
      <c r="ID287"/>
      <c r="IE287"/>
      <c r="IF287"/>
      <c r="IG287"/>
      <c r="IH287"/>
      <c r="II287"/>
      <c r="IJ287"/>
      <c r="IK287"/>
      <c r="IL287"/>
      <c r="IM287"/>
      <c r="IN287"/>
      <c r="IO287"/>
      <c r="IP287"/>
      <c r="IQ287"/>
      <c r="IR287"/>
      <c r="IS287"/>
      <c r="IT287"/>
      <c r="IU287"/>
      <c r="IV287"/>
    </row>
    <row r="288" spans="1:256" s="1" customFormat="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f t="shared" ref="BF288:BF326" si="383">Q193</f>
        <v>0</v>
      </c>
      <c r="BG288">
        <f t="shared" ref="BG288:CB288" si="384">IF(BG124="R",1,IF(BG124="L",1,0))</f>
        <v>0</v>
      </c>
      <c r="BH288">
        <f t="shared" si="384"/>
        <v>0</v>
      </c>
      <c r="BI288">
        <f t="shared" si="384"/>
        <v>0</v>
      </c>
      <c r="BJ288">
        <f t="shared" si="384"/>
        <v>0</v>
      </c>
      <c r="BK288">
        <f t="shared" si="384"/>
        <v>0</v>
      </c>
      <c r="BL288">
        <f t="shared" si="384"/>
        <v>0</v>
      </c>
      <c r="BM288">
        <f t="shared" si="384"/>
        <v>0</v>
      </c>
      <c r="BN288">
        <f t="shared" si="384"/>
        <v>0</v>
      </c>
      <c r="BO288">
        <f t="shared" si="384"/>
        <v>0</v>
      </c>
      <c r="BP288">
        <f t="shared" si="384"/>
        <v>0</v>
      </c>
      <c r="BQ288">
        <f t="shared" si="384"/>
        <v>0</v>
      </c>
      <c r="BR288">
        <f t="shared" si="384"/>
        <v>0</v>
      </c>
      <c r="BS288">
        <f t="shared" si="384"/>
        <v>0</v>
      </c>
      <c r="BT288">
        <f t="shared" si="384"/>
        <v>0</v>
      </c>
      <c r="BU288">
        <f t="shared" si="384"/>
        <v>0</v>
      </c>
      <c r="BV288">
        <f t="shared" si="384"/>
        <v>0</v>
      </c>
      <c r="BW288">
        <f t="shared" si="384"/>
        <v>0</v>
      </c>
      <c r="BX288">
        <f t="shared" si="384"/>
        <v>0</v>
      </c>
      <c r="BY288">
        <f t="shared" si="384"/>
        <v>0</v>
      </c>
      <c r="BZ288">
        <f t="shared" si="384"/>
        <v>0</v>
      </c>
      <c r="CA288">
        <f t="shared" si="384"/>
        <v>0</v>
      </c>
      <c r="CB288">
        <f t="shared" si="384"/>
        <v>0</v>
      </c>
      <c r="CC288">
        <f t="shared" ref="CC288:CC326" si="385">SUM(BG288:CB288)</f>
        <v>0</v>
      </c>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c r="HB288"/>
      <c r="HC288"/>
      <c r="HD288"/>
      <c r="HE288"/>
      <c r="HF288"/>
      <c r="HG288"/>
      <c r="HH288"/>
      <c r="HI288"/>
      <c r="HJ288"/>
      <c r="HK288"/>
      <c r="HL288"/>
      <c r="HM288"/>
      <c r="HN288"/>
      <c r="HO288"/>
      <c r="HP288"/>
      <c r="HQ288"/>
      <c r="HR288"/>
      <c r="HS288"/>
      <c r="HT288"/>
      <c r="HU288"/>
      <c r="HV288"/>
      <c r="HW288"/>
      <c r="HX288"/>
      <c r="HY288"/>
      <c r="HZ288"/>
      <c r="IA288"/>
      <c r="IB288"/>
      <c r="IC288"/>
      <c r="ID288"/>
      <c r="IE288"/>
      <c r="IF288"/>
      <c r="IG288"/>
      <c r="IH288"/>
      <c r="II288"/>
      <c r="IJ288"/>
      <c r="IK288"/>
      <c r="IL288"/>
      <c r="IM288"/>
      <c r="IN288"/>
      <c r="IO288"/>
      <c r="IP288"/>
      <c r="IQ288"/>
      <c r="IR288"/>
      <c r="IS288"/>
      <c r="IT288"/>
      <c r="IU288"/>
      <c r="IV288"/>
    </row>
    <row r="289" spans="1:256" s="1" customFormat="1"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f t="shared" si="383"/>
        <v>0</v>
      </c>
      <c r="BG289">
        <f t="shared" ref="BG289:CB289" si="386">IF(BG125="R",1,IF(BG125="L",1,0))</f>
        <v>0</v>
      </c>
      <c r="BH289">
        <f t="shared" si="386"/>
        <v>0</v>
      </c>
      <c r="BI289">
        <f t="shared" si="386"/>
        <v>0</v>
      </c>
      <c r="BJ289">
        <f t="shared" si="386"/>
        <v>0</v>
      </c>
      <c r="BK289">
        <f t="shared" si="386"/>
        <v>0</v>
      </c>
      <c r="BL289">
        <f t="shared" si="386"/>
        <v>0</v>
      </c>
      <c r="BM289">
        <f t="shared" si="386"/>
        <v>0</v>
      </c>
      <c r="BN289">
        <f t="shared" si="386"/>
        <v>0</v>
      </c>
      <c r="BO289">
        <f t="shared" si="386"/>
        <v>0</v>
      </c>
      <c r="BP289">
        <f t="shared" si="386"/>
        <v>0</v>
      </c>
      <c r="BQ289">
        <f t="shared" si="386"/>
        <v>0</v>
      </c>
      <c r="BR289">
        <f t="shared" si="386"/>
        <v>0</v>
      </c>
      <c r="BS289">
        <f t="shared" si="386"/>
        <v>0</v>
      </c>
      <c r="BT289">
        <f t="shared" si="386"/>
        <v>0</v>
      </c>
      <c r="BU289">
        <f t="shared" si="386"/>
        <v>0</v>
      </c>
      <c r="BV289">
        <f t="shared" si="386"/>
        <v>0</v>
      </c>
      <c r="BW289">
        <f t="shared" si="386"/>
        <v>0</v>
      </c>
      <c r="BX289">
        <f t="shared" si="386"/>
        <v>0</v>
      </c>
      <c r="BY289">
        <f t="shared" si="386"/>
        <v>0</v>
      </c>
      <c r="BZ289">
        <f t="shared" si="386"/>
        <v>0</v>
      </c>
      <c r="CA289">
        <f t="shared" si="386"/>
        <v>0</v>
      </c>
      <c r="CB289">
        <f t="shared" si="386"/>
        <v>0</v>
      </c>
      <c r="CC289">
        <f t="shared" si="385"/>
        <v>0</v>
      </c>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c r="HB289"/>
      <c r="HC289"/>
      <c r="HD289"/>
      <c r="HE289"/>
      <c r="HF289"/>
      <c r="HG289"/>
      <c r="HH289"/>
      <c r="HI289"/>
      <c r="HJ289"/>
      <c r="HK289"/>
      <c r="HL289"/>
      <c r="HM289"/>
      <c r="HN289"/>
      <c r="HO289"/>
      <c r="HP289"/>
      <c r="HQ289"/>
      <c r="HR289"/>
      <c r="HS289"/>
      <c r="HT289"/>
      <c r="HU289"/>
      <c r="HV289"/>
      <c r="HW289"/>
      <c r="HX289"/>
      <c r="HY289"/>
      <c r="HZ289"/>
      <c r="IA289"/>
      <c r="IB289"/>
      <c r="IC289"/>
      <c r="ID289"/>
      <c r="IE289"/>
      <c r="IF289"/>
      <c r="IG289"/>
      <c r="IH289"/>
      <c r="II289"/>
      <c r="IJ289"/>
      <c r="IK289"/>
      <c r="IL289"/>
      <c r="IM289"/>
      <c r="IN289"/>
      <c r="IO289"/>
      <c r="IP289"/>
      <c r="IQ289"/>
      <c r="IR289"/>
      <c r="IS289"/>
      <c r="IT289"/>
      <c r="IU289"/>
      <c r="IV289"/>
    </row>
    <row r="290" spans="1:256" s="1" customFormat="1"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f t="shared" si="383"/>
        <v>0</v>
      </c>
      <c r="BG290">
        <f t="shared" ref="BG290:CB290" si="387">IF(BG126="R",1,IF(BG126="L",1,0))</f>
        <v>0</v>
      </c>
      <c r="BH290">
        <f t="shared" si="387"/>
        <v>0</v>
      </c>
      <c r="BI290">
        <f t="shared" si="387"/>
        <v>0</v>
      </c>
      <c r="BJ290">
        <f t="shared" si="387"/>
        <v>0</v>
      </c>
      <c r="BK290">
        <f t="shared" si="387"/>
        <v>0</v>
      </c>
      <c r="BL290">
        <f t="shared" si="387"/>
        <v>0</v>
      </c>
      <c r="BM290">
        <f t="shared" si="387"/>
        <v>0</v>
      </c>
      <c r="BN290">
        <f t="shared" si="387"/>
        <v>0</v>
      </c>
      <c r="BO290">
        <f t="shared" si="387"/>
        <v>0</v>
      </c>
      <c r="BP290">
        <f t="shared" si="387"/>
        <v>0</v>
      </c>
      <c r="BQ290">
        <f t="shared" si="387"/>
        <v>0</v>
      </c>
      <c r="BR290">
        <f t="shared" si="387"/>
        <v>0</v>
      </c>
      <c r="BS290">
        <f t="shared" si="387"/>
        <v>0</v>
      </c>
      <c r="BT290">
        <f t="shared" si="387"/>
        <v>0</v>
      </c>
      <c r="BU290">
        <f t="shared" si="387"/>
        <v>0</v>
      </c>
      <c r="BV290">
        <f t="shared" si="387"/>
        <v>0</v>
      </c>
      <c r="BW290">
        <f t="shared" si="387"/>
        <v>0</v>
      </c>
      <c r="BX290">
        <f t="shared" si="387"/>
        <v>0</v>
      </c>
      <c r="BY290">
        <f t="shared" si="387"/>
        <v>0</v>
      </c>
      <c r="BZ290">
        <f t="shared" si="387"/>
        <v>0</v>
      </c>
      <c r="CA290">
        <f t="shared" si="387"/>
        <v>0</v>
      </c>
      <c r="CB290">
        <f t="shared" si="387"/>
        <v>0</v>
      </c>
      <c r="CC290">
        <f t="shared" si="385"/>
        <v>0</v>
      </c>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c r="HB290"/>
      <c r="HC290"/>
      <c r="HD290"/>
      <c r="HE290"/>
      <c r="HF290"/>
      <c r="HG290"/>
      <c r="HH290"/>
      <c r="HI290"/>
      <c r="HJ290"/>
      <c r="HK290"/>
      <c r="HL290"/>
      <c r="HM290"/>
      <c r="HN290"/>
      <c r="HO290"/>
      <c r="HP290"/>
      <c r="HQ290"/>
      <c r="HR290"/>
      <c r="HS290"/>
      <c r="HT290"/>
      <c r="HU290"/>
      <c r="HV290"/>
      <c r="HW290"/>
      <c r="HX290"/>
      <c r="HY290"/>
      <c r="HZ290"/>
      <c r="IA290"/>
      <c r="IB290"/>
      <c r="IC290"/>
      <c r="ID290"/>
      <c r="IE290"/>
      <c r="IF290"/>
      <c r="IG290"/>
      <c r="IH290"/>
      <c r="II290"/>
      <c r="IJ290"/>
      <c r="IK290"/>
      <c r="IL290"/>
      <c r="IM290"/>
      <c r="IN290"/>
      <c r="IO290"/>
      <c r="IP290"/>
      <c r="IQ290"/>
      <c r="IR290"/>
      <c r="IS290"/>
      <c r="IT290"/>
      <c r="IU290"/>
      <c r="IV290"/>
    </row>
    <row r="291" spans="1:256" s="1" customFormat="1"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f t="shared" si="383"/>
        <v>0</v>
      </c>
      <c r="BG291">
        <f t="shared" ref="BG291:CB291" si="388">IF(BG127="R",1,IF(BG127="L",1,0))</f>
        <v>0</v>
      </c>
      <c r="BH291">
        <f t="shared" si="388"/>
        <v>0</v>
      </c>
      <c r="BI291">
        <f t="shared" si="388"/>
        <v>0</v>
      </c>
      <c r="BJ291">
        <f t="shared" si="388"/>
        <v>0</v>
      </c>
      <c r="BK291">
        <f t="shared" si="388"/>
        <v>0</v>
      </c>
      <c r="BL291">
        <f t="shared" si="388"/>
        <v>0</v>
      </c>
      <c r="BM291">
        <f t="shared" si="388"/>
        <v>0</v>
      </c>
      <c r="BN291">
        <f t="shared" si="388"/>
        <v>0</v>
      </c>
      <c r="BO291">
        <f t="shared" si="388"/>
        <v>0</v>
      </c>
      <c r="BP291">
        <f t="shared" si="388"/>
        <v>0</v>
      </c>
      <c r="BQ291">
        <f t="shared" si="388"/>
        <v>0</v>
      </c>
      <c r="BR291">
        <f t="shared" si="388"/>
        <v>0</v>
      </c>
      <c r="BS291">
        <f t="shared" si="388"/>
        <v>0</v>
      </c>
      <c r="BT291">
        <f t="shared" si="388"/>
        <v>0</v>
      </c>
      <c r="BU291">
        <f t="shared" si="388"/>
        <v>0</v>
      </c>
      <c r="BV291">
        <f t="shared" si="388"/>
        <v>0</v>
      </c>
      <c r="BW291">
        <f t="shared" si="388"/>
        <v>0</v>
      </c>
      <c r="BX291">
        <f t="shared" si="388"/>
        <v>0</v>
      </c>
      <c r="BY291">
        <f t="shared" si="388"/>
        <v>0</v>
      </c>
      <c r="BZ291">
        <f t="shared" si="388"/>
        <v>0</v>
      </c>
      <c r="CA291">
        <f t="shared" si="388"/>
        <v>0</v>
      </c>
      <c r="CB291">
        <f t="shared" si="388"/>
        <v>0</v>
      </c>
      <c r="CC291">
        <f t="shared" si="385"/>
        <v>0</v>
      </c>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c r="HB291"/>
      <c r="HC291"/>
      <c r="HD291"/>
      <c r="HE291"/>
      <c r="HF291"/>
      <c r="HG291"/>
      <c r="HH291"/>
      <c r="HI291"/>
      <c r="HJ291"/>
      <c r="HK291"/>
      <c r="HL291"/>
      <c r="HM291"/>
      <c r="HN291"/>
      <c r="HO291"/>
      <c r="HP291"/>
      <c r="HQ291"/>
      <c r="HR291"/>
      <c r="HS291"/>
      <c r="HT291"/>
      <c r="HU291"/>
      <c r="HV291"/>
      <c r="HW291"/>
      <c r="HX291"/>
      <c r="HY291"/>
      <c r="HZ291"/>
      <c r="IA291"/>
      <c r="IB291"/>
      <c r="IC291"/>
      <c r="ID291"/>
      <c r="IE291"/>
      <c r="IF291"/>
      <c r="IG291"/>
      <c r="IH291"/>
      <c r="II291"/>
      <c r="IJ291"/>
      <c r="IK291"/>
      <c r="IL291"/>
      <c r="IM291"/>
      <c r="IN291"/>
      <c r="IO291"/>
      <c r="IP291"/>
      <c r="IQ291"/>
      <c r="IR291"/>
      <c r="IS291"/>
      <c r="IT291"/>
      <c r="IU291"/>
      <c r="IV291"/>
    </row>
    <row r="292" spans="1:256" s="1" customFormat="1"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f t="shared" si="383"/>
        <v>0</v>
      </c>
      <c r="BG292">
        <f t="shared" ref="BG292:CB292" si="389">IF(BG128="R",1,IF(BG128="L",1,0))</f>
        <v>0</v>
      </c>
      <c r="BH292">
        <f t="shared" si="389"/>
        <v>0</v>
      </c>
      <c r="BI292">
        <f t="shared" si="389"/>
        <v>0</v>
      </c>
      <c r="BJ292">
        <f t="shared" si="389"/>
        <v>0</v>
      </c>
      <c r="BK292">
        <f t="shared" si="389"/>
        <v>0</v>
      </c>
      <c r="BL292">
        <f t="shared" si="389"/>
        <v>0</v>
      </c>
      <c r="BM292">
        <f t="shared" si="389"/>
        <v>0</v>
      </c>
      <c r="BN292">
        <f t="shared" si="389"/>
        <v>0</v>
      </c>
      <c r="BO292">
        <f t="shared" si="389"/>
        <v>0</v>
      </c>
      <c r="BP292">
        <f t="shared" si="389"/>
        <v>0</v>
      </c>
      <c r="BQ292">
        <f t="shared" si="389"/>
        <v>0</v>
      </c>
      <c r="BR292">
        <f t="shared" si="389"/>
        <v>0</v>
      </c>
      <c r="BS292">
        <f t="shared" si="389"/>
        <v>0</v>
      </c>
      <c r="BT292">
        <f t="shared" si="389"/>
        <v>0</v>
      </c>
      <c r="BU292">
        <f t="shared" si="389"/>
        <v>0</v>
      </c>
      <c r="BV292">
        <f t="shared" si="389"/>
        <v>0</v>
      </c>
      <c r="BW292">
        <f t="shared" si="389"/>
        <v>0</v>
      </c>
      <c r="BX292">
        <f t="shared" si="389"/>
        <v>0</v>
      </c>
      <c r="BY292">
        <f t="shared" si="389"/>
        <v>0</v>
      </c>
      <c r="BZ292">
        <f t="shared" si="389"/>
        <v>0</v>
      </c>
      <c r="CA292">
        <f t="shared" si="389"/>
        <v>0</v>
      </c>
      <c r="CB292">
        <f t="shared" si="389"/>
        <v>0</v>
      </c>
      <c r="CC292">
        <f t="shared" si="385"/>
        <v>0</v>
      </c>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c r="HB292"/>
      <c r="HC292"/>
      <c r="HD292"/>
      <c r="HE292"/>
      <c r="HF292"/>
      <c r="HG292"/>
      <c r="HH292"/>
      <c r="HI292"/>
      <c r="HJ292"/>
      <c r="HK292"/>
      <c r="HL292"/>
      <c r="HM292"/>
      <c r="HN292"/>
      <c r="HO292"/>
      <c r="HP292"/>
      <c r="HQ292"/>
      <c r="HR292"/>
      <c r="HS292"/>
      <c r="HT292"/>
      <c r="HU292"/>
      <c r="HV292"/>
      <c r="HW292"/>
      <c r="HX292"/>
      <c r="HY292"/>
      <c r="HZ292"/>
      <c r="IA292"/>
      <c r="IB292"/>
      <c r="IC292"/>
      <c r="ID292"/>
      <c r="IE292"/>
      <c r="IF292"/>
      <c r="IG292"/>
      <c r="IH292"/>
      <c r="II292"/>
      <c r="IJ292"/>
      <c r="IK292"/>
      <c r="IL292"/>
      <c r="IM292"/>
      <c r="IN292"/>
      <c r="IO292"/>
      <c r="IP292"/>
      <c r="IQ292"/>
      <c r="IR292"/>
      <c r="IS292"/>
      <c r="IT292"/>
      <c r="IU292"/>
      <c r="IV292"/>
    </row>
    <row r="293" spans="1:256" s="1" customFormat="1"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f t="shared" si="383"/>
        <v>0</v>
      </c>
      <c r="BG293">
        <f t="shared" ref="BG293:CB293" si="390">IF(BG129="R",1,IF(BG129="L",1,0))</f>
        <v>0</v>
      </c>
      <c r="BH293">
        <f t="shared" si="390"/>
        <v>0</v>
      </c>
      <c r="BI293">
        <f t="shared" si="390"/>
        <v>0</v>
      </c>
      <c r="BJ293">
        <f t="shared" si="390"/>
        <v>0</v>
      </c>
      <c r="BK293">
        <f t="shared" si="390"/>
        <v>0</v>
      </c>
      <c r="BL293">
        <f t="shared" si="390"/>
        <v>0</v>
      </c>
      <c r="BM293">
        <f t="shared" si="390"/>
        <v>0</v>
      </c>
      <c r="BN293">
        <f t="shared" si="390"/>
        <v>0</v>
      </c>
      <c r="BO293">
        <f t="shared" si="390"/>
        <v>0</v>
      </c>
      <c r="BP293">
        <f t="shared" si="390"/>
        <v>0</v>
      </c>
      <c r="BQ293">
        <f t="shared" si="390"/>
        <v>0</v>
      </c>
      <c r="BR293">
        <f t="shared" si="390"/>
        <v>0</v>
      </c>
      <c r="BS293">
        <f t="shared" si="390"/>
        <v>0</v>
      </c>
      <c r="BT293">
        <f t="shared" si="390"/>
        <v>0</v>
      </c>
      <c r="BU293">
        <f t="shared" si="390"/>
        <v>0</v>
      </c>
      <c r="BV293">
        <f t="shared" si="390"/>
        <v>0</v>
      </c>
      <c r="BW293">
        <f t="shared" si="390"/>
        <v>0</v>
      </c>
      <c r="BX293">
        <f t="shared" si="390"/>
        <v>0</v>
      </c>
      <c r="BY293">
        <f t="shared" si="390"/>
        <v>0</v>
      </c>
      <c r="BZ293">
        <f t="shared" si="390"/>
        <v>0</v>
      </c>
      <c r="CA293">
        <f t="shared" si="390"/>
        <v>0</v>
      </c>
      <c r="CB293">
        <f t="shared" si="390"/>
        <v>0</v>
      </c>
      <c r="CC293">
        <f t="shared" si="385"/>
        <v>0</v>
      </c>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c r="HB293"/>
      <c r="HC293"/>
      <c r="HD293"/>
      <c r="HE293"/>
      <c r="HF293"/>
      <c r="HG293"/>
      <c r="HH293"/>
      <c r="HI293"/>
      <c r="HJ293"/>
      <c r="HK293"/>
      <c r="HL293"/>
      <c r="HM293"/>
      <c r="HN293"/>
      <c r="HO293"/>
      <c r="HP293"/>
      <c r="HQ293"/>
      <c r="HR293"/>
      <c r="HS293"/>
      <c r="HT293"/>
      <c r="HU293"/>
      <c r="HV293"/>
      <c r="HW293"/>
      <c r="HX293"/>
      <c r="HY293"/>
      <c r="HZ293"/>
      <c r="IA293"/>
      <c r="IB293"/>
      <c r="IC293"/>
      <c r="ID293"/>
      <c r="IE293"/>
      <c r="IF293"/>
      <c r="IG293"/>
      <c r="IH293"/>
      <c r="II293"/>
      <c r="IJ293"/>
      <c r="IK293"/>
      <c r="IL293"/>
      <c r="IM293"/>
      <c r="IN293"/>
      <c r="IO293"/>
      <c r="IP293"/>
      <c r="IQ293"/>
      <c r="IR293"/>
      <c r="IS293"/>
      <c r="IT293"/>
      <c r="IU293"/>
      <c r="IV293"/>
    </row>
    <row r="294" spans="1:256" s="1" customFormat="1"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f t="shared" si="383"/>
        <v>0</v>
      </c>
      <c r="BG294">
        <f t="shared" ref="BG294:CB294" si="391">IF(BG130="R",1,IF(BG130="L",1,0))</f>
        <v>0</v>
      </c>
      <c r="BH294">
        <f t="shared" si="391"/>
        <v>0</v>
      </c>
      <c r="BI294">
        <f t="shared" si="391"/>
        <v>0</v>
      </c>
      <c r="BJ294">
        <f t="shared" si="391"/>
        <v>0</v>
      </c>
      <c r="BK294">
        <f t="shared" si="391"/>
        <v>0</v>
      </c>
      <c r="BL294">
        <f t="shared" si="391"/>
        <v>0</v>
      </c>
      <c r="BM294">
        <f t="shared" si="391"/>
        <v>0</v>
      </c>
      <c r="BN294">
        <f t="shared" si="391"/>
        <v>0</v>
      </c>
      <c r="BO294">
        <f t="shared" si="391"/>
        <v>0</v>
      </c>
      <c r="BP294">
        <f t="shared" si="391"/>
        <v>0</v>
      </c>
      <c r="BQ294">
        <f t="shared" si="391"/>
        <v>0</v>
      </c>
      <c r="BR294">
        <f t="shared" si="391"/>
        <v>0</v>
      </c>
      <c r="BS294">
        <f t="shared" si="391"/>
        <v>0</v>
      </c>
      <c r="BT294">
        <f t="shared" si="391"/>
        <v>0</v>
      </c>
      <c r="BU294">
        <f t="shared" si="391"/>
        <v>0</v>
      </c>
      <c r="BV294">
        <f t="shared" si="391"/>
        <v>0</v>
      </c>
      <c r="BW294">
        <f t="shared" si="391"/>
        <v>0</v>
      </c>
      <c r="BX294">
        <f t="shared" si="391"/>
        <v>0</v>
      </c>
      <c r="BY294">
        <f t="shared" si="391"/>
        <v>0</v>
      </c>
      <c r="BZ294">
        <f t="shared" si="391"/>
        <v>0</v>
      </c>
      <c r="CA294">
        <f t="shared" si="391"/>
        <v>0</v>
      </c>
      <c r="CB294">
        <f t="shared" si="391"/>
        <v>0</v>
      </c>
      <c r="CC294">
        <f t="shared" si="385"/>
        <v>0</v>
      </c>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c r="HB294"/>
      <c r="HC294"/>
      <c r="HD294"/>
      <c r="HE294"/>
      <c r="HF294"/>
      <c r="HG294"/>
      <c r="HH294"/>
      <c r="HI294"/>
      <c r="HJ294"/>
      <c r="HK294"/>
      <c r="HL294"/>
      <c r="HM294"/>
      <c r="HN294"/>
      <c r="HO294"/>
      <c r="HP294"/>
      <c r="HQ294"/>
      <c r="HR294"/>
      <c r="HS294"/>
      <c r="HT294"/>
      <c r="HU294"/>
      <c r="HV294"/>
      <c r="HW294"/>
      <c r="HX294"/>
      <c r="HY294"/>
      <c r="HZ294"/>
      <c r="IA294"/>
      <c r="IB294"/>
      <c r="IC294"/>
      <c r="ID294"/>
      <c r="IE294"/>
      <c r="IF294"/>
      <c r="IG294"/>
      <c r="IH294"/>
      <c r="II294"/>
      <c r="IJ294"/>
      <c r="IK294"/>
      <c r="IL294"/>
      <c r="IM294"/>
      <c r="IN294"/>
      <c r="IO294"/>
      <c r="IP294"/>
      <c r="IQ294"/>
      <c r="IR294"/>
      <c r="IS294"/>
      <c r="IT294"/>
      <c r="IU294"/>
      <c r="IV294"/>
    </row>
    <row r="295" spans="1:256" s="1" customFormat="1"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f t="shared" si="383"/>
        <v>0</v>
      </c>
      <c r="BG295">
        <f t="shared" ref="BG295:CB295" si="392">IF(BG131="R",1,IF(BG131="L",1,0))</f>
        <v>0</v>
      </c>
      <c r="BH295">
        <f t="shared" si="392"/>
        <v>0</v>
      </c>
      <c r="BI295">
        <f t="shared" si="392"/>
        <v>0</v>
      </c>
      <c r="BJ295">
        <f t="shared" si="392"/>
        <v>0</v>
      </c>
      <c r="BK295">
        <f t="shared" si="392"/>
        <v>0</v>
      </c>
      <c r="BL295">
        <f t="shared" si="392"/>
        <v>0</v>
      </c>
      <c r="BM295">
        <f t="shared" si="392"/>
        <v>0</v>
      </c>
      <c r="BN295">
        <f t="shared" si="392"/>
        <v>0</v>
      </c>
      <c r="BO295">
        <f t="shared" si="392"/>
        <v>0</v>
      </c>
      <c r="BP295">
        <f t="shared" si="392"/>
        <v>0</v>
      </c>
      <c r="BQ295">
        <f t="shared" si="392"/>
        <v>0</v>
      </c>
      <c r="BR295">
        <f t="shared" si="392"/>
        <v>0</v>
      </c>
      <c r="BS295">
        <f t="shared" si="392"/>
        <v>0</v>
      </c>
      <c r="BT295">
        <f t="shared" si="392"/>
        <v>0</v>
      </c>
      <c r="BU295">
        <f t="shared" si="392"/>
        <v>0</v>
      </c>
      <c r="BV295">
        <f t="shared" si="392"/>
        <v>0</v>
      </c>
      <c r="BW295">
        <f t="shared" si="392"/>
        <v>0</v>
      </c>
      <c r="BX295">
        <f t="shared" si="392"/>
        <v>0</v>
      </c>
      <c r="BY295">
        <f t="shared" si="392"/>
        <v>0</v>
      </c>
      <c r="BZ295">
        <f t="shared" si="392"/>
        <v>0</v>
      </c>
      <c r="CA295">
        <f t="shared" si="392"/>
        <v>0</v>
      </c>
      <c r="CB295">
        <f t="shared" si="392"/>
        <v>0</v>
      </c>
      <c r="CC295">
        <f t="shared" si="385"/>
        <v>0</v>
      </c>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c r="HB295"/>
      <c r="HC295"/>
      <c r="HD295"/>
      <c r="HE295"/>
      <c r="HF295"/>
      <c r="HG295"/>
      <c r="HH295"/>
      <c r="HI295"/>
      <c r="HJ295"/>
      <c r="HK295"/>
      <c r="HL295"/>
      <c r="HM295"/>
      <c r="HN295"/>
      <c r="HO295"/>
      <c r="HP295"/>
      <c r="HQ295"/>
      <c r="HR295"/>
      <c r="HS295"/>
      <c r="HT295"/>
      <c r="HU295"/>
      <c r="HV295"/>
      <c r="HW295"/>
      <c r="HX295"/>
      <c r="HY295"/>
      <c r="HZ295"/>
      <c r="IA295"/>
      <c r="IB295"/>
      <c r="IC295"/>
      <c r="ID295"/>
      <c r="IE295"/>
      <c r="IF295"/>
      <c r="IG295"/>
      <c r="IH295"/>
      <c r="II295"/>
      <c r="IJ295"/>
      <c r="IK295"/>
      <c r="IL295"/>
      <c r="IM295"/>
      <c r="IN295"/>
      <c r="IO295"/>
      <c r="IP295"/>
      <c r="IQ295"/>
      <c r="IR295"/>
      <c r="IS295"/>
      <c r="IT295"/>
      <c r="IU295"/>
      <c r="IV295"/>
    </row>
    <row r="296" spans="1:256" s="1" customFormat="1"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f t="shared" si="383"/>
        <v>0</v>
      </c>
      <c r="BG296">
        <f t="shared" ref="BG296:CB296" si="393">IF(BG132="R",1,IF(BG132="L",1,0))</f>
        <v>0</v>
      </c>
      <c r="BH296">
        <f t="shared" si="393"/>
        <v>0</v>
      </c>
      <c r="BI296">
        <f t="shared" si="393"/>
        <v>0</v>
      </c>
      <c r="BJ296">
        <f t="shared" si="393"/>
        <v>0</v>
      </c>
      <c r="BK296">
        <f t="shared" si="393"/>
        <v>0</v>
      </c>
      <c r="BL296">
        <f t="shared" si="393"/>
        <v>0</v>
      </c>
      <c r="BM296">
        <f t="shared" si="393"/>
        <v>0</v>
      </c>
      <c r="BN296">
        <f t="shared" si="393"/>
        <v>0</v>
      </c>
      <c r="BO296">
        <f t="shared" si="393"/>
        <v>0</v>
      </c>
      <c r="BP296">
        <f t="shared" si="393"/>
        <v>0</v>
      </c>
      <c r="BQ296">
        <f t="shared" si="393"/>
        <v>0</v>
      </c>
      <c r="BR296">
        <f t="shared" si="393"/>
        <v>0</v>
      </c>
      <c r="BS296">
        <f t="shared" si="393"/>
        <v>0</v>
      </c>
      <c r="BT296">
        <f t="shared" si="393"/>
        <v>0</v>
      </c>
      <c r="BU296">
        <f t="shared" si="393"/>
        <v>0</v>
      </c>
      <c r="BV296">
        <f t="shared" si="393"/>
        <v>0</v>
      </c>
      <c r="BW296">
        <f t="shared" si="393"/>
        <v>0</v>
      </c>
      <c r="BX296">
        <f t="shared" si="393"/>
        <v>0</v>
      </c>
      <c r="BY296">
        <f t="shared" si="393"/>
        <v>0</v>
      </c>
      <c r="BZ296">
        <f t="shared" si="393"/>
        <v>0</v>
      </c>
      <c r="CA296">
        <f t="shared" si="393"/>
        <v>0</v>
      </c>
      <c r="CB296">
        <f t="shared" si="393"/>
        <v>0</v>
      </c>
      <c r="CC296">
        <f t="shared" si="385"/>
        <v>0</v>
      </c>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c r="HB296"/>
      <c r="HC296"/>
      <c r="HD296"/>
      <c r="HE296"/>
      <c r="HF296"/>
      <c r="HG296"/>
      <c r="HH296"/>
      <c r="HI296"/>
      <c r="HJ296"/>
      <c r="HK296"/>
      <c r="HL296"/>
      <c r="HM296"/>
      <c r="HN296"/>
      <c r="HO296"/>
      <c r="HP296"/>
      <c r="HQ296"/>
      <c r="HR296"/>
      <c r="HS296"/>
      <c r="HT296"/>
      <c r="HU296"/>
      <c r="HV296"/>
      <c r="HW296"/>
      <c r="HX296"/>
      <c r="HY296"/>
      <c r="HZ296"/>
      <c r="IA296"/>
      <c r="IB296"/>
      <c r="IC296"/>
      <c r="ID296"/>
      <c r="IE296"/>
      <c r="IF296"/>
      <c r="IG296"/>
      <c r="IH296"/>
      <c r="II296"/>
      <c r="IJ296"/>
      <c r="IK296"/>
      <c r="IL296"/>
      <c r="IM296"/>
      <c r="IN296"/>
      <c r="IO296"/>
      <c r="IP296"/>
      <c r="IQ296"/>
      <c r="IR296"/>
      <c r="IS296"/>
      <c r="IT296"/>
      <c r="IU296"/>
      <c r="IV296"/>
    </row>
    <row r="297" spans="1:256" s="1" customFormat="1"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f t="shared" si="383"/>
        <v>0</v>
      </c>
      <c r="BG297">
        <f t="shared" ref="BG297:CB297" si="394">IF(BG133="R",1,IF(BG133="L",1,0))</f>
        <v>0</v>
      </c>
      <c r="BH297">
        <f t="shared" si="394"/>
        <v>0</v>
      </c>
      <c r="BI297">
        <f t="shared" si="394"/>
        <v>0</v>
      </c>
      <c r="BJ297">
        <f t="shared" si="394"/>
        <v>0</v>
      </c>
      <c r="BK297">
        <f t="shared" si="394"/>
        <v>0</v>
      </c>
      <c r="BL297">
        <f t="shared" si="394"/>
        <v>0</v>
      </c>
      <c r="BM297">
        <f t="shared" si="394"/>
        <v>0</v>
      </c>
      <c r="BN297">
        <f t="shared" si="394"/>
        <v>0</v>
      </c>
      <c r="BO297">
        <f t="shared" si="394"/>
        <v>0</v>
      </c>
      <c r="BP297">
        <f t="shared" si="394"/>
        <v>0</v>
      </c>
      <c r="BQ297">
        <f t="shared" si="394"/>
        <v>0</v>
      </c>
      <c r="BR297">
        <f t="shared" si="394"/>
        <v>0</v>
      </c>
      <c r="BS297">
        <f t="shared" si="394"/>
        <v>0</v>
      </c>
      <c r="BT297">
        <f t="shared" si="394"/>
        <v>0</v>
      </c>
      <c r="BU297">
        <f t="shared" si="394"/>
        <v>0</v>
      </c>
      <c r="BV297">
        <f t="shared" si="394"/>
        <v>0</v>
      </c>
      <c r="BW297">
        <f t="shared" si="394"/>
        <v>0</v>
      </c>
      <c r="BX297">
        <f t="shared" si="394"/>
        <v>0</v>
      </c>
      <c r="BY297">
        <f t="shared" si="394"/>
        <v>0</v>
      </c>
      <c r="BZ297">
        <f t="shared" si="394"/>
        <v>0</v>
      </c>
      <c r="CA297">
        <f t="shared" si="394"/>
        <v>0</v>
      </c>
      <c r="CB297">
        <f t="shared" si="394"/>
        <v>0</v>
      </c>
      <c r="CC297">
        <f t="shared" si="385"/>
        <v>0</v>
      </c>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c r="HB297"/>
      <c r="HC297"/>
      <c r="HD297"/>
      <c r="HE297"/>
      <c r="HF297"/>
      <c r="HG297"/>
      <c r="HH297"/>
      <c r="HI297"/>
      <c r="HJ297"/>
      <c r="HK297"/>
      <c r="HL297"/>
      <c r="HM297"/>
      <c r="HN297"/>
      <c r="HO297"/>
      <c r="HP297"/>
      <c r="HQ297"/>
      <c r="HR297"/>
      <c r="HS297"/>
      <c r="HT297"/>
      <c r="HU297"/>
      <c r="HV297"/>
      <c r="HW297"/>
      <c r="HX297"/>
      <c r="HY297"/>
      <c r="HZ297"/>
      <c r="IA297"/>
      <c r="IB297"/>
      <c r="IC297"/>
      <c r="ID297"/>
      <c r="IE297"/>
      <c r="IF297"/>
      <c r="IG297"/>
      <c r="IH297"/>
      <c r="II297"/>
      <c r="IJ297"/>
      <c r="IK297"/>
      <c r="IL297"/>
      <c r="IM297"/>
      <c r="IN297"/>
      <c r="IO297"/>
      <c r="IP297"/>
      <c r="IQ297"/>
      <c r="IR297"/>
      <c r="IS297"/>
      <c r="IT297"/>
      <c r="IU297"/>
      <c r="IV297"/>
    </row>
    <row r="298" spans="1:256" s="1" customFormat="1"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f t="shared" si="383"/>
        <v>0</v>
      </c>
      <c r="BG298">
        <f t="shared" ref="BG298:CB298" si="395">IF(BG134="R",1,IF(BG134="L",1,0))</f>
        <v>0</v>
      </c>
      <c r="BH298">
        <f t="shared" si="395"/>
        <v>0</v>
      </c>
      <c r="BI298">
        <f t="shared" si="395"/>
        <v>0</v>
      </c>
      <c r="BJ298">
        <f t="shared" si="395"/>
        <v>0</v>
      </c>
      <c r="BK298">
        <f t="shared" si="395"/>
        <v>0</v>
      </c>
      <c r="BL298">
        <f t="shared" si="395"/>
        <v>0</v>
      </c>
      <c r="BM298">
        <f t="shared" si="395"/>
        <v>0</v>
      </c>
      <c r="BN298">
        <f t="shared" si="395"/>
        <v>0</v>
      </c>
      <c r="BO298">
        <f t="shared" si="395"/>
        <v>0</v>
      </c>
      <c r="BP298">
        <f t="shared" si="395"/>
        <v>0</v>
      </c>
      <c r="BQ298">
        <f t="shared" si="395"/>
        <v>0</v>
      </c>
      <c r="BR298">
        <f t="shared" si="395"/>
        <v>0</v>
      </c>
      <c r="BS298">
        <f t="shared" si="395"/>
        <v>0</v>
      </c>
      <c r="BT298">
        <f t="shared" si="395"/>
        <v>0</v>
      </c>
      <c r="BU298">
        <f t="shared" si="395"/>
        <v>0</v>
      </c>
      <c r="BV298">
        <f t="shared" si="395"/>
        <v>0</v>
      </c>
      <c r="BW298">
        <f t="shared" si="395"/>
        <v>0</v>
      </c>
      <c r="BX298">
        <f t="shared" si="395"/>
        <v>0</v>
      </c>
      <c r="BY298">
        <f t="shared" si="395"/>
        <v>0</v>
      </c>
      <c r="BZ298">
        <f t="shared" si="395"/>
        <v>0</v>
      </c>
      <c r="CA298">
        <f t="shared" si="395"/>
        <v>0</v>
      </c>
      <c r="CB298">
        <f t="shared" si="395"/>
        <v>0</v>
      </c>
      <c r="CC298">
        <f t="shared" si="385"/>
        <v>0</v>
      </c>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c r="HB298"/>
      <c r="HC298"/>
      <c r="HD298"/>
      <c r="HE298"/>
      <c r="HF298"/>
      <c r="HG298"/>
      <c r="HH298"/>
      <c r="HI298"/>
      <c r="HJ298"/>
      <c r="HK298"/>
      <c r="HL298"/>
      <c r="HM298"/>
      <c r="HN298"/>
      <c r="HO298"/>
      <c r="HP298"/>
      <c r="HQ298"/>
      <c r="HR298"/>
      <c r="HS298"/>
      <c r="HT298"/>
      <c r="HU298"/>
      <c r="HV298"/>
      <c r="HW298"/>
      <c r="HX298"/>
      <c r="HY298"/>
      <c r="HZ298"/>
      <c r="IA298"/>
      <c r="IB298"/>
      <c r="IC298"/>
      <c r="ID298"/>
      <c r="IE298"/>
      <c r="IF298"/>
      <c r="IG298"/>
      <c r="IH298"/>
      <c r="II298"/>
      <c r="IJ298"/>
      <c r="IK298"/>
      <c r="IL298"/>
      <c r="IM298"/>
      <c r="IN298"/>
      <c r="IO298"/>
      <c r="IP298"/>
      <c r="IQ298"/>
      <c r="IR298"/>
      <c r="IS298"/>
      <c r="IT298"/>
      <c r="IU298"/>
      <c r="IV298"/>
    </row>
    <row r="299" spans="1:256" s="1" customFormat="1"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f t="shared" si="383"/>
        <v>0</v>
      </c>
      <c r="BG299">
        <f t="shared" ref="BG299:CB299" si="396">IF(BG135="R",1,IF(BG135="L",1,0))</f>
        <v>0</v>
      </c>
      <c r="BH299">
        <f t="shared" si="396"/>
        <v>0</v>
      </c>
      <c r="BI299">
        <f t="shared" si="396"/>
        <v>0</v>
      </c>
      <c r="BJ299">
        <f t="shared" si="396"/>
        <v>0</v>
      </c>
      <c r="BK299">
        <f t="shared" si="396"/>
        <v>0</v>
      </c>
      <c r="BL299">
        <f t="shared" si="396"/>
        <v>0</v>
      </c>
      <c r="BM299">
        <f t="shared" si="396"/>
        <v>0</v>
      </c>
      <c r="BN299">
        <f t="shared" si="396"/>
        <v>0</v>
      </c>
      <c r="BO299">
        <f t="shared" si="396"/>
        <v>0</v>
      </c>
      <c r="BP299">
        <f t="shared" si="396"/>
        <v>0</v>
      </c>
      <c r="BQ299">
        <f t="shared" si="396"/>
        <v>0</v>
      </c>
      <c r="BR299">
        <f t="shared" si="396"/>
        <v>0</v>
      </c>
      <c r="BS299">
        <f t="shared" si="396"/>
        <v>0</v>
      </c>
      <c r="BT299">
        <f t="shared" si="396"/>
        <v>0</v>
      </c>
      <c r="BU299">
        <f t="shared" si="396"/>
        <v>0</v>
      </c>
      <c r="BV299">
        <f t="shared" si="396"/>
        <v>0</v>
      </c>
      <c r="BW299">
        <f t="shared" si="396"/>
        <v>0</v>
      </c>
      <c r="BX299">
        <f t="shared" si="396"/>
        <v>0</v>
      </c>
      <c r="BY299">
        <f t="shared" si="396"/>
        <v>0</v>
      </c>
      <c r="BZ299">
        <f t="shared" si="396"/>
        <v>0</v>
      </c>
      <c r="CA299">
        <f t="shared" si="396"/>
        <v>0</v>
      </c>
      <c r="CB299">
        <f t="shared" si="396"/>
        <v>0</v>
      </c>
      <c r="CC299">
        <f t="shared" si="385"/>
        <v>0</v>
      </c>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c r="HB299"/>
      <c r="HC299"/>
      <c r="HD299"/>
      <c r="HE299"/>
      <c r="HF299"/>
      <c r="HG299"/>
      <c r="HH299"/>
      <c r="HI299"/>
      <c r="HJ299"/>
      <c r="HK299"/>
      <c r="HL299"/>
      <c r="HM299"/>
      <c r="HN299"/>
      <c r="HO299"/>
      <c r="HP299"/>
      <c r="HQ299"/>
      <c r="HR299"/>
      <c r="HS299"/>
      <c r="HT299"/>
      <c r="HU299"/>
      <c r="HV299"/>
      <c r="HW299"/>
      <c r="HX299"/>
      <c r="HY299"/>
      <c r="HZ299"/>
      <c r="IA299"/>
      <c r="IB299"/>
      <c r="IC299"/>
      <c r="ID299"/>
      <c r="IE299"/>
      <c r="IF299"/>
      <c r="IG299"/>
      <c r="IH299"/>
      <c r="II299"/>
      <c r="IJ299"/>
      <c r="IK299"/>
      <c r="IL299"/>
      <c r="IM299"/>
      <c r="IN299"/>
      <c r="IO299"/>
      <c r="IP299"/>
      <c r="IQ299"/>
      <c r="IR299"/>
      <c r="IS299"/>
      <c r="IT299"/>
      <c r="IU299"/>
      <c r="IV299"/>
    </row>
    <row r="300" spans="1:256" s="1" customFormat="1"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f t="shared" si="383"/>
        <v>0</v>
      </c>
      <c r="BG300">
        <f t="shared" ref="BG300:CB300" si="397">IF(BG136="R",1,IF(BG136="L",1,0))</f>
        <v>0</v>
      </c>
      <c r="BH300">
        <f t="shared" si="397"/>
        <v>0</v>
      </c>
      <c r="BI300">
        <f t="shared" si="397"/>
        <v>0</v>
      </c>
      <c r="BJ300">
        <f t="shared" si="397"/>
        <v>0</v>
      </c>
      <c r="BK300">
        <f t="shared" si="397"/>
        <v>0</v>
      </c>
      <c r="BL300">
        <f t="shared" si="397"/>
        <v>0</v>
      </c>
      <c r="BM300">
        <f t="shared" si="397"/>
        <v>0</v>
      </c>
      <c r="BN300">
        <f t="shared" si="397"/>
        <v>0</v>
      </c>
      <c r="BO300">
        <f t="shared" si="397"/>
        <v>0</v>
      </c>
      <c r="BP300">
        <f t="shared" si="397"/>
        <v>0</v>
      </c>
      <c r="BQ300">
        <f t="shared" si="397"/>
        <v>0</v>
      </c>
      <c r="BR300">
        <f t="shared" si="397"/>
        <v>0</v>
      </c>
      <c r="BS300">
        <f t="shared" si="397"/>
        <v>0</v>
      </c>
      <c r="BT300">
        <f t="shared" si="397"/>
        <v>0</v>
      </c>
      <c r="BU300">
        <f t="shared" si="397"/>
        <v>0</v>
      </c>
      <c r="BV300">
        <f t="shared" si="397"/>
        <v>0</v>
      </c>
      <c r="BW300">
        <f t="shared" si="397"/>
        <v>0</v>
      </c>
      <c r="BX300">
        <f t="shared" si="397"/>
        <v>0</v>
      </c>
      <c r="BY300">
        <f t="shared" si="397"/>
        <v>0</v>
      </c>
      <c r="BZ300">
        <f t="shared" si="397"/>
        <v>0</v>
      </c>
      <c r="CA300">
        <f t="shared" si="397"/>
        <v>0</v>
      </c>
      <c r="CB300">
        <f t="shared" si="397"/>
        <v>0</v>
      </c>
      <c r="CC300">
        <f t="shared" si="385"/>
        <v>0</v>
      </c>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c r="HB300"/>
      <c r="HC300"/>
      <c r="HD300"/>
      <c r="HE300"/>
      <c r="HF300"/>
      <c r="HG300"/>
      <c r="HH300"/>
      <c r="HI300"/>
      <c r="HJ300"/>
      <c r="HK300"/>
      <c r="HL300"/>
      <c r="HM300"/>
      <c r="HN300"/>
      <c r="HO300"/>
      <c r="HP300"/>
      <c r="HQ300"/>
      <c r="HR300"/>
      <c r="HS300"/>
      <c r="HT300"/>
      <c r="HU300"/>
      <c r="HV300"/>
      <c r="HW300"/>
      <c r="HX300"/>
      <c r="HY300"/>
      <c r="HZ300"/>
      <c r="IA300"/>
      <c r="IB300"/>
      <c r="IC300"/>
      <c r="ID300"/>
      <c r="IE300"/>
      <c r="IF300"/>
      <c r="IG300"/>
      <c r="IH300"/>
      <c r="II300"/>
      <c r="IJ300"/>
      <c r="IK300"/>
      <c r="IL300"/>
      <c r="IM300"/>
      <c r="IN300"/>
      <c r="IO300"/>
      <c r="IP300"/>
      <c r="IQ300"/>
      <c r="IR300"/>
      <c r="IS300"/>
      <c r="IT300"/>
      <c r="IU300"/>
      <c r="IV300"/>
    </row>
    <row r="301" spans="1:256" s="1" customFormat="1"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f t="shared" si="383"/>
        <v>0</v>
      </c>
      <c r="BG301">
        <f t="shared" ref="BG301:CB301" si="398">IF(BG137="R",1,IF(BG137="L",1,0))</f>
        <v>0</v>
      </c>
      <c r="BH301">
        <f t="shared" si="398"/>
        <v>0</v>
      </c>
      <c r="BI301">
        <f t="shared" si="398"/>
        <v>0</v>
      </c>
      <c r="BJ301">
        <f t="shared" si="398"/>
        <v>0</v>
      </c>
      <c r="BK301">
        <f t="shared" si="398"/>
        <v>0</v>
      </c>
      <c r="BL301">
        <f t="shared" si="398"/>
        <v>0</v>
      </c>
      <c r="BM301">
        <f t="shared" si="398"/>
        <v>0</v>
      </c>
      <c r="BN301">
        <f t="shared" si="398"/>
        <v>0</v>
      </c>
      <c r="BO301">
        <f t="shared" si="398"/>
        <v>0</v>
      </c>
      <c r="BP301">
        <f t="shared" si="398"/>
        <v>0</v>
      </c>
      <c r="BQ301">
        <f t="shared" si="398"/>
        <v>0</v>
      </c>
      <c r="BR301">
        <f t="shared" si="398"/>
        <v>0</v>
      </c>
      <c r="BS301">
        <f t="shared" si="398"/>
        <v>0</v>
      </c>
      <c r="BT301">
        <f t="shared" si="398"/>
        <v>0</v>
      </c>
      <c r="BU301">
        <f t="shared" si="398"/>
        <v>0</v>
      </c>
      <c r="BV301">
        <f t="shared" si="398"/>
        <v>0</v>
      </c>
      <c r="BW301">
        <f t="shared" si="398"/>
        <v>0</v>
      </c>
      <c r="BX301">
        <f t="shared" si="398"/>
        <v>0</v>
      </c>
      <c r="BY301">
        <f t="shared" si="398"/>
        <v>0</v>
      </c>
      <c r="BZ301">
        <f t="shared" si="398"/>
        <v>0</v>
      </c>
      <c r="CA301">
        <f t="shared" si="398"/>
        <v>0</v>
      </c>
      <c r="CB301">
        <f t="shared" si="398"/>
        <v>0</v>
      </c>
      <c r="CC301">
        <f t="shared" si="385"/>
        <v>0</v>
      </c>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c r="HB301"/>
      <c r="HC301"/>
      <c r="HD301"/>
      <c r="HE301"/>
      <c r="HF301"/>
      <c r="HG301"/>
      <c r="HH301"/>
      <c r="HI301"/>
      <c r="HJ301"/>
      <c r="HK301"/>
      <c r="HL301"/>
      <c r="HM301"/>
      <c r="HN301"/>
      <c r="HO301"/>
      <c r="HP301"/>
      <c r="HQ301"/>
      <c r="HR301"/>
      <c r="HS301"/>
      <c r="HT301"/>
      <c r="HU301"/>
      <c r="HV301"/>
      <c r="HW301"/>
      <c r="HX301"/>
      <c r="HY301"/>
      <c r="HZ301"/>
      <c r="IA301"/>
      <c r="IB301"/>
      <c r="IC301"/>
      <c r="ID301"/>
      <c r="IE301"/>
      <c r="IF301"/>
      <c r="IG301"/>
      <c r="IH301"/>
      <c r="II301"/>
      <c r="IJ301"/>
      <c r="IK301"/>
      <c r="IL301"/>
      <c r="IM301"/>
      <c r="IN301"/>
      <c r="IO301"/>
      <c r="IP301"/>
      <c r="IQ301"/>
      <c r="IR301"/>
      <c r="IS301"/>
      <c r="IT301"/>
      <c r="IU301"/>
      <c r="IV301"/>
    </row>
    <row r="302" spans="1:256" s="1" customFormat="1"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f t="shared" si="383"/>
        <v>0</v>
      </c>
      <c r="BG302">
        <f t="shared" ref="BG302:CB302" si="399">IF(BG138="R",1,IF(BG138="L",1,0))</f>
        <v>0</v>
      </c>
      <c r="BH302">
        <f t="shared" si="399"/>
        <v>0</v>
      </c>
      <c r="BI302">
        <f t="shared" si="399"/>
        <v>0</v>
      </c>
      <c r="BJ302">
        <f t="shared" si="399"/>
        <v>0</v>
      </c>
      <c r="BK302">
        <f t="shared" si="399"/>
        <v>0</v>
      </c>
      <c r="BL302">
        <f t="shared" si="399"/>
        <v>0</v>
      </c>
      <c r="BM302">
        <f t="shared" si="399"/>
        <v>0</v>
      </c>
      <c r="BN302">
        <f t="shared" si="399"/>
        <v>0</v>
      </c>
      <c r="BO302">
        <f t="shared" si="399"/>
        <v>0</v>
      </c>
      <c r="BP302">
        <f t="shared" si="399"/>
        <v>0</v>
      </c>
      <c r="BQ302">
        <f t="shared" si="399"/>
        <v>0</v>
      </c>
      <c r="BR302">
        <f t="shared" si="399"/>
        <v>0</v>
      </c>
      <c r="BS302">
        <f t="shared" si="399"/>
        <v>0</v>
      </c>
      <c r="BT302">
        <f t="shared" si="399"/>
        <v>0</v>
      </c>
      <c r="BU302">
        <f t="shared" si="399"/>
        <v>0</v>
      </c>
      <c r="BV302">
        <f t="shared" si="399"/>
        <v>0</v>
      </c>
      <c r="BW302">
        <f t="shared" si="399"/>
        <v>0</v>
      </c>
      <c r="BX302">
        <f t="shared" si="399"/>
        <v>0</v>
      </c>
      <c r="BY302">
        <f t="shared" si="399"/>
        <v>0</v>
      </c>
      <c r="BZ302">
        <f t="shared" si="399"/>
        <v>0</v>
      </c>
      <c r="CA302">
        <f t="shared" si="399"/>
        <v>0</v>
      </c>
      <c r="CB302">
        <f t="shared" si="399"/>
        <v>0</v>
      </c>
      <c r="CC302">
        <f t="shared" si="385"/>
        <v>0</v>
      </c>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c r="HB302"/>
      <c r="HC302"/>
      <c r="HD302"/>
      <c r="HE302"/>
      <c r="HF302"/>
      <c r="HG302"/>
      <c r="HH302"/>
      <c r="HI302"/>
      <c r="HJ302"/>
      <c r="HK302"/>
      <c r="HL302"/>
      <c r="HM302"/>
      <c r="HN302"/>
      <c r="HO302"/>
      <c r="HP302"/>
      <c r="HQ302"/>
      <c r="HR302"/>
      <c r="HS302"/>
      <c r="HT302"/>
      <c r="HU302"/>
      <c r="HV302"/>
      <c r="HW302"/>
      <c r="HX302"/>
      <c r="HY302"/>
      <c r="HZ302"/>
      <c r="IA302"/>
      <c r="IB302"/>
      <c r="IC302"/>
      <c r="ID302"/>
      <c r="IE302"/>
      <c r="IF302"/>
      <c r="IG302"/>
      <c r="IH302"/>
      <c r="II302"/>
      <c r="IJ302"/>
      <c r="IK302"/>
      <c r="IL302"/>
      <c r="IM302"/>
      <c r="IN302"/>
      <c r="IO302"/>
      <c r="IP302"/>
      <c r="IQ302"/>
      <c r="IR302"/>
      <c r="IS302"/>
      <c r="IT302"/>
      <c r="IU302"/>
      <c r="IV302"/>
    </row>
    <row r="303" spans="1:256" s="1" customFormat="1"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f t="shared" si="383"/>
        <v>0</v>
      </c>
      <c r="BG303">
        <f t="shared" ref="BG303:CB303" si="400">IF(BG139="R",1,IF(BG139="L",1,0))</f>
        <v>0</v>
      </c>
      <c r="BH303">
        <f t="shared" si="400"/>
        <v>0</v>
      </c>
      <c r="BI303">
        <f t="shared" si="400"/>
        <v>0</v>
      </c>
      <c r="BJ303">
        <f t="shared" si="400"/>
        <v>0</v>
      </c>
      <c r="BK303">
        <f t="shared" si="400"/>
        <v>0</v>
      </c>
      <c r="BL303">
        <f t="shared" si="400"/>
        <v>0</v>
      </c>
      <c r="BM303">
        <f t="shared" si="400"/>
        <v>0</v>
      </c>
      <c r="BN303">
        <f t="shared" si="400"/>
        <v>0</v>
      </c>
      <c r="BO303">
        <f t="shared" si="400"/>
        <v>0</v>
      </c>
      <c r="BP303">
        <f t="shared" si="400"/>
        <v>0</v>
      </c>
      <c r="BQ303">
        <f t="shared" si="400"/>
        <v>0</v>
      </c>
      <c r="BR303">
        <f t="shared" si="400"/>
        <v>0</v>
      </c>
      <c r="BS303">
        <f t="shared" si="400"/>
        <v>0</v>
      </c>
      <c r="BT303">
        <f t="shared" si="400"/>
        <v>0</v>
      </c>
      <c r="BU303">
        <f t="shared" si="400"/>
        <v>0</v>
      </c>
      <c r="BV303">
        <f t="shared" si="400"/>
        <v>0</v>
      </c>
      <c r="BW303">
        <f t="shared" si="400"/>
        <v>0</v>
      </c>
      <c r="BX303">
        <f t="shared" si="400"/>
        <v>0</v>
      </c>
      <c r="BY303">
        <f t="shared" si="400"/>
        <v>0</v>
      </c>
      <c r="BZ303">
        <f t="shared" si="400"/>
        <v>0</v>
      </c>
      <c r="CA303">
        <f t="shared" si="400"/>
        <v>0</v>
      </c>
      <c r="CB303">
        <f t="shared" si="400"/>
        <v>0</v>
      </c>
      <c r="CC303">
        <f t="shared" si="385"/>
        <v>0</v>
      </c>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c r="HB303"/>
      <c r="HC303"/>
      <c r="HD303"/>
      <c r="HE303"/>
      <c r="HF303"/>
      <c r="HG303"/>
      <c r="HH303"/>
      <c r="HI303"/>
      <c r="HJ303"/>
      <c r="HK303"/>
      <c r="HL303"/>
      <c r="HM303"/>
      <c r="HN303"/>
      <c r="HO303"/>
      <c r="HP303"/>
      <c r="HQ303"/>
      <c r="HR303"/>
      <c r="HS303"/>
      <c r="HT303"/>
      <c r="HU303"/>
      <c r="HV303"/>
      <c r="HW303"/>
      <c r="HX303"/>
      <c r="HY303"/>
      <c r="HZ303"/>
      <c r="IA303"/>
      <c r="IB303"/>
      <c r="IC303"/>
      <c r="ID303"/>
      <c r="IE303"/>
      <c r="IF303"/>
      <c r="IG303"/>
      <c r="IH303"/>
      <c r="II303"/>
      <c r="IJ303"/>
      <c r="IK303"/>
      <c r="IL303"/>
      <c r="IM303"/>
      <c r="IN303"/>
      <c r="IO303"/>
      <c r="IP303"/>
      <c r="IQ303"/>
      <c r="IR303"/>
      <c r="IS303"/>
      <c r="IT303"/>
      <c r="IU303"/>
      <c r="IV303"/>
    </row>
    <row r="304" spans="1:256" s="1" customFormat="1" x14ac:dyDescent="0.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f t="shared" si="383"/>
        <v>0</v>
      </c>
      <c r="BG304">
        <f t="shared" ref="BG304:CB304" si="401">IF(BG140="R",1,IF(BG140="L",1,0))</f>
        <v>0</v>
      </c>
      <c r="BH304">
        <f t="shared" si="401"/>
        <v>0</v>
      </c>
      <c r="BI304">
        <f t="shared" si="401"/>
        <v>0</v>
      </c>
      <c r="BJ304">
        <f t="shared" si="401"/>
        <v>0</v>
      </c>
      <c r="BK304">
        <f t="shared" si="401"/>
        <v>0</v>
      </c>
      <c r="BL304">
        <f t="shared" si="401"/>
        <v>0</v>
      </c>
      <c r="BM304">
        <f t="shared" si="401"/>
        <v>0</v>
      </c>
      <c r="BN304">
        <f t="shared" si="401"/>
        <v>0</v>
      </c>
      <c r="BO304">
        <f t="shared" si="401"/>
        <v>0</v>
      </c>
      <c r="BP304">
        <f t="shared" si="401"/>
        <v>0</v>
      </c>
      <c r="BQ304">
        <f t="shared" si="401"/>
        <v>0</v>
      </c>
      <c r="BR304">
        <f t="shared" si="401"/>
        <v>0</v>
      </c>
      <c r="BS304">
        <f t="shared" si="401"/>
        <v>0</v>
      </c>
      <c r="BT304">
        <f t="shared" si="401"/>
        <v>0</v>
      </c>
      <c r="BU304">
        <f t="shared" si="401"/>
        <v>0</v>
      </c>
      <c r="BV304">
        <f t="shared" si="401"/>
        <v>0</v>
      </c>
      <c r="BW304">
        <f t="shared" si="401"/>
        <v>0</v>
      </c>
      <c r="BX304">
        <f t="shared" si="401"/>
        <v>0</v>
      </c>
      <c r="BY304">
        <f t="shared" si="401"/>
        <v>0</v>
      </c>
      <c r="BZ304">
        <f t="shared" si="401"/>
        <v>0</v>
      </c>
      <c r="CA304">
        <f t="shared" si="401"/>
        <v>0</v>
      </c>
      <c r="CB304">
        <f t="shared" si="401"/>
        <v>0</v>
      </c>
      <c r="CC304">
        <f t="shared" si="385"/>
        <v>0</v>
      </c>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c r="HB304"/>
      <c r="HC304"/>
      <c r="HD304"/>
      <c r="HE304"/>
      <c r="HF304"/>
      <c r="HG304"/>
      <c r="HH304"/>
      <c r="HI304"/>
      <c r="HJ304"/>
      <c r="HK304"/>
      <c r="HL304"/>
      <c r="HM304"/>
      <c r="HN304"/>
      <c r="HO304"/>
      <c r="HP304"/>
      <c r="HQ304"/>
      <c r="HR304"/>
      <c r="HS304"/>
      <c r="HT304"/>
      <c r="HU304"/>
      <c r="HV304"/>
      <c r="HW304"/>
      <c r="HX304"/>
      <c r="HY304"/>
      <c r="HZ304"/>
      <c r="IA304"/>
      <c r="IB304"/>
      <c r="IC304"/>
      <c r="ID304"/>
      <c r="IE304"/>
      <c r="IF304"/>
      <c r="IG304"/>
      <c r="IH304"/>
      <c r="II304"/>
      <c r="IJ304"/>
      <c r="IK304"/>
      <c r="IL304"/>
      <c r="IM304"/>
      <c r="IN304"/>
      <c r="IO304"/>
      <c r="IP304"/>
      <c r="IQ304"/>
      <c r="IR304"/>
      <c r="IS304"/>
      <c r="IT304"/>
      <c r="IU304"/>
      <c r="IV304"/>
    </row>
    <row r="305" spans="1:256" s="1" customFormat="1" x14ac:dyDescent="0.2">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f t="shared" si="383"/>
        <v>0</v>
      </c>
      <c r="BG305">
        <f t="shared" ref="BG305:CB305" si="402">IF(BG141="R",1,IF(BG141="L",1,0))</f>
        <v>0</v>
      </c>
      <c r="BH305">
        <f t="shared" si="402"/>
        <v>0</v>
      </c>
      <c r="BI305">
        <f t="shared" si="402"/>
        <v>0</v>
      </c>
      <c r="BJ305">
        <f t="shared" si="402"/>
        <v>0</v>
      </c>
      <c r="BK305">
        <f t="shared" si="402"/>
        <v>0</v>
      </c>
      <c r="BL305">
        <f t="shared" si="402"/>
        <v>0</v>
      </c>
      <c r="BM305">
        <f t="shared" si="402"/>
        <v>0</v>
      </c>
      <c r="BN305">
        <f t="shared" si="402"/>
        <v>0</v>
      </c>
      <c r="BO305">
        <f t="shared" si="402"/>
        <v>0</v>
      </c>
      <c r="BP305">
        <f t="shared" si="402"/>
        <v>0</v>
      </c>
      <c r="BQ305">
        <f t="shared" si="402"/>
        <v>0</v>
      </c>
      <c r="BR305">
        <f t="shared" si="402"/>
        <v>0</v>
      </c>
      <c r="BS305">
        <f t="shared" si="402"/>
        <v>0</v>
      </c>
      <c r="BT305">
        <f t="shared" si="402"/>
        <v>0</v>
      </c>
      <c r="BU305">
        <f t="shared" si="402"/>
        <v>0</v>
      </c>
      <c r="BV305">
        <f t="shared" si="402"/>
        <v>0</v>
      </c>
      <c r="BW305">
        <f t="shared" si="402"/>
        <v>0</v>
      </c>
      <c r="BX305">
        <f t="shared" si="402"/>
        <v>0</v>
      </c>
      <c r="BY305">
        <f t="shared" si="402"/>
        <v>0</v>
      </c>
      <c r="BZ305">
        <f t="shared" si="402"/>
        <v>0</v>
      </c>
      <c r="CA305">
        <f t="shared" si="402"/>
        <v>0</v>
      </c>
      <c r="CB305">
        <f t="shared" si="402"/>
        <v>0</v>
      </c>
      <c r="CC305">
        <f t="shared" si="385"/>
        <v>0</v>
      </c>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c r="HB305"/>
      <c r="HC305"/>
      <c r="HD305"/>
      <c r="HE305"/>
      <c r="HF305"/>
      <c r="HG305"/>
      <c r="HH305"/>
      <c r="HI305"/>
      <c r="HJ305"/>
      <c r="HK305"/>
      <c r="HL305"/>
      <c r="HM305"/>
      <c r="HN305"/>
      <c r="HO305"/>
      <c r="HP305"/>
      <c r="HQ305"/>
      <c r="HR305"/>
      <c r="HS305"/>
      <c r="HT305"/>
      <c r="HU305"/>
      <c r="HV305"/>
      <c r="HW305"/>
      <c r="HX305"/>
      <c r="HY305"/>
      <c r="HZ305"/>
      <c r="IA305"/>
      <c r="IB305"/>
      <c r="IC305"/>
      <c r="ID305"/>
      <c r="IE305"/>
      <c r="IF305"/>
      <c r="IG305"/>
      <c r="IH305"/>
      <c r="II305"/>
      <c r="IJ305"/>
      <c r="IK305"/>
      <c r="IL305"/>
      <c r="IM305"/>
      <c r="IN305"/>
      <c r="IO305"/>
      <c r="IP305"/>
      <c r="IQ305"/>
      <c r="IR305"/>
      <c r="IS305"/>
      <c r="IT305"/>
      <c r="IU305"/>
      <c r="IV305"/>
    </row>
    <row r="306" spans="1:256" s="1" customFormat="1"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f t="shared" si="383"/>
        <v>0</v>
      </c>
      <c r="BG306">
        <f t="shared" ref="BG306:CB306" si="403">IF(BG142="R",1,IF(BG142="L",1,0))</f>
        <v>0</v>
      </c>
      <c r="BH306">
        <f t="shared" si="403"/>
        <v>0</v>
      </c>
      <c r="BI306">
        <f t="shared" si="403"/>
        <v>0</v>
      </c>
      <c r="BJ306">
        <f t="shared" si="403"/>
        <v>0</v>
      </c>
      <c r="BK306">
        <f t="shared" si="403"/>
        <v>0</v>
      </c>
      <c r="BL306">
        <f t="shared" si="403"/>
        <v>0</v>
      </c>
      <c r="BM306">
        <f t="shared" si="403"/>
        <v>0</v>
      </c>
      <c r="BN306">
        <f t="shared" si="403"/>
        <v>0</v>
      </c>
      <c r="BO306">
        <f t="shared" si="403"/>
        <v>0</v>
      </c>
      <c r="BP306">
        <f t="shared" si="403"/>
        <v>0</v>
      </c>
      <c r="BQ306">
        <f t="shared" si="403"/>
        <v>0</v>
      </c>
      <c r="BR306">
        <f t="shared" si="403"/>
        <v>0</v>
      </c>
      <c r="BS306">
        <f t="shared" si="403"/>
        <v>0</v>
      </c>
      <c r="BT306">
        <f t="shared" si="403"/>
        <v>0</v>
      </c>
      <c r="BU306">
        <f t="shared" si="403"/>
        <v>0</v>
      </c>
      <c r="BV306">
        <f t="shared" si="403"/>
        <v>0</v>
      </c>
      <c r="BW306">
        <f t="shared" si="403"/>
        <v>0</v>
      </c>
      <c r="BX306">
        <f t="shared" si="403"/>
        <v>0</v>
      </c>
      <c r="BY306">
        <f t="shared" si="403"/>
        <v>0</v>
      </c>
      <c r="BZ306">
        <f t="shared" si="403"/>
        <v>0</v>
      </c>
      <c r="CA306">
        <f t="shared" si="403"/>
        <v>0</v>
      </c>
      <c r="CB306">
        <f t="shared" si="403"/>
        <v>0</v>
      </c>
      <c r="CC306">
        <f t="shared" si="385"/>
        <v>0</v>
      </c>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c r="HB306"/>
      <c r="HC306"/>
      <c r="HD306"/>
      <c r="HE306"/>
      <c r="HF306"/>
      <c r="HG306"/>
      <c r="HH306"/>
      <c r="HI306"/>
      <c r="HJ306"/>
      <c r="HK306"/>
      <c r="HL306"/>
      <c r="HM306"/>
      <c r="HN306"/>
      <c r="HO306"/>
      <c r="HP306"/>
      <c r="HQ306"/>
      <c r="HR306"/>
      <c r="HS306"/>
      <c r="HT306"/>
      <c r="HU306"/>
      <c r="HV306"/>
      <c r="HW306"/>
      <c r="HX306"/>
      <c r="HY306"/>
      <c r="HZ306"/>
      <c r="IA306"/>
      <c r="IB306"/>
      <c r="IC306"/>
      <c r="ID306"/>
      <c r="IE306"/>
      <c r="IF306"/>
      <c r="IG306"/>
      <c r="IH306"/>
      <c r="II306"/>
      <c r="IJ306"/>
      <c r="IK306"/>
      <c r="IL306"/>
      <c r="IM306"/>
      <c r="IN306"/>
      <c r="IO306"/>
      <c r="IP306"/>
      <c r="IQ306"/>
      <c r="IR306"/>
      <c r="IS306"/>
      <c r="IT306"/>
      <c r="IU306"/>
      <c r="IV306"/>
    </row>
    <row r="307" spans="1:256" s="1" customFormat="1"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f t="shared" si="383"/>
        <v>0</v>
      </c>
      <c r="BG307">
        <f t="shared" ref="BG307:CB307" si="404">IF(BG143="R",1,IF(BG143="L",1,0))</f>
        <v>0</v>
      </c>
      <c r="BH307">
        <f t="shared" si="404"/>
        <v>0</v>
      </c>
      <c r="BI307">
        <f t="shared" si="404"/>
        <v>0</v>
      </c>
      <c r="BJ307">
        <f t="shared" si="404"/>
        <v>0</v>
      </c>
      <c r="BK307">
        <f t="shared" si="404"/>
        <v>0</v>
      </c>
      <c r="BL307">
        <f t="shared" si="404"/>
        <v>0</v>
      </c>
      <c r="BM307">
        <f t="shared" si="404"/>
        <v>0</v>
      </c>
      <c r="BN307">
        <f t="shared" si="404"/>
        <v>0</v>
      </c>
      <c r="BO307">
        <f t="shared" si="404"/>
        <v>0</v>
      </c>
      <c r="BP307">
        <f t="shared" si="404"/>
        <v>0</v>
      </c>
      <c r="BQ307">
        <f t="shared" si="404"/>
        <v>0</v>
      </c>
      <c r="BR307">
        <f t="shared" si="404"/>
        <v>0</v>
      </c>
      <c r="BS307">
        <f t="shared" si="404"/>
        <v>0</v>
      </c>
      <c r="BT307">
        <f t="shared" si="404"/>
        <v>0</v>
      </c>
      <c r="BU307">
        <f t="shared" si="404"/>
        <v>0</v>
      </c>
      <c r="BV307">
        <f t="shared" si="404"/>
        <v>0</v>
      </c>
      <c r="BW307">
        <f t="shared" si="404"/>
        <v>0</v>
      </c>
      <c r="BX307">
        <f t="shared" si="404"/>
        <v>0</v>
      </c>
      <c r="BY307">
        <f t="shared" si="404"/>
        <v>0</v>
      </c>
      <c r="BZ307">
        <f t="shared" si="404"/>
        <v>0</v>
      </c>
      <c r="CA307">
        <f t="shared" si="404"/>
        <v>0</v>
      </c>
      <c r="CB307">
        <f t="shared" si="404"/>
        <v>0</v>
      </c>
      <c r="CC307">
        <f t="shared" si="385"/>
        <v>0</v>
      </c>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c r="HB307"/>
      <c r="HC307"/>
      <c r="HD307"/>
      <c r="HE307"/>
      <c r="HF307"/>
      <c r="HG307"/>
      <c r="HH307"/>
      <c r="HI307"/>
      <c r="HJ307"/>
      <c r="HK307"/>
      <c r="HL307"/>
      <c r="HM307"/>
      <c r="HN307"/>
      <c r="HO307"/>
      <c r="HP307"/>
      <c r="HQ307"/>
      <c r="HR307"/>
      <c r="HS307"/>
      <c r="HT307"/>
      <c r="HU307"/>
      <c r="HV307"/>
      <c r="HW307"/>
      <c r="HX307"/>
      <c r="HY307"/>
      <c r="HZ307"/>
      <c r="IA307"/>
      <c r="IB307"/>
      <c r="IC307"/>
      <c r="ID307"/>
      <c r="IE307"/>
      <c r="IF307"/>
      <c r="IG307"/>
      <c r="IH307"/>
      <c r="II307"/>
      <c r="IJ307"/>
      <c r="IK307"/>
      <c r="IL307"/>
      <c r="IM307"/>
      <c r="IN307"/>
      <c r="IO307"/>
      <c r="IP307"/>
      <c r="IQ307"/>
      <c r="IR307"/>
      <c r="IS307"/>
      <c r="IT307"/>
      <c r="IU307"/>
      <c r="IV307"/>
    </row>
    <row r="308" spans="1:256" s="1" customFormat="1"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f t="shared" si="383"/>
        <v>0</v>
      </c>
      <c r="BG308">
        <f t="shared" ref="BG308:CB308" si="405">IF(BG144="R",1,IF(BG144="L",1,0))</f>
        <v>0</v>
      </c>
      <c r="BH308">
        <f t="shared" si="405"/>
        <v>0</v>
      </c>
      <c r="BI308">
        <f t="shared" si="405"/>
        <v>0</v>
      </c>
      <c r="BJ308">
        <f t="shared" si="405"/>
        <v>0</v>
      </c>
      <c r="BK308">
        <f t="shared" si="405"/>
        <v>0</v>
      </c>
      <c r="BL308">
        <f t="shared" si="405"/>
        <v>0</v>
      </c>
      <c r="BM308">
        <f t="shared" si="405"/>
        <v>0</v>
      </c>
      <c r="BN308">
        <f t="shared" si="405"/>
        <v>0</v>
      </c>
      <c r="BO308">
        <f t="shared" si="405"/>
        <v>0</v>
      </c>
      <c r="BP308">
        <f t="shared" si="405"/>
        <v>0</v>
      </c>
      <c r="BQ308">
        <f t="shared" si="405"/>
        <v>0</v>
      </c>
      <c r="BR308">
        <f t="shared" si="405"/>
        <v>0</v>
      </c>
      <c r="BS308">
        <f t="shared" si="405"/>
        <v>0</v>
      </c>
      <c r="BT308">
        <f t="shared" si="405"/>
        <v>0</v>
      </c>
      <c r="BU308">
        <f t="shared" si="405"/>
        <v>0</v>
      </c>
      <c r="BV308">
        <f t="shared" si="405"/>
        <v>0</v>
      </c>
      <c r="BW308">
        <f t="shared" si="405"/>
        <v>0</v>
      </c>
      <c r="BX308">
        <f t="shared" si="405"/>
        <v>0</v>
      </c>
      <c r="BY308">
        <f t="shared" si="405"/>
        <v>0</v>
      </c>
      <c r="BZ308">
        <f t="shared" si="405"/>
        <v>0</v>
      </c>
      <c r="CA308">
        <f t="shared" si="405"/>
        <v>0</v>
      </c>
      <c r="CB308">
        <f t="shared" si="405"/>
        <v>0</v>
      </c>
      <c r="CC308">
        <f t="shared" si="385"/>
        <v>0</v>
      </c>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c r="HB308"/>
      <c r="HC308"/>
      <c r="HD308"/>
      <c r="HE308"/>
      <c r="HF308"/>
      <c r="HG308"/>
      <c r="HH308"/>
      <c r="HI308"/>
      <c r="HJ308"/>
      <c r="HK308"/>
      <c r="HL308"/>
      <c r="HM308"/>
      <c r="HN308"/>
      <c r="HO308"/>
      <c r="HP308"/>
      <c r="HQ308"/>
      <c r="HR308"/>
      <c r="HS308"/>
      <c r="HT308"/>
      <c r="HU308"/>
      <c r="HV308"/>
      <c r="HW308"/>
      <c r="HX308"/>
      <c r="HY308"/>
      <c r="HZ308"/>
      <c r="IA308"/>
      <c r="IB308"/>
      <c r="IC308"/>
      <c r="ID308"/>
      <c r="IE308"/>
      <c r="IF308"/>
      <c r="IG308"/>
      <c r="IH308"/>
      <c r="II308"/>
      <c r="IJ308"/>
      <c r="IK308"/>
      <c r="IL308"/>
      <c r="IM308"/>
      <c r="IN308"/>
      <c r="IO308"/>
      <c r="IP308"/>
      <c r="IQ308"/>
      <c r="IR308"/>
      <c r="IS308"/>
      <c r="IT308"/>
      <c r="IU308"/>
      <c r="IV308"/>
    </row>
    <row r="309" spans="1:256" s="1" customFormat="1"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f t="shared" si="383"/>
        <v>0</v>
      </c>
      <c r="BG309">
        <f t="shared" ref="BG309:CB309" si="406">IF(BG145="R",1,IF(BG145="L",1,0))</f>
        <v>0</v>
      </c>
      <c r="BH309">
        <f t="shared" si="406"/>
        <v>0</v>
      </c>
      <c r="BI309">
        <f t="shared" si="406"/>
        <v>0</v>
      </c>
      <c r="BJ309">
        <f t="shared" si="406"/>
        <v>0</v>
      </c>
      <c r="BK309">
        <f t="shared" si="406"/>
        <v>0</v>
      </c>
      <c r="BL309">
        <f t="shared" si="406"/>
        <v>0</v>
      </c>
      <c r="BM309">
        <f t="shared" si="406"/>
        <v>0</v>
      </c>
      <c r="BN309">
        <f t="shared" si="406"/>
        <v>0</v>
      </c>
      <c r="BO309">
        <f t="shared" si="406"/>
        <v>0</v>
      </c>
      <c r="BP309">
        <f t="shared" si="406"/>
        <v>0</v>
      </c>
      <c r="BQ309">
        <f t="shared" si="406"/>
        <v>0</v>
      </c>
      <c r="BR309">
        <f t="shared" si="406"/>
        <v>0</v>
      </c>
      <c r="BS309">
        <f t="shared" si="406"/>
        <v>0</v>
      </c>
      <c r="BT309">
        <f t="shared" si="406"/>
        <v>0</v>
      </c>
      <c r="BU309">
        <f t="shared" si="406"/>
        <v>0</v>
      </c>
      <c r="BV309">
        <f t="shared" si="406"/>
        <v>0</v>
      </c>
      <c r="BW309">
        <f t="shared" si="406"/>
        <v>0</v>
      </c>
      <c r="BX309">
        <f t="shared" si="406"/>
        <v>0</v>
      </c>
      <c r="BY309">
        <f t="shared" si="406"/>
        <v>0</v>
      </c>
      <c r="BZ309">
        <f t="shared" si="406"/>
        <v>0</v>
      </c>
      <c r="CA309">
        <f t="shared" si="406"/>
        <v>0</v>
      </c>
      <c r="CB309">
        <f t="shared" si="406"/>
        <v>0</v>
      </c>
      <c r="CC309">
        <f t="shared" si="385"/>
        <v>0</v>
      </c>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row>
    <row r="310" spans="1:256" s="1" customFormat="1"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f t="shared" si="383"/>
        <v>0</v>
      </c>
      <c r="BG310">
        <f t="shared" ref="BG310:CB310" si="407">IF(BG146="R",1,IF(BG146="L",1,0))</f>
        <v>0</v>
      </c>
      <c r="BH310">
        <f t="shared" si="407"/>
        <v>0</v>
      </c>
      <c r="BI310">
        <f t="shared" si="407"/>
        <v>0</v>
      </c>
      <c r="BJ310">
        <f t="shared" si="407"/>
        <v>0</v>
      </c>
      <c r="BK310">
        <f t="shared" si="407"/>
        <v>0</v>
      </c>
      <c r="BL310">
        <f t="shared" si="407"/>
        <v>0</v>
      </c>
      <c r="BM310">
        <f t="shared" si="407"/>
        <v>0</v>
      </c>
      <c r="BN310">
        <f t="shared" si="407"/>
        <v>0</v>
      </c>
      <c r="BO310">
        <f t="shared" si="407"/>
        <v>0</v>
      </c>
      <c r="BP310">
        <f t="shared" si="407"/>
        <v>0</v>
      </c>
      <c r="BQ310">
        <f t="shared" si="407"/>
        <v>0</v>
      </c>
      <c r="BR310">
        <f t="shared" si="407"/>
        <v>0</v>
      </c>
      <c r="BS310">
        <f t="shared" si="407"/>
        <v>0</v>
      </c>
      <c r="BT310">
        <f t="shared" si="407"/>
        <v>0</v>
      </c>
      <c r="BU310">
        <f t="shared" si="407"/>
        <v>0</v>
      </c>
      <c r="BV310">
        <f t="shared" si="407"/>
        <v>0</v>
      </c>
      <c r="BW310">
        <f t="shared" si="407"/>
        <v>0</v>
      </c>
      <c r="BX310">
        <f t="shared" si="407"/>
        <v>0</v>
      </c>
      <c r="BY310">
        <f t="shared" si="407"/>
        <v>0</v>
      </c>
      <c r="BZ310">
        <f t="shared" si="407"/>
        <v>0</v>
      </c>
      <c r="CA310">
        <f t="shared" si="407"/>
        <v>0</v>
      </c>
      <c r="CB310">
        <f t="shared" si="407"/>
        <v>0</v>
      </c>
      <c r="CC310">
        <f t="shared" si="385"/>
        <v>0</v>
      </c>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c r="HB310"/>
      <c r="HC310"/>
      <c r="HD310"/>
      <c r="HE310"/>
      <c r="HF310"/>
      <c r="HG310"/>
      <c r="HH310"/>
      <c r="HI310"/>
      <c r="HJ310"/>
      <c r="HK310"/>
      <c r="HL310"/>
      <c r="HM310"/>
      <c r="HN310"/>
      <c r="HO310"/>
      <c r="HP310"/>
      <c r="HQ310"/>
      <c r="HR310"/>
      <c r="HS310"/>
      <c r="HT310"/>
      <c r="HU310"/>
      <c r="HV310"/>
      <c r="HW310"/>
      <c r="HX310"/>
      <c r="HY310"/>
      <c r="HZ310"/>
      <c r="IA310"/>
      <c r="IB310"/>
      <c r="IC310"/>
      <c r="ID310"/>
      <c r="IE310"/>
      <c r="IF310"/>
      <c r="IG310"/>
      <c r="IH310"/>
      <c r="II310"/>
      <c r="IJ310"/>
      <c r="IK310"/>
      <c r="IL310"/>
      <c r="IM310"/>
      <c r="IN310"/>
      <c r="IO310"/>
      <c r="IP310"/>
      <c r="IQ310"/>
      <c r="IR310"/>
      <c r="IS310"/>
      <c r="IT310"/>
      <c r="IU310"/>
      <c r="IV310"/>
    </row>
    <row r="311" spans="1:256" s="1" customFormat="1"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f t="shared" si="383"/>
        <v>0</v>
      </c>
      <c r="BG311">
        <f t="shared" ref="BG311:CB311" si="408">IF(BG147="R",1,IF(BG147="L",1,0))</f>
        <v>0</v>
      </c>
      <c r="BH311">
        <f t="shared" si="408"/>
        <v>0</v>
      </c>
      <c r="BI311">
        <f t="shared" si="408"/>
        <v>0</v>
      </c>
      <c r="BJ311">
        <f t="shared" si="408"/>
        <v>0</v>
      </c>
      <c r="BK311">
        <f t="shared" si="408"/>
        <v>0</v>
      </c>
      <c r="BL311">
        <f t="shared" si="408"/>
        <v>0</v>
      </c>
      <c r="BM311">
        <f t="shared" si="408"/>
        <v>0</v>
      </c>
      <c r="BN311">
        <f t="shared" si="408"/>
        <v>0</v>
      </c>
      <c r="BO311">
        <f t="shared" si="408"/>
        <v>0</v>
      </c>
      <c r="BP311">
        <f t="shared" si="408"/>
        <v>0</v>
      </c>
      <c r="BQ311">
        <f t="shared" si="408"/>
        <v>0</v>
      </c>
      <c r="BR311">
        <f t="shared" si="408"/>
        <v>0</v>
      </c>
      <c r="BS311">
        <f t="shared" si="408"/>
        <v>0</v>
      </c>
      <c r="BT311">
        <f t="shared" si="408"/>
        <v>0</v>
      </c>
      <c r="BU311">
        <f t="shared" si="408"/>
        <v>0</v>
      </c>
      <c r="BV311">
        <f t="shared" si="408"/>
        <v>0</v>
      </c>
      <c r="BW311">
        <f t="shared" si="408"/>
        <v>0</v>
      </c>
      <c r="BX311">
        <f t="shared" si="408"/>
        <v>0</v>
      </c>
      <c r="BY311">
        <f t="shared" si="408"/>
        <v>0</v>
      </c>
      <c r="BZ311">
        <f t="shared" si="408"/>
        <v>0</v>
      </c>
      <c r="CA311">
        <f t="shared" si="408"/>
        <v>0</v>
      </c>
      <c r="CB311">
        <f t="shared" si="408"/>
        <v>0</v>
      </c>
      <c r="CC311">
        <f t="shared" si="385"/>
        <v>0</v>
      </c>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c r="HB311"/>
      <c r="HC311"/>
      <c r="HD311"/>
      <c r="HE311"/>
      <c r="HF311"/>
      <c r="HG311"/>
      <c r="HH311"/>
      <c r="HI311"/>
      <c r="HJ311"/>
      <c r="HK311"/>
      <c r="HL311"/>
      <c r="HM311"/>
      <c r="HN311"/>
      <c r="HO311"/>
      <c r="HP311"/>
      <c r="HQ311"/>
      <c r="HR311"/>
      <c r="HS311"/>
      <c r="HT311"/>
      <c r="HU311"/>
      <c r="HV311"/>
      <c r="HW311"/>
      <c r="HX311"/>
      <c r="HY311"/>
      <c r="HZ311"/>
      <c r="IA311"/>
      <c r="IB311"/>
      <c r="IC311"/>
      <c r="ID311"/>
      <c r="IE311"/>
      <c r="IF311"/>
      <c r="IG311"/>
      <c r="IH311"/>
      <c r="II311"/>
      <c r="IJ311"/>
      <c r="IK311"/>
      <c r="IL311"/>
      <c r="IM311"/>
      <c r="IN311"/>
      <c r="IO311"/>
      <c r="IP311"/>
      <c r="IQ311"/>
      <c r="IR311"/>
      <c r="IS311"/>
      <c r="IT311"/>
      <c r="IU311"/>
      <c r="IV311"/>
    </row>
    <row r="312" spans="1:256" s="1" customFormat="1"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f t="shared" si="383"/>
        <v>0</v>
      </c>
      <c r="BG312">
        <f t="shared" ref="BG312:CB312" si="409">IF(BG148="R",1,IF(BG148="L",1,0))</f>
        <v>0</v>
      </c>
      <c r="BH312">
        <f t="shared" si="409"/>
        <v>0</v>
      </c>
      <c r="BI312">
        <f t="shared" si="409"/>
        <v>0</v>
      </c>
      <c r="BJ312">
        <f t="shared" si="409"/>
        <v>0</v>
      </c>
      <c r="BK312">
        <f t="shared" si="409"/>
        <v>0</v>
      </c>
      <c r="BL312">
        <f t="shared" si="409"/>
        <v>0</v>
      </c>
      <c r="BM312">
        <f t="shared" si="409"/>
        <v>0</v>
      </c>
      <c r="BN312">
        <f t="shared" si="409"/>
        <v>0</v>
      </c>
      <c r="BO312">
        <f t="shared" si="409"/>
        <v>0</v>
      </c>
      <c r="BP312">
        <f t="shared" si="409"/>
        <v>0</v>
      </c>
      <c r="BQ312">
        <f t="shared" si="409"/>
        <v>0</v>
      </c>
      <c r="BR312">
        <f t="shared" si="409"/>
        <v>0</v>
      </c>
      <c r="BS312">
        <f t="shared" si="409"/>
        <v>0</v>
      </c>
      <c r="BT312">
        <f t="shared" si="409"/>
        <v>0</v>
      </c>
      <c r="BU312">
        <f t="shared" si="409"/>
        <v>0</v>
      </c>
      <c r="BV312">
        <f t="shared" si="409"/>
        <v>0</v>
      </c>
      <c r="BW312">
        <f t="shared" si="409"/>
        <v>0</v>
      </c>
      <c r="BX312">
        <f t="shared" si="409"/>
        <v>0</v>
      </c>
      <c r="BY312">
        <f t="shared" si="409"/>
        <v>0</v>
      </c>
      <c r="BZ312">
        <f t="shared" si="409"/>
        <v>0</v>
      </c>
      <c r="CA312">
        <f t="shared" si="409"/>
        <v>0</v>
      </c>
      <c r="CB312">
        <f t="shared" si="409"/>
        <v>0</v>
      </c>
      <c r="CC312">
        <f t="shared" si="385"/>
        <v>0</v>
      </c>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c r="HB312"/>
      <c r="HC312"/>
      <c r="HD312"/>
      <c r="HE312"/>
      <c r="HF312"/>
      <c r="HG312"/>
      <c r="HH312"/>
      <c r="HI312"/>
      <c r="HJ312"/>
      <c r="HK312"/>
      <c r="HL312"/>
      <c r="HM312"/>
      <c r="HN312"/>
      <c r="HO312"/>
      <c r="HP312"/>
      <c r="HQ312"/>
      <c r="HR312"/>
      <c r="HS312"/>
      <c r="HT312"/>
      <c r="HU312"/>
      <c r="HV312"/>
      <c r="HW312"/>
      <c r="HX312"/>
      <c r="HY312"/>
      <c r="HZ312"/>
      <c r="IA312"/>
      <c r="IB312"/>
      <c r="IC312"/>
      <c r="ID312"/>
      <c r="IE312"/>
      <c r="IF312"/>
      <c r="IG312"/>
      <c r="IH312"/>
      <c r="II312"/>
      <c r="IJ312"/>
      <c r="IK312"/>
      <c r="IL312"/>
      <c r="IM312"/>
      <c r="IN312"/>
      <c r="IO312"/>
      <c r="IP312"/>
      <c r="IQ312"/>
      <c r="IR312"/>
      <c r="IS312"/>
      <c r="IT312"/>
      <c r="IU312"/>
      <c r="IV312"/>
    </row>
    <row r="313" spans="1:256" s="1" customFormat="1"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f t="shared" si="383"/>
        <v>0</v>
      </c>
      <c r="BG313">
        <f t="shared" ref="BG313:CB313" si="410">IF(BG149="R",1,IF(BG149="L",1,0))</f>
        <v>0</v>
      </c>
      <c r="BH313">
        <f t="shared" si="410"/>
        <v>0</v>
      </c>
      <c r="BI313">
        <f t="shared" si="410"/>
        <v>0</v>
      </c>
      <c r="BJ313">
        <f t="shared" si="410"/>
        <v>0</v>
      </c>
      <c r="BK313">
        <f t="shared" si="410"/>
        <v>0</v>
      </c>
      <c r="BL313">
        <f t="shared" si="410"/>
        <v>0</v>
      </c>
      <c r="BM313">
        <f t="shared" si="410"/>
        <v>0</v>
      </c>
      <c r="BN313">
        <f t="shared" si="410"/>
        <v>0</v>
      </c>
      <c r="BO313">
        <f t="shared" si="410"/>
        <v>0</v>
      </c>
      <c r="BP313">
        <f t="shared" si="410"/>
        <v>0</v>
      </c>
      <c r="BQ313">
        <f t="shared" si="410"/>
        <v>0</v>
      </c>
      <c r="BR313">
        <f t="shared" si="410"/>
        <v>0</v>
      </c>
      <c r="BS313">
        <f t="shared" si="410"/>
        <v>0</v>
      </c>
      <c r="BT313">
        <f t="shared" si="410"/>
        <v>0</v>
      </c>
      <c r="BU313">
        <f t="shared" si="410"/>
        <v>0</v>
      </c>
      <c r="BV313">
        <f t="shared" si="410"/>
        <v>0</v>
      </c>
      <c r="BW313">
        <f t="shared" si="410"/>
        <v>0</v>
      </c>
      <c r="BX313">
        <f t="shared" si="410"/>
        <v>0</v>
      </c>
      <c r="BY313">
        <f t="shared" si="410"/>
        <v>0</v>
      </c>
      <c r="BZ313">
        <f t="shared" si="410"/>
        <v>0</v>
      </c>
      <c r="CA313">
        <f t="shared" si="410"/>
        <v>0</v>
      </c>
      <c r="CB313">
        <f t="shared" si="410"/>
        <v>0</v>
      </c>
      <c r="CC313">
        <f t="shared" si="385"/>
        <v>0</v>
      </c>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c r="HB313"/>
      <c r="HC313"/>
      <c r="HD313"/>
      <c r="HE313"/>
      <c r="HF313"/>
      <c r="HG313"/>
      <c r="HH313"/>
      <c r="HI313"/>
      <c r="HJ313"/>
      <c r="HK313"/>
      <c r="HL313"/>
      <c r="HM313"/>
      <c r="HN313"/>
      <c r="HO313"/>
      <c r="HP313"/>
      <c r="HQ313"/>
      <c r="HR313"/>
      <c r="HS313"/>
      <c r="HT313"/>
      <c r="HU313"/>
      <c r="HV313"/>
      <c r="HW313"/>
      <c r="HX313"/>
      <c r="HY313"/>
      <c r="HZ313"/>
      <c r="IA313"/>
      <c r="IB313"/>
      <c r="IC313"/>
      <c r="ID313"/>
      <c r="IE313"/>
      <c r="IF313"/>
      <c r="IG313"/>
      <c r="IH313"/>
      <c r="II313"/>
      <c r="IJ313"/>
      <c r="IK313"/>
      <c r="IL313"/>
      <c r="IM313"/>
      <c r="IN313"/>
      <c r="IO313"/>
      <c r="IP313"/>
      <c r="IQ313"/>
      <c r="IR313"/>
      <c r="IS313"/>
      <c r="IT313"/>
      <c r="IU313"/>
      <c r="IV313"/>
    </row>
    <row r="314" spans="1:256" s="1" customFormat="1"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f t="shared" si="383"/>
        <v>0</v>
      </c>
      <c r="BG314">
        <f t="shared" ref="BG314:CB314" si="411">IF(BG150="R",1,IF(BG150="L",1,0))</f>
        <v>0</v>
      </c>
      <c r="BH314">
        <f t="shared" si="411"/>
        <v>0</v>
      </c>
      <c r="BI314">
        <f t="shared" si="411"/>
        <v>0</v>
      </c>
      <c r="BJ314">
        <f t="shared" si="411"/>
        <v>0</v>
      </c>
      <c r="BK314">
        <f t="shared" si="411"/>
        <v>0</v>
      </c>
      <c r="BL314">
        <f t="shared" si="411"/>
        <v>0</v>
      </c>
      <c r="BM314">
        <f t="shared" si="411"/>
        <v>0</v>
      </c>
      <c r="BN314">
        <f t="shared" si="411"/>
        <v>0</v>
      </c>
      <c r="BO314">
        <f t="shared" si="411"/>
        <v>0</v>
      </c>
      <c r="BP314">
        <f t="shared" si="411"/>
        <v>0</v>
      </c>
      <c r="BQ314">
        <f t="shared" si="411"/>
        <v>0</v>
      </c>
      <c r="BR314">
        <f t="shared" si="411"/>
        <v>0</v>
      </c>
      <c r="BS314">
        <f t="shared" si="411"/>
        <v>0</v>
      </c>
      <c r="BT314">
        <f t="shared" si="411"/>
        <v>0</v>
      </c>
      <c r="BU314">
        <f t="shared" si="411"/>
        <v>0</v>
      </c>
      <c r="BV314">
        <f t="shared" si="411"/>
        <v>0</v>
      </c>
      <c r="BW314">
        <f t="shared" si="411"/>
        <v>0</v>
      </c>
      <c r="BX314">
        <f t="shared" si="411"/>
        <v>0</v>
      </c>
      <c r="BY314">
        <f t="shared" si="411"/>
        <v>0</v>
      </c>
      <c r="BZ314">
        <f t="shared" si="411"/>
        <v>0</v>
      </c>
      <c r="CA314">
        <f t="shared" si="411"/>
        <v>0</v>
      </c>
      <c r="CB314">
        <f t="shared" si="411"/>
        <v>0</v>
      </c>
      <c r="CC314">
        <f t="shared" si="385"/>
        <v>0</v>
      </c>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c r="HB314"/>
      <c r="HC314"/>
      <c r="HD314"/>
      <c r="HE314"/>
      <c r="HF314"/>
      <c r="HG314"/>
      <c r="HH314"/>
      <c r="HI314"/>
      <c r="HJ314"/>
      <c r="HK314"/>
      <c r="HL314"/>
      <c r="HM314"/>
      <c r="HN314"/>
      <c r="HO314"/>
      <c r="HP314"/>
      <c r="HQ314"/>
      <c r="HR314"/>
      <c r="HS314"/>
      <c r="HT314"/>
      <c r="HU314"/>
      <c r="HV314"/>
      <c r="HW314"/>
      <c r="HX314"/>
      <c r="HY314"/>
      <c r="HZ314"/>
      <c r="IA314"/>
      <c r="IB314"/>
      <c r="IC314"/>
      <c r="ID314"/>
      <c r="IE314"/>
      <c r="IF314"/>
      <c r="IG314"/>
      <c r="IH314"/>
      <c r="II314"/>
      <c r="IJ314"/>
      <c r="IK314"/>
      <c r="IL314"/>
      <c r="IM314"/>
      <c r="IN314"/>
      <c r="IO314"/>
      <c r="IP314"/>
      <c r="IQ314"/>
      <c r="IR314"/>
      <c r="IS314"/>
      <c r="IT314"/>
      <c r="IU314"/>
      <c r="IV314"/>
    </row>
    <row r="315" spans="1:256" s="1" customFormat="1"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f t="shared" si="383"/>
        <v>0</v>
      </c>
      <c r="BG315">
        <f t="shared" ref="BG315:CB315" si="412">IF(BG151="R",1,IF(BG151="L",1,0))</f>
        <v>0</v>
      </c>
      <c r="BH315">
        <f t="shared" si="412"/>
        <v>0</v>
      </c>
      <c r="BI315">
        <f t="shared" si="412"/>
        <v>0</v>
      </c>
      <c r="BJ315">
        <f t="shared" si="412"/>
        <v>0</v>
      </c>
      <c r="BK315">
        <f t="shared" si="412"/>
        <v>0</v>
      </c>
      <c r="BL315">
        <f t="shared" si="412"/>
        <v>0</v>
      </c>
      <c r="BM315">
        <f t="shared" si="412"/>
        <v>0</v>
      </c>
      <c r="BN315">
        <f t="shared" si="412"/>
        <v>0</v>
      </c>
      <c r="BO315">
        <f t="shared" si="412"/>
        <v>0</v>
      </c>
      <c r="BP315">
        <f t="shared" si="412"/>
        <v>0</v>
      </c>
      <c r="BQ315">
        <f t="shared" si="412"/>
        <v>0</v>
      </c>
      <c r="BR315">
        <f t="shared" si="412"/>
        <v>0</v>
      </c>
      <c r="BS315">
        <f t="shared" si="412"/>
        <v>0</v>
      </c>
      <c r="BT315">
        <f t="shared" si="412"/>
        <v>0</v>
      </c>
      <c r="BU315">
        <f t="shared" si="412"/>
        <v>0</v>
      </c>
      <c r="BV315">
        <f t="shared" si="412"/>
        <v>0</v>
      </c>
      <c r="BW315">
        <f t="shared" si="412"/>
        <v>0</v>
      </c>
      <c r="BX315">
        <f t="shared" si="412"/>
        <v>0</v>
      </c>
      <c r="BY315">
        <f t="shared" si="412"/>
        <v>0</v>
      </c>
      <c r="BZ315">
        <f t="shared" si="412"/>
        <v>0</v>
      </c>
      <c r="CA315">
        <f t="shared" si="412"/>
        <v>0</v>
      </c>
      <c r="CB315">
        <f t="shared" si="412"/>
        <v>0</v>
      </c>
      <c r="CC315">
        <f t="shared" si="385"/>
        <v>0</v>
      </c>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c r="HB315"/>
      <c r="HC315"/>
      <c r="HD315"/>
      <c r="HE315"/>
      <c r="HF315"/>
      <c r="HG315"/>
      <c r="HH315"/>
      <c r="HI315"/>
      <c r="HJ315"/>
      <c r="HK315"/>
      <c r="HL315"/>
      <c r="HM315"/>
      <c r="HN315"/>
      <c r="HO315"/>
      <c r="HP315"/>
      <c r="HQ315"/>
      <c r="HR315"/>
      <c r="HS315"/>
      <c r="HT315"/>
      <c r="HU315"/>
      <c r="HV315"/>
      <c r="HW315"/>
      <c r="HX315"/>
      <c r="HY315"/>
      <c r="HZ315"/>
      <c r="IA315"/>
      <c r="IB315"/>
      <c r="IC315"/>
      <c r="ID315"/>
      <c r="IE315"/>
      <c r="IF315"/>
      <c r="IG315"/>
      <c r="IH315"/>
      <c r="II315"/>
      <c r="IJ315"/>
      <c r="IK315"/>
      <c r="IL315"/>
      <c r="IM315"/>
      <c r="IN315"/>
      <c r="IO315"/>
      <c r="IP315"/>
      <c r="IQ315"/>
      <c r="IR315"/>
      <c r="IS315"/>
      <c r="IT315"/>
      <c r="IU315"/>
      <c r="IV315"/>
    </row>
    <row r="316" spans="1:256" s="1" customFormat="1"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f t="shared" si="383"/>
        <v>0</v>
      </c>
      <c r="BG316">
        <f t="shared" ref="BG316:CB316" si="413">IF(BG152="R",1,IF(BG152="L",1,0))</f>
        <v>0</v>
      </c>
      <c r="BH316">
        <f t="shared" si="413"/>
        <v>0</v>
      </c>
      <c r="BI316">
        <f t="shared" si="413"/>
        <v>0</v>
      </c>
      <c r="BJ316">
        <f t="shared" si="413"/>
        <v>0</v>
      </c>
      <c r="BK316">
        <f t="shared" si="413"/>
        <v>0</v>
      </c>
      <c r="BL316">
        <f t="shared" si="413"/>
        <v>0</v>
      </c>
      <c r="BM316">
        <f t="shared" si="413"/>
        <v>0</v>
      </c>
      <c r="BN316">
        <f t="shared" si="413"/>
        <v>0</v>
      </c>
      <c r="BO316">
        <f t="shared" si="413"/>
        <v>0</v>
      </c>
      <c r="BP316">
        <f t="shared" si="413"/>
        <v>0</v>
      </c>
      <c r="BQ316">
        <f t="shared" si="413"/>
        <v>0</v>
      </c>
      <c r="BR316">
        <f t="shared" si="413"/>
        <v>0</v>
      </c>
      <c r="BS316">
        <f t="shared" si="413"/>
        <v>0</v>
      </c>
      <c r="BT316">
        <f t="shared" si="413"/>
        <v>0</v>
      </c>
      <c r="BU316">
        <f t="shared" si="413"/>
        <v>0</v>
      </c>
      <c r="BV316">
        <f t="shared" si="413"/>
        <v>0</v>
      </c>
      <c r="BW316">
        <f t="shared" si="413"/>
        <v>0</v>
      </c>
      <c r="BX316">
        <f t="shared" si="413"/>
        <v>0</v>
      </c>
      <c r="BY316">
        <f t="shared" si="413"/>
        <v>0</v>
      </c>
      <c r="BZ316">
        <f t="shared" si="413"/>
        <v>0</v>
      </c>
      <c r="CA316">
        <f t="shared" si="413"/>
        <v>0</v>
      </c>
      <c r="CB316">
        <f t="shared" si="413"/>
        <v>0</v>
      </c>
      <c r="CC316">
        <f t="shared" si="385"/>
        <v>0</v>
      </c>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c r="HB316"/>
      <c r="HC316"/>
      <c r="HD316"/>
      <c r="HE316"/>
      <c r="HF316"/>
      <c r="HG316"/>
      <c r="HH316"/>
      <c r="HI316"/>
      <c r="HJ316"/>
      <c r="HK316"/>
      <c r="HL316"/>
      <c r="HM316"/>
      <c r="HN316"/>
      <c r="HO316"/>
      <c r="HP316"/>
      <c r="HQ316"/>
      <c r="HR316"/>
      <c r="HS316"/>
      <c r="HT316"/>
      <c r="HU316"/>
      <c r="HV316"/>
      <c r="HW316"/>
      <c r="HX316"/>
      <c r="HY316"/>
      <c r="HZ316"/>
      <c r="IA316"/>
      <c r="IB316"/>
      <c r="IC316"/>
      <c r="ID316"/>
      <c r="IE316"/>
      <c r="IF316"/>
      <c r="IG316"/>
      <c r="IH316"/>
      <c r="II316"/>
      <c r="IJ316"/>
      <c r="IK316"/>
      <c r="IL316"/>
      <c r="IM316"/>
      <c r="IN316"/>
      <c r="IO316"/>
      <c r="IP316"/>
      <c r="IQ316"/>
      <c r="IR316"/>
      <c r="IS316"/>
      <c r="IT316"/>
      <c r="IU316"/>
      <c r="IV316"/>
    </row>
    <row r="317" spans="1:256" s="1" customFormat="1"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f t="shared" si="383"/>
        <v>0</v>
      </c>
      <c r="BG317">
        <f t="shared" ref="BG317:CB317" si="414">IF(BG153="R",1,IF(BG153="L",1,0))</f>
        <v>0</v>
      </c>
      <c r="BH317">
        <f t="shared" si="414"/>
        <v>0</v>
      </c>
      <c r="BI317">
        <f t="shared" si="414"/>
        <v>0</v>
      </c>
      <c r="BJ317">
        <f t="shared" si="414"/>
        <v>0</v>
      </c>
      <c r="BK317">
        <f t="shared" si="414"/>
        <v>0</v>
      </c>
      <c r="BL317">
        <f t="shared" si="414"/>
        <v>0</v>
      </c>
      <c r="BM317">
        <f t="shared" si="414"/>
        <v>0</v>
      </c>
      <c r="BN317">
        <f t="shared" si="414"/>
        <v>0</v>
      </c>
      <c r="BO317">
        <f t="shared" si="414"/>
        <v>0</v>
      </c>
      <c r="BP317">
        <f t="shared" si="414"/>
        <v>0</v>
      </c>
      <c r="BQ317">
        <f t="shared" si="414"/>
        <v>0</v>
      </c>
      <c r="BR317">
        <f t="shared" si="414"/>
        <v>0</v>
      </c>
      <c r="BS317">
        <f t="shared" si="414"/>
        <v>0</v>
      </c>
      <c r="BT317">
        <f t="shared" si="414"/>
        <v>0</v>
      </c>
      <c r="BU317">
        <f t="shared" si="414"/>
        <v>0</v>
      </c>
      <c r="BV317">
        <f t="shared" si="414"/>
        <v>0</v>
      </c>
      <c r="BW317">
        <f t="shared" si="414"/>
        <v>0</v>
      </c>
      <c r="BX317">
        <f t="shared" si="414"/>
        <v>0</v>
      </c>
      <c r="BY317">
        <f t="shared" si="414"/>
        <v>0</v>
      </c>
      <c r="BZ317">
        <f t="shared" si="414"/>
        <v>0</v>
      </c>
      <c r="CA317">
        <f t="shared" si="414"/>
        <v>0</v>
      </c>
      <c r="CB317">
        <f t="shared" si="414"/>
        <v>0</v>
      </c>
      <c r="CC317">
        <f t="shared" si="385"/>
        <v>0</v>
      </c>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c r="HB317"/>
      <c r="HC317"/>
      <c r="HD317"/>
      <c r="HE317"/>
      <c r="HF317"/>
      <c r="HG317"/>
      <c r="HH317"/>
      <c r="HI317"/>
      <c r="HJ317"/>
      <c r="HK317"/>
      <c r="HL317"/>
      <c r="HM317"/>
      <c r="HN317"/>
      <c r="HO317"/>
      <c r="HP317"/>
      <c r="HQ317"/>
      <c r="HR317"/>
      <c r="HS317"/>
      <c r="HT317"/>
      <c r="HU317"/>
      <c r="HV317"/>
      <c r="HW317"/>
      <c r="HX317"/>
      <c r="HY317"/>
      <c r="HZ317"/>
      <c r="IA317"/>
      <c r="IB317"/>
      <c r="IC317"/>
      <c r="ID317"/>
      <c r="IE317"/>
      <c r="IF317"/>
      <c r="IG317"/>
      <c r="IH317"/>
      <c r="II317"/>
      <c r="IJ317"/>
      <c r="IK317"/>
      <c r="IL317"/>
      <c r="IM317"/>
      <c r="IN317"/>
      <c r="IO317"/>
      <c r="IP317"/>
      <c r="IQ317"/>
      <c r="IR317"/>
      <c r="IS317"/>
      <c r="IT317"/>
      <c r="IU317"/>
      <c r="IV317"/>
    </row>
    <row r="318" spans="1:256" s="1" customFormat="1"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f t="shared" si="383"/>
        <v>0</v>
      </c>
      <c r="BG318">
        <f t="shared" ref="BG318:CB318" si="415">IF(BG154="R",1,IF(BG154="L",1,0))</f>
        <v>0</v>
      </c>
      <c r="BH318">
        <f t="shared" si="415"/>
        <v>0</v>
      </c>
      <c r="BI318">
        <f t="shared" si="415"/>
        <v>0</v>
      </c>
      <c r="BJ318">
        <f t="shared" si="415"/>
        <v>0</v>
      </c>
      <c r="BK318">
        <f t="shared" si="415"/>
        <v>0</v>
      </c>
      <c r="BL318">
        <f t="shared" si="415"/>
        <v>0</v>
      </c>
      <c r="BM318">
        <f t="shared" si="415"/>
        <v>0</v>
      </c>
      <c r="BN318">
        <f t="shared" si="415"/>
        <v>0</v>
      </c>
      <c r="BO318">
        <f t="shared" si="415"/>
        <v>0</v>
      </c>
      <c r="BP318">
        <f t="shared" si="415"/>
        <v>0</v>
      </c>
      <c r="BQ318">
        <f t="shared" si="415"/>
        <v>0</v>
      </c>
      <c r="BR318">
        <f t="shared" si="415"/>
        <v>0</v>
      </c>
      <c r="BS318">
        <f t="shared" si="415"/>
        <v>0</v>
      </c>
      <c r="BT318">
        <f t="shared" si="415"/>
        <v>0</v>
      </c>
      <c r="BU318">
        <f t="shared" si="415"/>
        <v>0</v>
      </c>
      <c r="BV318">
        <f t="shared" si="415"/>
        <v>0</v>
      </c>
      <c r="BW318">
        <f t="shared" si="415"/>
        <v>0</v>
      </c>
      <c r="BX318">
        <f t="shared" si="415"/>
        <v>0</v>
      </c>
      <c r="BY318">
        <f t="shared" si="415"/>
        <v>0</v>
      </c>
      <c r="BZ318">
        <f t="shared" si="415"/>
        <v>0</v>
      </c>
      <c r="CA318">
        <f t="shared" si="415"/>
        <v>0</v>
      </c>
      <c r="CB318">
        <f t="shared" si="415"/>
        <v>0</v>
      </c>
      <c r="CC318">
        <f t="shared" si="385"/>
        <v>0</v>
      </c>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c r="HB318"/>
      <c r="HC318"/>
      <c r="HD318"/>
      <c r="HE318"/>
      <c r="HF318"/>
      <c r="HG318"/>
      <c r="HH318"/>
      <c r="HI318"/>
      <c r="HJ318"/>
      <c r="HK318"/>
      <c r="HL318"/>
      <c r="HM318"/>
      <c r="HN318"/>
      <c r="HO318"/>
      <c r="HP318"/>
      <c r="HQ318"/>
      <c r="HR318"/>
      <c r="HS318"/>
      <c r="HT318"/>
      <c r="HU318"/>
      <c r="HV318"/>
      <c r="HW318"/>
      <c r="HX318"/>
      <c r="HY318"/>
      <c r="HZ318"/>
      <c r="IA318"/>
      <c r="IB318"/>
      <c r="IC318"/>
      <c r="ID318"/>
      <c r="IE318"/>
      <c r="IF318"/>
      <c r="IG318"/>
      <c r="IH318"/>
      <c r="II318"/>
      <c r="IJ318"/>
      <c r="IK318"/>
      <c r="IL318"/>
      <c r="IM318"/>
      <c r="IN318"/>
      <c r="IO318"/>
      <c r="IP318"/>
      <c r="IQ318"/>
      <c r="IR318"/>
      <c r="IS318"/>
      <c r="IT318"/>
      <c r="IU318"/>
      <c r="IV318"/>
    </row>
    <row r="319" spans="1:256" s="1" customFormat="1"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f t="shared" si="383"/>
        <v>0</v>
      </c>
      <c r="BG319">
        <f t="shared" ref="BG319:CB319" si="416">IF(BG155="R",1,IF(BG155="L",1,0))</f>
        <v>0</v>
      </c>
      <c r="BH319">
        <f t="shared" si="416"/>
        <v>0</v>
      </c>
      <c r="BI319">
        <f t="shared" si="416"/>
        <v>0</v>
      </c>
      <c r="BJ319">
        <f t="shared" si="416"/>
        <v>0</v>
      </c>
      <c r="BK319">
        <f t="shared" si="416"/>
        <v>0</v>
      </c>
      <c r="BL319">
        <f t="shared" si="416"/>
        <v>0</v>
      </c>
      <c r="BM319">
        <f t="shared" si="416"/>
        <v>0</v>
      </c>
      <c r="BN319">
        <f t="shared" si="416"/>
        <v>0</v>
      </c>
      <c r="BO319">
        <f t="shared" si="416"/>
        <v>0</v>
      </c>
      <c r="BP319">
        <f t="shared" si="416"/>
        <v>0</v>
      </c>
      <c r="BQ319">
        <f t="shared" si="416"/>
        <v>0</v>
      </c>
      <c r="BR319">
        <f t="shared" si="416"/>
        <v>0</v>
      </c>
      <c r="BS319">
        <f t="shared" si="416"/>
        <v>0</v>
      </c>
      <c r="BT319">
        <f t="shared" si="416"/>
        <v>0</v>
      </c>
      <c r="BU319">
        <f t="shared" si="416"/>
        <v>0</v>
      </c>
      <c r="BV319">
        <f t="shared" si="416"/>
        <v>0</v>
      </c>
      <c r="BW319">
        <f t="shared" si="416"/>
        <v>0</v>
      </c>
      <c r="BX319">
        <f t="shared" si="416"/>
        <v>0</v>
      </c>
      <c r="BY319">
        <f t="shared" si="416"/>
        <v>0</v>
      </c>
      <c r="BZ319">
        <f t="shared" si="416"/>
        <v>0</v>
      </c>
      <c r="CA319">
        <f t="shared" si="416"/>
        <v>0</v>
      </c>
      <c r="CB319">
        <f t="shared" si="416"/>
        <v>0</v>
      </c>
      <c r="CC319">
        <f t="shared" si="385"/>
        <v>0</v>
      </c>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c r="HB319"/>
      <c r="HC319"/>
      <c r="HD319"/>
      <c r="HE319"/>
      <c r="HF319"/>
      <c r="HG319"/>
      <c r="HH319"/>
      <c r="HI319"/>
      <c r="HJ319"/>
      <c r="HK319"/>
      <c r="HL319"/>
      <c r="HM319"/>
      <c r="HN319"/>
      <c r="HO319"/>
      <c r="HP319"/>
      <c r="HQ319"/>
      <c r="HR319"/>
      <c r="HS319"/>
      <c r="HT319"/>
      <c r="HU319"/>
      <c r="HV319"/>
      <c r="HW319"/>
      <c r="HX319"/>
      <c r="HY319"/>
      <c r="HZ319"/>
      <c r="IA319"/>
      <c r="IB319"/>
      <c r="IC319"/>
      <c r="ID319"/>
      <c r="IE319"/>
      <c r="IF319"/>
      <c r="IG319"/>
      <c r="IH319"/>
      <c r="II319"/>
      <c r="IJ319"/>
      <c r="IK319"/>
      <c r="IL319"/>
      <c r="IM319"/>
      <c r="IN319"/>
      <c r="IO319"/>
      <c r="IP319"/>
      <c r="IQ319"/>
      <c r="IR319"/>
      <c r="IS319"/>
      <c r="IT319"/>
      <c r="IU319"/>
      <c r="IV319"/>
    </row>
    <row r="320" spans="1:256" s="1" customFormat="1"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f t="shared" si="383"/>
        <v>0</v>
      </c>
      <c r="BG320">
        <f t="shared" ref="BG320:CB320" si="417">IF(BG156="R",1,IF(BG156="L",1,0))</f>
        <v>0</v>
      </c>
      <c r="BH320">
        <f t="shared" si="417"/>
        <v>0</v>
      </c>
      <c r="BI320">
        <f t="shared" si="417"/>
        <v>0</v>
      </c>
      <c r="BJ320">
        <f t="shared" si="417"/>
        <v>0</v>
      </c>
      <c r="BK320">
        <f t="shared" si="417"/>
        <v>0</v>
      </c>
      <c r="BL320">
        <f t="shared" si="417"/>
        <v>0</v>
      </c>
      <c r="BM320">
        <f t="shared" si="417"/>
        <v>0</v>
      </c>
      <c r="BN320">
        <f t="shared" si="417"/>
        <v>0</v>
      </c>
      <c r="BO320">
        <f t="shared" si="417"/>
        <v>0</v>
      </c>
      <c r="BP320">
        <f t="shared" si="417"/>
        <v>0</v>
      </c>
      <c r="BQ320">
        <f t="shared" si="417"/>
        <v>0</v>
      </c>
      <c r="BR320">
        <f t="shared" si="417"/>
        <v>0</v>
      </c>
      <c r="BS320">
        <f t="shared" si="417"/>
        <v>0</v>
      </c>
      <c r="BT320">
        <f t="shared" si="417"/>
        <v>0</v>
      </c>
      <c r="BU320">
        <f t="shared" si="417"/>
        <v>0</v>
      </c>
      <c r="BV320">
        <f t="shared" si="417"/>
        <v>0</v>
      </c>
      <c r="BW320">
        <f t="shared" si="417"/>
        <v>0</v>
      </c>
      <c r="BX320">
        <f t="shared" si="417"/>
        <v>0</v>
      </c>
      <c r="BY320">
        <f t="shared" si="417"/>
        <v>0</v>
      </c>
      <c r="BZ320">
        <f t="shared" si="417"/>
        <v>0</v>
      </c>
      <c r="CA320">
        <f t="shared" si="417"/>
        <v>0</v>
      </c>
      <c r="CB320">
        <f t="shared" si="417"/>
        <v>0</v>
      </c>
      <c r="CC320">
        <f t="shared" si="385"/>
        <v>0</v>
      </c>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c r="HB320"/>
      <c r="HC320"/>
      <c r="HD320"/>
      <c r="HE320"/>
      <c r="HF320"/>
      <c r="HG320"/>
      <c r="HH320"/>
      <c r="HI320"/>
      <c r="HJ320"/>
      <c r="HK320"/>
      <c r="HL320"/>
      <c r="HM320"/>
      <c r="HN320"/>
      <c r="HO320"/>
      <c r="HP320"/>
      <c r="HQ320"/>
      <c r="HR320"/>
      <c r="HS320"/>
      <c r="HT320"/>
      <c r="HU320"/>
      <c r="HV320"/>
      <c r="HW320"/>
      <c r="HX320"/>
      <c r="HY320"/>
      <c r="HZ320"/>
      <c r="IA320"/>
      <c r="IB320"/>
      <c r="IC320"/>
      <c r="ID320"/>
      <c r="IE320"/>
      <c r="IF320"/>
      <c r="IG320"/>
      <c r="IH320"/>
      <c r="II320"/>
      <c r="IJ320"/>
      <c r="IK320"/>
      <c r="IL320"/>
      <c r="IM320"/>
      <c r="IN320"/>
      <c r="IO320"/>
      <c r="IP320"/>
      <c r="IQ320"/>
      <c r="IR320"/>
      <c r="IS320"/>
      <c r="IT320"/>
      <c r="IU320"/>
      <c r="IV320"/>
    </row>
    <row r="321" spans="1:256" s="1" customFormat="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f t="shared" si="383"/>
        <v>0</v>
      </c>
      <c r="BG321">
        <f t="shared" ref="BG321:CB321" si="418">IF(BG157="R",1,IF(BG157="L",1,0))</f>
        <v>0</v>
      </c>
      <c r="BH321">
        <f t="shared" si="418"/>
        <v>0</v>
      </c>
      <c r="BI321">
        <f t="shared" si="418"/>
        <v>0</v>
      </c>
      <c r="BJ321">
        <f t="shared" si="418"/>
        <v>0</v>
      </c>
      <c r="BK321">
        <f t="shared" si="418"/>
        <v>0</v>
      </c>
      <c r="BL321">
        <f t="shared" si="418"/>
        <v>0</v>
      </c>
      <c r="BM321">
        <f t="shared" si="418"/>
        <v>0</v>
      </c>
      <c r="BN321">
        <f t="shared" si="418"/>
        <v>0</v>
      </c>
      <c r="BO321">
        <f t="shared" si="418"/>
        <v>0</v>
      </c>
      <c r="BP321">
        <f t="shared" si="418"/>
        <v>0</v>
      </c>
      <c r="BQ321">
        <f t="shared" si="418"/>
        <v>0</v>
      </c>
      <c r="BR321">
        <f t="shared" si="418"/>
        <v>0</v>
      </c>
      <c r="BS321">
        <f t="shared" si="418"/>
        <v>0</v>
      </c>
      <c r="BT321">
        <f t="shared" si="418"/>
        <v>0</v>
      </c>
      <c r="BU321">
        <f t="shared" si="418"/>
        <v>0</v>
      </c>
      <c r="BV321">
        <f t="shared" si="418"/>
        <v>0</v>
      </c>
      <c r="BW321">
        <f t="shared" si="418"/>
        <v>0</v>
      </c>
      <c r="BX321">
        <f t="shared" si="418"/>
        <v>0</v>
      </c>
      <c r="BY321">
        <f t="shared" si="418"/>
        <v>0</v>
      </c>
      <c r="BZ321">
        <f t="shared" si="418"/>
        <v>0</v>
      </c>
      <c r="CA321">
        <f t="shared" si="418"/>
        <v>0</v>
      </c>
      <c r="CB321">
        <f t="shared" si="418"/>
        <v>0</v>
      </c>
      <c r="CC321">
        <f t="shared" si="385"/>
        <v>0</v>
      </c>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c r="HB321"/>
      <c r="HC321"/>
      <c r="HD321"/>
      <c r="HE321"/>
      <c r="HF321"/>
      <c r="HG321"/>
      <c r="HH321"/>
      <c r="HI321"/>
      <c r="HJ321"/>
      <c r="HK321"/>
      <c r="HL321"/>
      <c r="HM321"/>
      <c r="HN321"/>
      <c r="HO321"/>
      <c r="HP321"/>
      <c r="HQ321"/>
      <c r="HR321"/>
      <c r="HS321"/>
      <c r="HT321"/>
      <c r="HU321"/>
      <c r="HV321"/>
      <c r="HW321"/>
      <c r="HX321"/>
      <c r="HY321"/>
      <c r="HZ321"/>
      <c r="IA321"/>
      <c r="IB321"/>
      <c r="IC321"/>
      <c r="ID321"/>
      <c r="IE321"/>
      <c r="IF321"/>
      <c r="IG321"/>
      <c r="IH321"/>
      <c r="II321"/>
      <c r="IJ321"/>
      <c r="IK321"/>
      <c r="IL321"/>
      <c r="IM321"/>
      <c r="IN321"/>
      <c r="IO321"/>
      <c r="IP321"/>
      <c r="IQ321"/>
      <c r="IR321"/>
      <c r="IS321"/>
      <c r="IT321"/>
      <c r="IU321"/>
      <c r="IV321"/>
    </row>
    <row r="322" spans="1:256" s="1" customFormat="1"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f t="shared" si="383"/>
        <v>0</v>
      </c>
      <c r="BG322">
        <f t="shared" ref="BG322:CB322" si="419">IF(BG158="R",1,IF(BG158="L",1,0))</f>
        <v>0</v>
      </c>
      <c r="BH322">
        <f t="shared" si="419"/>
        <v>0</v>
      </c>
      <c r="BI322">
        <f t="shared" si="419"/>
        <v>0</v>
      </c>
      <c r="BJ322">
        <f t="shared" si="419"/>
        <v>0</v>
      </c>
      <c r="BK322">
        <f t="shared" si="419"/>
        <v>0</v>
      </c>
      <c r="BL322">
        <f t="shared" si="419"/>
        <v>0</v>
      </c>
      <c r="BM322">
        <f t="shared" si="419"/>
        <v>0</v>
      </c>
      <c r="BN322">
        <f t="shared" si="419"/>
        <v>0</v>
      </c>
      <c r="BO322">
        <f t="shared" si="419"/>
        <v>0</v>
      </c>
      <c r="BP322">
        <f t="shared" si="419"/>
        <v>0</v>
      </c>
      <c r="BQ322">
        <f t="shared" si="419"/>
        <v>0</v>
      </c>
      <c r="BR322">
        <f t="shared" si="419"/>
        <v>0</v>
      </c>
      <c r="BS322">
        <f t="shared" si="419"/>
        <v>0</v>
      </c>
      <c r="BT322">
        <f t="shared" si="419"/>
        <v>0</v>
      </c>
      <c r="BU322">
        <f t="shared" si="419"/>
        <v>0</v>
      </c>
      <c r="BV322">
        <f t="shared" si="419"/>
        <v>0</v>
      </c>
      <c r="BW322">
        <f t="shared" si="419"/>
        <v>0</v>
      </c>
      <c r="BX322">
        <f t="shared" si="419"/>
        <v>0</v>
      </c>
      <c r="BY322">
        <f t="shared" si="419"/>
        <v>0</v>
      </c>
      <c r="BZ322">
        <f t="shared" si="419"/>
        <v>0</v>
      </c>
      <c r="CA322">
        <f t="shared" si="419"/>
        <v>0</v>
      </c>
      <c r="CB322">
        <f t="shared" si="419"/>
        <v>0</v>
      </c>
      <c r="CC322">
        <f t="shared" si="385"/>
        <v>0</v>
      </c>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c r="HB322"/>
      <c r="HC322"/>
      <c r="HD322"/>
      <c r="HE322"/>
      <c r="HF322"/>
      <c r="HG322"/>
      <c r="HH322"/>
      <c r="HI322"/>
      <c r="HJ322"/>
      <c r="HK322"/>
      <c r="HL322"/>
      <c r="HM322"/>
      <c r="HN322"/>
      <c r="HO322"/>
      <c r="HP322"/>
      <c r="HQ322"/>
      <c r="HR322"/>
      <c r="HS322"/>
      <c r="HT322"/>
      <c r="HU322"/>
      <c r="HV322"/>
      <c r="HW322"/>
      <c r="HX322"/>
      <c r="HY322"/>
      <c r="HZ322"/>
      <c r="IA322"/>
      <c r="IB322"/>
      <c r="IC322"/>
      <c r="ID322"/>
      <c r="IE322"/>
      <c r="IF322"/>
      <c r="IG322"/>
      <c r="IH322"/>
      <c r="II322"/>
      <c r="IJ322"/>
      <c r="IK322"/>
      <c r="IL322"/>
      <c r="IM322"/>
      <c r="IN322"/>
      <c r="IO322"/>
      <c r="IP322"/>
      <c r="IQ322"/>
      <c r="IR322"/>
      <c r="IS322"/>
      <c r="IT322"/>
      <c r="IU322"/>
      <c r="IV322"/>
    </row>
    <row r="323" spans="1:256" s="1" customFormat="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f t="shared" si="383"/>
        <v>0</v>
      </c>
      <c r="BG323">
        <f t="shared" ref="BG323:CB323" si="420">IF(BG159="R",1,IF(BG159="L",1,0))</f>
        <v>0</v>
      </c>
      <c r="BH323">
        <f t="shared" si="420"/>
        <v>0</v>
      </c>
      <c r="BI323">
        <f t="shared" si="420"/>
        <v>0</v>
      </c>
      <c r="BJ323">
        <f t="shared" si="420"/>
        <v>0</v>
      </c>
      <c r="BK323">
        <f t="shared" si="420"/>
        <v>0</v>
      </c>
      <c r="BL323">
        <f t="shared" si="420"/>
        <v>0</v>
      </c>
      <c r="BM323">
        <f t="shared" si="420"/>
        <v>0</v>
      </c>
      <c r="BN323">
        <f t="shared" si="420"/>
        <v>0</v>
      </c>
      <c r="BO323">
        <f t="shared" si="420"/>
        <v>0</v>
      </c>
      <c r="BP323">
        <f t="shared" si="420"/>
        <v>0</v>
      </c>
      <c r="BQ323">
        <f t="shared" si="420"/>
        <v>0</v>
      </c>
      <c r="BR323">
        <f t="shared" si="420"/>
        <v>0</v>
      </c>
      <c r="BS323">
        <f t="shared" si="420"/>
        <v>0</v>
      </c>
      <c r="BT323">
        <f t="shared" si="420"/>
        <v>0</v>
      </c>
      <c r="BU323">
        <f t="shared" si="420"/>
        <v>0</v>
      </c>
      <c r="BV323">
        <f t="shared" si="420"/>
        <v>0</v>
      </c>
      <c r="BW323">
        <f t="shared" si="420"/>
        <v>0</v>
      </c>
      <c r="BX323">
        <f t="shared" si="420"/>
        <v>0</v>
      </c>
      <c r="BY323">
        <f t="shared" si="420"/>
        <v>0</v>
      </c>
      <c r="BZ323">
        <f t="shared" si="420"/>
        <v>0</v>
      </c>
      <c r="CA323">
        <f t="shared" si="420"/>
        <v>0</v>
      </c>
      <c r="CB323">
        <f t="shared" si="420"/>
        <v>0</v>
      </c>
      <c r="CC323">
        <f t="shared" si="385"/>
        <v>0</v>
      </c>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c r="HB323"/>
      <c r="HC323"/>
      <c r="HD323"/>
      <c r="HE323"/>
      <c r="HF323"/>
      <c r="HG323"/>
      <c r="HH323"/>
      <c r="HI323"/>
      <c r="HJ323"/>
      <c r="HK323"/>
      <c r="HL323"/>
      <c r="HM323"/>
      <c r="HN323"/>
      <c r="HO323"/>
      <c r="HP323"/>
      <c r="HQ323"/>
      <c r="HR323"/>
      <c r="HS323"/>
      <c r="HT323"/>
      <c r="HU323"/>
      <c r="HV323"/>
      <c r="HW323"/>
      <c r="HX323"/>
      <c r="HY323"/>
      <c r="HZ323"/>
      <c r="IA323"/>
      <c r="IB323"/>
      <c r="IC323"/>
      <c r="ID323"/>
      <c r="IE323"/>
      <c r="IF323"/>
      <c r="IG323"/>
      <c r="IH323"/>
      <c r="II323"/>
      <c r="IJ323"/>
      <c r="IK323"/>
      <c r="IL323"/>
      <c r="IM323"/>
      <c r="IN323"/>
      <c r="IO323"/>
      <c r="IP323"/>
      <c r="IQ323"/>
      <c r="IR323"/>
      <c r="IS323"/>
      <c r="IT323"/>
      <c r="IU323"/>
      <c r="IV323"/>
    </row>
    <row r="324" spans="1:256" s="1" customFormat="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f t="shared" si="383"/>
        <v>0</v>
      </c>
      <c r="BG324">
        <f t="shared" ref="BG324:CB324" si="421">IF(BG160="R",1,IF(BG160="L",1,0))</f>
        <v>0</v>
      </c>
      <c r="BH324">
        <f t="shared" si="421"/>
        <v>0</v>
      </c>
      <c r="BI324">
        <f t="shared" si="421"/>
        <v>0</v>
      </c>
      <c r="BJ324">
        <f t="shared" si="421"/>
        <v>0</v>
      </c>
      <c r="BK324">
        <f t="shared" si="421"/>
        <v>0</v>
      </c>
      <c r="BL324">
        <f t="shared" si="421"/>
        <v>0</v>
      </c>
      <c r="BM324">
        <f t="shared" si="421"/>
        <v>0</v>
      </c>
      <c r="BN324">
        <f t="shared" si="421"/>
        <v>0</v>
      </c>
      <c r="BO324">
        <f t="shared" si="421"/>
        <v>0</v>
      </c>
      <c r="BP324">
        <f t="shared" si="421"/>
        <v>0</v>
      </c>
      <c r="BQ324">
        <f t="shared" si="421"/>
        <v>0</v>
      </c>
      <c r="BR324">
        <f t="shared" si="421"/>
        <v>0</v>
      </c>
      <c r="BS324">
        <f t="shared" si="421"/>
        <v>0</v>
      </c>
      <c r="BT324">
        <f t="shared" si="421"/>
        <v>0</v>
      </c>
      <c r="BU324">
        <f t="shared" si="421"/>
        <v>0</v>
      </c>
      <c r="BV324">
        <f t="shared" si="421"/>
        <v>0</v>
      </c>
      <c r="BW324">
        <f t="shared" si="421"/>
        <v>0</v>
      </c>
      <c r="BX324">
        <f t="shared" si="421"/>
        <v>0</v>
      </c>
      <c r="BY324">
        <f t="shared" si="421"/>
        <v>0</v>
      </c>
      <c r="BZ324">
        <f t="shared" si="421"/>
        <v>0</v>
      </c>
      <c r="CA324">
        <f t="shared" si="421"/>
        <v>0</v>
      </c>
      <c r="CB324">
        <f t="shared" si="421"/>
        <v>0</v>
      </c>
      <c r="CC324">
        <f t="shared" si="385"/>
        <v>0</v>
      </c>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c r="HB324"/>
      <c r="HC324"/>
      <c r="HD324"/>
      <c r="HE324"/>
      <c r="HF324"/>
      <c r="HG324"/>
      <c r="HH324"/>
      <c r="HI324"/>
      <c r="HJ324"/>
      <c r="HK324"/>
      <c r="HL324"/>
      <c r="HM324"/>
      <c r="HN324"/>
      <c r="HO324"/>
      <c r="HP324"/>
      <c r="HQ324"/>
      <c r="HR324"/>
      <c r="HS324"/>
      <c r="HT324"/>
      <c r="HU324"/>
      <c r="HV324"/>
      <c r="HW324"/>
      <c r="HX324"/>
      <c r="HY324"/>
      <c r="HZ324"/>
      <c r="IA324"/>
      <c r="IB324"/>
      <c r="IC324"/>
      <c r="ID324"/>
      <c r="IE324"/>
      <c r="IF324"/>
      <c r="IG324"/>
      <c r="IH324"/>
      <c r="II324"/>
      <c r="IJ324"/>
      <c r="IK324"/>
      <c r="IL324"/>
      <c r="IM324"/>
      <c r="IN324"/>
      <c r="IO324"/>
      <c r="IP324"/>
      <c r="IQ324"/>
      <c r="IR324"/>
      <c r="IS324"/>
      <c r="IT324"/>
      <c r="IU324"/>
      <c r="IV324"/>
    </row>
    <row r="325" spans="1:256" s="1" customFormat="1"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f t="shared" si="383"/>
        <v>0</v>
      </c>
      <c r="BG325">
        <f t="shared" ref="BG325:CB325" si="422">IF(BG161="R",1,IF(BG161="L",1,0))</f>
        <v>0</v>
      </c>
      <c r="BH325">
        <f t="shared" si="422"/>
        <v>0</v>
      </c>
      <c r="BI325">
        <f t="shared" si="422"/>
        <v>0</v>
      </c>
      <c r="BJ325">
        <f t="shared" si="422"/>
        <v>0</v>
      </c>
      <c r="BK325">
        <f t="shared" si="422"/>
        <v>0</v>
      </c>
      <c r="BL325">
        <f t="shared" si="422"/>
        <v>0</v>
      </c>
      <c r="BM325">
        <f t="shared" si="422"/>
        <v>0</v>
      </c>
      <c r="BN325">
        <f t="shared" si="422"/>
        <v>0</v>
      </c>
      <c r="BO325">
        <f t="shared" si="422"/>
        <v>0</v>
      </c>
      <c r="BP325">
        <f t="shared" si="422"/>
        <v>0</v>
      </c>
      <c r="BQ325">
        <f t="shared" si="422"/>
        <v>0</v>
      </c>
      <c r="BR325">
        <f t="shared" si="422"/>
        <v>0</v>
      </c>
      <c r="BS325">
        <f t="shared" si="422"/>
        <v>0</v>
      </c>
      <c r="BT325">
        <f t="shared" si="422"/>
        <v>0</v>
      </c>
      <c r="BU325">
        <f t="shared" si="422"/>
        <v>0</v>
      </c>
      <c r="BV325">
        <f t="shared" si="422"/>
        <v>0</v>
      </c>
      <c r="BW325">
        <f t="shared" si="422"/>
        <v>0</v>
      </c>
      <c r="BX325">
        <f t="shared" si="422"/>
        <v>0</v>
      </c>
      <c r="BY325">
        <f t="shared" si="422"/>
        <v>0</v>
      </c>
      <c r="BZ325">
        <f t="shared" si="422"/>
        <v>0</v>
      </c>
      <c r="CA325">
        <f t="shared" si="422"/>
        <v>0</v>
      </c>
      <c r="CB325">
        <f t="shared" si="422"/>
        <v>0</v>
      </c>
      <c r="CC325">
        <f t="shared" si="385"/>
        <v>0</v>
      </c>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c r="HB325"/>
      <c r="HC325"/>
      <c r="HD325"/>
      <c r="HE325"/>
      <c r="HF325"/>
      <c r="HG325"/>
      <c r="HH325"/>
      <c r="HI325"/>
      <c r="HJ325"/>
      <c r="HK325"/>
      <c r="HL325"/>
      <c r="HM325"/>
      <c r="HN325"/>
      <c r="HO325"/>
      <c r="HP325"/>
      <c r="HQ325"/>
      <c r="HR325"/>
      <c r="HS325"/>
      <c r="HT325"/>
      <c r="HU325"/>
      <c r="HV325"/>
      <c r="HW325"/>
      <c r="HX325"/>
      <c r="HY325"/>
      <c r="HZ325"/>
      <c r="IA325"/>
      <c r="IB325"/>
      <c r="IC325"/>
      <c r="ID325"/>
      <c r="IE325"/>
      <c r="IF325"/>
      <c r="IG325"/>
      <c r="IH325"/>
      <c r="II325"/>
      <c r="IJ325"/>
      <c r="IK325"/>
      <c r="IL325"/>
      <c r="IM325"/>
      <c r="IN325"/>
      <c r="IO325"/>
      <c r="IP325"/>
      <c r="IQ325"/>
      <c r="IR325"/>
      <c r="IS325"/>
      <c r="IT325"/>
      <c r="IU325"/>
      <c r="IV325"/>
    </row>
    <row r="326" spans="1:256" s="1" customFormat="1"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f t="shared" si="383"/>
        <v>0</v>
      </c>
      <c r="BG326">
        <f t="shared" ref="BG326:CB326" si="423">IF(BG162="R",1,IF(BG162="L",1,0))</f>
        <v>0</v>
      </c>
      <c r="BH326">
        <f t="shared" si="423"/>
        <v>0</v>
      </c>
      <c r="BI326">
        <f t="shared" si="423"/>
        <v>0</v>
      </c>
      <c r="BJ326">
        <f t="shared" si="423"/>
        <v>0</v>
      </c>
      <c r="BK326">
        <f t="shared" si="423"/>
        <v>0</v>
      </c>
      <c r="BL326">
        <f t="shared" si="423"/>
        <v>0</v>
      </c>
      <c r="BM326">
        <f t="shared" si="423"/>
        <v>0</v>
      </c>
      <c r="BN326">
        <f t="shared" si="423"/>
        <v>0</v>
      </c>
      <c r="BO326">
        <f t="shared" si="423"/>
        <v>0</v>
      </c>
      <c r="BP326">
        <f t="shared" si="423"/>
        <v>0</v>
      </c>
      <c r="BQ326">
        <f t="shared" si="423"/>
        <v>0</v>
      </c>
      <c r="BR326">
        <f t="shared" si="423"/>
        <v>0</v>
      </c>
      <c r="BS326">
        <f t="shared" si="423"/>
        <v>0</v>
      </c>
      <c r="BT326">
        <f t="shared" si="423"/>
        <v>0</v>
      </c>
      <c r="BU326">
        <f t="shared" si="423"/>
        <v>0</v>
      </c>
      <c r="BV326">
        <f t="shared" si="423"/>
        <v>0</v>
      </c>
      <c r="BW326">
        <f t="shared" si="423"/>
        <v>0</v>
      </c>
      <c r="BX326">
        <f t="shared" si="423"/>
        <v>0</v>
      </c>
      <c r="BY326">
        <f t="shared" si="423"/>
        <v>0</v>
      </c>
      <c r="BZ326">
        <f t="shared" si="423"/>
        <v>0</v>
      </c>
      <c r="CA326">
        <f t="shared" si="423"/>
        <v>0</v>
      </c>
      <c r="CB326">
        <f t="shared" si="423"/>
        <v>0</v>
      </c>
      <c r="CC326">
        <f t="shared" si="385"/>
        <v>0</v>
      </c>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c r="HB326"/>
      <c r="HC326"/>
      <c r="HD326"/>
      <c r="HE326"/>
      <c r="HF326"/>
      <c r="HG326"/>
      <c r="HH326"/>
      <c r="HI326"/>
      <c r="HJ326"/>
      <c r="HK326"/>
      <c r="HL326"/>
      <c r="HM326"/>
      <c r="HN326"/>
      <c r="HO326"/>
      <c r="HP326"/>
      <c r="HQ326"/>
      <c r="HR326"/>
      <c r="HS326"/>
      <c r="HT326"/>
      <c r="HU326"/>
      <c r="HV326"/>
      <c r="HW326"/>
      <c r="HX326"/>
      <c r="HY326"/>
      <c r="HZ326"/>
      <c r="IA326"/>
      <c r="IB326"/>
      <c r="IC326"/>
      <c r="ID326"/>
      <c r="IE326"/>
      <c r="IF326"/>
      <c r="IG326"/>
      <c r="IH326"/>
      <c r="II326"/>
      <c r="IJ326"/>
      <c r="IK326"/>
      <c r="IL326"/>
      <c r="IM326"/>
      <c r="IN326"/>
      <c r="IO326"/>
      <c r="IP326"/>
      <c r="IQ326"/>
      <c r="IR326"/>
      <c r="IS326"/>
      <c r="IT326"/>
      <c r="IU326"/>
      <c r="IV326"/>
    </row>
    <row r="327" spans="1:256" s="1" customFormat="1"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row>
    <row r="328" spans="1:256" s="1" customFormat="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t="s">
        <v>601</v>
      </c>
      <c r="BG328"/>
      <c r="BH328">
        <f>IF(BH202=1,IF(BG120="L",IF(BH120="R",1,),),)</f>
        <v>0</v>
      </c>
      <c r="BI328">
        <f t="shared" ref="BI328:CB328" si="424">IF(BI202=1,IF(BH120="L",IF(BI120="R",1,),),)</f>
        <v>0</v>
      </c>
      <c r="BJ328">
        <f t="shared" si="424"/>
        <v>0</v>
      </c>
      <c r="BK328">
        <f t="shared" si="424"/>
        <v>0</v>
      </c>
      <c r="BL328">
        <f t="shared" si="424"/>
        <v>0</v>
      </c>
      <c r="BM328">
        <f t="shared" si="424"/>
        <v>0</v>
      </c>
      <c r="BN328">
        <f t="shared" si="424"/>
        <v>0</v>
      </c>
      <c r="BO328">
        <f t="shared" si="424"/>
        <v>0</v>
      </c>
      <c r="BP328">
        <f t="shared" si="424"/>
        <v>0</v>
      </c>
      <c r="BQ328">
        <f t="shared" si="424"/>
        <v>0</v>
      </c>
      <c r="BR328">
        <f t="shared" si="424"/>
        <v>0</v>
      </c>
      <c r="BS328">
        <f t="shared" si="424"/>
        <v>0</v>
      </c>
      <c r="BT328">
        <f t="shared" si="424"/>
        <v>0</v>
      </c>
      <c r="BU328">
        <f t="shared" si="424"/>
        <v>0</v>
      </c>
      <c r="BV328">
        <f t="shared" si="424"/>
        <v>0</v>
      </c>
      <c r="BW328">
        <f t="shared" si="424"/>
        <v>0</v>
      </c>
      <c r="BX328">
        <f t="shared" si="424"/>
        <v>0</v>
      </c>
      <c r="BY328">
        <f t="shared" si="424"/>
        <v>0</v>
      </c>
      <c r="BZ328">
        <f t="shared" si="424"/>
        <v>0</v>
      </c>
      <c r="CA328">
        <f t="shared" si="424"/>
        <v>0</v>
      </c>
      <c r="CB328">
        <f t="shared" si="424"/>
        <v>0</v>
      </c>
      <c r="CC328">
        <f>SUM(BG328:CB328)</f>
        <v>0</v>
      </c>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row>
    <row r="329" spans="1:256" s="1" customFormat="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f>Q233</f>
        <v>0</v>
      </c>
      <c r="BG329"/>
      <c r="BH329">
        <f t="shared" ref="BH329:CB329" si="425">IF(BH203=1,IF(BG121="L",IF(BH121="R",1,),),)</f>
        <v>0</v>
      </c>
      <c r="BI329">
        <f t="shared" si="425"/>
        <v>0</v>
      </c>
      <c r="BJ329">
        <f t="shared" si="425"/>
        <v>0</v>
      </c>
      <c r="BK329">
        <f t="shared" si="425"/>
        <v>0</v>
      </c>
      <c r="BL329">
        <f t="shared" si="425"/>
        <v>0</v>
      </c>
      <c r="BM329">
        <f t="shared" si="425"/>
        <v>0</v>
      </c>
      <c r="BN329">
        <f t="shared" si="425"/>
        <v>0</v>
      </c>
      <c r="BO329">
        <f t="shared" si="425"/>
        <v>0</v>
      </c>
      <c r="BP329">
        <f t="shared" si="425"/>
        <v>0</v>
      </c>
      <c r="BQ329">
        <f t="shared" si="425"/>
        <v>0</v>
      </c>
      <c r="BR329">
        <f t="shared" si="425"/>
        <v>0</v>
      </c>
      <c r="BS329">
        <f t="shared" si="425"/>
        <v>0</v>
      </c>
      <c r="BT329">
        <f t="shared" si="425"/>
        <v>0</v>
      </c>
      <c r="BU329">
        <f t="shared" si="425"/>
        <v>0</v>
      </c>
      <c r="BV329">
        <f t="shared" si="425"/>
        <v>0</v>
      </c>
      <c r="BW329">
        <f t="shared" si="425"/>
        <v>0</v>
      </c>
      <c r="BX329">
        <f t="shared" si="425"/>
        <v>0</v>
      </c>
      <c r="BY329">
        <f t="shared" si="425"/>
        <v>0</v>
      </c>
      <c r="BZ329">
        <f t="shared" si="425"/>
        <v>0</v>
      </c>
      <c r="CA329">
        <f t="shared" si="425"/>
        <v>0</v>
      </c>
      <c r="CB329">
        <f t="shared" si="425"/>
        <v>0</v>
      </c>
      <c r="CC329">
        <f>SUM(BG329:CB329)</f>
        <v>0</v>
      </c>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row>
    <row r="330" spans="1:256" s="1" customFormat="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f>Q234</f>
        <v>0</v>
      </c>
      <c r="BG330"/>
      <c r="BH330">
        <f t="shared" ref="BH330:CB330" si="426">IF(BH204=1,IF(BG122="L",IF(BH122="R",1,),),)</f>
        <v>0</v>
      </c>
      <c r="BI330">
        <f t="shared" si="426"/>
        <v>0</v>
      </c>
      <c r="BJ330">
        <f t="shared" si="426"/>
        <v>0</v>
      </c>
      <c r="BK330">
        <f t="shared" si="426"/>
        <v>0</v>
      </c>
      <c r="BL330">
        <f t="shared" si="426"/>
        <v>0</v>
      </c>
      <c r="BM330">
        <f t="shared" si="426"/>
        <v>0</v>
      </c>
      <c r="BN330">
        <f t="shared" si="426"/>
        <v>0</v>
      </c>
      <c r="BO330">
        <f t="shared" si="426"/>
        <v>0</v>
      </c>
      <c r="BP330">
        <f t="shared" si="426"/>
        <v>0</v>
      </c>
      <c r="BQ330">
        <f t="shared" si="426"/>
        <v>0</v>
      </c>
      <c r="BR330">
        <f t="shared" si="426"/>
        <v>0</v>
      </c>
      <c r="BS330">
        <f t="shared" si="426"/>
        <v>0</v>
      </c>
      <c r="BT330">
        <f t="shared" si="426"/>
        <v>0</v>
      </c>
      <c r="BU330">
        <f t="shared" si="426"/>
        <v>0</v>
      </c>
      <c r="BV330">
        <f t="shared" si="426"/>
        <v>0</v>
      </c>
      <c r="BW330">
        <f t="shared" si="426"/>
        <v>0</v>
      </c>
      <c r="BX330">
        <f t="shared" si="426"/>
        <v>0</v>
      </c>
      <c r="BY330">
        <f t="shared" si="426"/>
        <v>0</v>
      </c>
      <c r="BZ330">
        <f t="shared" si="426"/>
        <v>0</v>
      </c>
      <c r="CA330">
        <f t="shared" si="426"/>
        <v>0</v>
      </c>
      <c r="CB330">
        <f t="shared" si="426"/>
        <v>0</v>
      </c>
      <c r="CC330">
        <f>SUM(BG330:CB330)</f>
        <v>0</v>
      </c>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row>
    <row r="331" spans="1:256" s="1" customFormat="1"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f t="shared" ref="BF331:BF370" si="427">Q235</f>
        <v>0</v>
      </c>
      <c r="BG331"/>
      <c r="BH331">
        <f t="shared" ref="BH331:BH370" si="428">IF(BH205=1,IF(BG123="L",IF(BH123="R",1,),),)</f>
        <v>0</v>
      </c>
      <c r="BI331">
        <f t="shared" ref="BI331:BI370" si="429">IF(BI205=1,IF(BH123="L",IF(BI123="R",1,),),)</f>
        <v>0</v>
      </c>
      <c r="BJ331">
        <f t="shared" ref="BJ331:BJ370" si="430">IF(BJ205=1,IF(BI123="L",IF(BJ123="R",1,),),)</f>
        <v>0</v>
      </c>
      <c r="BK331">
        <f t="shared" ref="BK331:BK370" si="431">IF(BK205=1,IF(BJ123="L",IF(BK123="R",1,),),)</f>
        <v>0</v>
      </c>
      <c r="BL331">
        <f t="shared" ref="BL331:BL370" si="432">IF(BL205=1,IF(BK123="L",IF(BL123="R",1,),),)</f>
        <v>0</v>
      </c>
      <c r="BM331">
        <f t="shared" ref="BM331:BM370" si="433">IF(BM205=1,IF(BL123="L",IF(BM123="R",1,),),)</f>
        <v>0</v>
      </c>
      <c r="BN331">
        <f t="shared" ref="BN331:BN370" si="434">IF(BN205=1,IF(BM123="L",IF(BN123="R",1,),),)</f>
        <v>0</v>
      </c>
      <c r="BO331">
        <f t="shared" ref="BO331:BO370" si="435">IF(BO205=1,IF(BN123="L",IF(BO123="R",1,),),)</f>
        <v>0</v>
      </c>
      <c r="BP331">
        <f t="shared" ref="BP331:BP370" si="436">IF(BP205=1,IF(BO123="L",IF(BP123="R",1,),),)</f>
        <v>0</v>
      </c>
      <c r="BQ331">
        <f t="shared" ref="BQ331:BQ370" si="437">IF(BQ205=1,IF(BP123="L",IF(BQ123="R",1,),),)</f>
        <v>0</v>
      </c>
      <c r="BR331">
        <f t="shared" ref="BR331:BR370" si="438">IF(BR205=1,IF(BQ123="L",IF(BR123="R",1,),),)</f>
        <v>0</v>
      </c>
      <c r="BS331">
        <f t="shared" ref="BS331:BS370" si="439">IF(BS205=1,IF(BR123="L",IF(BS123="R",1,),),)</f>
        <v>0</v>
      </c>
      <c r="BT331">
        <f t="shared" ref="BT331:BT370" si="440">IF(BT205=1,IF(BS123="L",IF(BT123="R",1,),),)</f>
        <v>0</v>
      </c>
      <c r="BU331">
        <f t="shared" ref="BU331:BU370" si="441">IF(BU205=1,IF(BT123="L",IF(BU123="R",1,),),)</f>
        <v>0</v>
      </c>
      <c r="BV331">
        <f t="shared" ref="BV331:BV370" si="442">IF(BV205=1,IF(BU123="L",IF(BV123="R",1,),),)</f>
        <v>0</v>
      </c>
      <c r="BW331">
        <f t="shared" ref="BW331:BW370" si="443">IF(BW205=1,IF(BV123="L",IF(BW123="R",1,),),)</f>
        <v>0</v>
      </c>
      <c r="BX331">
        <f t="shared" ref="BX331:BX370" si="444">IF(BX205=1,IF(BW123="L",IF(BX123="R",1,),),)</f>
        <v>0</v>
      </c>
      <c r="BY331">
        <f t="shared" ref="BY331:BY370" si="445">IF(BY205=1,IF(BX123="L",IF(BY123="R",1,),),)</f>
        <v>0</v>
      </c>
      <c r="BZ331">
        <f t="shared" ref="BZ331:BZ370" si="446">IF(BZ205=1,IF(BY123="L",IF(BZ123="R",1,),),)</f>
        <v>0</v>
      </c>
      <c r="CA331">
        <f t="shared" ref="CA331:CA370" si="447">IF(CA205=1,IF(BZ123="L",IF(CA123="R",1,),),)</f>
        <v>0</v>
      </c>
      <c r="CB331">
        <f t="shared" ref="CB331:CB370" si="448">IF(CB205=1,IF(CA123="L",IF(CB123="R",1,),),)</f>
        <v>0</v>
      </c>
      <c r="CC331">
        <f t="shared" ref="CC331:CC370" si="449">SUM(BG331:CB331)</f>
        <v>0</v>
      </c>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row>
    <row r="332" spans="1:256" s="1" customFormat="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f t="shared" si="427"/>
        <v>0</v>
      </c>
      <c r="BG332"/>
      <c r="BH332">
        <f t="shared" si="428"/>
        <v>0</v>
      </c>
      <c r="BI332">
        <f t="shared" si="429"/>
        <v>0</v>
      </c>
      <c r="BJ332">
        <f t="shared" si="430"/>
        <v>0</v>
      </c>
      <c r="BK332">
        <f t="shared" si="431"/>
        <v>0</v>
      </c>
      <c r="BL332">
        <f t="shared" si="432"/>
        <v>0</v>
      </c>
      <c r="BM332">
        <f t="shared" si="433"/>
        <v>0</v>
      </c>
      <c r="BN332">
        <f t="shared" si="434"/>
        <v>0</v>
      </c>
      <c r="BO332">
        <f t="shared" si="435"/>
        <v>0</v>
      </c>
      <c r="BP332">
        <f t="shared" si="436"/>
        <v>0</v>
      </c>
      <c r="BQ332">
        <f t="shared" si="437"/>
        <v>0</v>
      </c>
      <c r="BR332">
        <f t="shared" si="438"/>
        <v>0</v>
      </c>
      <c r="BS332">
        <f t="shared" si="439"/>
        <v>0</v>
      </c>
      <c r="BT332">
        <f t="shared" si="440"/>
        <v>0</v>
      </c>
      <c r="BU332">
        <f t="shared" si="441"/>
        <v>0</v>
      </c>
      <c r="BV332">
        <f t="shared" si="442"/>
        <v>0</v>
      </c>
      <c r="BW332">
        <f t="shared" si="443"/>
        <v>0</v>
      </c>
      <c r="BX332">
        <f t="shared" si="444"/>
        <v>0</v>
      </c>
      <c r="BY332">
        <f t="shared" si="445"/>
        <v>0</v>
      </c>
      <c r="BZ332">
        <f t="shared" si="446"/>
        <v>0</v>
      </c>
      <c r="CA332">
        <f t="shared" si="447"/>
        <v>0</v>
      </c>
      <c r="CB332">
        <f t="shared" si="448"/>
        <v>0</v>
      </c>
      <c r="CC332">
        <f t="shared" si="449"/>
        <v>0</v>
      </c>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row>
    <row r="333" spans="1:256" s="1" customFormat="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f t="shared" si="427"/>
        <v>0</v>
      </c>
      <c r="BG333"/>
      <c r="BH333">
        <f t="shared" si="428"/>
        <v>0</v>
      </c>
      <c r="BI333">
        <f t="shared" si="429"/>
        <v>0</v>
      </c>
      <c r="BJ333">
        <f t="shared" si="430"/>
        <v>0</v>
      </c>
      <c r="BK333">
        <f t="shared" si="431"/>
        <v>0</v>
      </c>
      <c r="BL333">
        <f t="shared" si="432"/>
        <v>0</v>
      </c>
      <c r="BM333">
        <f t="shared" si="433"/>
        <v>0</v>
      </c>
      <c r="BN333">
        <f t="shared" si="434"/>
        <v>0</v>
      </c>
      <c r="BO333">
        <f t="shared" si="435"/>
        <v>0</v>
      </c>
      <c r="BP333">
        <f t="shared" si="436"/>
        <v>0</v>
      </c>
      <c r="BQ333">
        <f t="shared" si="437"/>
        <v>0</v>
      </c>
      <c r="BR333">
        <f t="shared" si="438"/>
        <v>0</v>
      </c>
      <c r="BS333">
        <f t="shared" si="439"/>
        <v>0</v>
      </c>
      <c r="BT333">
        <f t="shared" si="440"/>
        <v>0</v>
      </c>
      <c r="BU333">
        <f t="shared" si="441"/>
        <v>0</v>
      </c>
      <c r="BV333">
        <f t="shared" si="442"/>
        <v>0</v>
      </c>
      <c r="BW333">
        <f t="shared" si="443"/>
        <v>0</v>
      </c>
      <c r="BX333">
        <f t="shared" si="444"/>
        <v>0</v>
      </c>
      <c r="BY333">
        <f t="shared" si="445"/>
        <v>0</v>
      </c>
      <c r="BZ333">
        <f t="shared" si="446"/>
        <v>0</v>
      </c>
      <c r="CA333">
        <f t="shared" si="447"/>
        <v>0</v>
      </c>
      <c r="CB333">
        <f t="shared" si="448"/>
        <v>0</v>
      </c>
      <c r="CC333">
        <f t="shared" si="449"/>
        <v>0</v>
      </c>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row>
    <row r="334" spans="1:256" s="1" customFormat="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f t="shared" si="427"/>
        <v>0</v>
      </c>
      <c r="BG334"/>
      <c r="BH334">
        <f t="shared" si="428"/>
        <v>0</v>
      </c>
      <c r="BI334">
        <f t="shared" si="429"/>
        <v>0</v>
      </c>
      <c r="BJ334">
        <f t="shared" si="430"/>
        <v>0</v>
      </c>
      <c r="BK334">
        <f t="shared" si="431"/>
        <v>0</v>
      </c>
      <c r="BL334">
        <f t="shared" si="432"/>
        <v>0</v>
      </c>
      <c r="BM334">
        <f t="shared" si="433"/>
        <v>0</v>
      </c>
      <c r="BN334">
        <f t="shared" si="434"/>
        <v>0</v>
      </c>
      <c r="BO334">
        <f t="shared" si="435"/>
        <v>0</v>
      </c>
      <c r="BP334">
        <f t="shared" si="436"/>
        <v>0</v>
      </c>
      <c r="BQ334">
        <f t="shared" si="437"/>
        <v>0</v>
      </c>
      <c r="BR334">
        <f t="shared" si="438"/>
        <v>0</v>
      </c>
      <c r="BS334">
        <f t="shared" si="439"/>
        <v>0</v>
      </c>
      <c r="BT334">
        <f t="shared" si="440"/>
        <v>0</v>
      </c>
      <c r="BU334">
        <f t="shared" si="441"/>
        <v>0</v>
      </c>
      <c r="BV334">
        <f t="shared" si="442"/>
        <v>0</v>
      </c>
      <c r="BW334">
        <f t="shared" si="443"/>
        <v>0</v>
      </c>
      <c r="BX334">
        <f t="shared" si="444"/>
        <v>0</v>
      </c>
      <c r="BY334">
        <f t="shared" si="445"/>
        <v>0</v>
      </c>
      <c r="BZ334">
        <f t="shared" si="446"/>
        <v>0</v>
      </c>
      <c r="CA334">
        <f t="shared" si="447"/>
        <v>0</v>
      </c>
      <c r="CB334">
        <f t="shared" si="448"/>
        <v>0</v>
      </c>
      <c r="CC334">
        <f t="shared" si="449"/>
        <v>0</v>
      </c>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row>
    <row r="335" spans="1:256" s="1" customFormat="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f t="shared" si="427"/>
        <v>0</v>
      </c>
      <c r="BG335"/>
      <c r="BH335">
        <f t="shared" si="428"/>
        <v>0</v>
      </c>
      <c r="BI335">
        <f t="shared" si="429"/>
        <v>0</v>
      </c>
      <c r="BJ335">
        <f t="shared" si="430"/>
        <v>0</v>
      </c>
      <c r="BK335">
        <f t="shared" si="431"/>
        <v>0</v>
      </c>
      <c r="BL335">
        <f t="shared" si="432"/>
        <v>0</v>
      </c>
      <c r="BM335">
        <f t="shared" si="433"/>
        <v>0</v>
      </c>
      <c r="BN335">
        <f t="shared" si="434"/>
        <v>0</v>
      </c>
      <c r="BO335">
        <f t="shared" si="435"/>
        <v>0</v>
      </c>
      <c r="BP335">
        <f t="shared" si="436"/>
        <v>0</v>
      </c>
      <c r="BQ335">
        <f t="shared" si="437"/>
        <v>0</v>
      </c>
      <c r="BR335">
        <f t="shared" si="438"/>
        <v>0</v>
      </c>
      <c r="BS335">
        <f t="shared" si="439"/>
        <v>0</v>
      </c>
      <c r="BT335">
        <f t="shared" si="440"/>
        <v>0</v>
      </c>
      <c r="BU335">
        <f t="shared" si="441"/>
        <v>0</v>
      </c>
      <c r="BV335">
        <f t="shared" si="442"/>
        <v>0</v>
      </c>
      <c r="BW335">
        <f t="shared" si="443"/>
        <v>0</v>
      </c>
      <c r="BX335">
        <f t="shared" si="444"/>
        <v>0</v>
      </c>
      <c r="BY335">
        <f t="shared" si="445"/>
        <v>0</v>
      </c>
      <c r="BZ335">
        <f t="shared" si="446"/>
        <v>0</v>
      </c>
      <c r="CA335">
        <f t="shared" si="447"/>
        <v>0</v>
      </c>
      <c r="CB335">
        <f t="shared" si="448"/>
        <v>0</v>
      </c>
      <c r="CC335">
        <f t="shared" si="449"/>
        <v>0</v>
      </c>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row>
    <row r="336" spans="1:256" s="1" customFormat="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f t="shared" si="427"/>
        <v>0</v>
      </c>
      <c r="BG336"/>
      <c r="BH336">
        <f t="shared" si="428"/>
        <v>0</v>
      </c>
      <c r="BI336">
        <f t="shared" si="429"/>
        <v>0</v>
      </c>
      <c r="BJ336">
        <f t="shared" si="430"/>
        <v>0</v>
      </c>
      <c r="BK336">
        <f t="shared" si="431"/>
        <v>0</v>
      </c>
      <c r="BL336">
        <f t="shared" si="432"/>
        <v>0</v>
      </c>
      <c r="BM336">
        <f t="shared" si="433"/>
        <v>0</v>
      </c>
      <c r="BN336">
        <f t="shared" si="434"/>
        <v>0</v>
      </c>
      <c r="BO336">
        <f t="shared" si="435"/>
        <v>0</v>
      </c>
      <c r="BP336">
        <f t="shared" si="436"/>
        <v>0</v>
      </c>
      <c r="BQ336">
        <f t="shared" si="437"/>
        <v>0</v>
      </c>
      <c r="BR336">
        <f t="shared" si="438"/>
        <v>0</v>
      </c>
      <c r="BS336">
        <f t="shared" si="439"/>
        <v>0</v>
      </c>
      <c r="BT336">
        <f t="shared" si="440"/>
        <v>0</v>
      </c>
      <c r="BU336">
        <f t="shared" si="441"/>
        <v>0</v>
      </c>
      <c r="BV336">
        <f t="shared" si="442"/>
        <v>0</v>
      </c>
      <c r="BW336">
        <f t="shared" si="443"/>
        <v>0</v>
      </c>
      <c r="BX336">
        <f t="shared" si="444"/>
        <v>0</v>
      </c>
      <c r="BY336">
        <f t="shared" si="445"/>
        <v>0</v>
      </c>
      <c r="BZ336">
        <f t="shared" si="446"/>
        <v>0</v>
      </c>
      <c r="CA336">
        <f t="shared" si="447"/>
        <v>0</v>
      </c>
      <c r="CB336">
        <f t="shared" si="448"/>
        <v>0</v>
      </c>
      <c r="CC336">
        <f t="shared" si="449"/>
        <v>0</v>
      </c>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row>
    <row r="337" spans="1:188" s="1" customFormat="1"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f t="shared" si="427"/>
        <v>0</v>
      </c>
      <c r="BG337"/>
      <c r="BH337">
        <f t="shared" si="428"/>
        <v>0</v>
      </c>
      <c r="BI337">
        <f t="shared" si="429"/>
        <v>0</v>
      </c>
      <c r="BJ337">
        <f t="shared" si="430"/>
        <v>0</v>
      </c>
      <c r="BK337">
        <f t="shared" si="431"/>
        <v>0</v>
      </c>
      <c r="BL337">
        <f t="shared" si="432"/>
        <v>0</v>
      </c>
      <c r="BM337">
        <f t="shared" si="433"/>
        <v>0</v>
      </c>
      <c r="BN337">
        <f t="shared" si="434"/>
        <v>0</v>
      </c>
      <c r="BO337">
        <f t="shared" si="435"/>
        <v>0</v>
      </c>
      <c r="BP337">
        <f t="shared" si="436"/>
        <v>0</v>
      </c>
      <c r="BQ337">
        <f t="shared" si="437"/>
        <v>0</v>
      </c>
      <c r="BR337">
        <f t="shared" si="438"/>
        <v>0</v>
      </c>
      <c r="BS337">
        <f t="shared" si="439"/>
        <v>0</v>
      </c>
      <c r="BT337">
        <f t="shared" si="440"/>
        <v>0</v>
      </c>
      <c r="BU337">
        <f t="shared" si="441"/>
        <v>0</v>
      </c>
      <c r="BV337">
        <f t="shared" si="442"/>
        <v>0</v>
      </c>
      <c r="BW337">
        <f t="shared" si="443"/>
        <v>0</v>
      </c>
      <c r="BX337">
        <f t="shared" si="444"/>
        <v>0</v>
      </c>
      <c r="BY337">
        <f t="shared" si="445"/>
        <v>0</v>
      </c>
      <c r="BZ337">
        <f t="shared" si="446"/>
        <v>0</v>
      </c>
      <c r="CA337">
        <f t="shared" si="447"/>
        <v>0</v>
      </c>
      <c r="CB337">
        <f t="shared" si="448"/>
        <v>0</v>
      </c>
      <c r="CC337">
        <f t="shared" si="449"/>
        <v>0</v>
      </c>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row>
    <row r="338" spans="1:188" s="1" customFormat="1"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f t="shared" si="427"/>
        <v>0</v>
      </c>
      <c r="BG338"/>
      <c r="BH338">
        <f t="shared" si="428"/>
        <v>0</v>
      </c>
      <c r="BI338">
        <f t="shared" si="429"/>
        <v>0</v>
      </c>
      <c r="BJ338">
        <f t="shared" si="430"/>
        <v>0</v>
      </c>
      <c r="BK338">
        <f t="shared" si="431"/>
        <v>0</v>
      </c>
      <c r="BL338">
        <f t="shared" si="432"/>
        <v>0</v>
      </c>
      <c r="BM338">
        <f t="shared" si="433"/>
        <v>0</v>
      </c>
      <c r="BN338">
        <f t="shared" si="434"/>
        <v>0</v>
      </c>
      <c r="BO338">
        <f t="shared" si="435"/>
        <v>0</v>
      </c>
      <c r="BP338">
        <f t="shared" si="436"/>
        <v>0</v>
      </c>
      <c r="BQ338">
        <f t="shared" si="437"/>
        <v>0</v>
      </c>
      <c r="BR338">
        <f t="shared" si="438"/>
        <v>0</v>
      </c>
      <c r="BS338">
        <f t="shared" si="439"/>
        <v>0</v>
      </c>
      <c r="BT338">
        <f t="shared" si="440"/>
        <v>0</v>
      </c>
      <c r="BU338">
        <f t="shared" si="441"/>
        <v>0</v>
      </c>
      <c r="BV338">
        <f t="shared" si="442"/>
        <v>0</v>
      </c>
      <c r="BW338">
        <f t="shared" si="443"/>
        <v>0</v>
      </c>
      <c r="BX338">
        <f t="shared" si="444"/>
        <v>0</v>
      </c>
      <c r="BY338">
        <f t="shared" si="445"/>
        <v>0</v>
      </c>
      <c r="BZ338">
        <f t="shared" si="446"/>
        <v>0</v>
      </c>
      <c r="CA338">
        <f t="shared" si="447"/>
        <v>0</v>
      </c>
      <c r="CB338">
        <f t="shared" si="448"/>
        <v>0</v>
      </c>
      <c r="CC338">
        <f t="shared" si="449"/>
        <v>0</v>
      </c>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row>
    <row r="339" spans="1:188" s="1" customFormat="1"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f t="shared" si="427"/>
        <v>0</v>
      </c>
      <c r="BG339"/>
      <c r="BH339">
        <f t="shared" si="428"/>
        <v>0</v>
      </c>
      <c r="BI339">
        <f t="shared" si="429"/>
        <v>0</v>
      </c>
      <c r="BJ339">
        <f t="shared" si="430"/>
        <v>0</v>
      </c>
      <c r="BK339">
        <f t="shared" si="431"/>
        <v>0</v>
      </c>
      <c r="BL339">
        <f t="shared" si="432"/>
        <v>0</v>
      </c>
      <c r="BM339">
        <f t="shared" si="433"/>
        <v>0</v>
      </c>
      <c r="BN339">
        <f t="shared" si="434"/>
        <v>0</v>
      </c>
      <c r="BO339">
        <f t="shared" si="435"/>
        <v>0</v>
      </c>
      <c r="BP339">
        <f t="shared" si="436"/>
        <v>0</v>
      </c>
      <c r="BQ339">
        <f t="shared" si="437"/>
        <v>0</v>
      </c>
      <c r="BR339">
        <f t="shared" si="438"/>
        <v>0</v>
      </c>
      <c r="BS339">
        <f t="shared" si="439"/>
        <v>0</v>
      </c>
      <c r="BT339">
        <f t="shared" si="440"/>
        <v>0</v>
      </c>
      <c r="BU339">
        <f t="shared" si="441"/>
        <v>0</v>
      </c>
      <c r="BV339">
        <f t="shared" si="442"/>
        <v>0</v>
      </c>
      <c r="BW339">
        <f t="shared" si="443"/>
        <v>0</v>
      </c>
      <c r="BX339">
        <f t="shared" si="444"/>
        <v>0</v>
      </c>
      <c r="BY339">
        <f t="shared" si="445"/>
        <v>0</v>
      </c>
      <c r="BZ339">
        <f t="shared" si="446"/>
        <v>0</v>
      </c>
      <c r="CA339">
        <f t="shared" si="447"/>
        <v>0</v>
      </c>
      <c r="CB339">
        <f t="shared" si="448"/>
        <v>0</v>
      </c>
      <c r="CC339">
        <f t="shared" si="449"/>
        <v>0</v>
      </c>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row>
    <row r="340" spans="1:188" s="1" customFormat="1"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f t="shared" si="427"/>
        <v>0</v>
      </c>
      <c r="BG340"/>
      <c r="BH340">
        <f t="shared" si="428"/>
        <v>0</v>
      </c>
      <c r="BI340">
        <f t="shared" si="429"/>
        <v>0</v>
      </c>
      <c r="BJ340">
        <f t="shared" si="430"/>
        <v>0</v>
      </c>
      <c r="BK340">
        <f t="shared" si="431"/>
        <v>0</v>
      </c>
      <c r="BL340">
        <f t="shared" si="432"/>
        <v>0</v>
      </c>
      <c r="BM340">
        <f t="shared" si="433"/>
        <v>0</v>
      </c>
      <c r="BN340">
        <f t="shared" si="434"/>
        <v>0</v>
      </c>
      <c r="BO340">
        <f t="shared" si="435"/>
        <v>0</v>
      </c>
      <c r="BP340">
        <f t="shared" si="436"/>
        <v>0</v>
      </c>
      <c r="BQ340">
        <f t="shared" si="437"/>
        <v>0</v>
      </c>
      <c r="BR340">
        <f t="shared" si="438"/>
        <v>0</v>
      </c>
      <c r="BS340">
        <f t="shared" si="439"/>
        <v>0</v>
      </c>
      <c r="BT340">
        <f t="shared" si="440"/>
        <v>0</v>
      </c>
      <c r="BU340">
        <f t="shared" si="441"/>
        <v>0</v>
      </c>
      <c r="BV340">
        <f t="shared" si="442"/>
        <v>0</v>
      </c>
      <c r="BW340">
        <f t="shared" si="443"/>
        <v>0</v>
      </c>
      <c r="BX340">
        <f t="shared" si="444"/>
        <v>0</v>
      </c>
      <c r="BY340">
        <f t="shared" si="445"/>
        <v>0</v>
      </c>
      <c r="BZ340">
        <f t="shared" si="446"/>
        <v>0</v>
      </c>
      <c r="CA340">
        <f t="shared" si="447"/>
        <v>0</v>
      </c>
      <c r="CB340">
        <f t="shared" si="448"/>
        <v>0</v>
      </c>
      <c r="CC340">
        <f t="shared" si="449"/>
        <v>0</v>
      </c>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row>
    <row r="341" spans="1:188" s="1" customFormat="1"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f t="shared" si="427"/>
        <v>0</v>
      </c>
      <c r="BG341"/>
      <c r="BH341">
        <f t="shared" si="428"/>
        <v>0</v>
      </c>
      <c r="BI341">
        <f t="shared" si="429"/>
        <v>0</v>
      </c>
      <c r="BJ341">
        <f t="shared" si="430"/>
        <v>0</v>
      </c>
      <c r="BK341">
        <f t="shared" si="431"/>
        <v>0</v>
      </c>
      <c r="BL341">
        <f t="shared" si="432"/>
        <v>0</v>
      </c>
      <c r="BM341">
        <f t="shared" si="433"/>
        <v>0</v>
      </c>
      <c r="BN341">
        <f t="shared" si="434"/>
        <v>0</v>
      </c>
      <c r="BO341">
        <f t="shared" si="435"/>
        <v>0</v>
      </c>
      <c r="BP341">
        <f t="shared" si="436"/>
        <v>0</v>
      </c>
      <c r="BQ341">
        <f t="shared" si="437"/>
        <v>0</v>
      </c>
      <c r="BR341">
        <f t="shared" si="438"/>
        <v>0</v>
      </c>
      <c r="BS341">
        <f t="shared" si="439"/>
        <v>0</v>
      </c>
      <c r="BT341">
        <f t="shared" si="440"/>
        <v>0</v>
      </c>
      <c r="BU341">
        <f t="shared" si="441"/>
        <v>0</v>
      </c>
      <c r="BV341">
        <f t="shared" si="442"/>
        <v>0</v>
      </c>
      <c r="BW341">
        <f t="shared" si="443"/>
        <v>0</v>
      </c>
      <c r="BX341">
        <f t="shared" si="444"/>
        <v>0</v>
      </c>
      <c r="BY341">
        <f t="shared" si="445"/>
        <v>0</v>
      </c>
      <c r="BZ341">
        <f t="shared" si="446"/>
        <v>0</v>
      </c>
      <c r="CA341">
        <f t="shared" si="447"/>
        <v>0</v>
      </c>
      <c r="CB341">
        <f t="shared" si="448"/>
        <v>0</v>
      </c>
      <c r="CC341">
        <f t="shared" si="449"/>
        <v>0</v>
      </c>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row>
    <row r="342" spans="1:188" s="1" customFormat="1"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f t="shared" si="427"/>
        <v>0</v>
      </c>
      <c r="BG342"/>
      <c r="BH342">
        <f t="shared" si="428"/>
        <v>0</v>
      </c>
      <c r="BI342">
        <f t="shared" si="429"/>
        <v>0</v>
      </c>
      <c r="BJ342">
        <f t="shared" si="430"/>
        <v>0</v>
      </c>
      <c r="BK342">
        <f t="shared" si="431"/>
        <v>0</v>
      </c>
      <c r="BL342">
        <f t="shared" si="432"/>
        <v>0</v>
      </c>
      <c r="BM342">
        <f t="shared" si="433"/>
        <v>0</v>
      </c>
      <c r="BN342">
        <f t="shared" si="434"/>
        <v>0</v>
      </c>
      <c r="BO342">
        <f t="shared" si="435"/>
        <v>0</v>
      </c>
      <c r="BP342">
        <f t="shared" si="436"/>
        <v>0</v>
      </c>
      <c r="BQ342">
        <f t="shared" si="437"/>
        <v>0</v>
      </c>
      <c r="BR342">
        <f t="shared" si="438"/>
        <v>0</v>
      </c>
      <c r="BS342">
        <f t="shared" si="439"/>
        <v>0</v>
      </c>
      <c r="BT342">
        <f t="shared" si="440"/>
        <v>0</v>
      </c>
      <c r="BU342">
        <f t="shared" si="441"/>
        <v>0</v>
      </c>
      <c r="BV342">
        <f t="shared" si="442"/>
        <v>0</v>
      </c>
      <c r="BW342">
        <f t="shared" si="443"/>
        <v>0</v>
      </c>
      <c r="BX342">
        <f t="shared" si="444"/>
        <v>0</v>
      </c>
      <c r="BY342">
        <f t="shared" si="445"/>
        <v>0</v>
      </c>
      <c r="BZ342">
        <f t="shared" si="446"/>
        <v>0</v>
      </c>
      <c r="CA342">
        <f t="shared" si="447"/>
        <v>0</v>
      </c>
      <c r="CB342">
        <f t="shared" si="448"/>
        <v>0</v>
      </c>
      <c r="CC342">
        <f t="shared" si="449"/>
        <v>0</v>
      </c>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row>
    <row r="343" spans="1:188" s="1" customFormat="1"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f t="shared" si="427"/>
        <v>0</v>
      </c>
      <c r="BG343"/>
      <c r="BH343">
        <f t="shared" si="428"/>
        <v>0</v>
      </c>
      <c r="BI343">
        <f t="shared" si="429"/>
        <v>0</v>
      </c>
      <c r="BJ343">
        <f t="shared" si="430"/>
        <v>0</v>
      </c>
      <c r="BK343">
        <f t="shared" si="431"/>
        <v>0</v>
      </c>
      <c r="BL343">
        <f t="shared" si="432"/>
        <v>0</v>
      </c>
      <c r="BM343">
        <f t="shared" si="433"/>
        <v>0</v>
      </c>
      <c r="BN343">
        <f t="shared" si="434"/>
        <v>0</v>
      </c>
      <c r="BO343">
        <f t="shared" si="435"/>
        <v>0</v>
      </c>
      <c r="BP343">
        <f t="shared" si="436"/>
        <v>0</v>
      </c>
      <c r="BQ343">
        <f t="shared" si="437"/>
        <v>0</v>
      </c>
      <c r="BR343">
        <f t="shared" si="438"/>
        <v>0</v>
      </c>
      <c r="BS343">
        <f t="shared" si="439"/>
        <v>0</v>
      </c>
      <c r="BT343">
        <f t="shared" si="440"/>
        <v>0</v>
      </c>
      <c r="BU343">
        <f t="shared" si="441"/>
        <v>0</v>
      </c>
      <c r="BV343">
        <f t="shared" si="442"/>
        <v>0</v>
      </c>
      <c r="BW343">
        <f t="shared" si="443"/>
        <v>0</v>
      </c>
      <c r="BX343">
        <f t="shared" si="444"/>
        <v>0</v>
      </c>
      <c r="BY343">
        <f t="shared" si="445"/>
        <v>0</v>
      </c>
      <c r="BZ343">
        <f t="shared" si="446"/>
        <v>0</v>
      </c>
      <c r="CA343">
        <f t="shared" si="447"/>
        <v>0</v>
      </c>
      <c r="CB343">
        <f t="shared" si="448"/>
        <v>0</v>
      </c>
      <c r="CC343">
        <f t="shared" si="449"/>
        <v>0</v>
      </c>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row>
    <row r="344" spans="1:188" s="1" customFormat="1"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f t="shared" si="427"/>
        <v>0</v>
      </c>
      <c r="BG344"/>
      <c r="BH344">
        <f t="shared" si="428"/>
        <v>0</v>
      </c>
      <c r="BI344">
        <f t="shared" si="429"/>
        <v>0</v>
      </c>
      <c r="BJ344">
        <f t="shared" si="430"/>
        <v>0</v>
      </c>
      <c r="BK344">
        <f t="shared" si="431"/>
        <v>0</v>
      </c>
      <c r="BL344">
        <f t="shared" si="432"/>
        <v>0</v>
      </c>
      <c r="BM344">
        <f t="shared" si="433"/>
        <v>0</v>
      </c>
      <c r="BN344">
        <f t="shared" si="434"/>
        <v>0</v>
      </c>
      <c r="BO344">
        <f t="shared" si="435"/>
        <v>0</v>
      </c>
      <c r="BP344">
        <f t="shared" si="436"/>
        <v>0</v>
      </c>
      <c r="BQ344">
        <f t="shared" si="437"/>
        <v>0</v>
      </c>
      <c r="BR344">
        <f t="shared" si="438"/>
        <v>0</v>
      </c>
      <c r="BS344">
        <f t="shared" si="439"/>
        <v>0</v>
      </c>
      <c r="BT344">
        <f t="shared" si="440"/>
        <v>0</v>
      </c>
      <c r="BU344">
        <f t="shared" si="441"/>
        <v>0</v>
      </c>
      <c r="BV344">
        <f t="shared" si="442"/>
        <v>0</v>
      </c>
      <c r="BW344">
        <f t="shared" si="443"/>
        <v>0</v>
      </c>
      <c r="BX344">
        <f t="shared" si="444"/>
        <v>0</v>
      </c>
      <c r="BY344">
        <f t="shared" si="445"/>
        <v>0</v>
      </c>
      <c r="BZ344">
        <f t="shared" si="446"/>
        <v>0</v>
      </c>
      <c r="CA344">
        <f t="shared" si="447"/>
        <v>0</v>
      </c>
      <c r="CB344">
        <f t="shared" si="448"/>
        <v>0</v>
      </c>
      <c r="CC344">
        <f t="shared" si="449"/>
        <v>0</v>
      </c>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row>
    <row r="345" spans="1:188" s="1" customFormat="1"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f t="shared" si="427"/>
        <v>0</v>
      </c>
      <c r="BG345"/>
      <c r="BH345">
        <f t="shared" si="428"/>
        <v>0</v>
      </c>
      <c r="BI345">
        <f t="shared" si="429"/>
        <v>0</v>
      </c>
      <c r="BJ345">
        <f t="shared" si="430"/>
        <v>0</v>
      </c>
      <c r="BK345">
        <f t="shared" si="431"/>
        <v>0</v>
      </c>
      <c r="BL345">
        <f t="shared" si="432"/>
        <v>0</v>
      </c>
      <c r="BM345">
        <f t="shared" si="433"/>
        <v>0</v>
      </c>
      <c r="BN345">
        <f t="shared" si="434"/>
        <v>0</v>
      </c>
      <c r="BO345">
        <f t="shared" si="435"/>
        <v>0</v>
      </c>
      <c r="BP345">
        <f t="shared" si="436"/>
        <v>0</v>
      </c>
      <c r="BQ345">
        <f t="shared" si="437"/>
        <v>0</v>
      </c>
      <c r="BR345">
        <f t="shared" si="438"/>
        <v>0</v>
      </c>
      <c r="BS345">
        <f t="shared" si="439"/>
        <v>0</v>
      </c>
      <c r="BT345">
        <f t="shared" si="440"/>
        <v>0</v>
      </c>
      <c r="BU345">
        <f t="shared" si="441"/>
        <v>0</v>
      </c>
      <c r="BV345">
        <f t="shared" si="442"/>
        <v>0</v>
      </c>
      <c r="BW345">
        <f t="shared" si="443"/>
        <v>0</v>
      </c>
      <c r="BX345">
        <f t="shared" si="444"/>
        <v>0</v>
      </c>
      <c r="BY345">
        <f t="shared" si="445"/>
        <v>0</v>
      </c>
      <c r="BZ345">
        <f t="shared" si="446"/>
        <v>0</v>
      </c>
      <c r="CA345">
        <f t="shared" si="447"/>
        <v>0</v>
      </c>
      <c r="CB345">
        <f t="shared" si="448"/>
        <v>0</v>
      </c>
      <c r="CC345">
        <f t="shared" si="449"/>
        <v>0</v>
      </c>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row>
    <row r="346" spans="1:188" s="1" customFormat="1"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f t="shared" si="427"/>
        <v>0</v>
      </c>
      <c r="BG346"/>
      <c r="BH346">
        <f t="shared" si="428"/>
        <v>0</v>
      </c>
      <c r="BI346">
        <f t="shared" si="429"/>
        <v>0</v>
      </c>
      <c r="BJ346">
        <f t="shared" si="430"/>
        <v>0</v>
      </c>
      <c r="BK346">
        <f t="shared" si="431"/>
        <v>0</v>
      </c>
      <c r="BL346">
        <f t="shared" si="432"/>
        <v>0</v>
      </c>
      <c r="BM346">
        <f t="shared" si="433"/>
        <v>0</v>
      </c>
      <c r="BN346">
        <f t="shared" si="434"/>
        <v>0</v>
      </c>
      <c r="BO346">
        <f t="shared" si="435"/>
        <v>0</v>
      </c>
      <c r="BP346">
        <f t="shared" si="436"/>
        <v>0</v>
      </c>
      <c r="BQ346">
        <f t="shared" si="437"/>
        <v>0</v>
      </c>
      <c r="BR346">
        <f t="shared" si="438"/>
        <v>0</v>
      </c>
      <c r="BS346">
        <f t="shared" si="439"/>
        <v>0</v>
      </c>
      <c r="BT346">
        <f t="shared" si="440"/>
        <v>0</v>
      </c>
      <c r="BU346">
        <f t="shared" si="441"/>
        <v>0</v>
      </c>
      <c r="BV346">
        <f t="shared" si="442"/>
        <v>0</v>
      </c>
      <c r="BW346">
        <f t="shared" si="443"/>
        <v>0</v>
      </c>
      <c r="BX346">
        <f t="shared" si="444"/>
        <v>0</v>
      </c>
      <c r="BY346">
        <f t="shared" si="445"/>
        <v>0</v>
      </c>
      <c r="BZ346">
        <f t="shared" si="446"/>
        <v>0</v>
      </c>
      <c r="CA346">
        <f t="shared" si="447"/>
        <v>0</v>
      </c>
      <c r="CB346">
        <f t="shared" si="448"/>
        <v>0</v>
      </c>
      <c r="CC346">
        <f t="shared" si="449"/>
        <v>0</v>
      </c>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row>
    <row r="347" spans="1:188" s="1" customFormat="1"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f t="shared" si="427"/>
        <v>0</v>
      </c>
      <c r="BG347"/>
      <c r="BH347">
        <f t="shared" si="428"/>
        <v>0</v>
      </c>
      <c r="BI347">
        <f t="shared" si="429"/>
        <v>0</v>
      </c>
      <c r="BJ347">
        <f t="shared" si="430"/>
        <v>0</v>
      </c>
      <c r="BK347">
        <f t="shared" si="431"/>
        <v>0</v>
      </c>
      <c r="BL347">
        <f t="shared" si="432"/>
        <v>0</v>
      </c>
      <c r="BM347">
        <f t="shared" si="433"/>
        <v>0</v>
      </c>
      <c r="BN347">
        <f t="shared" si="434"/>
        <v>0</v>
      </c>
      <c r="BO347">
        <f t="shared" si="435"/>
        <v>0</v>
      </c>
      <c r="BP347">
        <f t="shared" si="436"/>
        <v>0</v>
      </c>
      <c r="BQ347">
        <f t="shared" si="437"/>
        <v>0</v>
      </c>
      <c r="BR347">
        <f t="shared" si="438"/>
        <v>0</v>
      </c>
      <c r="BS347">
        <f t="shared" si="439"/>
        <v>0</v>
      </c>
      <c r="BT347">
        <f t="shared" si="440"/>
        <v>0</v>
      </c>
      <c r="BU347">
        <f t="shared" si="441"/>
        <v>0</v>
      </c>
      <c r="BV347">
        <f t="shared" si="442"/>
        <v>0</v>
      </c>
      <c r="BW347">
        <f t="shared" si="443"/>
        <v>0</v>
      </c>
      <c r="BX347">
        <f t="shared" si="444"/>
        <v>0</v>
      </c>
      <c r="BY347">
        <f t="shared" si="445"/>
        <v>0</v>
      </c>
      <c r="BZ347">
        <f t="shared" si="446"/>
        <v>0</v>
      </c>
      <c r="CA347">
        <f t="shared" si="447"/>
        <v>0</v>
      </c>
      <c r="CB347">
        <f t="shared" si="448"/>
        <v>0</v>
      </c>
      <c r="CC347">
        <f t="shared" si="449"/>
        <v>0</v>
      </c>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row>
    <row r="348" spans="1:188" s="1" customFormat="1"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f t="shared" si="427"/>
        <v>0</v>
      </c>
      <c r="BG348"/>
      <c r="BH348">
        <f t="shared" si="428"/>
        <v>0</v>
      </c>
      <c r="BI348">
        <f t="shared" si="429"/>
        <v>0</v>
      </c>
      <c r="BJ348">
        <f t="shared" si="430"/>
        <v>0</v>
      </c>
      <c r="BK348">
        <f t="shared" si="431"/>
        <v>0</v>
      </c>
      <c r="BL348">
        <f t="shared" si="432"/>
        <v>0</v>
      </c>
      <c r="BM348">
        <f t="shared" si="433"/>
        <v>0</v>
      </c>
      <c r="BN348">
        <f t="shared" si="434"/>
        <v>0</v>
      </c>
      <c r="BO348">
        <f t="shared" si="435"/>
        <v>0</v>
      </c>
      <c r="BP348">
        <f t="shared" si="436"/>
        <v>0</v>
      </c>
      <c r="BQ348">
        <f t="shared" si="437"/>
        <v>0</v>
      </c>
      <c r="BR348">
        <f t="shared" si="438"/>
        <v>0</v>
      </c>
      <c r="BS348">
        <f t="shared" si="439"/>
        <v>0</v>
      </c>
      <c r="BT348">
        <f t="shared" si="440"/>
        <v>0</v>
      </c>
      <c r="BU348">
        <f t="shared" si="441"/>
        <v>0</v>
      </c>
      <c r="BV348">
        <f t="shared" si="442"/>
        <v>0</v>
      </c>
      <c r="BW348">
        <f t="shared" si="443"/>
        <v>0</v>
      </c>
      <c r="BX348">
        <f t="shared" si="444"/>
        <v>0</v>
      </c>
      <c r="BY348">
        <f t="shared" si="445"/>
        <v>0</v>
      </c>
      <c r="BZ348">
        <f t="shared" si="446"/>
        <v>0</v>
      </c>
      <c r="CA348">
        <f t="shared" si="447"/>
        <v>0</v>
      </c>
      <c r="CB348">
        <f t="shared" si="448"/>
        <v>0</v>
      </c>
      <c r="CC348">
        <f t="shared" si="449"/>
        <v>0</v>
      </c>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row>
    <row r="349" spans="1:188" s="1" customFormat="1" x14ac:dyDescent="0.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f t="shared" si="427"/>
        <v>0</v>
      </c>
      <c r="BG349"/>
      <c r="BH349">
        <f t="shared" si="428"/>
        <v>0</v>
      </c>
      <c r="BI349">
        <f t="shared" si="429"/>
        <v>0</v>
      </c>
      <c r="BJ349">
        <f t="shared" si="430"/>
        <v>0</v>
      </c>
      <c r="BK349">
        <f t="shared" si="431"/>
        <v>0</v>
      </c>
      <c r="BL349">
        <f t="shared" si="432"/>
        <v>0</v>
      </c>
      <c r="BM349">
        <f t="shared" si="433"/>
        <v>0</v>
      </c>
      <c r="BN349">
        <f t="shared" si="434"/>
        <v>0</v>
      </c>
      <c r="BO349">
        <f t="shared" si="435"/>
        <v>0</v>
      </c>
      <c r="BP349">
        <f t="shared" si="436"/>
        <v>0</v>
      </c>
      <c r="BQ349">
        <f t="shared" si="437"/>
        <v>0</v>
      </c>
      <c r="BR349">
        <f t="shared" si="438"/>
        <v>0</v>
      </c>
      <c r="BS349">
        <f t="shared" si="439"/>
        <v>0</v>
      </c>
      <c r="BT349">
        <f t="shared" si="440"/>
        <v>0</v>
      </c>
      <c r="BU349">
        <f t="shared" si="441"/>
        <v>0</v>
      </c>
      <c r="BV349">
        <f t="shared" si="442"/>
        <v>0</v>
      </c>
      <c r="BW349">
        <f t="shared" si="443"/>
        <v>0</v>
      </c>
      <c r="BX349">
        <f t="shared" si="444"/>
        <v>0</v>
      </c>
      <c r="BY349">
        <f t="shared" si="445"/>
        <v>0</v>
      </c>
      <c r="BZ349">
        <f t="shared" si="446"/>
        <v>0</v>
      </c>
      <c r="CA349">
        <f t="shared" si="447"/>
        <v>0</v>
      </c>
      <c r="CB349">
        <f t="shared" si="448"/>
        <v>0</v>
      </c>
      <c r="CC349">
        <f t="shared" si="449"/>
        <v>0</v>
      </c>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row>
    <row r="350" spans="1:188" s="1" customFormat="1"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f t="shared" si="427"/>
        <v>0</v>
      </c>
      <c r="BG350"/>
      <c r="BH350">
        <f t="shared" si="428"/>
        <v>0</v>
      </c>
      <c r="BI350">
        <f t="shared" si="429"/>
        <v>0</v>
      </c>
      <c r="BJ350">
        <f t="shared" si="430"/>
        <v>0</v>
      </c>
      <c r="BK350">
        <f t="shared" si="431"/>
        <v>0</v>
      </c>
      <c r="BL350">
        <f t="shared" si="432"/>
        <v>0</v>
      </c>
      <c r="BM350">
        <f t="shared" si="433"/>
        <v>0</v>
      </c>
      <c r="BN350">
        <f t="shared" si="434"/>
        <v>0</v>
      </c>
      <c r="BO350">
        <f t="shared" si="435"/>
        <v>0</v>
      </c>
      <c r="BP350">
        <f t="shared" si="436"/>
        <v>0</v>
      </c>
      <c r="BQ350">
        <f t="shared" si="437"/>
        <v>0</v>
      </c>
      <c r="BR350">
        <f t="shared" si="438"/>
        <v>0</v>
      </c>
      <c r="BS350">
        <f t="shared" si="439"/>
        <v>0</v>
      </c>
      <c r="BT350">
        <f t="shared" si="440"/>
        <v>0</v>
      </c>
      <c r="BU350">
        <f t="shared" si="441"/>
        <v>0</v>
      </c>
      <c r="BV350">
        <f t="shared" si="442"/>
        <v>0</v>
      </c>
      <c r="BW350">
        <f t="shared" si="443"/>
        <v>0</v>
      </c>
      <c r="BX350">
        <f t="shared" si="444"/>
        <v>0</v>
      </c>
      <c r="BY350">
        <f t="shared" si="445"/>
        <v>0</v>
      </c>
      <c r="BZ350">
        <f t="shared" si="446"/>
        <v>0</v>
      </c>
      <c r="CA350">
        <f t="shared" si="447"/>
        <v>0</v>
      </c>
      <c r="CB350">
        <f t="shared" si="448"/>
        <v>0</v>
      </c>
      <c r="CC350">
        <f t="shared" si="449"/>
        <v>0</v>
      </c>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row>
    <row r="351" spans="1:188" s="1" customFormat="1"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f t="shared" si="427"/>
        <v>0</v>
      </c>
      <c r="BG351"/>
      <c r="BH351">
        <f t="shared" si="428"/>
        <v>0</v>
      </c>
      <c r="BI351">
        <f t="shared" si="429"/>
        <v>0</v>
      </c>
      <c r="BJ351">
        <f t="shared" si="430"/>
        <v>0</v>
      </c>
      <c r="BK351">
        <f t="shared" si="431"/>
        <v>0</v>
      </c>
      <c r="BL351">
        <f t="shared" si="432"/>
        <v>0</v>
      </c>
      <c r="BM351">
        <f t="shared" si="433"/>
        <v>0</v>
      </c>
      <c r="BN351">
        <f t="shared" si="434"/>
        <v>0</v>
      </c>
      <c r="BO351">
        <f t="shared" si="435"/>
        <v>0</v>
      </c>
      <c r="BP351">
        <f t="shared" si="436"/>
        <v>0</v>
      </c>
      <c r="BQ351">
        <f t="shared" si="437"/>
        <v>0</v>
      </c>
      <c r="BR351">
        <f t="shared" si="438"/>
        <v>0</v>
      </c>
      <c r="BS351">
        <f t="shared" si="439"/>
        <v>0</v>
      </c>
      <c r="BT351">
        <f t="shared" si="440"/>
        <v>0</v>
      </c>
      <c r="BU351">
        <f t="shared" si="441"/>
        <v>0</v>
      </c>
      <c r="BV351">
        <f t="shared" si="442"/>
        <v>0</v>
      </c>
      <c r="BW351">
        <f t="shared" si="443"/>
        <v>0</v>
      </c>
      <c r="BX351">
        <f t="shared" si="444"/>
        <v>0</v>
      </c>
      <c r="BY351">
        <f t="shared" si="445"/>
        <v>0</v>
      </c>
      <c r="BZ351">
        <f t="shared" si="446"/>
        <v>0</v>
      </c>
      <c r="CA351">
        <f t="shared" si="447"/>
        <v>0</v>
      </c>
      <c r="CB351">
        <f t="shared" si="448"/>
        <v>0</v>
      </c>
      <c r="CC351">
        <f t="shared" si="449"/>
        <v>0</v>
      </c>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row>
    <row r="352" spans="1:188" s="1" customFormat="1"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f t="shared" si="427"/>
        <v>0</v>
      </c>
      <c r="BG352"/>
      <c r="BH352">
        <f t="shared" si="428"/>
        <v>0</v>
      </c>
      <c r="BI352">
        <f t="shared" si="429"/>
        <v>0</v>
      </c>
      <c r="BJ352">
        <f t="shared" si="430"/>
        <v>0</v>
      </c>
      <c r="BK352">
        <f t="shared" si="431"/>
        <v>0</v>
      </c>
      <c r="BL352">
        <f t="shared" si="432"/>
        <v>0</v>
      </c>
      <c r="BM352">
        <f t="shared" si="433"/>
        <v>0</v>
      </c>
      <c r="BN352">
        <f t="shared" si="434"/>
        <v>0</v>
      </c>
      <c r="BO352">
        <f t="shared" si="435"/>
        <v>0</v>
      </c>
      <c r="BP352">
        <f t="shared" si="436"/>
        <v>0</v>
      </c>
      <c r="BQ352">
        <f t="shared" si="437"/>
        <v>0</v>
      </c>
      <c r="BR352">
        <f t="shared" si="438"/>
        <v>0</v>
      </c>
      <c r="BS352">
        <f t="shared" si="439"/>
        <v>0</v>
      </c>
      <c r="BT352">
        <f t="shared" si="440"/>
        <v>0</v>
      </c>
      <c r="BU352">
        <f t="shared" si="441"/>
        <v>0</v>
      </c>
      <c r="BV352">
        <f t="shared" si="442"/>
        <v>0</v>
      </c>
      <c r="BW352">
        <f t="shared" si="443"/>
        <v>0</v>
      </c>
      <c r="BX352">
        <f t="shared" si="444"/>
        <v>0</v>
      </c>
      <c r="BY352">
        <f t="shared" si="445"/>
        <v>0</v>
      </c>
      <c r="BZ352">
        <f t="shared" si="446"/>
        <v>0</v>
      </c>
      <c r="CA352">
        <f t="shared" si="447"/>
        <v>0</v>
      </c>
      <c r="CB352">
        <f t="shared" si="448"/>
        <v>0</v>
      </c>
      <c r="CC352">
        <f t="shared" si="449"/>
        <v>0</v>
      </c>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row>
    <row r="353" spans="1:188" s="1" customFormat="1"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f t="shared" si="427"/>
        <v>0</v>
      </c>
      <c r="BG353"/>
      <c r="BH353">
        <f t="shared" si="428"/>
        <v>0</v>
      </c>
      <c r="BI353">
        <f t="shared" si="429"/>
        <v>0</v>
      </c>
      <c r="BJ353">
        <f t="shared" si="430"/>
        <v>0</v>
      </c>
      <c r="BK353">
        <f t="shared" si="431"/>
        <v>0</v>
      </c>
      <c r="BL353">
        <f t="shared" si="432"/>
        <v>0</v>
      </c>
      <c r="BM353">
        <f t="shared" si="433"/>
        <v>0</v>
      </c>
      <c r="BN353">
        <f t="shared" si="434"/>
        <v>0</v>
      </c>
      <c r="BO353">
        <f t="shared" si="435"/>
        <v>0</v>
      </c>
      <c r="BP353">
        <f t="shared" si="436"/>
        <v>0</v>
      </c>
      <c r="BQ353">
        <f t="shared" si="437"/>
        <v>0</v>
      </c>
      <c r="BR353">
        <f t="shared" si="438"/>
        <v>0</v>
      </c>
      <c r="BS353">
        <f t="shared" si="439"/>
        <v>0</v>
      </c>
      <c r="BT353">
        <f t="shared" si="440"/>
        <v>0</v>
      </c>
      <c r="BU353">
        <f t="shared" si="441"/>
        <v>0</v>
      </c>
      <c r="BV353">
        <f t="shared" si="442"/>
        <v>0</v>
      </c>
      <c r="BW353">
        <f t="shared" si="443"/>
        <v>0</v>
      </c>
      <c r="BX353">
        <f t="shared" si="444"/>
        <v>0</v>
      </c>
      <c r="BY353">
        <f t="shared" si="445"/>
        <v>0</v>
      </c>
      <c r="BZ353">
        <f t="shared" si="446"/>
        <v>0</v>
      </c>
      <c r="CA353">
        <f t="shared" si="447"/>
        <v>0</v>
      </c>
      <c r="CB353">
        <f t="shared" si="448"/>
        <v>0</v>
      </c>
      <c r="CC353">
        <f t="shared" si="449"/>
        <v>0</v>
      </c>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row>
    <row r="354" spans="1:188" s="1" customFormat="1"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f t="shared" si="427"/>
        <v>0</v>
      </c>
      <c r="BG354"/>
      <c r="BH354">
        <f t="shared" si="428"/>
        <v>0</v>
      </c>
      <c r="BI354">
        <f t="shared" si="429"/>
        <v>0</v>
      </c>
      <c r="BJ354">
        <f t="shared" si="430"/>
        <v>0</v>
      </c>
      <c r="BK354">
        <f t="shared" si="431"/>
        <v>0</v>
      </c>
      <c r="BL354">
        <f t="shared" si="432"/>
        <v>0</v>
      </c>
      <c r="BM354">
        <f t="shared" si="433"/>
        <v>0</v>
      </c>
      <c r="BN354">
        <f t="shared" si="434"/>
        <v>0</v>
      </c>
      <c r="BO354">
        <f t="shared" si="435"/>
        <v>0</v>
      </c>
      <c r="BP354">
        <f t="shared" si="436"/>
        <v>0</v>
      </c>
      <c r="BQ354">
        <f t="shared" si="437"/>
        <v>0</v>
      </c>
      <c r="BR354">
        <f t="shared" si="438"/>
        <v>0</v>
      </c>
      <c r="BS354">
        <f t="shared" si="439"/>
        <v>0</v>
      </c>
      <c r="BT354">
        <f t="shared" si="440"/>
        <v>0</v>
      </c>
      <c r="BU354">
        <f t="shared" si="441"/>
        <v>0</v>
      </c>
      <c r="BV354">
        <f t="shared" si="442"/>
        <v>0</v>
      </c>
      <c r="BW354">
        <f t="shared" si="443"/>
        <v>0</v>
      </c>
      <c r="BX354">
        <f t="shared" si="444"/>
        <v>0</v>
      </c>
      <c r="BY354">
        <f t="shared" si="445"/>
        <v>0</v>
      </c>
      <c r="BZ354">
        <f t="shared" si="446"/>
        <v>0</v>
      </c>
      <c r="CA354">
        <f t="shared" si="447"/>
        <v>0</v>
      </c>
      <c r="CB354">
        <f t="shared" si="448"/>
        <v>0</v>
      </c>
      <c r="CC354">
        <f t="shared" si="449"/>
        <v>0</v>
      </c>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row>
    <row r="355" spans="1:188" s="1" customFormat="1"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f t="shared" si="427"/>
        <v>0</v>
      </c>
      <c r="BG355"/>
      <c r="BH355">
        <f t="shared" si="428"/>
        <v>0</v>
      </c>
      <c r="BI355">
        <f t="shared" si="429"/>
        <v>0</v>
      </c>
      <c r="BJ355">
        <f t="shared" si="430"/>
        <v>0</v>
      </c>
      <c r="BK355">
        <f t="shared" si="431"/>
        <v>0</v>
      </c>
      <c r="BL355">
        <f t="shared" si="432"/>
        <v>0</v>
      </c>
      <c r="BM355">
        <f t="shared" si="433"/>
        <v>0</v>
      </c>
      <c r="BN355">
        <f t="shared" si="434"/>
        <v>0</v>
      </c>
      <c r="BO355">
        <f t="shared" si="435"/>
        <v>0</v>
      </c>
      <c r="BP355">
        <f t="shared" si="436"/>
        <v>0</v>
      </c>
      <c r="BQ355">
        <f t="shared" si="437"/>
        <v>0</v>
      </c>
      <c r="BR355">
        <f t="shared" si="438"/>
        <v>0</v>
      </c>
      <c r="BS355">
        <f t="shared" si="439"/>
        <v>0</v>
      </c>
      <c r="BT355">
        <f t="shared" si="440"/>
        <v>0</v>
      </c>
      <c r="BU355">
        <f t="shared" si="441"/>
        <v>0</v>
      </c>
      <c r="BV355">
        <f t="shared" si="442"/>
        <v>0</v>
      </c>
      <c r="BW355">
        <f t="shared" si="443"/>
        <v>0</v>
      </c>
      <c r="BX355">
        <f t="shared" si="444"/>
        <v>0</v>
      </c>
      <c r="BY355">
        <f t="shared" si="445"/>
        <v>0</v>
      </c>
      <c r="BZ355">
        <f t="shared" si="446"/>
        <v>0</v>
      </c>
      <c r="CA355">
        <f t="shared" si="447"/>
        <v>0</v>
      </c>
      <c r="CB355">
        <f t="shared" si="448"/>
        <v>0</v>
      </c>
      <c r="CC355">
        <f t="shared" si="449"/>
        <v>0</v>
      </c>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row>
    <row r="356" spans="1:188" s="1" customFormat="1"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f t="shared" si="427"/>
        <v>0</v>
      </c>
      <c r="BG356"/>
      <c r="BH356">
        <f t="shared" si="428"/>
        <v>0</v>
      </c>
      <c r="BI356">
        <f t="shared" si="429"/>
        <v>0</v>
      </c>
      <c r="BJ356">
        <f t="shared" si="430"/>
        <v>0</v>
      </c>
      <c r="BK356">
        <f t="shared" si="431"/>
        <v>0</v>
      </c>
      <c r="BL356">
        <f t="shared" si="432"/>
        <v>0</v>
      </c>
      <c r="BM356">
        <f t="shared" si="433"/>
        <v>0</v>
      </c>
      <c r="BN356">
        <f t="shared" si="434"/>
        <v>0</v>
      </c>
      <c r="BO356">
        <f t="shared" si="435"/>
        <v>0</v>
      </c>
      <c r="BP356">
        <f t="shared" si="436"/>
        <v>0</v>
      </c>
      <c r="BQ356">
        <f t="shared" si="437"/>
        <v>0</v>
      </c>
      <c r="BR356">
        <f t="shared" si="438"/>
        <v>0</v>
      </c>
      <c r="BS356">
        <f t="shared" si="439"/>
        <v>0</v>
      </c>
      <c r="BT356">
        <f t="shared" si="440"/>
        <v>0</v>
      </c>
      <c r="BU356">
        <f t="shared" si="441"/>
        <v>0</v>
      </c>
      <c r="BV356">
        <f t="shared" si="442"/>
        <v>0</v>
      </c>
      <c r="BW356">
        <f t="shared" si="443"/>
        <v>0</v>
      </c>
      <c r="BX356">
        <f t="shared" si="444"/>
        <v>0</v>
      </c>
      <c r="BY356">
        <f t="shared" si="445"/>
        <v>0</v>
      </c>
      <c r="BZ356">
        <f t="shared" si="446"/>
        <v>0</v>
      </c>
      <c r="CA356">
        <f t="shared" si="447"/>
        <v>0</v>
      </c>
      <c r="CB356">
        <f t="shared" si="448"/>
        <v>0</v>
      </c>
      <c r="CC356">
        <f t="shared" si="449"/>
        <v>0</v>
      </c>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row>
    <row r="357" spans="1:188" s="1" customFormat="1"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f t="shared" si="427"/>
        <v>0</v>
      </c>
      <c r="BG357"/>
      <c r="BH357">
        <f t="shared" si="428"/>
        <v>0</v>
      </c>
      <c r="BI357">
        <f t="shared" si="429"/>
        <v>0</v>
      </c>
      <c r="BJ357">
        <f t="shared" si="430"/>
        <v>0</v>
      </c>
      <c r="BK357">
        <f t="shared" si="431"/>
        <v>0</v>
      </c>
      <c r="BL357">
        <f t="shared" si="432"/>
        <v>0</v>
      </c>
      <c r="BM357">
        <f t="shared" si="433"/>
        <v>0</v>
      </c>
      <c r="BN357">
        <f t="shared" si="434"/>
        <v>0</v>
      </c>
      <c r="BO357">
        <f t="shared" si="435"/>
        <v>0</v>
      </c>
      <c r="BP357">
        <f t="shared" si="436"/>
        <v>0</v>
      </c>
      <c r="BQ357">
        <f t="shared" si="437"/>
        <v>0</v>
      </c>
      <c r="BR357">
        <f t="shared" si="438"/>
        <v>0</v>
      </c>
      <c r="BS357">
        <f t="shared" si="439"/>
        <v>0</v>
      </c>
      <c r="BT357">
        <f t="shared" si="440"/>
        <v>0</v>
      </c>
      <c r="BU357">
        <f t="shared" si="441"/>
        <v>0</v>
      </c>
      <c r="BV357">
        <f t="shared" si="442"/>
        <v>0</v>
      </c>
      <c r="BW357">
        <f t="shared" si="443"/>
        <v>0</v>
      </c>
      <c r="BX357">
        <f t="shared" si="444"/>
        <v>0</v>
      </c>
      <c r="BY357">
        <f t="shared" si="445"/>
        <v>0</v>
      </c>
      <c r="BZ357">
        <f t="shared" si="446"/>
        <v>0</v>
      </c>
      <c r="CA357">
        <f t="shared" si="447"/>
        <v>0</v>
      </c>
      <c r="CB357">
        <f t="shared" si="448"/>
        <v>0</v>
      </c>
      <c r="CC357">
        <f t="shared" si="449"/>
        <v>0</v>
      </c>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row>
    <row r="358" spans="1:188" s="1" customFormat="1"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f t="shared" si="427"/>
        <v>0</v>
      </c>
      <c r="BG358"/>
      <c r="BH358">
        <f t="shared" si="428"/>
        <v>0</v>
      </c>
      <c r="BI358">
        <f t="shared" si="429"/>
        <v>0</v>
      </c>
      <c r="BJ358">
        <f t="shared" si="430"/>
        <v>0</v>
      </c>
      <c r="BK358">
        <f t="shared" si="431"/>
        <v>0</v>
      </c>
      <c r="BL358">
        <f t="shared" si="432"/>
        <v>0</v>
      </c>
      <c r="BM358">
        <f t="shared" si="433"/>
        <v>0</v>
      </c>
      <c r="BN358">
        <f t="shared" si="434"/>
        <v>0</v>
      </c>
      <c r="BO358">
        <f t="shared" si="435"/>
        <v>0</v>
      </c>
      <c r="BP358">
        <f t="shared" si="436"/>
        <v>0</v>
      </c>
      <c r="BQ358">
        <f t="shared" si="437"/>
        <v>0</v>
      </c>
      <c r="BR358">
        <f t="shared" si="438"/>
        <v>0</v>
      </c>
      <c r="BS358">
        <f t="shared" si="439"/>
        <v>0</v>
      </c>
      <c r="BT358">
        <f t="shared" si="440"/>
        <v>0</v>
      </c>
      <c r="BU358">
        <f t="shared" si="441"/>
        <v>0</v>
      </c>
      <c r="BV358">
        <f t="shared" si="442"/>
        <v>0</v>
      </c>
      <c r="BW358">
        <f t="shared" si="443"/>
        <v>0</v>
      </c>
      <c r="BX358">
        <f t="shared" si="444"/>
        <v>0</v>
      </c>
      <c r="BY358">
        <f t="shared" si="445"/>
        <v>0</v>
      </c>
      <c r="BZ358">
        <f t="shared" si="446"/>
        <v>0</v>
      </c>
      <c r="CA358">
        <f t="shared" si="447"/>
        <v>0</v>
      </c>
      <c r="CB358">
        <f t="shared" si="448"/>
        <v>0</v>
      </c>
      <c r="CC358">
        <f t="shared" si="449"/>
        <v>0</v>
      </c>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row>
    <row r="359" spans="1:188" s="1" customFormat="1"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f t="shared" si="427"/>
        <v>0</v>
      </c>
      <c r="BG359"/>
      <c r="BH359">
        <f t="shared" si="428"/>
        <v>0</v>
      </c>
      <c r="BI359">
        <f t="shared" si="429"/>
        <v>0</v>
      </c>
      <c r="BJ359">
        <f t="shared" si="430"/>
        <v>0</v>
      </c>
      <c r="BK359">
        <f t="shared" si="431"/>
        <v>0</v>
      </c>
      <c r="BL359">
        <f t="shared" si="432"/>
        <v>0</v>
      </c>
      <c r="BM359">
        <f t="shared" si="433"/>
        <v>0</v>
      </c>
      <c r="BN359">
        <f t="shared" si="434"/>
        <v>0</v>
      </c>
      <c r="BO359">
        <f t="shared" si="435"/>
        <v>0</v>
      </c>
      <c r="BP359">
        <f t="shared" si="436"/>
        <v>0</v>
      </c>
      <c r="BQ359">
        <f t="shared" si="437"/>
        <v>0</v>
      </c>
      <c r="BR359">
        <f t="shared" si="438"/>
        <v>0</v>
      </c>
      <c r="BS359">
        <f t="shared" si="439"/>
        <v>0</v>
      </c>
      <c r="BT359">
        <f t="shared" si="440"/>
        <v>0</v>
      </c>
      <c r="BU359">
        <f t="shared" si="441"/>
        <v>0</v>
      </c>
      <c r="BV359">
        <f t="shared" si="442"/>
        <v>0</v>
      </c>
      <c r="BW359">
        <f t="shared" si="443"/>
        <v>0</v>
      </c>
      <c r="BX359">
        <f t="shared" si="444"/>
        <v>0</v>
      </c>
      <c r="BY359">
        <f t="shared" si="445"/>
        <v>0</v>
      </c>
      <c r="BZ359">
        <f t="shared" si="446"/>
        <v>0</v>
      </c>
      <c r="CA359">
        <f t="shared" si="447"/>
        <v>0</v>
      </c>
      <c r="CB359">
        <f t="shared" si="448"/>
        <v>0</v>
      </c>
      <c r="CC359">
        <f t="shared" si="449"/>
        <v>0</v>
      </c>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row>
    <row r="360" spans="1:188" s="1" customFormat="1"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f t="shared" si="427"/>
        <v>0</v>
      </c>
      <c r="BG360"/>
      <c r="BH360">
        <f t="shared" si="428"/>
        <v>0</v>
      </c>
      <c r="BI360">
        <f t="shared" si="429"/>
        <v>0</v>
      </c>
      <c r="BJ360">
        <f t="shared" si="430"/>
        <v>0</v>
      </c>
      <c r="BK360">
        <f t="shared" si="431"/>
        <v>0</v>
      </c>
      <c r="BL360">
        <f t="shared" si="432"/>
        <v>0</v>
      </c>
      <c r="BM360">
        <f t="shared" si="433"/>
        <v>0</v>
      </c>
      <c r="BN360">
        <f t="shared" si="434"/>
        <v>0</v>
      </c>
      <c r="BO360">
        <f t="shared" si="435"/>
        <v>0</v>
      </c>
      <c r="BP360">
        <f t="shared" si="436"/>
        <v>0</v>
      </c>
      <c r="BQ360">
        <f t="shared" si="437"/>
        <v>0</v>
      </c>
      <c r="BR360">
        <f t="shared" si="438"/>
        <v>0</v>
      </c>
      <c r="BS360">
        <f t="shared" si="439"/>
        <v>0</v>
      </c>
      <c r="BT360">
        <f t="shared" si="440"/>
        <v>0</v>
      </c>
      <c r="BU360">
        <f t="shared" si="441"/>
        <v>0</v>
      </c>
      <c r="BV360">
        <f t="shared" si="442"/>
        <v>0</v>
      </c>
      <c r="BW360">
        <f t="shared" si="443"/>
        <v>0</v>
      </c>
      <c r="BX360">
        <f t="shared" si="444"/>
        <v>0</v>
      </c>
      <c r="BY360">
        <f t="shared" si="445"/>
        <v>0</v>
      </c>
      <c r="BZ360">
        <f t="shared" si="446"/>
        <v>0</v>
      </c>
      <c r="CA360">
        <f t="shared" si="447"/>
        <v>0</v>
      </c>
      <c r="CB360">
        <f t="shared" si="448"/>
        <v>0</v>
      </c>
      <c r="CC360">
        <f t="shared" si="449"/>
        <v>0</v>
      </c>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row>
    <row r="361" spans="1:188" s="1" customFormat="1"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f t="shared" si="427"/>
        <v>0</v>
      </c>
      <c r="BG361"/>
      <c r="BH361">
        <f t="shared" si="428"/>
        <v>0</v>
      </c>
      <c r="BI361">
        <f t="shared" si="429"/>
        <v>0</v>
      </c>
      <c r="BJ361">
        <f t="shared" si="430"/>
        <v>0</v>
      </c>
      <c r="BK361">
        <f t="shared" si="431"/>
        <v>0</v>
      </c>
      <c r="BL361">
        <f t="shared" si="432"/>
        <v>0</v>
      </c>
      <c r="BM361">
        <f t="shared" si="433"/>
        <v>0</v>
      </c>
      <c r="BN361">
        <f t="shared" si="434"/>
        <v>0</v>
      </c>
      <c r="BO361">
        <f t="shared" si="435"/>
        <v>0</v>
      </c>
      <c r="BP361">
        <f t="shared" si="436"/>
        <v>0</v>
      </c>
      <c r="BQ361">
        <f t="shared" si="437"/>
        <v>0</v>
      </c>
      <c r="BR361">
        <f t="shared" si="438"/>
        <v>0</v>
      </c>
      <c r="BS361">
        <f t="shared" si="439"/>
        <v>0</v>
      </c>
      <c r="BT361">
        <f t="shared" si="440"/>
        <v>0</v>
      </c>
      <c r="BU361">
        <f t="shared" si="441"/>
        <v>0</v>
      </c>
      <c r="BV361">
        <f t="shared" si="442"/>
        <v>0</v>
      </c>
      <c r="BW361">
        <f t="shared" si="443"/>
        <v>0</v>
      </c>
      <c r="BX361">
        <f t="shared" si="444"/>
        <v>0</v>
      </c>
      <c r="BY361">
        <f t="shared" si="445"/>
        <v>0</v>
      </c>
      <c r="BZ361">
        <f t="shared" si="446"/>
        <v>0</v>
      </c>
      <c r="CA361">
        <f t="shared" si="447"/>
        <v>0</v>
      </c>
      <c r="CB361">
        <f t="shared" si="448"/>
        <v>0</v>
      </c>
      <c r="CC361">
        <f t="shared" si="449"/>
        <v>0</v>
      </c>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row>
    <row r="362" spans="1:188" s="1" customFormat="1"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f t="shared" si="427"/>
        <v>0</v>
      </c>
      <c r="BG362"/>
      <c r="BH362">
        <f t="shared" si="428"/>
        <v>0</v>
      </c>
      <c r="BI362">
        <f t="shared" si="429"/>
        <v>0</v>
      </c>
      <c r="BJ362">
        <f t="shared" si="430"/>
        <v>0</v>
      </c>
      <c r="BK362">
        <f t="shared" si="431"/>
        <v>0</v>
      </c>
      <c r="BL362">
        <f t="shared" si="432"/>
        <v>0</v>
      </c>
      <c r="BM362">
        <f t="shared" si="433"/>
        <v>0</v>
      </c>
      <c r="BN362">
        <f t="shared" si="434"/>
        <v>0</v>
      </c>
      <c r="BO362">
        <f t="shared" si="435"/>
        <v>0</v>
      </c>
      <c r="BP362">
        <f t="shared" si="436"/>
        <v>0</v>
      </c>
      <c r="BQ362">
        <f t="shared" si="437"/>
        <v>0</v>
      </c>
      <c r="BR362">
        <f t="shared" si="438"/>
        <v>0</v>
      </c>
      <c r="BS362">
        <f t="shared" si="439"/>
        <v>0</v>
      </c>
      <c r="BT362">
        <f t="shared" si="440"/>
        <v>0</v>
      </c>
      <c r="BU362">
        <f t="shared" si="441"/>
        <v>0</v>
      </c>
      <c r="BV362">
        <f t="shared" si="442"/>
        <v>0</v>
      </c>
      <c r="BW362">
        <f t="shared" si="443"/>
        <v>0</v>
      </c>
      <c r="BX362">
        <f t="shared" si="444"/>
        <v>0</v>
      </c>
      <c r="BY362">
        <f t="shared" si="445"/>
        <v>0</v>
      </c>
      <c r="BZ362">
        <f t="shared" si="446"/>
        <v>0</v>
      </c>
      <c r="CA362">
        <f t="shared" si="447"/>
        <v>0</v>
      </c>
      <c r="CB362">
        <f t="shared" si="448"/>
        <v>0</v>
      </c>
      <c r="CC362">
        <f t="shared" si="449"/>
        <v>0</v>
      </c>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row>
    <row r="363" spans="1:188" s="1" customFormat="1"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f t="shared" si="427"/>
        <v>0</v>
      </c>
      <c r="BG363"/>
      <c r="BH363">
        <f t="shared" si="428"/>
        <v>0</v>
      </c>
      <c r="BI363">
        <f t="shared" si="429"/>
        <v>0</v>
      </c>
      <c r="BJ363">
        <f t="shared" si="430"/>
        <v>0</v>
      </c>
      <c r="BK363">
        <f t="shared" si="431"/>
        <v>0</v>
      </c>
      <c r="BL363">
        <f t="shared" si="432"/>
        <v>0</v>
      </c>
      <c r="BM363">
        <f t="shared" si="433"/>
        <v>0</v>
      </c>
      <c r="BN363">
        <f t="shared" si="434"/>
        <v>0</v>
      </c>
      <c r="BO363">
        <f t="shared" si="435"/>
        <v>0</v>
      </c>
      <c r="BP363">
        <f t="shared" si="436"/>
        <v>0</v>
      </c>
      <c r="BQ363">
        <f t="shared" si="437"/>
        <v>0</v>
      </c>
      <c r="BR363">
        <f t="shared" si="438"/>
        <v>0</v>
      </c>
      <c r="BS363">
        <f t="shared" si="439"/>
        <v>0</v>
      </c>
      <c r="BT363">
        <f t="shared" si="440"/>
        <v>0</v>
      </c>
      <c r="BU363">
        <f t="shared" si="441"/>
        <v>0</v>
      </c>
      <c r="BV363">
        <f t="shared" si="442"/>
        <v>0</v>
      </c>
      <c r="BW363">
        <f t="shared" si="443"/>
        <v>0</v>
      </c>
      <c r="BX363">
        <f t="shared" si="444"/>
        <v>0</v>
      </c>
      <c r="BY363">
        <f t="shared" si="445"/>
        <v>0</v>
      </c>
      <c r="BZ363">
        <f t="shared" si="446"/>
        <v>0</v>
      </c>
      <c r="CA363">
        <f t="shared" si="447"/>
        <v>0</v>
      </c>
      <c r="CB363">
        <f t="shared" si="448"/>
        <v>0</v>
      </c>
      <c r="CC363">
        <f t="shared" si="449"/>
        <v>0</v>
      </c>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row>
    <row r="364" spans="1:188" s="1" customFormat="1"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f t="shared" si="427"/>
        <v>0</v>
      </c>
      <c r="BG364"/>
      <c r="BH364">
        <f t="shared" si="428"/>
        <v>0</v>
      </c>
      <c r="BI364">
        <f t="shared" si="429"/>
        <v>0</v>
      </c>
      <c r="BJ364">
        <f t="shared" si="430"/>
        <v>0</v>
      </c>
      <c r="BK364">
        <f t="shared" si="431"/>
        <v>0</v>
      </c>
      <c r="BL364">
        <f t="shared" si="432"/>
        <v>0</v>
      </c>
      <c r="BM364">
        <f t="shared" si="433"/>
        <v>0</v>
      </c>
      <c r="BN364">
        <f t="shared" si="434"/>
        <v>0</v>
      </c>
      <c r="BO364">
        <f t="shared" si="435"/>
        <v>0</v>
      </c>
      <c r="BP364">
        <f t="shared" si="436"/>
        <v>0</v>
      </c>
      <c r="BQ364">
        <f t="shared" si="437"/>
        <v>0</v>
      </c>
      <c r="BR364">
        <f t="shared" si="438"/>
        <v>0</v>
      </c>
      <c r="BS364">
        <f t="shared" si="439"/>
        <v>0</v>
      </c>
      <c r="BT364">
        <f t="shared" si="440"/>
        <v>0</v>
      </c>
      <c r="BU364">
        <f t="shared" si="441"/>
        <v>0</v>
      </c>
      <c r="BV364">
        <f t="shared" si="442"/>
        <v>0</v>
      </c>
      <c r="BW364">
        <f t="shared" si="443"/>
        <v>0</v>
      </c>
      <c r="BX364">
        <f t="shared" si="444"/>
        <v>0</v>
      </c>
      <c r="BY364">
        <f t="shared" si="445"/>
        <v>0</v>
      </c>
      <c r="BZ364">
        <f t="shared" si="446"/>
        <v>0</v>
      </c>
      <c r="CA364">
        <f t="shared" si="447"/>
        <v>0</v>
      </c>
      <c r="CB364">
        <f t="shared" si="448"/>
        <v>0</v>
      </c>
      <c r="CC364">
        <f t="shared" si="449"/>
        <v>0</v>
      </c>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row>
    <row r="365" spans="1:188" s="1" customFormat="1"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f t="shared" si="427"/>
        <v>0</v>
      </c>
      <c r="BG365"/>
      <c r="BH365">
        <f t="shared" si="428"/>
        <v>0</v>
      </c>
      <c r="BI365">
        <f t="shared" si="429"/>
        <v>0</v>
      </c>
      <c r="BJ365">
        <f t="shared" si="430"/>
        <v>0</v>
      </c>
      <c r="BK365">
        <f t="shared" si="431"/>
        <v>0</v>
      </c>
      <c r="BL365">
        <f t="shared" si="432"/>
        <v>0</v>
      </c>
      <c r="BM365">
        <f t="shared" si="433"/>
        <v>0</v>
      </c>
      <c r="BN365">
        <f t="shared" si="434"/>
        <v>0</v>
      </c>
      <c r="BO365">
        <f t="shared" si="435"/>
        <v>0</v>
      </c>
      <c r="BP365">
        <f t="shared" si="436"/>
        <v>0</v>
      </c>
      <c r="BQ365">
        <f t="shared" si="437"/>
        <v>0</v>
      </c>
      <c r="BR365">
        <f t="shared" si="438"/>
        <v>0</v>
      </c>
      <c r="BS365">
        <f t="shared" si="439"/>
        <v>0</v>
      </c>
      <c r="BT365">
        <f t="shared" si="440"/>
        <v>0</v>
      </c>
      <c r="BU365">
        <f t="shared" si="441"/>
        <v>0</v>
      </c>
      <c r="BV365">
        <f t="shared" si="442"/>
        <v>0</v>
      </c>
      <c r="BW365">
        <f t="shared" si="443"/>
        <v>0</v>
      </c>
      <c r="BX365">
        <f t="shared" si="444"/>
        <v>0</v>
      </c>
      <c r="BY365">
        <f t="shared" si="445"/>
        <v>0</v>
      </c>
      <c r="BZ365">
        <f t="shared" si="446"/>
        <v>0</v>
      </c>
      <c r="CA365">
        <f t="shared" si="447"/>
        <v>0</v>
      </c>
      <c r="CB365">
        <f t="shared" si="448"/>
        <v>0</v>
      </c>
      <c r="CC365">
        <f t="shared" si="449"/>
        <v>0</v>
      </c>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row>
    <row r="366" spans="1:188" s="1" customFormat="1"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f t="shared" si="427"/>
        <v>0</v>
      </c>
      <c r="BG366"/>
      <c r="BH366">
        <f t="shared" si="428"/>
        <v>0</v>
      </c>
      <c r="BI366">
        <f t="shared" si="429"/>
        <v>0</v>
      </c>
      <c r="BJ366">
        <f t="shared" si="430"/>
        <v>0</v>
      </c>
      <c r="BK366">
        <f t="shared" si="431"/>
        <v>0</v>
      </c>
      <c r="BL366">
        <f t="shared" si="432"/>
        <v>0</v>
      </c>
      <c r="BM366">
        <f t="shared" si="433"/>
        <v>0</v>
      </c>
      <c r="BN366">
        <f t="shared" si="434"/>
        <v>0</v>
      </c>
      <c r="BO366">
        <f t="shared" si="435"/>
        <v>0</v>
      </c>
      <c r="BP366">
        <f t="shared" si="436"/>
        <v>0</v>
      </c>
      <c r="BQ366">
        <f t="shared" si="437"/>
        <v>0</v>
      </c>
      <c r="BR366">
        <f t="shared" si="438"/>
        <v>0</v>
      </c>
      <c r="BS366">
        <f t="shared" si="439"/>
        <v>0</v>
      </c>
      <c r="BT366">
        <f t="shared" si="440"/>
        <v>0</v>
      </c>
      <c r="BU366">
        <f t="shared" si="441"/>
        <v>0</v>
      </c>
      <c r="BV366">
        <f t="shared" si="442"/>
        <v>0</v>
      </c>
      <c r="BW366">
        <f t="shared" si="443"/>
        <v>0</v>
      </c>
      <c r="BX366">
        <f t="shared" si="444"/>
        <v>0</v>
      </c>
      <c r="BY366">
        <f t="shared" si="445"/>
        <v>0</v>
      </c>
      <c r="BZ366">
        <f t="shared" si="446"/>
        <v>0</v>
      </c>
      <c r="CA366">
        <f t="shared" si="447"/>
        <v>0</v>
      </c>
      <c r="CB366">
        <f t="shared" si="448"/>
        <v>0</v>
      </c>
      <c r="CC366">
        <f t="shared" si="449"/>
        <v>0</v>
      </c>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row>
    <row r="367" spans="1:188" s="1" customFormat="1"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f t="shared" si="427"/>
        <v>0</v>
      </c>
      <c r="BG367"/>
      <c r="BH367">
        <f t="shared" si="428"/>
        <v>0</v>
      </c>
      <c r="BI367">
        <f t="shared" si="429"/>
        <v>0</v>
      </c>
      <c r="BJ367">
        <f t="shared" si="430"/>
        <v>0</v>
      </c>
      <c r="BK367">
        <f t="shared" si="431"/>
        <v>0</v>
      </c>
      <c r="BL367">
        <f t="shared" si="432"/>
        <v>0</v>
      </c>
      <c r="BM367">
        <f t="shared" si="433"/>
        <v>0</v>
      </c>
      <c r="BN367">
        <f t="shared" si="434"/>
        <v>0</v>
      </c>
      <c r="BO367">
        <f t="shared" si="435"/>
        <v>0</v>
      </c>
      <c r="BP367">
        <f t="shared" si="436"/>
        <v>0</v>
      </c>
      <c r="BQ367">
        <f t="shared" si="437"/>
        <v>0</v>
      </c>
      <c r="BR367">
        <f t="shared" si="438"/>
        <v>0</v>
      </c>
      <c r="BS367">
        <f t="shared" si="439"/>
        <v>0</v>
      </c>
      <c r="BT367">
        <f t="shared" si="440"/>
        <v>0</v>
      </c>
      <c r="BU367">
        <f t="shared" si="441"/>
        <v>0</v>
      </c>
      <c r="BV367">
        <f t="shared" si="442"/>
        <v>0</v>
      </c>
      <c r="BW367">
        <f t="shared" si="443"/>
        <v>0</v>
      </c>
      <c r="BX367">
        <f t="shared" si="444"/>
        <v>0</v>
      </c>
      <c r="BY367">
        <f t="shared" si="445"/>
        <v>0</v>
      </c>
      <c r="BZ367">
        <f t="shared" si="446"/>
        <v>0</v>
      </c>
      <c r="CA367">
        <f t="shared" si="447"/>
        <v>0</v>
      </c>
      <c r="CB367">
        <f t="shared" si="448"/>
        <v>0</v>
      </c>
      <c r="CC367">
        <f t="shared" si="449"/>
        <v>0</v>
      </c>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row>
    <row r="368" spans="1:188" s="1" customFormat="1"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f t="shared" si="427"/>
        <v>0</v>
      </c>
      <c r="BG368"/>
      <c r="BH368">
        <f t="shared" si="428"/>
        <v>0</v>
      </c>
      <c r="BI368">
        <f t="shared" si="429"/>
        <v>0</v>
      </c>
      <c r="BJ368">
        <f t="shared" si="430"/>
        <v>0</v>
      </c>
      <c r="BK368">
        <f t="shared" si="431"/>
        <v>0</v>
      </c>
      <c r="BL368">
        <f t="shared" si="432"/>
        <v>0</v>
      </c>
      <c r="BM368">
        <f t="shared" si="433"/>
        <v>0</v>
      </c>
      <c r="BN368">
        <f t="shared" si="434"/>
        <v>0</v>
      </c>
      <c r="BO368">
        <f t="shared" si="435"/>
        <v>0</v>
      </c>
      <c r="BP368">
        <f t="shared" si="436"/>
        <v>0</v>
      </c>
      <c r="BQ368">
        <f t="shared" si="437"/>
        <v>0</v>
      </c>
      <c r="BR368">
        <f t="shared" si="438"/>
        <v>0</v>
      </c>
      <c r="BS368">
        <f t="shared" si="439"/>
        <v>0</v>
      </c>
      <c r="BT368">
        <f t="shared" si="440"/>
        <v>0</v>
      </c>
      <c r="BU368">
        <f t="shared" si="441"/>
        <v>0</v>
      </c>
      <c r="BV368">
        <f t="shared" si="442"/>
        <v>0</v>
      </c>
      <c r="BW368">
        <f t="shared" si="443"/>
        <v>0</v>
      </c>
      <c r="BX368">
        <f t="shared" si="444"/>
        <v>0</v>
      </c>
      <c r="BY368">
        <f t="shared" si="445"/>
        <v>0</v>
      </c>
      <c r="BZ368">
        <f t="shared" si="446"/>
        <v>0</v>
      </c>
      <c r="CA368">
        <f t="shared" si="447"/>
        <v>0</v>
      </c>
      <c r="CB368">
        <f t="shared" si="448"/>
        <v>0</v>
      </c>
      <c r="CC368">
        <f t="shared" si="449"/>
        <v>0</v>
      </c>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row>
    <row r="369" spans="1:188" s="1" customFormat="1"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f t="shared" si="427"/>
        <v>0</v>
      </c>
      <c r="BG369"/>
      <c r="BH369">
        <f t="shared" si="428"/>
        <v>0</v>
      </c>
      <c r="BI369">
        <f t="shared" si="429"/>
        <v>0</v>
      </c>
      <c r="BJ369">
        <f t="shared" si="430"/>
        <v>0</v>
      </c>
      <c r="BK369">
        <f t="shared" si="431"/>
        <v>0</v>
      </c>
      <c r="BL369">
        <f t="shared" si="432"/>
        <v>0</v>
      </c>
      <c r="BM369">
        <f t="shared" si="433"/>
        <v>0</v>
      </c>
      <c r="BN369">
        <f t="shared" si="434"/>
        <v>0</v>
      </c>
      <c r="BO369">
        <f t="shared" si="435"/>
        <v>0</v>
      </c>
      <c r="BP369">
        <f t="shared" si="436"/>
        <v>0</v>
      </c>
      <c r="BQ369">
        <f t="shared" si="437"/>
        <v>0</v>
      </c>
      <c r="BR369">
        <f t="shared" si="438"/>
        <v>0</v>
      </c>
      <c r="BS369">
        <f t="shared" si="439"/>
        <v>0</v>
      </c>
      <c r="BT369">
        <f t="shared" si="440"/>
        <v>0</v>
      </c>
      <c r="BU369">
        <f t="shared" si="441"/>
        <v>0</v>
      </c>
      <c r="BV369">
        <f t="shared" si="442"/>
        <v>0</v>
      </c>
      <c r="BW369">
        <f t="shared" si="443"/>
        <v>0</v>
      </c>
      <c r="BX369">
        <f t="shared" si="444"/>
        <v>0</v>
      </c>
      <c r="BY369">
        <f t="shared" si="445"/>
        <v>0</v>
      </c>
      <c r="BZ369">
        <f t="shared" si="446"/>
        <v>0</v>
      </c>
      <c r="CA369">
        <f t="shared" si="447"/>
        <v>0</v>
      </c>
      <c r="CB369">
        <f t="shared" si="448"/>
        <v>0</v>
      </c>
      <c r="CC369">
        <f t="shared" si="449"/>
        <v>0</v>
      </c>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row>
    <row r="370" spans="1:188" s="1" customFormat="1"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f t="shared" si="427"/>
        <v>0</v>
      </c>
      <c r="BG370"/>
      <c r="BH370">
        <f t="shared" si="428"/>
        <v>0</v>
      </c>
      <c r="BI370">
        <f t="shared" si="429"/>
        <v>0</v>
      </c>
      <c r="BJ370">
        <f t="shared" si="430"/>
        <v>0</v>
      </c>
      <c r="BK370">
        <f t="shared" si="431"/>
        <v>0</v>
      </c>
      <c r="BL370">
        <f t="shared" si="432"/>
        <v>0</v>
      </c>
      <c r="BM370">
        <f t="shared" si="433"/>
        <v>0</v>
      </c>
      <c r="BN370">
        <f t="shared" si="434"/>
        <v>0</v>
      </c>
      <c r="BO370">
        <f t="shared" si="435"/>
        <v>0</v>
      </c>
      <c r="BP370">
        <f t="shared" si="436"/>
        <v>0</v>
      </c>
      <c r="BQ370">
        <f t="shared" si="437"/>
        <v>0</v>
      </c>
      <c r="BR370">
        <f t="shared" si="438"/>
        <v>0</v>
      </c>
      <c r="BS370">
        <f t="shared" si="439"/>
        <v>0</v>
      </c>
      <c r="BT370">
        <f t="shared" si="440"/>
        <v>0</v>
      </c>
      <c r="BU370">
        <f t="shared" si="441"/>
        <v>0</v>
      </c>
      <c r="BV370">
        <f t="shared" si="442"/>
        <v>0</v>
      </c>
      <c r="BW370">
        <f t="shared" si="443"/>
        <v>0</v>
      </c>
      <c r="BX370">
        <f t="shared" si="444"/>
        <v>0</v>
      </c>
      <c r="BY370">
        <f t="shared" si="445"/>
        <v>0</v>
      </c>
      <c r="BZ370">
        <f t="shared" si="446"/>
        <v>0</v>
      </c>
      <c r="CA370">
        <f t="shared" si="447"/>
        <v>0</v>
      </c>
      <c r="CB370">
        <f t="shared" si="448"/>
        <v>0</v>
      </c>
      <c r="CC370">
        <f t="shared" si="449"/>
        <v>0</v>
      </c>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row>
  </sheetData>
  <sheetProtection password="D424" sheet="1"/>
  <dataConsolidate/>
  <mergeCells count="11">
    <mergeCell ref="X3:Z3"/>
    <mergeCell ref="H47:J47"/>
    <mergeCell ref="A1:AG1"/>
    <mergeCell ref="A2:B2"/>
    <mergeCell ref="U47:V47"/>
    <mergeCell ref="C2:AG2"/>
    <mergeCell ref="Y47:AA47"/>
    <mergeCell ref="L3:M3"/>
    <mergeCell ref="N3:T3"/>
    <mergeCell ref="U3:W3"/>
    <mergeCell ref="B47:E47"/>
  </mergeCells>
  <phoneticPr fontId="0" type="noConversion"/>
  <conditionalFormatting sqref="AC5">
    <cfRule type="expression" dxfId="19" priority="68">
      <formula>$FW5&gt;""</formula>
    </cfRule>
  </conditionalFormatting>
  <conditionalFormatting sqref="AC6">
    <cfRule type="expression" dxfId="18" priority="41">
      <formula>$FW6&gt;""</formula>
    </cfRule>
  </conditionalFormatting>
  <conditionalFormatting sqref="AC7">
    <cfRule type="expression" dxfId="17" priority="40">
      <formula>$FW7&gt;""</formula>
    </cfRule>
  </conditionalFormatting>
  <conditionalFormatting sqref="AC8:AC45">
    <cfRule type="expression" dxfId="16" priority="39">
      <formula>$FW8&gt;""</formula>
    </cfRule>
  </conditionalFormatting>
  <conditionalFormatting sqref="AE4">
    <cfRule type="expression" dxfId="15" priority="16" stopIfTrue="1">
      <formula>$CH$78="USD"</formula>
    </cfRule>
  </conditionalFormatting>
  <dataValidations count="22">
    <dataValidation type="whole" operator="greaterThanOrEqual" allowBlank="1" showInputMessage="1" showErrorMessage="1" sqref="X5:X45 D5:E45" xr:uid="{00000000-0002-0000-0000-000000000000}">
      <formula1>0</formula1>
    </dataValidation>
    <dataValidation type="list" allowBlank="1" showInputMessage="1" showErrorMessage="1" sqref="O5:O45" xr:uid="{00000000-0002-0000-0000-000001000000}">
      <formula1>$CJ$57:$CL$57</formula1>
    </dataValidation>
    <dataValidation type="whole" allowBlank="1" showInputMessage="1" showErrorMessage="1" sqref="S5:T45" xr:uid="{00000000-0002-0000-0000-000002000000}">
      <formula1>0</formula1>
      <formula2>100</formula2>
    </dataValidation>
    <dataValidation type="textLength" allowBlank="1" showInputMessage="1" showErrorMessage="1" sqref="R5:R45" xr:uid="{00000000-0002-0000-0000-000003000000}">
      <formula1>0</formula1>
      <formula2>10</formula2>
    </dataValidation>
    <dataValidation type="textLength" operator="lessThan" allowBlank="1" showInputMessage="1" showErrorMessage="1" errorTitle="Max. 20" error="Max. 20_x000a_" sqref="Q5:Q45" xr:uid="{00000000-0002-0000-0000-000004000000}">
      <formula1>21</formula1>
    </dataValidation>
    <dataValidation operator="lessThan" allowBlank="1" showInputMessage="1" showErrorMessage="1" sqref="U5:U45" xr:uid="{00000000-0002-0000-0000-000005000000}"/>
    <dataValidation type="list" allowBlank="1" showInputMessage="1" showErrorMessage="1" error="0_x000a_1_x000a_2_x000a_" sqref="L5:L45" xr:uid="{00000000-0002-0000-0000-000006000000}">
      <formula1>$CJ$57:$CL$57</formula1>
    </dataValidation>
    <dataValidation type="list" showInputMessage="1" showErrorMessage="1" sqref="X47" xr:uid="{00000000-0002-0000-0000-000007000000}">
      <formula1>$CJ$65:$CS$65</formula1>
    </dataValidation>
    <dataValidation type="list" allowBlank="1" showInputMessage="1" showErrorMessage="1" sqref="I5:I45" xr:uid="{00000000-0002-0000-0000-000008000000}">
      <formula1>$CJ$67:$CO$67</formula1>
    </dataValidation>
    <dataValidation type="list" allowBlank="1" showInputMessage="1" showErrorMessage="1" sqref="L47" xr:uid="{00000000-0002-0000-0000-000009000000}">
      <formula1>$CJ$55:$CK$55</formula1>
    </dataValidation>
    <dataValidation type="list" allowBlank="1" showInputMessage="1" showErrorMessage="1" sqref="P5:P45" xr:uid="{00000000-0002-0000-0000-00000A000000}">
      <formula1>$CJ$61:$CM$61</formula1>
    </dataValidation>
    <dataValidation type="list" allowBlank="1" showInputMessage="1" showErrorMessage="1" sqref="AG47" xr:uid="{00000000-0002-0000-0000-00000B000000}">
      <formula1>$CJ$77:$CK$77</formula1>
    </dataValidation>
    <dataValidation type="list" allowBlank="1" showInputMessage="1" showErrorMessage="1" error="C_x000a__x000a_" sqref="G5:G45" xr:uid="{00000000-0002-0000-0000-00000C000000}">
      <formula1>$CJ$59:$CL$59</formula1>
    </dataValidation>
    <dataValidation type="list" allowBlank="1" showInputMessage="1" showErrorMessage="1" errorTitle="Stopp" error="2_x000a_3" sqref="F5:F45" xr:uid="{00000000-0002-0000-0000-00000D000000}">
      <formula1>$CJ$52:$CL$52</formula1>
    </dataValidation>
    <dataValidation type="list" allowBlank="1" showInputMessage="1" showErrorMessage="1" sqref="H5:H45" xr:uid="{00000000-0002-0000-0000-00000E000000}">
      <formula1>$CJ$73:$CN$73</formula1>
    </dataValidation>
    <dataValidation showInputMessage="1" showErrorMessage="1" sqref="AH4" xr:uid="{00000000-0002-0000-0000-00000F000000}"/>
    <dataValidation type="date" allowBlank="1" showInputMessage="1" showErrorMessage="1" errorTitle="Datum" sqref="A3" xr:uid="{00000000-0002-0000-0000-000010000000}">
      <formula1>40909</formula1>
      <formula2>47484</formula2>
    </dataValidation>
    <dataValidation type="list" allowBlank="1" showInputMessage="1" sqref="W5:W45" xr:uid="{00000000-0002-0000-0000-000011000000}">
      <formula1>$CR$70:$CR$72</formula1>
    </dataValidation>
    <dataValidation type="list" allowBlank="1" showInputMessage="1" showErrorMessage="1" sqref="J5:J45" xr:uid="{00000000-0002-0000-0000-000012000000}">
      <formula1>$CU$49:$DH$49</formula1>
    </dataValidation>
    <dataValidation type="list" showInputMessage="1" showErrorMessage="1" sqref="AH2" xr:uid="{00000000-0002-0000-0000-000013000000}">
      <formula1>$CJ$75:$CL$75</formula1>
    </dataValidation>
    <dataValidation type="list" allowBlank="1" showInputMessage="1" showErrorMessage="1" sqref="H47:J47 B47:E47" xr:uid="{00000000-0002-0000-0000-000014000000}">
      <formula1>$BH$74:$BH$83</formula1>
    </dataValidation>
    <dataValidation type="list" allowBlank="1" showInputMessage="1" showErrorMessage="1" sqref="K5:K45" xr:uid="{00000000-0002-0000-0000-000015000000}">
      <formula1>$CJ$71:$CM$71</formula1>
    </dataValidation>
  </dataValidations>
  <printOptions horizontalCentered="1" verticalCentered="1"/>
  <pageMargins left="0.35433070866141736" right="0.23622047244094491" top="0.70866141732283472" bottom="0.59055118110236227" header="0.51181102362204722" footer="0.39370078740157483"/>
  <pageSetup paperSize="9" scale="62" orientation="landscape" horizontalDpi="4294967293" r:id="rId1"/>
  <headerFooter alignWithMargins="0">
    <oddFooter>&amp;L&amp;D&amp;C&amp;Z&amp;F&amp;RSeite &amp;P</oddFooter>
  </headerFooter>
  <cellWatches>
    <cellWatch r="BD243"/>
  </cellWatches>
  <ignoredErrors>
    <ignoredError sqref="M4" formula="1"/>
  </ignoredError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IR202"/>
  <sheetViews>
    <sheetView showZeros="0" topLeftCell="B1" zoomScale="85" zoomScaleNormal="85" workbookViewId="0">
      <selection activeCell="AE7" sqref="AE7"/>
    </sheetView>
  </sheetViews>
  <sheetFormatPr defaultColWidth="11.42578125" defaultRowHeight="12.75" x14ac:dyDescent="0.2"/>
  <cols>
    <col min="1" max="1" width="6" style="1" hidden="1" customWidth="1"/>
    <col min="2" max="2" width="5.7109375" style="1" customWidth="1"/>
    <col min="3" max="3" width="4.42578125" style="1" customWidth="1"/>
    <col min="4" max="5" width="8.28515625" style="1" customWidth="1"/>
    <col min="6" max="6" width="5.42578125" style="1" customWidth="1"/>
    <col min="7" max="7" width="22" style="1" customWidth="1"/>
    <col min="8" max="8" width="6.5703125" style="1" customWidth="1"/>
    <col min="9" max="9" width="6.7109375" style="1" customWidth="1"/>
    <col min="10" max="10" width="5.5703125" style="1" customWidth="1"/>
    <col min="11" max="11" width="4.28515625" style="1" customWidth="1"/>
    <col min="12" max="12" width="5.42578125" style="1" customWidth="1"/>
    <col min="13" max="13" width="5.28515625" style="1" customWidth="1"/>
    <col min="14" max="14" width="4.7109375" style="1" customWidth="1"/>
    <col min="15" max="15" width="5.7109375" style="1" customWidth="1"/>
    <col min="16" max="16" width="9.7109375" style="1" hidden="1" customWidth="1"/>
    <col min="17" max="19" width="8.28515625" style="1" hidden="1" customWidth="1"/>
    <col min="20" max="20" width="9" style="1" customWidth="1"/>
    <col min="21" max="21" width="10" style="1" customWidth="1"/>
    <col min="22" max="22" width="9" style="1" customWidth="1"/>
    <col min="23" max="23" width="6.7109375" style="1" customWidth="1"/>
    <col min="24" max="24" width="9.28515625" style="1" customWidth="1"/>
    <col min="25" max="36" width="6.7109375" style="1" customWidth="1"/>
    <col min="37" max="88" width="7" style="1" customWidth="1"/>
    <col min="89" max="103" width="7" hidden="1" customWidth="1"/>
    <col min="104" max="104" width="15.42578125" hidden="1" customWidth="1"/>
    <col min="105" max="105" width="12.28515625" hidden="1" customWidth="1"/>
    <col min="106" max="168" width="7.7109375" hidden="1" customWidth="1"/>
    <col min="169" max="169" width="11.28515625" hidden="1" customWidth="1"/>
    <col min="170" max="170" width="7.7109375" hidden="1" customWidth="1"/>
    <col min="171" max="171" width="11.5703125" hidden="1" customWidth="1"/>
    <col min="172" max="211" width="7.7109375" hidden="1" customWidth="1"/>
    <col min="212" max="16384" width="11.42578125" style="1"/>
  </cols>
  <sheetData>
    <row r="1" spans="1:205" x14ac:dyDescent="0.2">
      <c r="A1" s="114"/>
      <c r="B1" s="150" t="str">
        <f>CONCATENATE(ELEMENT!A1,"  ",ELEMENT!C2)</f>
        <v xml:space="preserve">Sky-Frame TOOL           Version 2016-07-12           Company… (please adapt in Sprache D1)  </v>
      </c>
      <c r="C1" s="151"/>
      <c r="D1" s="151"/>
      <c r="E1" s="151"/>
      <c r="F1" s="151"/>
      <c r="G1" s="151"/>
      <c r="H1" s="151"/>
      <c r="I1" s="151"/>
      <c r="J1" s="151"/>
      <c r="K1" s="151"/>
      <c r="L1" s="151"/>
      <c r="M1" s="151"/>
      <c r="N1" s="151"/>
      <c r="O1" s="151"/>
      <c r="P1" s="151"/>
      <c r="Q1" s="151"/>
      <c r="R1" s="151"/>
      <c r="S1" s="182"/>
      <c r="T1" s="182"/>
      <c r="U1" s="452" t="str">
        <f>N3</f>
        <v>USD</v>
      </c>
      <c r="V1" s="452"/>
      <c r="W1" s="452" t="str">
        <f>Sprache!$B$46</f>
        <v>h planning manhours</v>
      </c>
      <c r="X1" s="452"/>
      <c r="Y1" s="452" t="str">
        <f>Sprache!$B$45</f>
        <v>h production</v>
      </c>
      <c r="Z1" s="452"/>
      <c r="AA1" s="453" t="str">
        <f>Sprache!$B$44</f>
        <v>h installation manhours</v>
      </c>
      <c r="AB1" s="453"/>
      <c r="AC1" s="117"/>
      <c r="AD1" s="117"/>
      <c r="AE1" s="465">
        <f>ELEMENT!AH4</f>
        <v>2</v>
      </c>
      <c r="AF1" s="465"/>
      <c r="AG1" s="117"/>
      <c r="AH1" s="117"/>
      <c r="AI1" s="117"/>
      <c r="AJ1" s="117"/>
      <c r="AK1" s="117"/>
      <c r="AL1" s="117"/>
      <c r="AM1" s="117"/>
      <c r="AN1" s="117"/>
      <c r="AO1" s="117"/>
      <c r="AP1" s="117"/>
      <c r="AQ1" s="117"/>
      <c r="AR1" s="117"/>
      <c r="AS1" s="117"/>
      <c r="AT1" s="117"/>
      <c r="AU1" s="117"/>
      <c r="AV1" s="117"/>
      <c r="AW1" s="117"/>
      <c r="AX1" s="117"/>
      <c r="AY1" s="117"/>
      <c r="AZ1" s="117"/>
      <c r="BA1" s="117"/>
      <c r="BB1" s="117"/>
      <c r="BC1" s="117"/>
      <c r="BD1" s="117"/>
      <c r="BE1" s="117"/>
      <c r="BF1" s="117"/>
      <c r="BG1" s="117"/>
      <c r="BH1" s="117"/>
      <c r="BI1" s="117"/>
      <c r="BJ1" s="117"/>
      <c r="BK1" s="117"/>
      <c r="BL1" s="117"/>
      <c r="BM1" s="117"/>
      <c r="BN1" s="117"/>
      <c r="BO1" s="117"/>
      <c r="BP1" s="117"/>
      <c r="BQ1" s="117"/>
      <c r="BR1" s="117"/>
      <c r="BS1" s="117"/>
      <c r="BT1" s="117"/>
      <c r="BU1" s="117"/>
      <c r="BV1" s="117"/>
      <c r="BW1" s="117"/>
      <c r="BX1" s="117"/>
      <c r="BY1" s="117"/>
      <c r="BZ1" s="117"/>
      <c r="CA1" s="117"/>
      <c r="CB1" s="117"/>
      <c r="CC1" s="117"/>
      <c r="CD1" s="118"/>
      <c r="CE1" s="119"/>
      <c r="CF1" s="119"/>
      <c r="CG1" s="119"/>
      <c r="CH1" s="119"/>
      <c r="CI1" s="119"/>
      <c r="CJ1" s="119"/>
    </row>
    <row r="2" spans="1:205" x14ac:dyDescent="0.2">
      <c r="A2" s="114"/>
      <c r="B2" s="458" t="str">
        <f>CONCATENATE(P3,Sprache!B58)</f>
        <v>USD/ h installation</v>
      </c>
      <c r="C2" s="459"/>
      <c r="D2" s="459"/>
      <c r="E2" s="120"/>
      <c r="F2" s="121"/>
      <c r="G2" s="115" t="str">
        <f>CONCATENATE(Sprache!B54," ",Sprache!B50)</f>
        <v>discount purchase price</v>
      </c>
      <c r="H2" s="122"/>
      <c r="I2" s="147" t="str">
        <f>Sprache!B159</f>
        <v>alternative currency factor</v>
      </c>
      <c r="J2" s="148"/>
      <c r="K2" s="148"/>
      <c r="L2" s="148"/>
      <c r="M2" s="148"/>
      <c r="N2" s="121">
        <f>P2</f>
        <v>1</v>
      </c>
      <c r="O2" s="123"/>
      <c r="P2" s="121">
        <f>IF(O3="",1,IF($O$2="",1,$O$2))</f>
        <v>1</v>
      </c>
      <c r="Q2" s="121"/>
      <c r="R2" s="121"/>
      <c r="S2" s="119"/>
      <c r="T2" s="389"/>
      <c r="U2" s="171">
        <f ca="1">U48</f>
        <v>0</v>
      </c>
      <c r="V2" s="172">
        <f ca="1">IFERROR(U2/ELEMENT!$AB$46,)</f>
        <v>0</v>
      </c>
      <c r="W2" s="173">
        <f ca="1">IF(ELEMENT!CO68=1,SUM(FP7:FP47)+ELEMENT!CD50,SUM(FP7:FP47))</f>
        <v>0</v>
      </c>
      <c r="X2" s="187">
        <f ca="1">IFERROR(W2/ELEMENT!$AB$46,)</f>
        <v>0</v>
      </c>
      <c r="Y2" s="173">
        <f ca="1">IF(ELEMENT!CO68=1,(ELEMENT!CD55),)</f>
        <v>0</v>
      </c>
      <c r="Z2" s="187">
        <f ca="1">IFERROR(Y2/ELEMENT!$AB$46,)</f>
        <v>0</v>
      </c>
      <c r="AA2" s="173">
        <f>SUM(FQ7:FQ47)</f>
        <v>0</v>
      </c>
      <c r="AB2" s="187">
        <f>IFERROR(AA2/ELEMENT!$AB$46,)</f>
        <v>0</v>
      </c>
      <c r="AC2" s="464" t="str">
        <f>Sprache!B143</f>
        <v>elements</v>
      </c>
      <c r="AD2" s="464"/>
      <c r="AE2" s="466"/>
      <c r="AF2" s="466"/>
      <c r="AG2" s="119"/>
      <c r="AH2" s="119"/>
      <c r="AI2" s="119"/>
      <c r="AJ2" s="119"/>
      <c r="AK2" s="119"/>
      <c r="AL2" s="119"/>
      <c r="AM2" s="119"/>
      <c r="AN2" s="119"/>
      <c r="AO2" s="119"/>
      <c r="AP2" s="119"/>
      <c r="AQ2" s="119"/>
      <c r="AR2" s="119"/>
      <c r="AS2" s="119"/>
      <c r="AT2" s="119"/>
      <c r="AU2" s="119"/>
      <c r="AV2" s="119"/>
      <c r="AW2" s="119"/>
      <c r="AX2" s="119"/>
      <c r="AY2" s="119"/>
      <c r="AZ2" s="119"/>
      <c r="BA2" s="119"/>
      <c r="BB2" s="119"/>
      <c r="BC2" s="119"/>
      <c r="BD2" s="119"/>
      <c r="BE2" s="119"/>
      <c r="BF2" s="119"/>
      <c r="BG2" s="119"/>
      <c r="BH2" s="119"/>
      <c r="BI2" s="119"/>
      <c r="BJ2" s="119"/>
      <c r="BK2" s="119"/>
      <c r="BL2" s="119"/>
      <c r="BM2" s="119"/>
      <c r="BN2" s="119"/>
      <c r="BO2" s="119"/>
      <c r="BP2" s="119"/>
      <c r="BQ2" s="119"/>
      <c r="BR2" s="119"/>
      <c r="BS2" s="119"/>
      <c r="BT2" s="119"/>
      <c r="BU2" s="119"/>
      <c r="BV2" s="119"/>
      <c r="BW2" s="119"/>
      <c r="BX2" s="119"/>
      <c r="BY2" s="119"/>
      <c r="BZ2" s="119"/>
      <c r="CA2" s="119"/>
      <c r="CB2" s="119"/>
      <c r="CC2" s="119"/>
      <c r="CD2" s="124"/>
      <c r="CE2" s="119"/>
      <c r="CF2" s="119"/>
      <c r="CG2" s="119"/>
      <c r="CH2" s="119"/>
      <c r="CI2" s="119"/>
      <c r="CJ2" s="119"/>
    </row>
    <row r="3" spans="1:205" x14ac:dyDescent="0.2">
      <c r="A3" s="114"/>
      <c r="B3" s="460" t="str">
        <f>CONCATENATE(P3,Sprache!B59)</f>
        <v>USD/ h planning</v>
      </c>
      <c r="C3" s="453"/>
      <c r="D3" s="453"/>
      <c r="E3" s="120">
        <v>125</v>
      </c>
      <c r="F3" s="119"/>
      <c r="G3" s="125"/>
      <c r="H3" s="126"/>
      <c r="I3" s="150" t="str">
        <f>Sprache!B160</f>
        <v>alternative currency factor</v>
      </c>
      <c r="J3" s="151"/>
      <c r="K3" s="151"/>
      <c r="L3" s="151"/>
      <c r="M3" s="151"/>
      <c r="N3" s="146" t="str">
        <f>P3</f>
        <v>USD</v>
      </c>
      <c r="O3" s="127"/>
      <c r="P3" s="128" t="str">
        <f>IF(IFERROR(E4=#REF!,),"USD",
IF(O2="",ELEMENT!EC2,IF(O3="",ELEMENT!EC2,O3)))</f>
        <v>USD</v>
      </c>
      <c r="Q3" s="119"/>
      <c r="R3" s="119"/>
      <c r="S3" s="119"/>
      <c r="T3" s="388"/>
      <c r="U3" s="171">
        <f>OPTION!I1</f>
        <v>0</v>
      </c>
      <c r="V3" s="172">
        <f>IFERROR(U3/ELEMENT!$AB$46,)</f>
        <v>0</v>
      </c>
      <c r="W3" s="173">
        <f>OPTION!F1</f>
        <v>0</v>
      </c>
      <c r="X3" s="187">
        <f>IFERROR(W3/ELEMENT!$AB$46,)</f>
        <v>0</v>
      </c>
      <c r="Y3" s="173">
        <f>OPTION!G1</f>
        <v>0</v>
      </c>
      <c r="Z3" s="187">
        <f>IFERROR(Y3/ELEMENT!$AB$46,)</f>
        <v>0</v>
      </c>
      <c r="AA3" s="173">
        <f>OPTION!H1</f>
        <v>0</v>
      </c>
      <c r="AB3" s="187">
        <f>IFERROR(AA3/ELEMENT!$AB$46,)</f>
        <v>0</v>
      </c>
      <c r="AC3" s="463" t="str">
        <f>Sprache!B142</f>
        <v>Additional items</v>
      </c>
      <c r="AD3" s="463"/>
      <c r="AE3" s="466"/>
      <c r="AF3" s="466"/>
      <c r="AG3" s="119"/>
      <c r="AH3" s="119"/>
      <c r="AI3" s="119"/>
      <c r="AJ3" s="119"/>
      <c r="AK3" s="119"/>
      <c r="AL3" s="119"/>
      <c r="AM3" s="119"/>
      <c r="AN3" s="119"/>
      <c r="AO3" s="119"/>
      <c r="AP3" s="119"/>
      <c r="AQ3" s="119"/>
      <c r="AR3" s="119"/>
      <c r="AS3" s="119"/>
      <c r="AT3" s="119"/>
      <c r="AU3" s="119"/>
      <c r="AV3" s="119"/>
      <c r="AW3" s="119"/>
      <c r="AX3" s="119"/>
      <c r="AY3" s="119"/>
      <c r="AZ3" s="119"/>
      <c r="BA3" s="119"/>
      <c r="BB3" s="119"/>
      <c r="BC3" s="119"/>
      <c r="BD3" s="119"/>
      <c r="BE3" s="119"/>
      <c r="BF3" s="119"/>
      <c r="BG3" s="119"/>
      <c r="BH3" s="119"/>
      <c r="BI3" s="119"/>
      <c r="BJ3" s="119"/>
      <c r="BK3" s="119"/>
      <c r="BL3" s="119"/>
      <c r="BM3" s="119"/>
      <c r="BN3" s="119"/>
      <c r="BO3" s="119"/>
      <c r="BP3" s="119"/>
      <c r="BQ3" s="119"/>
      <c r="BR3" s="119"/>
      <c r="BS3" s="119"/>
      <c r="BT3" s="119"/>
      <c r="BU3" s="119"/>
      <c r="BV3" s="119"/>
      <c r="BW3" s="119"/>
      <c r="BX3" s="119"/>
      <c r="BY3" s="119"/>
      <c r="BZ3" s="119"/>
      <c r="CA3" s="119"/>
      <c r="CB3" s="119"/>
      <c r="CC3" s="119"/>
      <c r="CD3" s="124"/>
      <c r="CE3" s="119"/>
      <c r="CF3" s="119"/>
      <c r="CG3" s="119"/>
      <c r="CH3" s="119"/>
      <c r="CI3" s="119"/>
      <c r="CJ3" s="119"/>
      <c r="DC3">
        <f t="shared" ref="DC3:EF3" si="0">SUM(X7:X47)</f>
        <v>0</v>
      </c>
      <c r="DD3">
        <f t="shared" si="0"/>
        <v>0</v>
      </c>
      <c r="DE3">
        <f t="shared" si="0"/>
        <v>0</v>
      </c>
      <c r="DF3">
        <f t="shared" si="0"/>
        <v>0</v>
      </c>
      <c r="DG3">
        <f t="shared" si="0"/>
        <v>0</v>
      </c>
      <c r="DH3">
        <f t="shared" si="0"/>
        <v>0</v>
      </c>
      <c r="DI3">
        <f t="shared" si="0"/>
        <v>0</v>
      </c>
      <c r="DJ3">
        <f t="shared" si="0"/>
        <v>0</v>
      </c>
      <c r="DK3">
        <f t="shared" si="0"/>
        <v>0</v>
      </c>
      <c r="DL3">
        <f t="shared" si="0"/>
        <v>0</v>
      </c>
      <c r="DM3">
        <f t="shared" si="0"/>
        <v>0</v>
      </c>
      <c r="DN3">
        <f t="shared" si="0"/>
        <v>0</v>
      </c>
      <c r="DO3">
        <f t="shared" si="0"/>
        <v>0</v>
      </c>
      <c r="DP3">
        <f t="shared" si="0"/>
        <v>0</v>
      </c>
      <c r="DQ3">
        <f t="shared" si="0"/>
        <v>0</v>
      </c>
      <c r="DR3">
        <f t="shared" si="0"/>
        <v>0</v>
      </c>
      <c r="DS3">
        <f t="shared" si="0"/>
        <v>0</v>
      </c>
      <c r="DT3">
        <f t="shared" si="0"/>
        <v>0</v>
      </c>
      <c r="DU3">
        <f t="shared" si="0"/>
        <v>0</v>
      </c>
      <c r="DV3">
        <f t="shared" si="0"/>
        <v>0</v>
      </c>
      <c r="DW3">
        <f t="shared" si="0"/>
        <v>0</v>
      </c>
      <c r="DX3">
        <f t="shared" si="0"/>
        <v>0</v>
      </c>
      <c r="DY3">
        <f t="shared" si="0"/>
        <v>0</v>
      </c>
      <c r="DZ3">
        <f t="shared" si="0"/>
        <v>0</v>
      </c>
      <c r="EA3">
        <f t="shared" si="0"/>
        <v>0</v>
      </c>
      <c r="EB3">
        <f t="shared" si="0"/>
        <v>0</v>
      </c>
      <c r="EC3">
        <f t="shared" si="0"/>
        <v>0</v>
      </c>
      <c r="ED3">
        <f t="shared" si="0"/>
        <v>0</v>
      </c>
      <c r="EE3">
        <f t="shared" si="0"/>
        <v>0</v>
      </c>
      <c r="EF3">
        <f t="shared" si="0"/>
        <v>0</v>
      </c>
      <c r="EG3">
        <f t="shared" ref="EG3:EU3" si="1">SUM(BB7:BB47)</f>
        <v>0</v>
      </c>
      <c r="EH3">
        <f t="shared" si="1"/>
        <v>0</v>
      </c>
      <c r="EI3">
        <f t="shared" si="1"/>
        <v>0</v>
      </c>
      <c r="EJ3">
        <f t="shared" si="1"/>
        <v>0</v>
      </c>
      <c r="EK3">
        <f t="shared" si="1"/>
        <v>0</v>
      </c>
      <c r="EL3">
        <f t="shared" si="1"/>
        <v>0</v>
      </c>
      <c r="EM3">
        <f>SUM(BH7:BH47)</f>
        <v>0</v>
      </c>
      <c r="EN3">
        <f t="shared" si="1"/>
        <v>0</v>
      </c>
      <c r="EO3">
        <f t="shared" si="1"/>
        <v>0</v>
      </c>
      <c r="EP3">
        <f t="shared" si="1"/>
        <v>0</v>
      </c>
      <c r="EQ3">
        <f t="shared" si="1"/>
        <v>0</v>
      </c>
      <c r="ER3">
        <f t="shared" si="1"/>
        <v>0</v>
      </c>
      <c r="ES3">
        <f t="shared" si="1"/>
        <v>0</v>
      </c>
      <c r="ET3">
        <f t="shared" si="1"/>
        <v>0</v>
      </c>
      <c r="EU3">
        <f t="shared" si="1"/>
        <v>0</v>
      </c>
      <c r="EV3">
        <f t="shared" ref="EV3:FI3" si="2">SUM(BQ7:BQ47)</f>
        <v>0</v>
      </c>
      <c r="EW3">
        <f t="shared" si="2"/>
        <v>0</v>
      </c>
      <c r="EX3">
        <f t="shared" si="2"/>
        <v>0</v>
      </c>
      <c r="EY3">
        <f t="shared" si="2"/>
        <v>0</v>
      </c>
      <c r="EZ3">
        <f t="shared" si="2"/>
        <v>0</v>
      </c>
      <c r="FA3">
        <f t="shared" si="2"/>
        <v>0</v>
      </c>
      <c r="FB3">
        <f t="shared" si="2"/>
        <v>0</v>
      </c>
      <c r="FC3">
        <f t="shared" si="2"/>
        <v>0</v>
      </c>
      <c r="FD3">
        <f t="shared" si="2"/>
        <v>0</v>
      </c>
      <c r="FE3">
        <f t="shared" si="2"/>
        <v>0</v>
      </c>
      <c r="FF3">
        <f t="shared" si="2"/>
        <v>0</v>
      </c>
      <c r="FG3">
        <f t="shared" si="2"/>
        <v>0</v>
      </c>
      <c r="FH3">
        <f t="shared" si="2"/>
        <v>0</v>
      </c>
      <c r="FI3">
        <f t="shared" si="2"/>
        <v>0</v>
      </c>
    </row>
    <row r="4" spans="1:205" x14ac:dyDescent="0.2">
      <c r="A4" s="114"/>
      <c r="B4" s="461" t="str">
        <f>CONCATENATE(Sprache!B60)</f>
        <v>risk/profit</v>
      </c>
      <c r="C4" s="462"/>
      <c r="D4" s="462"/>
      <c r="E4" s="129"/>
      <c r="F4" s="119"/>
      <c r="G4" s="125"/>
      <c r="H4" s="120">
        <v>0.45</v>
      </c>
      <c r="I4" s="119"/>
      <c r="J4" s="119"/>
      <c r="K4" s="119"/>
      <c r="L4" s="119"/>
      <c r="M4" s="119"/>
      <c r="N4" s="119"/>
      <c r="O4" s="119"/>
      <c r="P4" s="119"/>
      <c r="Q4" s="119"/>
      <c r="R4" s="119"/>
      <c r="S4" s="119"/>
      <c r="T4" s="388"/>
      <c r="U4" s="171">
        <f ca="1">U3+U2</f>
        <v>0</v>
      </c>
      <c r="V4" s="172">
        <f ca="1">IFERROR(U4/ELEMENT!$AB$46,)</f>
        <v>0</v>
      </c>
      <c r="W4" s="173">
        <f ca="1">W2+W3</f>
        <v>0</v>
      </c>
      <c r="X4" s="187">
        <f ca="1">IFERROR(W4/ELEMENT!$AB$46,)</f>
        <v>0</v>
      </c>
      <c r="Y4" s="173">
        <f ca="1">Y2+Y3</f>
        <v>0</v>
      </c>
      <c r="Z4" s="187">
        <f ca="1">IFERROR(Y4/ELEMENT!$AB$46,)</f>
        <v>0</v>
      </c>
      <c r="AA4" s="173">
        <f>AA2+AA3</f>
        <v>0</v>
      </c>
      <c r="AB4" s="187">
        <f>IFERROR(AA4/ELEMENT!$AB$46,)</f>
        <v>0</v>
      </c>
      <c r="AC4" s="463" t="str">
        <f>Sprache!B31</f>
        <v>total</v>
      </c>
      <c r="AD4" s="463"/>
      <c r="AE4" s="466"/>
      <c r="AF4" s="466"/>
      <c r="AG4" s="119"/>
      <c r="AH4" s="119"/>
      <c r="AI4" s="119"/>
      <c r="AJ4" s="119"/>
      <c r="AK4" s="119"/>
      <c r="AL4" s="119"/>
      <c r="AM4" s="119"/>
      <c r="AN4" s="119"/>
      <c r="AO4" s="119"/>
      <c r="AP4" s="119"/>
      <c r="AQ4" s="119"/>
      <c r="AR4" s="119"/>
      <c r="AS4" s="119"/>
      <c r="AT4" s="119"/>
      <c r="AU4" s="119"/>
      <c r="AV4" s="119"/>
      <c r="AW4" s="119"/>
      <c r="AX4" s="119"/>
      <c r="AY4" s="119"/>
      <c r="AZ4" s="119"/>
      <c r="BA4" s="119"/>
      <c r="BB4" s="119"/>
      <c r="BC4" s="119"/>
      <c r="BD4" s="119"/>
      <c r="BE4" s="119"/>
      <c r="BF4" s="119"/>
      <c r="BG4" s="119"/>
      <c r="BH4" s="119"/>
      <c r="BI4" s="119"/>
      <c r="BJ4" s="119"/>
      <c r="BK4" s="119"/>
      <c r="BL4" s="119"/>
      <c r="BM4" s="119"/>
      <c r="BN4" s="119"/>
      <c r="BO4" s="119"/>
      <c r="BP4" s="119"/>
      <c r="BQ4" s="119"/>
      <c r="BR4" s="119"/>
      <c r="BS4" s="119"/>
      <c r="BT4" s="119"/>
      <c r="BU4" s="119"/>
      <c r="BV4" s="119"/>
      <c r="BW4" s="119"/>
      <c r="BX4" s="119"/>
      <c r="BY4" s="119"/>
      <c r="BZ4" s="119"/>
      <c r="CA4" s="119"/>
      <c r="CB4" s="119"/>
      <c r="CC4" s="119"/>
      <c r="CD4" s="124"/>
      <c r="CE4" s="119"/>
      <c r="CF4" s="119"/>
      <c r="CG4" s="119"/>
      <c r="CH4" s="119"/>
      <c r="CI4" s="119"/>
      <c r="CJ4" s="119"/>
    </row>
    <row r="5" spans="1:205" x14ac:dyDescent="0.2">
      <c r="A5" s="114"/>
      <c r="B5" s="176"/>
      <c r="C5" s="178"/>
      <c r="D5" s="178"/>
      <c r="E5" s="178"/>
      <c r="F5" s="177"/>
      <c r="G5" s="178"/>
      <c r="H5" s="177"/>
      <c r="I5" s="177"/>
      <c r="J5" s="183"/>
      <c r="K5" s="183"/>
      <c r="L5" s="183"/>
      <c r="M5" s="183"/>
      <c r="N5" s="183"/>
      <c r="O5" s="183"/>
      <c r="P5" s="177"/>
      <c r="Q5" s="177"/>
      <c r="R5" s="177"/>
      <c r="S5" s="180"/>
      <c r="T5" s="181"/>
      <c r="U5" s="177"/>
      <c r="V5" s="177"/>
      <c r="W5" s="177"/>
      <c r="X5" s="177"/>
      <c r="Y5" s="177"/>
      <c r="Z5" s="177"/>
      <c r="AA5" s="177"/>
      <c r="AB5" s="177"/>
      <c r="AC5" s="177"/>
      <c r="AD5" s="177"/>
      <c r="AE5" s="467"/>
      <c r="AF5" s="467"/>
      <c r="AG5" s="177"/>
      <c r="AH5" s="177"/>
      <c r="AI5" s="177"/>
      <c r="AJ5" s="177"/>
      <c r="AK5" s="177"/>
      <c r="AL5" s="177"/>
      <c r="AM5" s="177"/>
      <c r="AN5" s="177"/>
      <c r="AO5" s="177"/>
      <c r="AP5" s="177"/>
      <c r="AQ5" s="177"/>
      <c r="AR5" s="177"/>
      <c r="AS5" s="177"/>
      <c r="AT5" s="177"/>
      <c r="AU5" s="177"/>
      <c r="AV5" s="177"/>
      <c r="AW5" s="177"/>
      <c r="AX5" s="177"/>
      <c r="AY5" s="177"/>
      <c r="AZ5" s="177"/>
      <c r="BA5" s="177"/>
      <c r="BB5" s="177"/>
      <c r="BC5" s="177"/>
      <c r="BD5" s="177"/>
      <c r="BE5" s="177"/>
      <c r="BF5" s="177"/>
      <c r="BG5" s="177"/>
      <c r="BH5" s="177"/>
      <c r="BI5" s="177"/>
      <c r="BJ5" s="177"/>
      <c r="BK5" s="177"/>
      <c r="BL5" s="177"/>
      <c r="BM5" s="177"/>
      <c r="BN5" s="177"/>
      <c r="BO5" s="177"/>
      <c r="BP5" s="177"/>
      <c r="BQ5" s="177"/>
      <c r="BR5" s="177"/>
      <c r="BS5" s="177"/>
      <c r="BT5" s="177"/>
      <c r="BU5" s="177"/>
      <c r="BV5" s="177"/>
      <c r="BW5" s="177"/>
      <c r="BX5" s="177"/>
      <c r="BY5" s="177"/>
      <c r="BZ5" s="177"/>
      <c r="CA5" s="177"/>
      <c r="CB5" s="177"/>
      <c r="CC5" s="177"/>
      <c r="CD5" s="179"/>
      <c r="CE5" s="119"/>
      <c r="CF5" s="119"/>
      <c r="CG5" s="119"/>
      <c r="CH5" s="119"/>
      <c r="CI5" s="119"/>
      <c r="CJ5" s="119"/>
      <c r="CM5">
        <v>1</v>
      </c>
      <c r="CN5">
        <v>2</v>
      </c>
      <c r="CO5">
        <v>3</v>
      </c>
      <c r="CP5">
        <v>4</v>
      </c>
      <c r="CQ5">
        <v>5</v>
      </c>
      <c r="CR5">
        <v>6</v>
      </c>
      <c r="CS5">
        <v>7</v>
      </c>
      <c r="CT5">
        <v>8</v>
      </c>
      <c r="CU5">
        <v>9</v>
      </c>
      <c r="CV5">
        <v>10</v>
      </c>
      <c r="CW5">
        <v>11</v>
      </c>
      <c r="CX5">
        <v>12</v>
      </c>
      <c r="DC5">
        <v>1</v>
      </c>
      <c r="DE5">
        <v>2</v>
      </c>
      <c r="DG5">
        <v>3</v>
      </c>
      <c r="DI5">
        <v>4</v>
      </c>
      <c r="DK5">
        <v>5</v>
      </c>
      <c r="DM5">
        <v>6</v>
      </c>
      <c r="DO5">
        <v>7</v>
      </c>
      <c r="DQ5">
        <v>8</v>
      </c>
      <c r="DS5">
        <v>9</v>
      </c>
      <c r="DU5">
        <v>10</v>
      </c>
      <c r="DW5">
        <v>11</v>
      </c>
      <c r="DY5">
        <v>12</v>
      </c>
      <c r="EA5">
        <v>13</v>
      </c>
      <c r="EC5">
        <v>14</v>
      </c>
      <c r="EE5">
        <v>15</v>
      </c>
      <c r="EG5">
        <v>16</v>
      </c>
      <c r="EI5">
        <v>17</v>
      </c>
      <c r="EK5">
        <v>18</v>
      </c>
      <c r="EM5">
        <v>19</v>
      </c>
      <c r="EO5">
        <v>20</v>
      </c>
      <c r="EQ5">
        <v>21</v>
      </c>
      <c r="ES5">
        <v>22</v>
      </c>
      <c r="EU5">
        <v>23</v>
      </c>
      <c r="EW5">
        <v>24</v>
      </c>
      <c r="EY5">
        <v>25</v>
      </c>
      <c r="FA5">
        <v>26</v>
      </c>
      <c r="FC5">
        <v>27</v>
      </c>
      <c r="FE5">
        <v>28</v>
      </c>
      <c r="FG5">
        <v>29</v>
      </c>
      <c r="FI5">
        <v>30</v>
      </c>
    </row>
    <row r="6" spans="1:205" ht="162.75" x14ac:dyDescent="0.2">
      <c r="A6" s="114"/>
      <c r="B6" s="133" t="str">
        <f>CONCATENATE(Sprache!B8)</f>
        <v>item no.</v>
      </c>
      <c r="C6" s="133" t="str">
        <f>CONCATENATE(Sprache!B11)</f>
        <v>pce(s)</v>
      </c>
      <c r="D6" s="133" t="str">
        <f>CONCATENATE(Sprache!B13)</f>
        <v>width mm</v>
      </c>
      <c r="E6" s="133" t="str">
        <f>CONCATENATE(Sprache!B14)</f>
        <v>height mm</v>
      </c>
      <c r="F6" s="133" t="str">
        <f>Sprache!B32</f>
        <v>m²/unit</v>
      </c>
      <c r="G6" s="133" t="str">
        <f>ELEMENT!Q4</f>
        <v>opening type</v>
      </c>
      <c r="H6" s="133" t="str">
        <f>CONCATENATE(Sprache!$B104," / ",Sprache!B12)</f>
        <v>glass weight / unit</v>
      </c>
      <c r="I6" s="133" t="str">
        <f>CONCATENATE(Sprache!$B105," / ",Sprache!B12)</f>
        <v>frame weight / unit</v>
      </c>
      <c r="J6" s="133" t="str">
        <f>CONCATENATE(Sprache!B43," ",Sprache!B12)</f>
        <v>proposed installation manhours unit</v>
      </c>
      <c r="K6" s="133" t="str">
        <f>CONCATENATE(Sprache!B44)</f>
        <v>h installation manhours</v>
      </c>
      <c r="L6" s="133" t="str">
        <f>CONCATENATE(Sprache!B46)</f>
        <v>h planning manhours</v>
      </c>
      <c r="M6" s="133" t="str">
        <f>CONCATENATE(P3," ",Sprache!B47)</f>
        <v>USD substructure top and vertical</v>
      </c>
      <c r="N6" s="133" t="str">
        <f>CONCATENATE(P3," ",Sprache!B48)</f>
        <v>USD substructure bottom</v>
      </c>
      <c r="O6" s="133" t="str">
        <f>CONCATENATE(P3," ",Sprache!B49)</f>
        <v>USD substructure flat rate/ crane</v>
      </c>
      <c r="P6" s="133" t="str">
        <f>CONCATENATE(Sprache!B50)</f>
        <v>purchase price</v>
      </c>
      <c r="Q6" s="133" t="str">
        <f>CONCATENATE(Sprache!B51)</f>
        <v>planning and installation</v>
      </c>
      <c r="R6" s="133" t="str">
        <f>CONCATENATE(Sprache!B52)</f>
        <v>substructure</v>
      </c>
      <c r="S6" s="133"/>
      <c r="T6" s="133" t="str">
        <f>CONCATENATE(P3," ",Sprache!B55)</f>
        <v>USD sales price per unit</v>
      </c>
      <c r="U6" s="133" t="str">
        <f>CONCATENATE(P3," ",Sprache!B31)</f>
        <v>USD total</v>
      </c>
      <c r="V6" s="133" t="str">
        <f>CONCATENATE(P3," ",Sprache!B36," (",Sprache!B76,")")</f>
        <v>USD /m² ( o/a frame size)</v>
      </c>
      <c r="W6" s="456" t="str">
        <f>IF(OPTION!B3="","",OPTION!B3)</f>
        <v>BRACKETS</v>
      </c>
      <c r="X6" s="457"/>
      <c r="Y6" s="456" t="str">
        <f>IF(OPTION!B4="","",OPTION!B4)</f>
        <v>GUTTER</v>
      </c>
      <c r="Z6" s="457"/>
      <c r="AA6" s="456" t="str">
        <f>IF(OPTION!B5="","",OPTION!B5)</f>
        <v>ELECTRIC DRIVE</v>
      </c>
      <c r="AB6" s="457"/>
      <c r="AC6" s="456" t="str">
        <f>IF(OPTION!B6="","",OPTION!B6)</f>
        <v>Universal screws 7.5 x 52 A2</v>
      </c>
      <c r="AD6" s="457"/>
      <c r="AE6" s="456" t="str">
        <f>IF(OPTION!B7="","",OPTION!B7)</f>
        <v>Assembly Fee</v>
      </c>
      <c r="AF6" s="457"/>
      <c r="AG6" s="456" t="str">
        <f>IF(OPTION!$B$8="","",OPTION!$B$8)</f>
        <v/>
      </c>
      <c r="AH6" s="457"/>
      <c r="AI6" s="456" t="str">
        <f>IF(OPTION!$B$9="","",OPTION!$B$9)</f>
        <v/>
      </c>
      <c r="AJ6" s="457"/>
      <c r="AK6" s="456" t="str">
        <f>IF(OPTION!$B$10="","",OPTION!$B$10)</f>
        <v/>
      </c>
      <c r="AL6" s="457"/>
      <c r="AM6" s="456" t="str">
        <f>IF(OPTION!$B$11="","",OPTION!$B$11)</f>
        <v/>
      </c>
      <c r="AN6" s="457"/>
      <c r="AO6" s="456" t="str">
        <f>IF(OPTION!$B$12="","",OPTION!$B$12)</f>
        <v/>
      </c>
      <c r="AP6" s="457"/>
      <c r="AQ6" s="456" t="str">
        <f>IF(OPTION!$B$13="","",OPTION!$B$13)</f>
        <v/>
      </c>
      <c r="AR6" s="457"/>
      <c r="AS6" s="456" t="str">
        <f>IF(OPTION!$B$14="","",OPTION!$B$14)</f>
        <v/>
      </c>
      <c r="AT6" s="457"/>
      <c r="AU6" s="456" t="str">
        <f>IF(OPTION!$B$15="","",OPTION!$B$15)</f>
        <v/>
      </c>
      <c r="AV6" s="457"/>
      <c r="AW6" s="456" t="str">
        <f>IF(OPTION!$B$16="","",OPTION!$B$16)</f>
        <v/>
      </c>
      <c r="AX6" s="457"/>
      <c r="AY6" s="456" t="str">
        <f>IF(OPTION!$B$17="","",OPTION!$B$17)</f>
        <v/>
      </c>
      <c r="AZ6" s="457"/>
      <c r="BA6" s="456" t="str">
        <f>IF(OPTION!$B$18="","",OPTION!$B$18)</f>
        <v/>
      </c>
      <c r="BB6" s="457"/>
      <c r="BC6" s="456" t="str">
        <f>IF(OPTION!$B$19="","",OPTION!$B$19)</f>
        <v/>
      </c>
      <c r="BD6" s="457"/>
      <c r="BE6" s="456" t="str">
        <f>IF(OPTION!$B$20="","",OPTION!$B$20)</f>
        <v/>
      </c>
      <c r="BF6" s="457"/>
      <c r="BG6" s="456" t="str">
        <f>IF(OPTION!$B$21="","",OPTION!$B$21)</f>
        <v/>
      </c>
      <c r="BH6" s="457"/>
      <c r="BI6" s="456" t="str">
        <f>IF(OPTION!$B$22="","",OPTION!$B$22)</f>
        <v/>
      </c>
      <c r="BJ6" s="457"/>
      <c r="BK6" s="456" t="str">
        <f>IF(OPTION!$B$23="","",OPTION!$B$23)</f>
        <v/>
      </c>
      <c r="BL6" s="457"/>
      <c r="BM6" s="456" t="str">
        <f>IF(OPTION!$B$24="","",OPTION!$B$24)</f>
        <v/>
      </c>
      <c r="BN6" s="457"/>
      <c r="BO6" s="456" t="str">
        <f>IF(OPTION!$B$25="","",OPTION!$B$25)</f>
        <v/>
      </c>
      <c r="BP6" s="457"/>
      <c r="BQ6" s="456" t="str">
        <f>IF(OPTION!$B$26="","",OPTION!$B$26)</f>
        <v/>
      </c>
      <c r="BR6" s="457"/>
      <c r="BS6" s="456" t="str">
        <f>IF(OPTION!$B$27="","",OPTION!$B$27)</f>
        <v/>
      </c>
      <c r="BT6" s="457"/>
      <c r="BU6" s="456" t="str">
        <f>IF(OPTION!$B$28="","",OPTION!$B$28)</f>
        <v/>
      </c>
      <c r="BV6" s="457"/>
      <c r="BW6" s="456" t="str">
        <f>IF(OPTION!$B$29="","",OPTION!$B$29)</f>
        <v/>
      </c>
      <c r="BX6" s="457"/>
      <c r="BY6" s="456" t="str">
        <f>IF(OPTION!$B$30="","",OPTION!$B$30)</f>
        <v/>
      </c>
      <c r="BZ6" s="457"/>
      <c r="CA6" s="456" t="str">
        <f>IF(OPTION!$B$31="","",OPTION!$B$31)</f>
        <v/>
      </c>
      <c r="CB6" s="457"/>
      <c r="CC6" s="456" t="str">
        <f>IF(OPTION!$B$32="","",OPTION!$B$32)</f>
        <v/>
      </c>
      <c r="CD6" s="457"/>
      <c r="CE6" s="119"/>
      <c r="CF6" s="119"/>
      <c r="CG6" s="119"/>
      <c r="CH6" s="119"/>
      <c r="CI6" s="119"/>
      <c r="CJ6" s="119"/>
      <c r="CM6" t="str">
        <f>CM48</f>
        <v>Total</v>
      </c>
      <c r="CN6" t="s">
        <v>31</v>
      </c>
      <c r="CP6" t="s">
        <v>22</v>
      </c>
      <c r="CQ6" t="s">
        <v>942</v>
      </c>
      <c r="CR6" t="s">
        <v>940</v>
      </c>
      <c r="CS6" t="s">
        <v>941</v>
      </c>
      <c r="CT6" t="s">
        <v>943</v>
      </c>
      <c r="CU6" t="s">
        <v>944</v>
      </c>
      <c r="CV6" t="str">
        <f>N6</f>
        <v>USD substructure bottom</v>
      </c>
      <c r="CW6" t="s">
        <v>945</v>
      </c>
      <c r="CX6" t="str">
        <f>O6</f>
        <v>USD substructure flat rate/ crane</v>
      </c>
      <c r="FO6" t="s">
        <v>363</v>
      </c>
      <c r="FP6" t="s">
        <v>189</v>
      </c>
      <c r="FQ6" t="s">
        <v>188</v>
      </c>
      <c r="FR6" t="s">
        <v>182</v>
      </c>
      <c r="FS6" t="s">
        <v>176</v>
      </c>
      <c r="FT6" t="s">
        <v>177</v>
      </c>
      <c r="FU6" t="s">
        <v>19</v>
      </c>
      <c r="FV6" t="s">
        <v>180</v>
      </c>
      <c r="FW6" t="s">
        <v>179</v>
      </c>
      <c r="FX6" t="s">
        <v>178</v>
      </c>
      <c r="FY6" t="s">
        <v>181</v>
      </c>
      <c r="FZ6" t="str">
        <f>ELEMENT!L4</f>
        <v>45 mm frame profile</v>
      </c>
      <c r="GA6" t="str">
        <f>ELEMENT!M4</f>
        <v>95 mm profile</v>
      </c>
      <c r="GB6" t="str">
        <f>ELEMENT!N4</f>
        <v>45 mm frame profile</v>
      </c>
      <c r="GC6" t="str">
        <f>ELEMENT!O4</f>
        <v>95 mm profile</v>
      </c>
      <c r="GD6" t="s">
        <v>187</v>
      </c>
      <c r="GE6" t="s">
        <v>183</v>
      </c>
      <c r="GF6" t="s">
        <v>184</v>
      </c>
      <c r="GG6" t="s">
        <v>185</v>
      </c>
      <c r="GH6" t="s">
        <v>186</v>
      </c>
      <c r="GI6" t="s">
        <v>137</v>
      </c>
      <c r="GJ6">
        <f>ELEMENT!BD4</f>
        <v>0</v>
      </c>
      <c r="GL6" t="str">
        <f>ELEMENT!R4</f>
        <v>side opening</v>
      </c>
      <c r="GM6" t="str">
        <f>ELEMENT!S4</f>
        <v>centre opening</v>
      </c>
      <c r="GN6" t="str">
        <f>ELEMENT!T4</f>
        <v>labyrinth</v>
      </c>
      <c r="GP6">
        <f>ELEMENT!AU4</f>
        <v>0</v>
      </c>
      <c r="GQ6">
        <f>ELEMENT!AY4</f>
        <v>0</v>
      </c>
      <c r="GR6" t="s">
        <v>17</v>
      </c>
      <c r="GS6">
        <f>ELEMENT!BE4</f>
        <v>0</v>
      </c>
    </row>
    <row r="7" spans="1:205" x14ac:dyDescent="0.2">
      <c r="A7" s="114"/>
      <c r="B7" s="184">
        <f>(ELEMENT!B5)</f>
        <v>0</v>
      </c>
      <c r="C7" s="184">
        <f>SUM(ELEMENT!C5)</f>
        <v>0</v>
      </c>
      <c r="D7" s="184">
        <f>ELEMENT!D5</f>
        <v>0</v>
      </c>
      <c r="E7" s="184">
        <f>ELEMENT!E5</f>
        <v>0</v>
      </c>
      <c r="F7" s="184">
        <f t="shared" ref="F7:F13" si="3">D7*E7/1000000</f>
        <v>0</v>
      </c>
      <c r="G7" s="135" t="str">
        <f>ELEMENT!AH5</f>
        <v/>
      </c>
      <c r="H7" s="191" t="str">
        <f>IF(ELEMENT!AO5="","",ELEMENT!AA5*ELEMENT!DQ5)</f>
        <v/>
      </c>
      <c r="I7" s="184">
        <f t="shared" ref="I7:I13" si="4">FT7</f>
        <v>0</v>
      </c>
      <c r="J7" s="136">
        <f>ROUND(ELEMENT!DE5,1)</f>
        <v>0</v>
      </c>
      <c r="K7" s="198"/>
      <c r="L7" s="198">
        <f>$H$4*$D7*$E7/1000^2</f>
        <v>0</v>
      </c>
      <c r="M7" s="198"/>
      <c r="N7" s="198"/>
      <c r="O7" s="198"/>
      <c r="P7" s="137" t="e">
        <f ca="1">(ROUND((ELEMENT!AC5-ELEMENT!EG5)*$P$2*(1-$H$2)*(1+$E$4),0)+ROUND((ELEMENT!EG5)*$P$2*(1-$H$2)*(1+$E$4),0))</f>
        <v>#VALUE!</v>
      </c>
      <c r="Q7" s="137" t="e">
        <f t="shared" ref="Q7:Q13" ca="1" si="5">IF(P7=0,,SUM(L7*$E$3+IF(K7="",J7*$E$2,K7*$E$2)))</f>
        <v>#VALUE!</v>
      </c>
      <c r="R7" s="138" t="e">
        <f t="shared" ref="R7:R13" ca="1" si="6">IF(P7=0,0,SUM(E7/1000*2*M7+D7/1000*M7+D7/1000*N7+O7))</f>
        <v>#VALUE!</v>
      </c>
      <c r="S7" s="139" t="e">
        <f t="shared" ref="S7:S13" ca="1" si="7">ROUND(((Q7+R7)*(1+$E$4)),0)</f>
        <v>#VALUE!</v>
      </c>
      <c r="T7" s="132" t="str">
        <f ca="1">IF(ELEMENT!AC5="","",P7+S7)</f>
        <v/>
      </c>
      <c r="U7" s="132" t="str">
        <f ca="1">IF(ELEMENT!AC5="","",C7*T7)</f>
        <v/>
      </c>
      <c r="V7" s="132" t="str">
        <f>IF(ELEMENT!AW5="JA",ELEMENT!V5,IF(D7+E7=0,"",SUM(T7/ELEMENT!AA5)))</f>
        <v/>
      </c>
      <c r="W7" s="199">
        <f>ROUNDUP(((D7/500)+1),0)</f>
        <v>1</v>
      </c>
      <c r="X7" s="141">
        <f t="shared" ref="X7:X13" si="8">IF(DC7="",
IF(W7="U",2*($E7+$D7)/1000*$C7,
IF(W7="H",$E7/1000*$C7,
IF(W7="F",$E7*$D7/1000000*$C7,
IF(W7="HH",2*$E7/1000*$C7,$C7*W7)))),DC7)</f>
        <v>0</v>
      </c>
      <c r="Y7" s="199" t="s">
        <v>1276</v>
      </c>
      <c r="Z7" s="141">
        <f t="shared" ref="Z7:Z13" si="9">IF(DE7="",
IF(Y7="U",2*($E7+$D7)/1000*$C7,
IF(Y7="H",$E7/1000*$C7,
IF(Y7="F",$E7*$D7/1000000*$C7,
IF(Y7="HH",2*$E7/1000*$C7,$C7*Y7)))),DE7)</f>
        <v>0</v>
      </c>
      <c r="AA7" s="199"/>
      <c r="AB7" s="141">
        <f t="shared" ref="AB7:AB13" si="10">IF(DG7="",
IF(AA7="U",2*($E7+$D7)/1000*$C7,
IF(AA7="H",$E7/1000*$C7,
IF(AA7="F",$E7*$D7/1000000*$C7,
IF(AA7="HH",2*$E7/1000*$C7,$C7*AA7)))),DG7)</f>
        <v>0</v>
      </c>
      <c r="AC7" s="199"/>
      <c r="AD7" s="141">
        <f t="shared" ref="AD7:AD13" si="11">IF(DI7="",
IF(AC7="U",2*($E7+$D7)/1000*$C7,
IF(AC7="H",$E7/1000*$C7,
IF(AC7="F",$E7*$D7/1000000*$C7,
IF(AC7="HH",2*$E7/1000*$C7,$C7*AC7)))),DI7)</f>
        <v>0</v>
      </c>
      <c r="AE7" s="199"/>
      <c r="AF7" s="141">
        <f t="shared" ref="AF7:AF13" si="12">IF(DK7="",
IF(AE7="U",2*($E7+$D7)/1000*$C7,
IF(AE7="H",$E7/1000*$C7,
IF(AE7="F",$E7*$D7/1000000*$C7,
IF(AE7="HH",2*$E7/1000*$C7,$C7*AE7)))),DK7)</f>
        <v>0</v>
      </c>
      <c r="AG7" s="199"/>
      <c r="AH7" s="141">
        <f t="shared" ref="AH7:AH13" si="13">IF(DM7="",
IF(AG7="U",2*($E7+$D7)/1000*$C7,
IF(AG7="H",$E7/1000*$C7,
IF(AG7="F",$E7*$D7/1000000*$C7,
IF(AG7="HH",2*$E7/1000*$C7,$C7*AG7)))),DM7)</f>
        <v>0</v>
      </c>
      <c r="AI7" s="199"/>
      <c r="AJ7" s="141">
        <f t="shared" ref="AJ7:AJ13" si="14">IF(DO7="",
IF(AI7="U",2*($E7+$D7)/1000*$C7,
IF(AI7="H",$E7/1000*$C7,
IF(AI7="F",$E7*$D7/1000000*$C7,
IF(AI7="HH",2*$E7/1000*$C7,$C7*AI7)))),DO7)</f>
        <v>0</v>
      </c>
      <c r="AK7" s="199"/>
      <c r="AL7" s="141">
        <f t="shared" ref="AL7:AL13" si="15">IF(DQ7="",
IF(AK7="U",2*($E7+$D7)/1000*$C7,
IF(AK7="H",$E7/1000*$C7,
IF(AK7="F",$E7*$D7/1000000*$C7,
IF(AK7="HH",2*$E7/1000*$C7,$C7*AK7)))),DQ7)</f>
        <v>0</v>
      </c>
      <c r="AM7" s="199"/>
      <c r="AN7" s="141">
        <f t="shared" ref="AN7:AN13" si="16">IF(DS7="",
IF(AM7="U",2*($E7+$D7)/1000*$C7,
IF(AM7="H",$E7/1000*$C7,
IF(AM7="F",$E7*$D7/1000000*$C7,
IF(AM7="HH",2*$E7/1000*$C7,$C7*AM7)))),DS7)</f>
        <v>0</v>
      </c>
      <c r="AO7" s="199"/>
      <c r="AP7" s="141">
        <f t="shared" ref="AP7:AP13" si="17">IF(DU7="",
IF(AO7="U",2*($E7+$D7)/1000*$C7,
IF(AO7="H",$E7/1000*$C7,
IF(AO7="F",$E7*$D7/1000000*$C7,
IF(AO7="HH",2*$E7/1000*$C7,$C7*AO7)))),DU7)</f>
        <v>0</v>
      </c>
      <c r="AQ7" s="199"/>
      <c r="AR7" s="141">
        <f t="shared" ref="AR7:AR13" si="18">IF(DW7="",
IF(AQ7="U",2*($E7+$D7)/1000*$C7,
IF(AQ7="H",$E7/1000*$C7,
IF(AQ7="F",$E7*$D7/1000000*$C7,
IF(AQ7="HH",2*$E7/1000*$C7,$C7*AQ7)))),DW7)</f>
        <v>0</v>
      </c>
      <c r="AS7" s="199"/>
      <c r="AT7" s="141">
        <f t="shared" ref="AT7:AT13" si="19">IF(DY7="",
IF(AS7="U",2*($E7+$D7)/1000*$C7,
IF(AS7="H",$E7/1000*$C7,
IF(AS7="F",$E7*$D7/1000000*$C7,
IF(AS7="HH",2*$E7/1000*$C7,$C7*AS7)))),DY7)</f>
        <v>0</v>
      </c>
      <c r="AU7" s="199"/>
      <c r="AV7" s="141">
        <f t="shared" ref="AV7:AV13" si="20">IF(EA7="",
IF(AU7="U",2*($E7+$D7)/1000*$C7,
IF(AU7="H",$E7/1000*$C7,
IF(AU7="F",$E7*$D7/1000000*$C7,
IF(AU7="HH",2*$E7/1000*$C7,$C7*AU7)))),EA7)</f>
        <v>0</v>
      </c>
      <c r="AW7" s="199"/>
      <c r="AX7" s="141">
        <f t="shared" ref="AX7:AX13" si="21">IF(EC7="",
IF(AW7="U",2*($E7+$D7)/1000*$C7,
IF(AW7="H",$E7/1000*$C7,
IF(AW7="F",$E7*$D7/1000000*$C7,
IF(AW7="HH",2*$E7/1000*$C7,$C7*AW7)))),EC7)</f>
        <v>0</v>
      </c>
      <c r="AY7" s="199"/>
      <c r="AZ7" s="141">
        <f t="shared" ref="AZ7:AZ13" si="22">IF(EE7="",
IF(AY7="U",2*($E7+$D7)/1000*$C7,
IF(AY7="H",$E7/1000*$C7,
IF(AY7="F",$E7*$D7/1000000*$C7,
IF(AY7="HH",2*$E7/1000*$C7,$C7*AY7)))),EE7)</f>
        <v>0</v>
      </c>
      <c r="BA7" s="199"/>
      <c r="BB7" s="141">
        <f t="shared" ref="BB7:BB13" si="23">IF(EG7="",
IF(BA7="U",2*($E7+$D7)/1000*$C7,
IF(BA7="H",$E7/1000*$C7,
IF(BA7="F",$E7*$D7/1000000*$C7,
IF(BA7="HH",2*$E7/1000*$C7,$C7*BA7)))),EG7)</f>
        <v>0</v>
      </c>
      <c r="BC7" s="199"/>
      <c r="BD7" s="141">
        <f t="shared" ref="BD7:BD13" si="24">IF(EI7="",
IF(BC7="U",2*($E7+$D7)/1000*$C7,
IF(BC7="H",$E7/1000*$C7,
IF(BC7="F",$E7*$D7/1000000*$C7,
IF(BC7="HH",2*$E7/1000*$C7,$C7*BC7)))),EI7)</f>
        <v>0</v>
      </c>
      <c r="BE7" s="199"/>
      <c r="BF7" s="141">
        <f t="shared" ref="BF7:BF13" si="25">IF(EK7="",
IF(BE7="U",2*($E7+$D7)/1000*$C7,
IF(BE7="H",$E7/1000*$C7,
IF(BE7="F",$E7*$D7/1000000*$C7,
IF(BE7="HH",2*$E7/1000*$C7,$C7*BE7)))),EK7)</f>
        <v>0</v>
      </c>
      <c r="BG7" s="199"/>
      <c r="BH7" s="141">
        <f t="shared" ref="BH7:BH13" si="26">IF(EM7="",
IF(BG7="U",2*($E7+$D7)/1000*$C7,
IF(BG7="H",$E7/1000*$C7,
IF(BG7="F",$E7*$D7/1000000*$C7,
IF(BG7="HH",2*$E7/1000*$C7,$C7*BG7)))),EM7)</f>
        <v>0</v>
      </c>
      <c r="BI7" s="199"/>
      <c r="BJ7" s="141">
        <f t="shared" ref="BJ7:BJ13" si="27">IF(EO7="",
IF(BI7="U",2*($E7+$D7)/1000*$C7,
IF(BI7="H",$E7/1000*$C7,
IF(BI7="F",$E7*$D7/1000000*$C7,
IF(BI7="HH",2*$E7/1000*$C7,$C7*BI7)))),EO7)</f>
        <v>0</v>
      </c>
      <c r="BK7" s="199"/>
      <c r="BL7" s="141">
        <f t="shared" ref="BL7:BL13" si="28">IF(EQ7="",
IF(BK7="U",2*($E7+$D7)/1000*$C7,
IF(BK7="H",$E7/1000*$C7,
IF(BK7="F",$E7*$D7/1000000*$C7,
IF(BK7="HH",2*$E7/1000*$C7,$C7*BK7)))),EQ7)</f>
        <v>0</v>
      </c>
      <c r="BM7" s="199"/>
      <c r="BN7" s="141">
        <f t="shared" ref="BN7:BN13" si="29">IF(ES7="",
IF(BM7="U",2*($E7+$D7)/1000*$C7,
IF(BM7="H",$E7/1000*$C7,
IF(BM7="F",$E7*$D7/1000000*$C7,
IF(BM7="HH",2*$E7/1000*$C7,$C7*BM7)))),ES7)</f>
        <v>0</v>
      </c>
      <c r="BO7" s="199"/>
      <c r="BP7" s="141">
        <f t="shared" ref="BP7:BP23" si="30">IF(EU7="",
IF(BO7="U",2*($E7+$D7)/1000*$C7,
IF(BO7="H",$E7/1000*$C7,
IF(BO7="F",$E7*$D7/1000000*$C7,
IF(BO7="HH",2*$E7/1000*$C7,$C7*BO7)))),EU7)</f>
        <v>0</v>
      </c>
      <c r="BQ7" s="199"/>
      <c r="BR7" s="141">
        <f t="shared" ref="BR7:BR23" si="31">IF(EW7="",
IF(BQ7="U",2*($E7+$D7)/1000*$C7,
IF(BQ7="H",$E7/1000*$C7,
IF(BQ7="F",$E7*$D7/1000000*$C7,
IF(BQ7="HH",2*$E7/1000*$C7,$C7*BQ7)))),EW7)</f>
        <v>0</v>
      </c>
      <c r="BS7" s="199"/>
      <c r="BT7" s="141">
        <f t="shared" ref="BT7:BT23" si="32">IF(EY7="",
IF(BS7="U",2*($E7+$D7)/1000*$C7,
IF(BS7="H",$E7/1000*$C7,
IF(BS7="F",$E7*$D7/1000000*$C7,
IF(BS7="HH",2*$E7/1000*$C7,$C7*BS7)))),EY7)</f>
        <v>0</v>
      </c>
      <c r="BU7" s="199"/>
      <c r="BV7" s="141">
        <f t="shared" ref="BV7:BV23" si="33">IF(FA7="",
IF(BU7="U",2*($E7+$D7)/1000*$C7,
IF(BU7="H",$E7/1000*$C7,
IF(BU7="F",$E7*$D7/1000000*$C7,
IF(BU7="HH",2*$E7/1000*$C7,$C7*BU7)))),FA7)</f>
        <v>0</v>
      </c>
      <c r="BW7" s="199"/>
      <c r="BX7" s="141">
        <f t="shared" ref="BX7:BX23" si="34">IF(FC7="",
IF(BW7="U",2*($E7+$D7)/1000*$C7,
IF(BW7="H",$E7/1000*$C7,
IF(BW7="F",$E7*$D7/1000000*$C7,
IF(BW7="HH",2*$E7/1000*$C7,$C7*BW7)))),FC7)</f>
        <v>0</v>
      </c>
      <c r="BY7" s="199"/>
      <c r="BZ7" s="141">
        <f t="shared" ref="BZ7:BZ23" si="35">IF(FE7="",
IF(BY7="U",2*($E7+$D7)/1000*$C7,
IF(BY7="H",$E7/1000*$C7,
IF(BY7="F",$E7*$D7/1000000*$C7,
IF(BY7="HH",2*$E7/1000*$C7,$C7*BY7)))),FE7)</f>
        <v>0</v>
      </c>
      <c r="CA7" s="199"/>
      <c r="CB7" s="141">
        <f t="shared" ref="CB7:CB23" si="36">IF(FG7="",
IF(CA7="U",2*($E7+$D7)/1000*$C7,
IF(CA7="H",$E7/1000*$C7,
IF(CA7="F",$E7*$D7/1000000*$C7,
IF(CA7="HH",2*$E7/1000*$C7,$C7*CA7)))),FG7)</f>
        <v>0</v>
      </c>
      <c r="CC7" s="199"/>
      <c r="CD7" s="141">
        <f t="shared" ref="CD7:CD23" si="37">IF(FI7="",
IF(CC7="U",2*($E7+$D7)/1000*$C7,
IF(CC7="H",$E7/1000*$C7,
IF(CC7="F",$E7*$D7/1000000*$C7,
IF(CC7="HH",2*$E7/1000*$C7,$C7*CC7)))),FI7)</f>
        <v>0</v>
      </c>
      <c r="CE7" s="119"/>
      <c r="CF7" s="119"/>
      <c r="CG7" s="119"/>
      <c r="CH7" s="119"/>
      <c r="CI7" s="119"/>
      <c r="CJ7" s="119"/>
      <c r="CM7">
        <f t="shared" ref="CM7:CM13" si="38">B7</f>
        <v>0</v>
      </c>
      <c r="CN7" t="str">
        <f ca="1">ELEMENT!AC5</f>
        <v/>
      </c>
      <c r="CO7">
        <f t="shared" ref="CO7:CO13" ca="1" si="39">IFERROR(CN7*C7,)</f>
        <v>0</v>
      </c>
      <c r="CP7" t="str">
        <f t="shared" ref="CP7:CP13" ca="1" si="40">IF(CN7="","",IF(K7=0,J7,K7))</f>
        <v/>
      </c>
      <c r="CQ7" t="str">
        <f t="shared" ref="CQ7:CQ13" ca="1" si="41">IF(CN7="","",C7*IF(K7=0,J7,K7))</f>
        <v/>
      </c>
      <c r="CR7">
        <f t="shared" ref="CR7:CR13" ca="1" si="42">IF(CN7="",0,L7)</f>
        <v>0</v>
      </c>
      <c r="CS7">
        <f t="shared" ref="CS7:CS13" ca="1" si="43">IF(CN7="",0,L7*C7)</f>
        <v>0</v>
      </c>
      <c r="CT7">
        <f t="shared" ref="CT7:CT13" si="44">(D7+2*E7)/1000</f>
        <v>0</v>
      </c>
      <c r="CU7" t="str">
        <f t="shared" ref="CU7:CU13" ca="1" si="45">IF(CN7="","",C7*CT7*M7)</f>
        <v/>
      </c>
      <c r="CV7">
        <f t="shared" ref="CV7:CV13" si="46">D7/1000</f>
        <v>0</v>
      </c>
      <c r="CW7">
        <f t="shared" ref="CW7:CW13" si="47">C7*CV7*N7</f>
        <v>0</v>
      </c>
      <c r="CX7">
        <f t="shared" ref="CX7:CX13" si="48">C7*O7</f>
        <v>0</v>
      </c>
      <c r="CZ7">
        <v>0</v>
      </c>
      <c r="DA7" t="e">
        <f ca="1">CZ7-U7</f>
        <v>#VALUE!</v>
      </c>
      <c r="DC7" t="str">
        <f t="shared" ref="DC7:DC13" si="49">IF(W7="B",$D7/1000*$C7,
IF(W7="BB",2*$D7/1000*$C7,
IF(W7="BBH",($E7+2*$D7)/1000*$C7,
IF(W7="BH",($E7+$D7)/1000*$C7,
IF(W7="BHH",(2*$E7+$D7)/1000*$C7,
IF(W7="BBHH",(2*$E7+2*$D7)/1000*$C7,""))))))</f>
        <v/>
      </c>
      <c r="DE7">
        <f t="shared" ref="DE7:DE13" si="50">IF(Y7="B",$D7/1000*$C7,
IF(Y7="BB",2*$D7/1000*$C7,
IF(Y7="BBH",($E7+2*$D7)/1000*$C7,
IF(Y7="BH",($E7+$D7)/1000*$C7,
IF(Y7="BHH",(2*$E7+$D7)/1000*$C7,
IF(Y7="BBHH",(2*$E7+2*$D7)/1000*$C7,""))))))</f>
        <v>0</v>
      </c>
      <c r="DG7" t="str">
        <f t="shared" ref="DG7:DG13" si="51">IF(AA7="B",$D7/1000*$C7,
IF(AA7="BB",2*$D7/1000*$C7,
IF(AA7="BBH",($E7+2*$D7)/1000*$C7,
IF(AA7="BH",($E7+$D7)/1000*$C7,
IF(AA7="BHH",(2*$E7+$D7)/1000*$C7,
IF(AA7="BBHH",(2*$E7+2*$D7)/1000*$C7,""))))))</f>
        <v/>
      </c>
      <c r="DI7" t="str">
        <f t="shared" ref="DI7:DI13" si="52">IF(AC7="B",$D7/1000*$C7,
IF(AC7="BB",2*$D7/1000*$C7,
IF(AC7="BBH",($E7+2*$D7)/1000*$C7,
IF(AC7="BH",($E7+$D7)/1000*$C7,
IF(AC7="BHH",(2*$E7+$D7)/1000*$C7,
IF(AC7="BBHH",(2*$E7+2*$D7)/1000*$C7,""))))))</f>
        <v/>
      </c>
      <c r="DK7" t="str">
        <f t="shared" ref="DK7:DK13" si="53">IF(AE7="B",$D7/1000*$C7,
IF(AE7="BB",2*$D7/1000*$C7,
IF(AE7="BBH",($E7+2*$D7)/1000*$C7,
IF(AE7="BH",($E7+$D7)/1000*$C7,
IF(AE7="BHH",(2*$E7+$D7)/1000*$C7,
IF(AE7="BBHH",(2*$E7+2*$D7)/1000*$C7,""))))))</f>
        <v/>
      </c>
      <c r="DM7" t="str">
        <f t="shared" ref="DM7:DM13" si="54">IF(AG7="B",$D7/1000*$C7,
IF(AG7="BB",2*$D7/1000*$C7,
IF(AG7="BBH",($E7+2*$D7)/1000*$C7,
IF(AG7="BH",($E7+$D7)/1000*$C7,
IF(AG7="BHH",(2*$E7+$D7)/1000*$C7,
IF(AG7="BBHH",(2*$E7+2*$D7)/1000*$C7,""))))))</f>
        <v/>
      </c>
      <c r="DO7" t="str">
        <f t="shared" ref="DO7:DO13" si="55">IF(AI7="B",$D7/1000*$C7,
IF(AI7="BB",2*$D7/1000*$C7,
IF(AI7="BBH",($E7+2*$D7)/1000*$C7,
IF(AI7="BH",($E7+$D7)/1000*$C7,
IF(AI7="BHH",(2*$E7+$D7)/1000*$C7,
IF(AI7="BBHH",(2*$E7+2*$D7)/1000*$C7,""))))))</f>
        <v/>
      </c>
      <c r="DQ7" t="str">
        <f t="shared" ref="DQ7:DQ13" si="56">IF(AK7="B",$D7/1000*$C7,
IF(AK7="BB",2*$D7/1000*$C7,
IF(AK7="BBH",($E7+2*$D7)/1000*$C7,
IF(AK7="BH",($E7+$D7)/1000*$C7,
IF(AK7="BHH",(2*$E7+$D7)/1000*$C7,
IF(AK7="BBHH",(2*$E7+2*$D7)/1000*$C7,""))))))</f>
        <v/>
      </c>
      <c r="DS7" t="str">
        <f t="shared" ref="DS7:DS13" si="57">IF(AM7="B",$D7/1000*$C7,
IF(AM7="BB",2*$D7/1000*$C7,
IF(AM7="BBH",($E7+2*$D7)/1000*$C7,
IF(AM7="BH",($E7+$D7)/1000*$C7,
IF(AM7="BHH",(2*$E7+$D7)/1000*$C7,
IF(AM7="BBHH",(2*$E7+2*$D7)/1000*$C7,""))))))</f>
        <v/>
      </c>
      <c r="DU7" t="str">
        <f t="shared" ref="DU7:DU13" si="58">IF(AO7="B",$D7/1000*$C7,
IF(AO7="BB",2*$D7/1000*$C7,
IF(AO7="BBH",($E7+2*$D7)/1000*$C7,
IF(AO7="BH",($E7+$D7)/1000*$C7,
IF(AO7="BHH",(2*$E7+$D7)/1000*$C7,
IF(AO7="BBHH",(2*$E7+2*$D7)/1000*$C7,""))))))</f>
        <v/>
      </c>
      <c r="DW7" t="str">
        <f t="shared" ref="DW7:DW13" si="59">IF(AQ7="B",$D7/1000*$C7,
IF(AQ7="BB",2*$D7/1000*$C7,
IF(AQ7="BBH",($E7+2*$D7)/1000*$C7,
IF(AQ7="BH",($E7+$D7)/1000*$C7,
IF(AQ7="BHH",(2*$E7+$D7)/1000*$C7,
IF(AQ7="BBHH",(2*$E7+2*$D7)/1000*$C7,""))))))</f>
        <v/>
      </c>
      <c r="DY7" t="str">
        <f t="shared" ref="DY7:DY13" si="60">IF(AS7="B",$D7/1000*$C7,
IF(AS7="BB",2*$D7/1000*$C7,
IF(AS7="BBH",($E7+2*$D7)/1000*$C7,
IF(AS7="BH",($E7+$D7)/1000*$C7,
IF(AS7="BHH",(2*$E7+$D7)/1000*$C7,
IF(AS7="BBHH",(2*$E7+2*$D7)/1000*$C7,""))))))</f>
        <v/>
      </c>
      <c r="EA7" t="str">
        <f t="shared" ref="EA7:EA13" si="61">IF(AU7="B",$D7/1000*$C7,
IF(AU7="BB",2*$D7/1000*$C7,
IF(AU7="BBH",($E7+2*$D7)/1000*$C7,
IF(AU7="BH",($E7+$D7)/1000*$C7,
IF(AU7="BHH",(2*$E7+$D7)/1000*$C7,
IF(AU7="BBHH",(2*$E7+2*$D7)/1000*$C7,""))))))</f>
        <v/>
      </c>
      <c r="EC7" t="str">
        <f t="shared" ref="EC7:EC13" si="62">IF(AW7="B",$D7/1000*$C7,
IF(AW7="BB",2*$D7/1000*$C7,
IF(AW7="BBH",($E7+2*$D7)/1000*$C7,
IF(AW7="BH",($E7+$D7)/1000*$C7,
IF(AW7="BHH",(2*$E7+$D7)/1000*$C7,
IF(AW7="BBHH",(2*$E7+2*$D7)/1000*$C7,""))))))</f>
        <v/>
      </c>
      <c r="EE7" t="str">
        <f t="shared" ref="EE7:EE13" si="63">IF(AY7="B",$D7/1000*$C7,
IF(AY7="BB",2*$D7/1000*$C7,
IF(AY7="BBH",($E7+2*$D7)/1000*$C7,
IF(AY7="BH",($E7+$D7)/1000*$C7,
IF(AY7="BHH",(2*$E7+$D7)/1000*$C7,
IF(AY7="BBHH",(2*$E7+2*$D7)/1000*$C7,""))))))</f>
        <v/>
      </c>
      <c r="EG7" t="str">
        <f t="shared" ref="EG7:EG13" si="64">IF(BA7="B",$D7/1000*$C7,
IF(BA7="BB",2*$D7/1000*$C7,
IF(BA7="BBH",($E7+2*$D7)/1000*$C7,
IF(BA7="BH",($E7+$D7)/1000*$C7,
IF(BA7="BHH",(2*$E7+$D7)/1000*$C7,
IF(BA7="BBHH",(2*$E7+2*$D7)/1000*$C7,""))))))</f>
        <v/>
      </c>
      <c r="EI7" t="str">
        <f t="shared" ref="EI7:EI13" si="65">IF(BC7="B",$D7/1000*$C7,
IF(BC7="BB",2*$D7/1000*$C7,
IF(BC7="BBH",($E7+2*$D7)/1000*$C7,
IF(BC7="BH",($E7+$D7)/1000*$C7,
IF(BC7="BHH",(2*$E7+$D7)/1000*$C7,
IF(BC7="BBHH",(2*$E7+2*$D7)/1000*$C7,""))))))</f>
        <v/>
      </c>
      <c r="EK7" t="str">
        <f t="shared" ref="EK7:EK13" si="66">IF(BE7="B",$D7/1000*$C7,
IF(BE7="BB",2*$D7/1000*$C7,
IF(BE7="BBH",($E7+2*$D7)/1000*$C7,
IF(BE7="BH",($E7+$D7)/1000*$C7,
IF(BE7="BHH",(2*$E7+$D7)/1000*$C7,
IF(BE7="BBHH",(2*$E7+2*$D7)/1000*$C7,""))))))</f>
        <v/>
      </c>
      <c r="EM7" t="str">
        <f t="shared" ref="EM7:EM13" si="67">IF(BG7="B",$D7/1000*$C7,
IF(BG7="BB",2*$D7/1000*$C7,
IF(BG7="BBH",($E7+2*$D7)/1000*$C7,
IF(BG7="BH",($E7+$D7)/1000*$C7,
IF(BG7="BHH",(2*$E7+$D7)/1000*$C7,
IF(BG7="BBHH",(2*$E7+2*$D7)/1000*$C7,""))))))</f>
        <v/>
      </c>
      <c r="EO7" t="str">
        <f t="shared" ref="EO7:EO13" si="68">IF(BI7="B",$D7/1000*$C7,
IF(BI7="BB",2*$D7/1000*$C7,
IF(BI7="BBH",($E7+2*$D7)/1000*$C7,
IF(BI7="BH",($E7+$D7)/1000*$C7,
IF(BI7="BHH",(2*$E7+$D7)/1000*$C7,
IF(BI7="BBHH",(2*$E7+2*$D7)/1000*$C7,""))))))</f>
        <v/>
      </c>
      <c r="EQ7" t="str">
        <f t="shared" ref="EQ7:EQ13" si="69">IF(BK7="B",$D7/1000*$C7,
IF(BK7="BB",2*$D7/1000*$C7,
IF(BK7="BBH",($E7+2*$D7)/1000*$C7,
IF(BK7="BH",($E7+$D7)/1000*$C7,
IF(BK7="BHH",(2*$E7+$D7)/1000*$C7,
IF(BK7="BBHH",(2*$E7+2*$D7)/1000*$C7,""))))))</f>
        <v/>
      </c>
      <c r="ES7" t="str">
        <f t="shared" ref="ES7:ES13" si="70">IF(BM7="B",$D7/1000*$C7,
IF(BM7="BB",2*$D7/1000*$C7,
IF(BM7="BBH",($E7+2*$D7)/1000*$C7,
IF(BM7="BH",($E7+$D7)/1000*$C7,
IF(BM7="BHH",(2*$E7+$D7)/1000*$C7,
IF(BM7="BBHH",(2*$E7+2*$D7)/1000*$C7,""))))))</f>
        <v/>
      </c>
      <c r="EU7" t="str">
        <f t="shared" ref="EU7:EU22" si="71">IF(BO7="B",$D7/1000*$C7,
IF(BO7="BB",2*$D7/1000*$C7,
IF(BO7="BBH",($E7+2*$D7)/1000*$C7,
IF(BO7="BH",($E7+$D7)/1000*$C7,
IF(BO7="BHH",(2*$E7+$D7)/1000*$C7,
IF(BO7="BBHH",(2*$E7+2*$D7)/1000*$C7,""))))))</f>
        <v/>
      </c>
      <c r="EW7" t="str">
        <f t="shared" ref="EW7:EW22" si="72">IF(BQ7="B",$D7/1000*$C7,
IF(BQ7="BB",2*$D7/1000*$C7,
IF(BQ7="BBH",($E7+2*$D7)/1000*$C7,
IF(BQ7="BH",($E7+$D7)/1000*$C7,
IF(BQ7="BHH",(2*$E7+$D7)/1000*$C7,
IF(BQ7="BBHH",(2*$E7+2*$D7)/1000*$C7,""))))))</f>
        <v/>
      </c>
      <c r="EY7" t="str">
        <f t="shared" ref="EY7:EY22" si="73">IF(BS7="B",$D7/1000*$C7,
IF(BS7="BB",2*$D7/1000*$C7,
IF(BS7="BBH",($E7+2*$D7)/1000*$C7,
IF(BS7="BH",($E7+$D7)/1000*$C7,
IF(BS7="BHH",(2*$E7+$D7)/1000*$C7,
IF(BS7="BBHH",(2*$E7+2*$D7)/1000*$C7,""))))))</f>
        <v/>
      </c>
      <c r="FA7" t="str">
        <f t="shared" ref="FA7:FA22" si="74">IF(BU7="B",$D7/1000*$C7,
IF(BU7="BB",2*$D7/1000*$C7,
IF(BU7="BBH",($E7+2*$D7)/1000*$C7,
IF(BU7="BH",($E7+$D7)/1000*$C7,
IF(BU7="BHH",(2*$E7+$D7)/1000*$C7,
IF(BU7="BBHH",(2*$E7+2*$D7)/1000*$C7,""))))))</f>
        <v/>
      </c>
      <c r="FC7" t="str">
        <f t="shared" ref="FC7:FC22" si="75">IF(BW7="B",$D7/1000*$C7,
IF(BW7="BB",2*$D7/1000*$C7,
IF(BW7="BBH",($E7+2*$D7)/1000*$C7,
IF(BW7="BH",($E7+$D7)/1000*$C7,
IF(BW7="BHH",(2*$E7+$D7)/1000*$C7,
IF(BW7="BBHH",(2*$E7+2*$D7)/1000*$C7,""))))))</f>
        <v/>
      </c>
      <c r="FE7" t="str">
        <f t="shared" ref="FE7:FE22" si="76">IF(BY7="B",$D7/1000*$C7,
IF(BY7="BB",2*$D7/1000*$C7,
IF(BY7="BBH",($E7+2*$D7)/1000*$C7,
IF(BY7="BH",($E7+$D7)/1000*$C7,
IF(BY7="BHH",(2*$E7+$D7)/1000*$C7,
IF(BY7="BBHH",(2*$E7+2*$D7)/1000*$C7,""))))))</f>
        <v/>
      </c>
      <c r="FG7" t="str">
        <f t="shared" ref="FG7:FG22" si="77">IF(CA7="B",$D7/1000*$C7,
IF(CA7="BB",2*$D7/1000*$C7,
IF(CA7="BBH",($E7+2*$D7)/1000*$C7,
IF(CA7="BH",($E7+$D7)/1000*$C7,
IF(CA7="BHH",(2*$E7+$D7)/1000*$C7,
IF(CA7="BBHH",(2*$E7+2*$D7)/1000*$C7,""))))))</f>
        <v/>
      </c>
      <c r="FI7" t="str">
        <f t="shared" ref="FI7:FI22" si="78">IF(CC7="B",$D7/1000*$C7,
IF(CC7="BB",2*$D7/1000*$C7,
IF(CC7="BBH",($E7+2*$D7)/1000*$C7,
IF(CC7="BH",($E7+$D7)/1000*$C7,
IF(CC7="BHH",(2*$E7+$D7)/1000*$C7,
IF(CC7="BBHH",(2*$E7+2*$D7)/1000*$C7,""))))))</f>
        <v/>
      </c>
      <c r="FL7" t="str">
        <f t="shared" ref="FL7:FL13" si="79">IF(AJ7="B",$D7/1000*$C7,
IF(AJ7="BB",2*$D7/1000*$C7,
IF(AJ7="BBH",($E7+2*$D7)/1000*$C7,
IF(AJ7="BH",($E7+$D7)/1000*$C7,
IF(AJ7="BHH",(2*$E7+$D7)/1000*$C7,
IF(AJ7="BBHH",(2*$E7+2*$D7)/1000*$C7,""))))))</f>
        <v/>
      </c>
      <c r="FM7" t="e">
        <f t="shared" ref="FM7:FM13" ca="1" si="80">U7-FN7</f>
        <v>#VALUE!</v>
      </c>
      <c r="FN7">
        <v>130590</v>
      </c>
      <c r="FO7">
        <f>ROUND((ELEMENT!EH5*(1-$H$2)*(1+$E$4)),0)*C7</f>
        <v>0</v>
      </c>
      <c r="FP7">
        <f t="shared" ref="FP7:FP13" si="81">C7*L7</f>
        <v>0</v>
      </c>
      <c r="FQ7">
        <f t="shared" ref="FQ7:FQ13" si="82">C7*IF(K7&lt;0.1,J7,K7)</f>
        <v>0</v>
      </c>
      <c r="FR7">
        <f t="shared" ref="FR7:FR13" si="83">I7*C7</f>
        <v>0</v>
      </c>
      <c r="FS7" t="str">
        <f>IF(ELEMENT!AO5="","",H7*C7)</f>
        <v/>
      </c>
      <c r="FT7">
        <f t="shared" ref="FT7:FT13" si="84">FU7+GD7</f>
        <v>0</v>
      </c>
      <c r="FU7">
        <f t="shared" ref="FU7:FU13" si="85">(FV7*(FZ7*GS7+GB7*E7))/1000
+
(FW7*(GA7*GS7+GC7*E7))/1000
+
(FX7*GS7)/1000</f>
        <v>0</v>
      </c>
      <c r="FV7">
        <f t="shared" ref="FV7:FV13" si="86">IF(FY7=2,$GW$47,
IF(FY7=3,$GW$44,
IF(FY7=4,$GW$41,$GW$38)))</f>
        <v>2.5499999999999998</v>
      </c>
      <c r="FW7">
        <f t="shared" ref="FW7:FW13" si="87">IF(FY7=2,$GW$48,
IF(FY7=3,$GW$45,
IF(FY7=4,$GW$42,$GW$39)))</f>
        <v>4.66</v>
      </c>
      <c r="FX7">
        <f t="shared" ref="FX7:FX13" si="88">IF(FY7=2,$GW$46,
IF(FY7=3,$GW$43,
IF(FY7=4,$GW$40,$GW$37)))</f>
        <v>0.36</v>
      </c>
      <c r="FY7">
        <f>ELEMENT!AR5</f>
        <v>2</v>
      </c>
      <c r="FZ7">
        <f>ELEMENT!L5</f>
        <v>1</v>
      </c>
      <c r="GA7">
        <f>ELEMENT!M5</f>
        <v>1</v>
      </c>
      <c r="GB7">
        <f>ELEMENT!N5</f>
        <v>2</v>
      </c>
      <c r="GC7">
        <f>ELEMENT!O5</f>
        <v>0</v>
      </c>
      <c r="GD7">
        <f t="shared" ref="GD7:GD13" si="89">GR7/1000*(GN7*GH7+GM7*GG7+GL7*GF7+GJ7*GE7)</f>
        <v>0</v>
      </c>
      <c r="GE7">
        <f>IF(GI7=ELEMENT!$CJ$59,$GW$8,
IF(GI7=ELEMENT!$CK$59,$GW$16,
IF(GI7=ELEMENT!$CL$59,$GW$24,)))</f>
        <v>4.0999999999999996</v>
      </c>
      <c r="GF7">
        <f>IF(GI7=ELEMENT!$CJ$59,$GW$9,
IF(GI7=ELEMENT!$CK$59,$GW$17,
IF(GI7=ELEMENT!$CL$59,$GW$25,)))</f>
        <v>1.2869999999999999</v>
      </c>
      <c r="GG7">
        <f>IF(GI7=ELEMENT!$CJ$59,$GW$10,
IF(GI7=ELEMENT!$CK$59,$GW$18,
IF(GI7=ELEMENT!$CL$59,$GW$26,)))</f>
        <v>3.032</v>
      </c>
      <c r="GH7">
        <f>IF(GI7=ELEMENT!$CJ$59,$GW$12,
IF(GI7=ELEMENT!$CK$59,$GW$20,
IF(GI7=ELEMENT!$CL$59,$GW$28,)))</f>
        <v>1.87</v>
      </c>
      <c r="GI7">
        <f>ELEMENT!G5</f>
        <v>0</v>
      </c>
      <c r="GJ7">
        <f>ELEMENT!BD5</f>
        <v>0</v>
      </c>
      <c r="GL7">
        <f>ELEMENT!R5</f>
        <v>0</v>
      </c>
      <c r="GM7">
        <f>ELEMENT!S5</f>
        <v>0</v>
      </c>
      <c r="GN7">
        <f>ELEMENT!T5</f>
        <v>0</v>
      </c>
      <c r="GP7">
        <f>ELEMENT!AU5</f>
        <v>0</v>
      </c>
      <c r="GQ7">
        <f>ELEMENT!AY5</f>
        <v>0</v>
      </c>
      <c r="GR7">
        <f t="shared" ref="GR7:GR13" si="90">E7</f>
        <v>0</v>
      </c>
      <c r="GS7">
        <f>ELEMENT!BE5</f>
        <v>0</v>
      </c>
      <c r="GV7">
        <f>ELEMENT!BF6</f>
        <v>0</v>
      </c>
      <c r="GW7">
        <f>ELEMENT!BO4</f>
        <v>0</v>
      </c>
    </row>
    <row r="8" spans="1:205" x14ac:dyDescent="0.2">
      <c r="A8" s="114"/>
      <c r="B8" s="184">
        <f>(ELEMENT!B6)</f>
        <v>0</v>
      </c>
      <c r="C8" s="184">
        <f>SUM(ELEMENT!C6)</f>
        <v>0</v>
      </c>
      <c r="D8" s="184">
        <f>ELEMENT!D6</f>
        <v>0</v>
      </c>
      <c r="E8" s="184">
        <f>ELEMENT!E6</f>
        <v>0</v>
      </c>
      <c r="F8" s="184">
        <f t="shared" si="3"/>
        <v>0</v>
      </c>
      <c r="G8" s="135" t="str">
        <f>ELEMENT!AH6</f>
        <v/>
      </c>
      <c r="H8" s="191" t="str">
        <f>IF(ELEMENT!AO6="","",ELEMENT!AA6*ELEMENT!DQ6)</f>
        <v/>
      </c>
      <c r="I8" s="184">
        <f t="shared" si="4"/>
        <v>0</v>
      </c>
      <c r="J8" s="136">
        <f>ROUND(ELEMENT!DE6,1)</f>
        <v>0</v>
      </c>
      <c r="K8" s="198"/>
      <c r="L8" s="198">
        <f t="shared" ref="L8:L47" si="91">$H$4*$D8*$E8/1000^2</f>
        <v>0</v>
      </c>
      <c r="M8" s="198"/>
      <c r="N8" s="198"/>
      <c r="O8" s="198"/>
      <c r="P8" s="137" t="e">
        <f ca="1">(ROUND((ELEMENT!AC6-ELEMENT!EG6)*$P$2*(1-$H$2)*(1+$E$4),0)+ROUND((ELEMENT!EG6)*$P$2*(1-$H$2)*(1+$E$4),0))</f>
        <v>#VALUE!</v>
      </c>
      <c r="Q8" s="137" t="e">
        <f t="shared" ca="1" si="5"/>
        <v>#VALUE!</v>
      </c>
      <c r="R8" s="138" t="e">
        <f t="shared" ca="1" si="6"/>
        <v>#VALUE!</v>
      </c>
      <c r="S8" s="139" t="e">
        <f t="shared" ca="1" si="7"/>
        <v>#VALUE!</v>
      </c>
      <c r="T8" s="132" t="str">
        <f ca="1">IF(ELEMENT!AC6="","",P8+S8)</f>
        <v/>
      </c>
      <c r="U8" s="132" t="str">
        <f ca="1">IF(ELEMENT!AC6="","",C8*T8)</f>
        <v/>
      </c>
      <c r="V8" s="132" t="str">
        <f>IF(ELEMENT!AW6="JA",ELEMENT!V6,IF(D8+E8=0,"",SUM(T8/ELEMENT!AA6)))</f>
        <v/>
      </c>
      <c r="W8" s="199">
        <f t="shared" ref="W8:W47" si="92">ROUNDUP(((D8/500)+1),0)</f>
        <v>1</v>
      </c>
      <c r="X8" s="141">
        <f t="shared" si="8"/>
        <v>0</v>
      </c>
      <c r="Y8" s="199" t="s">
        <v>1276</v>
      </c>
      <c r="Z8" s="141">
        <f t="shared" si="9"/>
        <v>0</v>
      </c>
      <c r="AA8" s="199"/>
      <c r="AB8" s="141">
        <f t="shared" si="10"/>
        <v>0</v>
      </c>
      <c r="AC8" s="199"/>
      <c r="AD8" s="141">
        <f t="shared" si="11"/>
        <v>0</v>
      </c>
      <c r="AE8" s="199"/>
      <c r="AF8" s="141">
        <f t="shared" si="12"/>
        <v>0</v>
      </c>
      <c r="AG8" s="199"/>
      <c r="AH8" s="141">
        <f t="shared" si="13"/>
        <v>0</v>
      </c>
      <c r="AI8" s="199"/>
      <c r="AJ8" s="141">
        <f t="shared" si="14"/>
        <v>0</v>
      </c>
      <c r="AK8" s="199"/>
      <c r="AL8" s="141">
        <f t="shared" si="15"/>
        <v>0</v>
      </c>
      <c r="AM8" s="199"/>
      <c r="AN8" s="141">
        <f t="shared" si="16"/>
        <v>0</v>
      </c>
      <c r="AO8" s="199"/>
      <c r="AP8" s="141">
        <f t="shared" si="17"/>
        <v>0</v>
      </c>
      <c r="AQ8" s="199"/>
      <c r="AR8" s="141">
        <f t="shared" si="18"/>
        <v>0</v>
      </c>
      <c r="AS8" s="199"/>
      <c r="AT8" s="141">
        <f t="shared" si="19"/>
        <v>0</v>
      </c>
      <c r="AU8" s="199"/>
      <c r="AV8" s="141">
        <f t="shared" si="20"/>
        <v>0</v>
      </c>
      <c r="AW8" s="199"/>
      <c r="AX8" s="141">
        <f t="shared" si="21"/>
        <v>0</v>
      </c>
      <c r="AY8" s="199"/>
      <c r="AZ8" s="141">
        <f t="shared" si="22"/>
        <v>0</v>
      </c>
      <c r="BA8" s="199"/>
      <c r="BB8" s="141">
        <f t="shared" si="23"/>
        <v>0</v>
      </c>
      <c r="BC8" s="199"/>
      <c r="BD8" s="141">
        <f t="shared" si="24"/>
        <v>0</v>
      </c>
      <c r="BE8" s="199"/>
      <c r="BF8" s="141">
        <f t="shared" si="25"/>
        <v>0</v>
      </c>
      <c r="BG8" s="199"/>
      <c r="BH8" s="141">
        <f t="shared" si="26"/>
        <v>0</v>
      </c>
      <c r="BI8" s="199"/>
      <c r="BJ8" s="141">
        <f t="shared" si="27"/>
        <v>0</v>
      </c>
      <c r="BK8" s="199"/>
      <c r="BL8" s="141">
        <f t="shared" si="28"/>
        <v>0</v>
      </c>
      <c r="BM8" s="199"/>
      <c r="BN8" s="141">
        <f t="shared" si="29"/>
        <v>0</v>
      </c>
      <c r="BO8" s="199"/>
      <c r="BP8" s="141">
        <f t="shared" si="30"/>
        <v>0</v>
      </c>
      <c r="BQ8" s="199"/>
      <c r="BR8" s="141">
        <f t="shared" si="31"/>
        <v>0</v>
      </c>
      <c r="BS8" s="199"/>
      <c r="BT8" s="141">
        <f t="shared" si="32"/>
        <v>0</v>
      </c>
      <c r="BU8" s="199"/>
      <c r="BV8" s="141">
        <f t="shared" si="33"/>
        <v>0</v>
      </c>
      <c r="BW8" s="199"/>
      <c r="BX8" s="141">
        <f t="shared" si="34"/>
        <v>0</v>
      </c>
      <c r="BY8" s="199"/>
      <c r="BZ8" s="141">
        <f t="shared" si="35"/>
        <v>0</v>
      </c>
      <c r="CA8" s="199"/>
      <c r="CB8" s="141">
        <f t="shared" si="36"/>
        <v>0</v>
      </c>
      <c r="CC8" s="199"/>
      <c r="CD8" s="141">
        <f t="shared" si="37"/>
        <v>0</v>
      </c>
      <c r="CE8" s="119"/>
      <c r="CF8" s="119"/>
      <c r="CG8" s="119"/>
      <c r="CH8" s="119"/>
      <c r="CI8" s="119"/>
      <c r="CJ8" s="119"/>
      <c r="CM8">
        <f t="shared" si="38"/>
        <v>0</v>
      </c>
      <c r="CN8" t="str">
        <f ca="1">ELEMENT!AC6</f>
        <v/>
      </c>
      <c r="CO8">
        <f t="shared" ca="1" si="39"/>
        <v>0</v>
      </c>
      <c r="CP8" t="str">
        <f t="shared" ca="1" si="40"/>
        <v/>
      </c>
      <c r="CQ8" t="str">
        <f t="shared" ca="1" si="41"/>
        <v/>
      </c>
      <c r="CR8">
        <f t="shared" ca="1" si="42"/>
        <v>0</v>
      </c>
      <c r="CS8">
        <f t="shared" ca="1" si="43"/>
        <v>0</v>
      </c>
      <c r="CT8">
        <f t="shared" si="44"/>
        <v>0</v>
      </c>
      <c r="CU8" t="str">
        <f t="shared" ca="1" si="45"/>
        <v/>
      </c>
      <c r="CV8">
        <f t="shared" si="46"/>
        <v>0</v>
      </c>
      <c r="CW8">
        <f t="shared" si="47"/>
        <v>0</v>
      </c>
      <c r="CX8">
        <f t="shared" si="48"/>
        <v>0</v>
      </c>
      <c r="CZ8">
        <v>216640</v>
      </c>
      <c r="DA8" t="e">
        <f ca="1">CZ8-U8</f>
        <v>#VALUE!</v>
      </c>
      <c r="DC8" t="str">
        <f t="shared" si="49"/>
        <v/>
      </c>
      <c r="DE8">
        <f t="shared" si="50"/>
        <v>0</v>
      </c>
      <c r="DG8" t="str">
        <f t="shared" si="51"/>
        <v/>
      </c>
      <c r="DI8" t="str">
        <f t="shared" si="52"/>
        <v/>
      </c>
      <c r="DK8" t="str">
        <f t="shared" si="53"/>
        <v/>
      </c>
      <c r="DM8" t="str">
        <f t="shared" si="54"/>
        <v/>
      </c>
      <c r="DO8" t="str">
        <f t="shared" si="55"/>
        <v/>
      </c>
      <c r="DQ8" t="str">
        <f t="shared" si="56"/>
        <v/>
      </c>
      <c r="DS8" t="str">
        <f t="shared" si="57"/>
        <v/>
      </c>
      <c r="DU8" t="str">
        <f t="shared" si="58"/>
        <v/>
      </c>
      <c r="DW8" t="str">
        <f t="shared" si="59"/>
        <v/>
      </c>
      <c r="DY8" t="str">
        <f t="shared" si="60"/>
        <v/>
      </c>
      <c r="EA8" t="str">
        <f t="shared" si="61"/>
        <v/>
      </c>
      <c r="EC8" t="str">
        <f t="shared" si="62"/>
        <v/>
      </c>
      <c r="EE8" t="str">
        <f t="shared" si="63"/>
        <v/>
      </c>
      <c r="EG8" t="str">
        <f t="shared" si="64"/>
        <v/>
      </c>
      <c r="EI8" t="str">
        <f t="shared" si="65"/>
        <v/>
      </c>
      <c r="EK8" t="str">
        <f t="shared" si="66"/>
        <v/>
      </c>
      <c r="EM8" t="str">
        <f t="shared" si="67"/>
        <v/>
      </c>
      <c r="EO8" t="str">
        <f t="shared" si="68"/>
        <v/>
      </c>
      <c r="EQ8" t="str">
        <f t="shared" si="69"/>
        <v/>
      </c>
      <c r="ES8" t="str">
        <f t="shared" si="70"/>
        <v/>
      </c>
      <c r="EU8" t="str">
        <f t="shared" si="71"/>
        <v/>
      </c>
      <c r="EW8" t="str">
        <f t="shared" si="72"/>
        <v/>
      </c>
      <c r="EY8" t="str">
        <f t="shared" si="73"/>
        <v/>
      </c>
      <c r="FA8" t="str">
        <f t="shared" si="74"/>
        <v/>
      </c>
      <c r="FC8" t="str">
        <f t="shared" si="75"/>
        <v/>
      </c>
      <c r="FE8" t="str">
        <f t="shared" si="76"/>
        <v/>
      </c>
      <c r="FG8" t="str">
        <f t="shared" si="77"/>
        <v/>
      </c>
      <c r="FI8" t="str">
        <f t="shared" si="78"/>
        <v/>
      </c>
      <c r="FL8" t="str">
        <f t="shared" si="79"/>
        <v/>
      </c>
      <c r="FM8" t="e">
        <f t="shared" ca="1" si="80"/>
        <v>#VALUE!</v>
      </c>
      <c r="FN8">
        <v>130590</v>
      </c>
      <c r="FO8">
        <f>ROUND((ELEMENT!EH6*(1-$H$2)*(1+$E$4)),0)*C8</f>
        <v>0</v>
      </c>
      <c r="FP8">
        <f t="shared" si="81"/>
        <v>0</v>
      </c>
      <c r="FQ8">
        <f t="shared" si="82"/>
        <v>0</v>
      </c>
      <c r="FR8">
        <f t="shared" si="83"/>
        <v>0</v>
      </c>
      <c r="FS8" t="str">
        <f>IF(ELEMENT!AO6="","",H8*C8)</f>
        <v/>
      </c>
      <c r="FT8">
        <f t="shared" si="84"/>
        <v>0</v>
      </c>
      <c r="FU8">
        <f t="shared" si="85"/>
        <v>0</v>
      </c>
      <c r="FV8">
        <f t="shared" si="86"/>
        <v>2.5499999999999998</v>
      </c>
      <c r="FW8">
        <f t="shared" si="87"/>
        <v>4.66</v>
      </c>
      <c r="FX8">
        <f t="shared" si="88"/>
        <v>0.36</v>
      </c>
      <c r="FY8">
        <f>ELEMENT!AR6</f>
        <v>2</v>
      </c>
      <c r="FZ8">
        <f>ELEMENT!L6</f>
        <v>1</v>
      </c>
      <c r="GA8">
        <f>ELEMENT!M6</f>
        <v>1</v>
      </c>
      <c r="GB8">
        <f>ELEMENT!N6</f>
        <v>2</v>
      </c>
      <c r="GC8">
        <f>ELEMENT!O6</f>
        <v>0</v>
      </c>
      <c r="GD8">
        <f t="shared" si="89"/>
        <v>0</v>
      </c>
      <c r="GE8">
        <f>IF(GI8=ELEMENT!$CJ$59,$GW$8,
IF(GI8=ELEMENT!$CK$59,$GW$16,
IF(GI8=ELEMENT!$CL$59,$GW$24,)))</f>
        <v>4.0999999999999996</v>
      </c>
      <c r="GF8">
        <f>IF(GI8=ELEMENT!$CJ$59,$GW$9,
IF(GI8=ELEMENT!$CK$59,$GW$17,
IF(GI8=ELEMENT!$CL$59,$GW$25,)))</f>
        <v>1.2869999999999999</v>
      </c>
      <c r="GG8">
        <f>IF(GI8=ELEMENT!$CJ$59,$GW$10,
IF(GI8=ELEMENT!$CK$59,$GW$18,
IF(GI8=ELEMENT!$CL$59,$GW$26,)))</f>
        <v>3.032</v>
      </c>
      <c r="GH8">
        <f>IF(GI8=ELEMENT!$CJ$59,$GW$12,
IF(GI8=ELEMENT!$CK$59,$GW$20,
IF(GI8=ELEMENT!$CL$59,$GW$28,)))</f>
        <v>1.87</v>
      </c>
      <c r="GI8">
        <f>ELEMENT!G6</f>
        <v>0</v>
      </c>
      <c r="GJ8">
        <f>ELEMENT!BD6</f>
        <v>0</v>
      </c>
      <c r="GL8">
        <f>ELEMENT!R6</f>
        <v>0</v>
      </c>
      <c r="GM8">
        <f>ELEMENT!S6</f>
        <v>0</v>
      </c>
      <c r="GN8">
        <f>ELEMENT!T6</f>
        <v>0</v>
      </c>
      <c r="GP8">
        <f>ELEMENT!AU6</f>
        <v>0</v>
      </c>
      <c r="GQ8">
        <f>ELEMENT!AY6</f>
        <v>0</v>
      </c>
      <c r="GR8">
        <f t="shared" si="90"/>
        <v>0</v>
      </c>
      <c r="GS8">
        <f>ELEMENT!BE6</f>
        <v>0</v>
      </c>
      <c r="GV8">
        <f>ELEMENT!BF7</f>
        <v>0</v>
      </c>
      <c r="GW8">
        <f>ELEMENT!BO7</f>
        <v>4.0999999999999996</v>
      </c>
    </row>
    <row r="9" spans="1:205" x14ac:dyDescent="0.2">
      <c r="A9" s="114"/>
      <c r="B9" s="184">
        <f>(ELEMENT!B7)</f>
        <v>0</v>
      </c>
      <c r="C9" s="184">
        <f>SUM(ELEMENT!C7)</f>
        <v>0</v>
      </c>
      <c r="D9" s="184">
        <f>ELEMENT!D7</f>
        <v>0</v>
      </c>
      <c r="E9" s="184">
        <f>ELEMENT!E7</f>
        <v>0</v>
      </c>
      <c r="F9" s="184">
        <f t="shared" si="3"/>
        <v>0</v>
      </c>
      <c r="G9" s="135" t="str">
        <f>ELEMENT!AH7</f>
        <v/>
      </c>
      <c r="H9" s="191" t="str">
        <f>IF(ELEMENT!AO7="","",ELEMENT!AA7*ELEMENT!DQ7)</f>
        <v/>
      </c>
      <c r="I9" s="184">
        <f t="shared" si="4"/>
        <v>0</v>
      </c>
      <c r="J9" s="136">
        <f>ROUND(ELEMENT!DE7,1)</f>
        <v>0</v>
      </c>
      <c r="K9" s="198"/>
      <c r="L9" s="198">
        <f t="shared" si="91"/>
        <v>0</v>
      </c>
      <c r="M9" s="198"/>
      <c r="N9" s="198"/>
      <c r="O9" s="198"/>
      <c r="P9" s="137" t="e">
        <f ca="1">(ROUND((ELEMENT!AC7-ELEMENT!EG7)*$P$2*(1-$H$2)*(1+$E$4),0)+ROUND((ELEMENT!EG7)*$P$2*(1-$H$2)*(1+$E$4),0))</f>
        <v>#VALUE!</v>
      </c>
      <c r="Q9" s="137" t="e">
        <f t="shared" ca="1" si="5"/>
        <v>#VALUE!</v>
      </c>
      <c r="R9" s="138" t="e">
        <f t="shared" ca="1" si="6"/>
        <v>#VALUE!</v>
      </c>
      <c r="S9" s="139" t="e">
        <f t="shared" ca="1" si="7"/>
        <v>#VALUE!</v>
      </c>
      <c r="T9" s="132" t="str">
        <f ca="1">IF(ELEMENT!AC7="","",P9+S9)</f>
        <v/>
      </c>
      <c r="U9" s="132" t="str">
        <f ca="1">IF(ELEMENT!AC7="","",C9*T9)</f>
        <v/>
      </c>
      <c r="V9" s="132" t="str">
        <f>IF(ELEMENT!AW7="JA",ELEMENT!V7,IF(D9+E9=0,"",SUM(T9/ELEMENT!AA7)))</f>
        <v/>
      </c>
      <c r="W9" s="199">
        <f t="shared" si="92"/>
        <v>1</v>
      </c>
      <c r="X9" s="141">
        <f t="shared" si="8"/>
        <v>0</v>
      </c>
      <c r="Y9" s="199" t="s">
        <v>1276</v>
      </c>
      <c r="Z9" s="141">
        <f t="shared" si="9"/>
        <v>0</v>
      </c>
      <c r="AA9" s="199"/>
      <c r="AB9" s="141">
        <f t="shared" si="10"/>
        <v>0</v>
      </c>
      <c r="AC9" s="199"/>
      <c r="AD9" s="141">
        <f t="shared" si="11"/>
        <v>0</v>
      </c>
      <c r="AE9" s="199"/>
      <c r="AF9" s="141">
        <f t="shared" si="12"/>
        <v>0</v>
      </c>
      <c r="AG9" s="199"/>
      <c r="AH9" s="141">
        <f t="shared" si="13"/>
        <v>0</v>
      </c>
      <c r="AI9" s="199"/>
      <c r="AJ9" s="141">
        <f t="shared" si="14"/>
        <v>0</v>
      </c>
      <c r="AK9" s="199"/>
      <c r="AL9" s="141">
        <f t="shared" si="15"/>
        <v>0</v>
      </c>
      <c r="AM9" s="199"/>
      <c r="AN9" s="141">
        <f t="shared" si="16"/>
        <v>0</v>
      </c>
      <c r="AO9" s="199"/>
      <c r="AP9" s="141">
        <f t="shared" si="17"/>
        <v>0</v>
      </c>
      <c r="AQ9" s="199"/>
      <c r="AR9" s="141">
        <f t="shared" si="18"/>
        <v>0</v>
      </c>
      <c r="AS9" s="199"/>
      <c r="AT9" s="141">
        <f t="shared" si="19"/>
        <v>0</v>
      </c>
      <c r="AU9" s="199"/>
      <c r="AV9" s="141">
        <f t="shared" si="20"/>
        <v>0</v>
      </c>
      <c r="AW9" s="199"/>
      <c r="AX9" s="141">
        <f t="shared" si="21"/>
        <v>0</v>
      </c>
      <c r="AY9" s="199"/>
      <c r="AZ9" s="141">
        <f t="shared" si="22"/>
        <v>0</v>
      </c>
      <c r="BA9" s="199"/>
      <c r="BB9" s="141">
        <f t="shared" si="23"/>
        <v>0</v>
      </c>
      <c r="BC9" s="199"/>
      <c r="BD9" s="141">
        <f t="shared" si="24"/>
        <v>0</v>
      </c>
      <c r="BE9" s="199"/>
      <c r="BF9" s="141">
        <f t="shared" si="25"/>
        <v>0</v>
      </c>
      <c r="BG9" s="199"/>
      <c r="BH9" s="141">
        <f t="shared" si="26"/>
        <v>0</v>
      </c>
      <c r="BI9" s="199"/>
      <c r="BJ9" s="141">
        <f t="shared" si="27"/>
        <v>0</v>
      </c>
      <c r="BK9" s="199"/>
      <c r="BL9" s="141">
        <f t="shared" si="28"/>
        <v>0</v>
      </c>
      <c r="BM9" s="199"/>
      <c r="BN9" s="141">
        <f t="shared" si="29"/>
        <v>0</v>
      </c>
      <c r="BO9" s="199"/>
      <c r="BP9" s="141">
        <f t="shared" si="30"/>
        <v>0</v>
      </c>
      <c r="BQ9" s="199"/>
      <c r="BR9" s="141">
        <f t="shared" si="31"/>
        <v>0</v>
      </c>
      <c r="BS9" s="199"/>
      <c r="BT9" s="141">
        <f t="shared" si="32"/>
        <v>0</v>
      </c>
      <c r="BU9" s="199"/>
      <c r="BV9" s="141">
        <f t="shared" si="33"/>
        <v>0</v>
      </c>
      <c r="BW9" s="199"/>
      <c r="BX9" s="141">
        <f t="shared" si="34"/>
        <v>0</v>
      </c>
      <c r="BY9" s="199"/>
      <c r="BZ9" s="141">
        <f t="shared" si="35"/>
        <v>0</v>
      </c>
      <c r="CA9" s="199"/>
      <c r="CB9" s="141">
        <f t="shared" si="36"/>
        <v>0</v>
      </c>
      <c r="CC9" s="199"/>
      <c r="CD9" s="141">
        <f t="shared" si="37"/>
        <v>0</v>
      </c>
      <c r="CE9" s="119"/>
      <c r="CF9" s="119"/>
      <c r="CG9" s="119"/>
      <c r="CH9" s="119"/>
      <c r="CI9" s="119"/>
      <c r="CJ9" s="119"/>
      <c r="CM9">
        <f t="shared" si="38"/>
        <v>0</v>
      </c>
      <c r="CN9" t="str">
        <f ca="1">ELEMENT!AC7</f>
        <v/>
      </c>
      <c r="CO9">
        <f t="shared" ca="1" si="39"/>
        <v>0</v>
      </c>
      <c r="CP9" t="str">
        <f t="shared" ca="1" si="40"/>
        <v/>
      </c>
      <c r="CQ9" t="str">
        <f t="shared" ca="1" si="41"/>
        <v/>
      </c>
      <c r="CR9">
        <f t="shared" ca="1" si="42"/>
        <v>0</v>
      </c>
      <c r="CS9">
        <f t="shared" ca="1" si="43"/>
        <v>0</v>
      </c>
      <c r="CT9">
        <f t="shared" si="44"/>
        <v>0</v>
      </c>
      <c r="CU9" t="str">
        <f t="shared" ca="1" si="45"/>
        <v/>
      </c>
      <c r="CV9">
        <f t="shared" si="46"/>
        <v>0</v>
      </c>
      <c r="CW9">
        <f t="shared" si="47"/>
        <v>0</v>
      </c>
      <c r="CX9">
        <f t="shared" si="48"/>
        <v>0</v>
      </c>
      <c r="CZ9">
        <v>216640</v>
      </c>
      <c r="DA9" t="e">
        <f ca="1">CZ9-U9</f>
        <v>#VALUE!</v>
      </c>
      <c r="DC9" t="str">
        <f t="shared" si="49"/>
        <v/>
      </c>
      <c r="DE9">
        <f t="shared" si="50"/>
        <v>0</v>
      </c>
      <c r="DG9" t="str">
        <f t="shared" si="51"/>
        <v/>
      </c>
      <c r="DI9" t="str">
        <f t="shared" si="52"/>
        <v/>
      </c>
      <c r="DK9" t="str">
        <f t="shared" si="53"/>
        <v/>
      </c>
      <c r="DM9" t="str">
        <f t="shared" si="54"/>
        <v/>
      </c>
      <c r="DO9" t="str">
        <f t="shared" si="55"/>
        <v/>
      </c>
      <c r="DQ9" t="str">
        <f t="shared" si="56"/>
        <v/>
      </c>
      <c r="DS9" t="str">
        <f t="shared" si="57"/>
        <v/>
      </c>
      <c r="DU9" t="str">
        <f t="shared" si="58"/>
        <v/>
      </c>
      <c r="DW9" t="str">
        <f t="shared" si="59"/>
        <v/>
      </c>
      <c r="DY9" t="str">
        <f t="shared" si="60"/>
        <v/>
      </c>
      <c r="EA9" t="str">
        <f t="shared" si="61"/>
        <v/>
      </c>
      <c r="EC9" t="str">
        <f t="shared" si="62"/>
        <v/>
      </c>
      <c r="EE9" t="str">
        <f t="shared" si="63"/>
        <v/>
      </c>
      <c r="EG9" t="str">
        <f t="shared" si="64"/>
        <v/>
      </c>
      <c r="EI9" t="str">
        <f t="shared" si="65"/>
        <v/>
      </c>
      <c r="EK9" t="str">
        <f t="shared" si="66"/>
        <v/>
      </c>
      <c r="EM9" t="str">
        <f t="shared" si="67"/>
        <v/>
      </c>
      <c r="EO9" t="str">
        <f t="shared" si="68"/>
        <v/>
      </c>
      <c r="EQ9" t="str">
        <f t="shared" si="69"/>
        <v/>
      </c>
      <c r="ES9" t="str">
        <f t="shared" si="70"/>
        <v/>
      </c>
      <c r="EU9" t="str">
        <f t="shared" si="71"/>
        <v/>
      </c>
      <c r="EW9" t="str">
        <f t="shared" si="72"/>
        <v/>
      </c>
      <c r="EY9" t="str">
        <f t="shared" si="73"/>
        <v/>
      </c>
      <c r="FA9" t="str">
        <f t="shared" si="74"/>
        <v/>
      </c>
      <c r="FC9" t="str">
        <f t="shared" si="75"/>
        <v/>
      </c>
      <c r="FE9" t="str">
        <f t="shared" si="76"/>
        <v/>
      </c>
      <c r="FG9" t="str">
        <f t="shared" si="77"/>
        <v/>
      </c>
      <c r="FI9" t="str">
        <f t="shared" si="78"/>
        <v/>
      </c>
      <c r="FL9" t="str">
        <f t="shared" si="79"/>
        <v/>
      </c>
      <c r="FM9" t="e">
        <f t="shared" ca="1" si="80"/>
        <v>#VALUE!</v>
      </c>
      <c r="FN9">
        <v>130590</v>
      </c>
      <c r="FO9">
        <f>ROUND((ELEMENT!EH7*(1-$H$2)*(1+$E$4)),0)*C9</f>
        <v>0</v>
      </c>
      <c r="FP9">
        <f t="shared" si="81"/>
        <v>0</v>
      </c>
      <c r="FQ9">
        <f t="shared" si="82"/>
        <v>0</v>
      </c>
      <c r="FR9">
        <f t="shared" si="83"/>
        <v>0</v>
      </c>
      <c r="FS9" t="str">
        <f>IF(ELEMENT!AO7="","",H9*C9)</f>
        <v/>
      </c>
      <c r="FT9">
        <f t="shared" si="84"/>
        <v>0</v>
      </c>
      <c r="FU9">
        <f t="shared" si="85"/>
        <v>0</v>
      </c>
      <c r="FV9">
        <f t="shared" si="86"/>
        <v>2.5499999999999998</v>
      </c>
      <c r="FW9">
        <f t="shared" si="87"/>
        <v>4.66</v>
      </c>
      <c r="FX9">
        <f t="shared" si="88"/>
        <v>0.36</v>
      </c>
      <c r="FY9">
        <f>ELEMENT!AR7</f>
        <v>2</v>
      </c>
      <c r="FZ9">
        <f>ELEMENT!L7</f>
        <v>1</v>
      </c>
      <c r="GA9">
        <f>ELEMENT!M7</f>
        <v>1</v>
      </c>
      <c r="GB9">
        <f>ELEMENT!N7</f>
        <v>2</v>
      </c>
      <c r="GC9">
        <f>ELEMENT!O7</f>
        <v>0</v>
      </c>
      <c r="GD9">
        <f t="shared" si="89"/>
        <v>0</v>
      </c>
      <c r="GE9">
        <f>IF(GI9=ELEMENT!$CJ$59,$GW$8,
IF(GI9=ELEMENT!$CK$59,$GW$16,
IF(GI9=ELEMENT!$CL$59,$GW$24,)))</f>
        <v>4.0999999999999996</v>
      </c>
      <c r="GF9">
        <f>IF(GI9=ELEMENT!$CJ$59,$GW$9,
IF(GI9=ELEMENT!$CK$59,$GW$17,
IF(GI9=ELEMENT!$CL$59,$GW$25,)))</f>
        <v>1.2869999999999999</v>
      </c>
      <c r="GG9">
        <f>IF(GI9=ELEMENT!$CJ$59,$GW$10,
IF(GI9=ELEMENT!$CK$59,$GW$18,
IF(GI9=ELEMENT!$CL$59,$GW$26,)))</f>
        <v>3.032</v>
      </c>
      <c r="GH9">
        <f>IF(GI9=ELEMENT!$CJ$59,$GW$12,
IF(GI9=ELEMENT!$CK$59,$GW$20,
IF(GI9=ELEMENT!$CL$59,$GW$28,)))</f>
        <v>1.87</v>
      </c>
      <c r="GI9">
        <f>ELEMENT!G7</f>
        <v>0</v>
      </c>
      <c r="GJ9">
        <f>ELEMENT!BD7</f>
        <v>0</v>
      </c>
      <c r="GL9">
        <f>ELEMENT!R7</f>
        <v>0</v>
      </c>
      <c r="GM9">
        <f>ELEMENT!S7</f>
        <v>0</v>
      </c>
      <c r="GN9">
        <f>ELEMENT!T7</f>
        <v>0</v>
      </c>
      <c r="GP9">
        <f>ELEMENT!AU7</f>
        <v>0</v>
      </c>
      <c r="GQ9">
        <f>ELEMENT!AY7</f>
        <v>0</v>
      </c>
      <c r="GR9">
        <f t="shared" si="90"/>
        <v>0</v>
      </c>
      <c r="GS9">
        <f>ELEMENT!BE7</f>
        <v>0</v>
      </c>
      <c r="GV9">
        <f>ELEMENT!BF8</f>
        <v>0</v>
      </c>
      <c r="GW9">
        <f>ELEMENT!BO8</f>
        <v>1.2869999999999999</v>
      </c>
    </row>
    <row r="10" spans="1:205" x14ac:dyDescent="0.2">
      <c r="A10" s="114"/>
      <c r="B10" s="184">
        <f>(ELEMENT!B8)</f>
        <v>0</v>
      </c>
      <c r="C10" s="184">
        <f>SUM(ELEMENT!C8)</f>
        <v>0</v>
      </c>
      <c r="D10" s="184">
        <f>ELEMENT!D8</f>
        <v>0</v>
      </c>
      <c r="E10" s="184">
        <f>ELEMENT!E8</f>
        <v>0</v>
      </c>
      <c r="F10" s="184">
        <f t="shared" si="3"/>
        <v>0</v>
      </c>
      <c r="G10" s="135" t="str">
        <f>ELEMENT!AH8</f>
        <v/>
      </c>
      <c r="H10" s="191" t="str">
        <f>IF(ELEMENT!AO8="","",ELEMENT!AA8*ELEMENT!DQ8)</f>
        <v/>
      </c>
      <c r="I10" s="184">
        <f t="shared" si="4"/>
        <v>0</v>
      </c>
      <c r="J10" s="136">
        <f>ROUND(ELEMENT!DE8,1)</f>
        <v>0</v>
      </c>
      <c r="K10" s="198"/>
      <c r="L10" s="198">
        <f t="shared" si="91"/>
        <v>0</v>
      </c>
      <c r="M10" s="198"/>
      <c r="N10" s="198"/>
      <c r="O10" s="198"/>
      <c r="P10" s="137" t="e">
        <f ca="1">(ROUND((ELEMENT!AC8-ELEMENT!EG8)*$P$2*(1-$H$2)*(1+$E$4),0)+ROUND((ELEMENT!EG8)*$P$2*(1-$H$2)*(1+$E$4),0))</f>
        <v>#VALUE!</v>
      </c>
      <c r="Q10" s="137" t="e">
        <f t="shared" ca="1" si="5"/>
        <v>#VALUE!</v>
      </c>
      <c r="R10" s="138" t="e">
        <f t="shared" ca="1" si="6"/>
        <v>#VALUE!</v>
      </c>
      <c r="S10" s="139" t="e">
        <f t="shared" ca="1" si="7"/>
        <v>#VALUE!</v>
      </c>
      <c r="T10" s="132" t="str">
        <f ca="1">IF(ELEMENT!AC8="","",P10+S10)</f>
        <v/>
      </c>
      <c r="U10" s="132" t="str">
        <f ca="1">IF(ELEMENT!AC8="","",C10*T10)</f>
        <v/>
      </c>
      <c r="V10" s="132" t="str">
        <f>IF(ELEMENT!AW8="JA",ELEMENT!V8,IF(D10+E10=0,"",SUM(T10/ELEMENT!AA8)))</f>
        <v/>
      </c>
      <c r="W10" s="199">
        <f t="shared" si="92"/>
        <v>1</v>
      </c>
      <c r="X10" s="141">
        <f t="shared" si="8"/>
        <v>0</v>
      </c>
      <c r="Y10" s="199" t="s">
        <v>1276</v>
      </c>
      <c r="Z10" s="141">
        <f t="shared" si="9"/>
        <v>0</v>
      </c>
      <c r="AA10" s="199"/>
      <c r="AB10" s="141">
        <f t="shared" si="10"/>
        <v>0</v>
      </c>
      <c r="AC10" s="199"/>
      <c r="AD10" s="141">
        <f t="shared" si="11"/>
        <v>0</v>
      </c>
      <c r="AE10" s="199"/>
      <c r="AF10" s="141">
        <f t="shared" si="12"/>
        <v>0</v>
      </c>
      <c r="AG10" s="199"/>
      <c r="AH10" s="141">
        <f t="shared" si="13"/>
        <v>0</v>
      </c>
      <c r="AI10" s="199"/>
      <c r="AJ10" s="141">
        <f t="shared" si="14"/>
        <v>0</v>
      </c>
      <c r="AK10" s="199"/>
      <c r="AL10" s="141">
        <f t="shared" si="15"/>
        <v>0</v>
      </c>
      <c r="AM10" s="199"/>
      <c r="AN10" s="141">
        <f t="shared" si="16"/>
        <v>0</v>
      </c>
      <c r="AO10" s="199"/>
      <c r="AP10" s="141">
        <f t="shared" si="17"/>
        <v>0</v>
      </c>
      <c r="AQ10" s="199"/>
      <c r="AR10" s="141">
        <f t="shared" si="18"/>
        <v>0</v>
      </c>
      <c r="AS10" s="199"/>
      <c r="AT10" s="141">
        <f t="shared" si="19"/>
        <v>0</v>
      </c>
      <c r="AU10" s="199"/>
      <c r="AV10" s="141">
        <f t="shared" si="20"/>
        <v>0</v>
      </c>
      <c r="AW10" s="199"/>
      <c r="AX10" s="141">
        <f t="shared" si="21"/>
        <v>0</v>
      </c>
      <c r="AY10" s="199"/>
      <c r="AZ10" s="141">
        <f t="shared" si="22"/>
        <v>0</v>
      </c>
      <c r="BA10" s="199"/>
      <c r="BB10" s="141">
        <f t="shared" si="23"/>
        <v>0</v>
      </c>
      <c r="BC10" s="199"/>
      <c r="BD10" s="141">
        <f t="shared" si="24"/>
        <v>0</v>
      </c>
      <c r="BE10" s="199"/>
      <c r="BF10" s="141">
        <f t="shared" si="25"/>
        <v>0</v>
      </c>
      <c r="BG10" s="199"/>
      <c r="BH10" s="141">
        <f t="shared" si="26"/>
        <v>0</v>
      </c>
      <c r="BI10" s="199"/>
      <c r="BJ10" s="141">
        <f t="shared" si="27"/>
        <v>0</v>
      </c>
      <c r="BK10" s="199"/>
      <c r="BL10" s="141">
        <f t="shared" si="28"/>
        <v>0</v>
      </c>
      <c r="BM10" s="199"/>
      <c r="BN10" s="141">
        <f t="shared" si="29"/>
        <v>0</v>
      </c>
      <c r="BO10" s="199"/>
      <c r="BP10" s="141">
        <f t="shared" si="30"/>
        <v>0</v>
      </c>
      <c r="BQ10" s="199"/>
      <c r="BR10" s="141">
        <f t="shared" si="31"/>
        <v>0</v>
      </c>
      <c r="BS10" s="199"/>
      <c r="BT10" s="141">
        <f t="shared" si="32"/>
        <v>0</v>
      </c>
      <c r="BU10" s="199"/>
      <c r="BV10" s="141">
        <f t="shared" si="33"/>
        <v>0</v>
      </c>
      <c r="BW10" s="199"/>
      <c r="BX10" s="141">
        <f t="shared" si="34"/>
        <v>0</v>
      </c>
      <c r="BY10" s="199"/>
      <c r="BZ10" s="141">
        <f t="shared" si="35"/>
        <v>0</v>
      </c>
      <c r="CA10" s="199"/>
      <c r="CB10" s="141">
        <f t="shared" si="36"/>
        <v>0</v>
      </c>
      <c r="CC10" s="199"/>
      <c r="CD10" s="141">
        <f t="shared" si="37"/>
        <v>0</v>
      </c>
      <c r="CE10" s="119"/>
      <c r="CF10" s="119"/>
      <c r="CG10" s="119"/>
      <c r="CH10" s="119"/>
      <c r="CI10" s="119"/>
      <c r="CJ10" s="119"/>
      <c r="CM10">
        <f t="shared" si="38"/>
        <v>0</v>
      </c>
      <c r="CN10" t="str">
        <f ca="1">ELEMENT!AC8</f>
        <v/>
      </c>
      <c r="CO10">
        <f t="shared" ca="1" si="39"/>
        <v>0</v>
      </c>
      <c r="CP10" t="str">
        <f t="shared" ca="1" si="40"/>
        <v/>
      </c>
      <c r="CQ10" t="str">
        <f t="shared" ca="1" si="41"/>
        <v/>
      </c>
      <c r="CR10">
        <f t="shared" ca="1" si="42"/>
        <v>0</v>
      </c>
      <c r="CS10">
        <f t="shared" ca="1" si="43"/>
        <v>0</v>
      </c>
      <c r="CT10">
        <f t="shared" si="44"/>
        <v>0</v>
      </c>
      <c r="CU10" t="str">
        <f t="shared" ca="1" si="45"/>
        <v/>
      </c>
      <c r="CV10">
        <f t="shared" si="46"/>
        <v>0</v>
      </c>
      <c r="CW10">
        <f t="shared" si="47"/>
        <v>0</v>
      </c>
      <c r="CX10">
        <f t="shared" si="48"/>
        <v>0</v>
      </c>
      <c r="CZ10">
        <v>182610</v>
      </c>
      <c r="DA10" t="e">
        <f ca="1">CZ10-U10</f>
        <v>#VALUE!</v>
      </c>
      <c r="DC10" t="str">
        <f t="shared" si="49"/>
        <v/>
      </c>
      <c r="DE10">
        <f t="shared" si="50"/>
        <v>0</v>
      </c>
      <c r="DG10" t="str">
        <f t="shared" si="51"/>
        <v/>
      </c>
      <c r="DI10" t="str">
        <f t="shared" si="52"/>
        <v/>
      </c>
      <c r="DK10" t="str">
        <f t="shared" si="53"/>
        <v/>
      </c>
      <c r="DM10" t="str">
        <f t="shared" si="54"/>
        <v/>
      </c>
      <c r="DO10" t="str">
        <f t="shared" si="55"/>
        <v/>
      </c>
      <c r="DQ10" t="str">
        <f t="shared" si="56"/>
        <v/>
      </c>
      <c r="DS10" t="str">
        <f t="shared" si="57"/>
        <v/>
      </c>
      <c r="DU10" t="str">
        <f t="shared" si="58"/>
        <v/>
      </c>
      <c r="DW10" t="str">
        <f t="shared" si="59"/>
        <v/>
      </c>
      <c r="DY10" t="str">
        <f t="shared" si="60"/>
        <v/>
      </c>
      <c r="EA10" t="str">
        <f t="shared" si="61"/>
        <v/>
      </c>
      <c r="EC10" t="str">
        <f t="shared" si="62"/>
        <v/>
      </c>
      <c r="EE10" t="str">
        <f t="shared" si="63"/>
        <v/>
      </c>
      <c r="EG10" t="str">
        <f t="shared" si="64"/>
        <v/>
      </c>
      <c r="EI10" t="str">
        <f t="shared" si="65"/>
        <v/>
      </c>
      <c r="EK10" t="str">
        <f t="shared" si="66"/>
        <v/>
      </c>
      <c r="EM10" t="str">
        <f t="shared" si="67"/>
        <v/>
      </c>
      <c r="EO10" t="str">
        <f t="shared" si="68"/>
        <v/>
      </c>
      <c r="EQ10" t="str">
        <f t="shared" si="69"/>
        <v/>
      </c>
      <c r="ES10" t="str">
        <f t="shared" si="70"/>
        <v/>
      </c>
      <c r="EU10" t="str">
        <f t="shared" si="71"/>
        <v/>
      </c>
      <c r="EW10" t="str">
        <f t="shared" si="72"/>
        <v/>
      </c>
      <c r="EY10" t="str">
        <f t="shared" si="73"/>
        <v/>
      </c>
      <c r="FA10" t="str">
        <f t="shared" si="74"/>
        <v/>
      </c>
      <c r="FC10" t="str">
        <f t="shared" si="75"/>
        <v/>
      </c>
      <c r="FE10" t="str">
        <f t="shared" si="76"/>
        <v/>
      </c>
      <c r="FG10" t="str">
        <f t="shared" si="77"/>
        <v/>
      </c>
      <c r="FI10" t="str">
        <f t="shared" si="78"/>
        <v/>
      </c>
      <c r="FL10" t="str">
        <f t="shared" si="79"/>
        <v/>
      </c>
      <c r="FM10" t="e">
        <f t="shared" ca="1" si="80"/>
        <v>#VALUE!</v>
      </c>
      <c r="FN10">
        <v>130590</v>
      </c>
      <c r="FO10">
        <f>ROUND((ELEMENT!EH8*(1-$H$2)*(1+$E$4)),0)*C10</f>
        <v>0</v>
      </c>
      <c r="FP10">
        <f t="shared" si="81"/>
        <v>0</v>
      </c>
      <c r="FQ10">
        <f t="shared" si="82"/>
        <v>0</v>
      </c>
      <c r="FR10">
        <f t="shared" si="83"/>
        <v>0</v>
      </c>
      <c r="FS10" t="str">
        <f>IF(ELEMENT!AO8="","",H10*C10)</f>
        <v/>
      </c>
      <c r="FT10">
        <f t="shared" si="84"/>
        <v>0</v>
      </c>
      <c r="FU10">
        <f t="shared" si="85"/>
        <v>0</v>
      </c>
      <c r="FV10">
        <f t="shared" si="86"/>
        <v>2.5499999999999998</v>
      </c>
      <c r="FW10">
        <f t="shared" si="87"/>
        <v>4.66</v>
      </c>
      <c r="FX10">
        <f t="shared" si="88"/>
        <v>0.36</v>
      </c>
      <c r="FY10">
        <f>ELEMENT!AR8</f>
        <v>2</v>
      </c>
      <c r="FZ10">
        <f>ELEMENT!L8</f>
        <v>1</v>
      </c>
      <c r="GA10">
        <f>ELEMENT!M8</f>
        <v>1</v>
      </c>
      <c r="GB10">
        <f>ELEMENT!N8</f>
        <v>2</v>
      </c>
      <c r="GC10">
        <f>ELEMENT!O8</f>
        <v>0</v>
      </c>
      <c r="GD10">
        <f t="shared" si="89"/>
        <v>0</v>
      </c>
      <c r="GE10">
        <f>IF(GI10=ELEMENT!$CJ$59,$GW$8,
IF(GI10=ELEMENT!$CK$59,$GW$16,
IF(GI10=ELEMENT!$CL$59,$GW$24,)))</f>
        <v>4.0999999999999996</v>
      </c>
      <c r="GF10">
        <f>IF(GI10=ELEMENT!$CJ$59,$GW$9,
IF(GI10=ELEMENT!$CK$59,$GW$17,
IF(GI10=ELEMENT!$CL$59,$GW$25,)))</f>
        <v>1.2869999999999999</v>
      </c>
      <c r="GG10">
        <f>IF(GI10=ELEMENT!$CJ$59,$GW$10,
IF(GI10=ELEMENT!$CK$59,$GW$18,
IF(GI10=ELEMENT!$CL$59,$GW$26,)))</f>
        <v>3.032</v>
      </c>
      <c r="GH10">
        <f>IF(GI10=ELEMENT!$CJ$59,$GW$12,
IF(GI10=ELEMENT!$CK$59,$GW$20,
IF(GI10=ELEMENT!$CL$59,$GW$28,)))</f>
        <v>1.87</v>
      </c>
      <c r="GI10">
        <f>ELEMENT!G8</f>
        <v>0</v>
      </c>
      <c r="GJ10">
        <f>ELEMENT!BD8</f>
        <v>0</v>
      </c>
      <c r="GL10">
        <f>ELEMENT!R8</f>
        <v>0</v>
      </c>
      <c r="GM10">
        <f>ELEMENT!S8</f>
        <v>0</v>
      </c>
      <c r="GN10">
        <f>ELEMENT!T8</f>
        <v>0</v>
      </c>
      <c r="GP10">
        <f>ELEMENT!AU8</f>
        <v>0</v>
      </c>
      <c r="GQ10">
        <f>ELEMENT!AY8</f>
        <v>0</v>
      </c>
      <c r="GR10">
        <f t="shared" si="90"/>
        <v>0</v>
      </c>
      <c r="GS10">
        <f>ELEMENT!BE8</f>
        <v>0</v>
      </c>
      <c r="GV10">
        <f>ELEMENT!BF9</f>
        <v>0</v>
      </c>
      <c r="GW10">
        <f>ELEMENT!BO9</f>
        <v>3.032</v>
      </c>
    </row>
    <row r="11" spans="1:205" x14ac:dyDescent="0.2">
      <c r="A11" s="114"/>
      <c r="B11" s="184">
        <f>(ELEMENT!B9)</f>
        <v>0</v>
      </c>
      <c r="C11" s="184">
        <f>SUM(ELEMENT!C9)</f>
        <v>0</v>
      </c>
      <c r="D11" s="184">
        <f>ELEMENT!D9</f>
        <v>0</v>
      </c>
      <c r="E11" s="184">
        <f>ELEMENT!E9</f>
        <v>0</v>
      </c>
      <c r="F11" s="184">
        <f t="shared" si="3"/>
        <v>0</v>
      </c>
      <c r="G11" s="135" t="str">
        <f>ELEMENT!AH9</f>
        <v/>
      </c>
      <c r="H11" s="191" t="str">
        <f>IF(ELEMENT!AO9="","",ELEMENT!AA9*ELEMENT!DQ9)</f>
        <v/>
      </c>
      <c r="I11" s="184">
        <f t="shared" si="4"/>
        <v>0</v>
      </c>
      <c r="J11" s="136">
        <f>ROUND(ELEMENT!DE9,1)</f>
        <v>0</v>
      </c>
      <c r="K11" s="198"/>
      <c r="L11" s="198">
        <f t="shared" si="91"/>
        <v>0</v>
      </c>
      <c r="M11" s="198"/>
      <c r="N11" s="198"/>
      <c r="O11" s="198"/>
      <c r="P11" s="137" t="e">
        <f ca="1">(ROUND((ELEMENT!AC9-ELEMENT!EG9)*$P$2*(1-$H$2)*(1+$E$4),0)+ROUND((ELEMENT!EG9)*$P$2*(1-$H$2)*(1+$E$4),0))</f>
        <v>#VALUE!</v>
      </c>
      <c r="Q11" s="137" t="e">
        <f t="shared" ca="1" si="5"/>
        <v>#VALUE!</v>
      </c>
      <c r="R11" s="138" t="e">
        <f t="shared" ca="1" si="6"/>
        <v>#VALUE!</v>
      </c>
      <c r="S11" s="139" t="e">
        <f t="shared" ca="1" si="7"/>
        <v>#VALUE!</v>
      </c>
      <c r="T11" s="132" t="str">
        <f ca="1">IF(ELEMENT!AC9="","",P11+S11)</f>
        <v/>
      </c>
      <c r="U11" s="132" t="str">
        <f ca="1">IF(ELEMENT!AC9="","",C11*T11)</f>
        <v/>
      </c>
      <c r="V11" s="132" t="str">
        <f>IF(ELEMENT!AW9="JA",ELEMENT!V9,IF(D11+E11=0,"",SUM(T11/ELEMENT!AA9)))</f>
        <v/>
      </c>
      <c r="W11" s="199">
        <f t="shared" si="92"/>
        <v>1</v>
      </c>
      <c r="X11" s="141">
        <f t="shared" si="8"/>
        <v>0</v>
      </c>
      <c r="Y11" s="199" t="s">
        <v>1276</v>
      </c>
      <c r="Z11" s="141">
        <f t="shared" si="9"/>
        <v>0</v>
      </c>
      <c r="AA11" s="199"/>
      <c r="AB11" s="141">
        <f t="shared" si="10"/>
        <v>0</v>
      </c>
      <c r="AC11" s="199"/>
      <c r="AD11" s="141">
        <f t="shared" si="11"/>
        <v>0</v>
      </c>
      <c r="AE11" s="199"/>
      <c r="AF11" s="141">
        <f t="shared" si="12"/>
        <v>0</v>
      </c>
      <c r="AG11" s="199"/>
      <c r="AH11" s="141">
        <f t="shared" si="13"/>
        <v>0</v>
      </c>
      <c r="AI11" s="199"/>
      <c r="AJ11" s="141">
        <f t="shared" si="14"/>
        <v>0</v>
      </c>
      <c r="AK11" s="199"/>
      <c r="AL11" s="141">
        <f t="shared" si="15"/>
        <v>0</v>
      </c>
      <c r="AM11" s="199"/>
      <c r="AN11" s="141">
        <f t="shared" si="16"/>
        <v>0</v>
      </c>
      <c r="AO11" s="199"/>
      <c r="AP11" s="141">
        <f t="shared" si="17"/>
        <v>0</v>
      </c>
      <c r="AQ11" s="199"/>
      <c r="AR11" s="141">
        <f t="shared" si="18"/>
        <v>0</v>
      </c>
      <c r="AS11" s="199"/>
      <c r="AT11" s="141">
        <f t="shared" si="19"/>
        <v>0</v>
      </c>
      <c r="AU11" s="199"/>
      <c r="AV11" s="141">
        <f t="shared" si="20"/>
        <v>0</v>
      </c>
      <c r="AW11" s="199"/>
      <c r="AX11" s="141">
        <f t="shared" si="21"/>
        <v>0</v>
      </c>
      <c r="AY11" s="199"/>
      <c r="AZ11" s="141">
        <f t="shared" si="22"/>
        <v>0</v>
      </c>
      <c r="BA11" s="199"/>
      <c r="BB11" s="141">
        <f t="shared" si="23"/>
        <v>0</v>
      </c>
      <c r="BC11" s="199"/>
      <c r="BD11" s="141">
        <f t="shared" si="24"/>
        <v>0</v>
      </c>
      <c r="BE11" s="199"/>
      <c r="BF11" s="141">
        <f t="shared" si="25"/>
        <v>0</v>
      </c>
      <c r="BG11" s="199"/>
      <c r="BH11" s="141">
        <f t="shared" si="26"/>
        <v>0</v>
      </c>
      <c r="BI11" s="199"/>
      <c r="BJ11" s="141">
        <f t="shared" si="27"/>
        <v>0</v>
      </c>
      <c r="BK11" s="199"/>
      <c r="BL11" s="141">
        <f t="shared" si="28"/>
        <v>0</v>
      </c>
      <c r="BM11" s="199"/>
      <c r="BN11" s="141">
        <f t="shared" si="29"/>
        <v>0</v>
      </c>
      <c r="BO11" s="199"/>
      <c r="BP11" s="141">
        <f t="shared" si="30"/>
        <v>0</v>
      </c>
      <c r="BQ11" s="199"/>
      <c r="BR11" s="141">
        <f t="shared" si="31"/>
        <v>0</v>
      </c>
      <c r="BS11" s="199"/>
      <c r="BT11" s="141">
        <f t="shared" si="32"/>
        <v>0</v>
      </c>
      <c r="BU11" s="199"/>
      <c r="BV11" s="141">
        <f t="shared" si="33"/>
        <v>0</v>
      </c>
      <c r="BW11" s="199"/>
      <c r="BX11" s="141">
        <f t="shared" si="34"/>
        <v>0</v>
      </c>
      <c r="BY11" s="199"/>
      <c r="BZ11" s="141">
        <f t="shared" si="35"/>
        <v>0</v>
      </c>
      <c r="CA11" s="199"/>
      <c r="CB11" s="141">
        <f t="shared" si="36"/>
        <v>0</v>
      </c>
      <c r="CC11" s="199"/>
      <c r="CD11" s="141">
        <f t="shared" si="37"/>
        <v>0</v>
      </c>
      <c r="CE11" s="119"/>
      <c r="CF11" s="119"/>
      <c r="CG11" s="119"/>
      <c r="CH11" s="119"/>
      <c r="CI11" s="119"/>
      <c r="CJ11" s="119"/>
      <c r="CM11">
        <f t="shared" si="38"/>
        <v>0</v>
      </c>
      <c r="CN11" t="str">
        <f ca="1">ELEMENT!AC9</f>
        <v/>
      </c>
      <c r="CO11">
        <f t="shared" ca="1" si="39"/>
        <v>0</v>
      </c>
      <c r="CP11" t="str">
        <f t="shared" ca="1" si="40"/>
        <v/>
      </c>
      <c r="CQ11" t="str">
        <f t="shared" ca="1" si="41"/>
        <v/>
      </c>
      <c r="CR11">
        <f t="shared" ca="1" si="42"/>
        <v>0</v>
      </c>
      <c r="CS11">
        <f t="shared" ca="1" si="43"/>
        <v>0</v>
      </c>
      <c r="CT11">
        <f t="shared" si="44"/>
        <v>0</v>
      </c>
      <c r="CU11" t="str">
        <f t="shared" ca="1" si="45"/>
        <v/>
      </c>
      <c r="CV11">
        <f t="shared" si="46"/>
        <v>0</v>
      </c>
      <c r="CW11">
        <f t="shared" si="47"/>
        <v>0</v>
      </c>
      <c r="CX11">
        <f t="shared" si="48"/>
        <v>0</v>
      </c>
      <c r="CZ11">
        <v>244720</v>
      </c>
      <c r="DA11" t="e">
        <f ca="1">CZ11-U11</f>
        <v>#VALUE!</v>
      </c>
      <c r="DC11" t="str">
        <f t="shared" si="49"/>
        <v/>
      </c>
      <c r="DE11">
        <f t="shared" si="50"/>
        <v>0</v>
      </c>
      <c r="DG11" t="str">
        <f t="shared" si="51"/>
        <v/>
      </c>
      <c r="DI11" t="str">
        <f t="shared" si="52"/>
        <v/>
      </c>
      <c r="DK11" t="str">
        <f t="shared" si="53"/>
        <v/>
      </c>
      <c r="DM11" t="str">
        <f t="shared" si="54"/>
        <v/>
      </c>
      <c r="DO11" t="str">
        <f t="shared" si="55"/>
        <v/>
      </c>
      <c r="DQ11" t="str">
        <f t="shared" si="56"/>
        <v/>
      </c>
      <c r="DS11" t="str">
        <f t="shared" si="57"/>
        <v/>
      </c>
      <c r="DU11" t="str">
        <f t="shared" si="58"/>
        <v/>
      </c>
      <c r="DW11" t="str">
        <f t="shared" si="59"/>
        <v/>
      </c>
      <c r="DY11" t="str">
        <f t="shared" si="60"/>
        <v/>
      </c>
      <c r="EA11" t="str">
        <f t="shared" si="61"/>
        <v/>
      </c>
      <c r="EC11" t="str">
        <f t="shared" si="62"/>
        <v/>
      </c>
      <c r="EE11" t="str">
        <f t="shared" si="63"/>
        <v/>
      </c>
      <c r="EG11" t="str">
        <f t="shared" si="64"/>
        <v/>
      </c>
      <c r="EI11" t="str">
        <f t="shared" si="65"/>
        <v/>
      </c>
      <c r="EK11" t="str">
        <f t="shared" si="66"/>
        <v/>
      </c>
      <c r="EM11" t="str">
        <f t="shared" si="67"/>
        <v/>
      </c>
      <c r="EO11" t="str">
        <f t="shared" si="68"/>
        <v/>
      </c>
      <c r="EQ11" t="str">
        <f t="shared" si="69"/>
        <v/>
      </c>
      <c r="ES11" t="str">
        <f t="shared" si="70"/>
        <v/>
      </c>
      <c r="EU11" t="str">
        <f t="shared" si="71"/>
        <v/>
      </c>
      <c r="EW11" t="str">
        <f t="shared" si="72"/>
        <v/>
      </c>
      <c r="EY11" t="str">
        <f t="shared" si="73"/>
        <v/>
      </c>
      <c r="FA11" t="str">
        <f t="shared" si="74"/>
        <v/>
      </c>
      <c r="FC11" t="str">
        <f t="shared" si="75"/>
        <v/>
      </c>
      <c r="FE11" t="str">
        <f t="shared" si="76"/>
        <v/>
      </c>
      <c r="FG11" t="str">
        <f t="shared" si="77"/>
        <v/>
      </c>
      <c r="FI11" t="str">
        <f t="shared" si="78"/>
        <v/>
      </c>
      <c r="FL11" t="str">
        <f t="shared" si="79"/>
        <v/>
      </c>
      <c r="FM11" t="e">
        <f t="shared" ca="1" si="80"/>
        <v>#VALUE!</v>
      </c>
      <c r="FN11">
        <v>130590</v>
      </c>
      <c r="FO11">
        <f>ROUND((ELEMENT!EH9*(1-$H$2)*(1+$E$4)),0)*C11</f>
        <v>0</v>
      </c>
      <c r="FP11">
        <f t="shared" si="81"/>
        <v>0</v>
      </c>
      <c r="FQ11">
        <f t="shared" si="82"/>
        <v>0</v>
      </c>
      <c r="FR11">
        <f t="shared" si="83"/>
        <v>0</v>
      </c>
      <c r="FS11" t="str">
        <f>IF(ELEMENT!AO9="","",H11*C11)</f>
        <v/>
      </c>
      <c r="FT11">
        <f t="shared" si="84"/>
        <v>0</v>
      </c>
      <c r="FU11">
        <f t="shared" si="85"/>
        <v>0</v>
      </c>
      <c r="FV11">
        <f t="shared" si="86"/>
        <v>2.5499999999999998</v>
      </c>
      <c r="FW11">
        <f t="shared" si="87"/>
        <v>4.66</v>
      </c>
      <c r="FX11">
        <f t="shared" si="88"/>
        <v>0.36</v>
      </c>
      <c r="FY11">
        <f>ELEMENT!AR9</f>
        <v>2</v>
      </c>
      <c r="FZ11">
        <f>ELEMENT!L9</f>
        <v>1</v>
      </c>
      <c r="GA11">
        <f>ELEMENT!M9</f>
        <v>1</v>
      </c>
      <c r="GB11">
        <f>ELEMENT!N9</f>
        <v>2</v>
      </c>
      <c r="GC11">
        <f>ELEMENT!O9</f>
        <v>0</v>
      </c>
      <c r="GD11">
        <f t="shared" si="89"/>
        <v>0</v>
      </c>
      <c r="GE11">
        <f>IF(GI11=ELEMENT!$CJ$59,$GW$8,
IF(GI11=ELEMENT!$CK$59,$GW$16,
IF(GI11=ELEMENT!$CL$59,$GW$24,)))</f>
        <v>4.0999999999999996</v>
      </c>
      <c r="GF11">
        <f>IF(GI11=ELEMENT!$CJ$59,$GW$9,
IF(GI11=ELEMENT!$CK$59,$GW$17,
IF(GI11=ELEMENT!$CL$59,$GW$25,)))</f>
        <v>1.2869999999999999</v>
      </c>
      <c r="GG11">
        <f>IF(GI11=ELEMENT!$CJ$59,$GW$10,
IF(GI11=ELEMENT!$CK$59,$GW$18,
IF(GI11=ELEMENT!$CL$59,$GW$26,)))</f>
        <v>3.032</v>
      </c>
      <c r="GH11">
        <f>IF(GI11=ELEMENT!$CJ$59,$GW$12,
IF(GI11=ELEMENT!$CK$59,$GW$20,
IF(GI11=ELEMENT!$CL$59,$GW$28,)))</f>
        <v>1.87</v>
      </c>
      <c r="GI11">
        <f>ELEMENT!G9</f>
        <v>0</v>
      </c>
      <c r="GJ11">
        <f>ELEMENT!BD9</f>
        <v>0</v>
      </c>
      <c r="GL11">
        <f>ELEMENT!R9</f>
        <v>0</v>
      </c>
      <c r="GM11">
        <f>ELEMENT!S9</f>
        <v>0</v>
      </c>
      <c r="GN11">
        <f>ELEMENT!T9</f>
        <v>0</v>
      </c>
      <c r="GP11">
        <f>ELEMENT!AU9</f>
        <v>0</v>
      </c>
      <c r="GQ11">
        <f>ELEMENT!AY9</f>
        <v>0</v>
      </c>
      <c r="GR11">
        <f t="shared" si="90"/>
        <v>0</v>
      </c>
      <c r="GS11">
        <f>ELEMENT!BE9</f>
        <v>0</v>
      </c>
      <c r="GV11">
        <f>ELEMENT!BF10</f>
        <v>0</v>
      </c>
      <c r="GW11">
        <f>ELEMENT!BO10</f>
        <v>0</v>
      </c>
    </row>
    <row r="12" spans="1:205" x14ac:dyDescent="0.2">
      <c r="A12" s="114"/>
      <c r="B12" s="184">
        <f>(ELEMENT!B10)</f>
        <v>0</v>
      </c>
      <c r="C12" s="184">
        <f>SUM(ELEMENT!C10)</f>
        <v>0</v>
      </c>
      <c r="D12" s="184">
        <f>ELEMENT!D10</f>
        <v>0</v>
      </c>
      <c r="E12" s="184">
        <f>ELEMENT!E10</f>
        <v>0</v>
      </c>
      <c r="F12" s="184">
        <f t="shared" si="3"/>
        <v>0</v>
      </c>
      <c r="G12" s="135" t="str">
        <f>ELEMENT!AH10</f>
        <v/>
      </c>
      <c r="H12" s="191" t="str">
        <f>IF(ELEMENT!AO10="","",ELEMENT!AA10*ELEMENT!DQ10)</f>
        <v/>
      </c>
      <c r="I12" s="184">
        <f t="shared" si="4"/>
        <v>0</v>
      </c>
      <c r="J12" s="136">
        <f>ROUND(ELEMENT!DE10,1)</f>
        <v>0</v>
      </c>
      <c r="K12" s="198"/>
      <c r="L12" s="198">
        <f t="shared" si="91"/>
        <v>0</v>
      </c>
      <c r="M12" s="198"/>
      <c r="N12" s="198"/>
      <c r="O12" s="198"/>
      <c r="P12" s="137" t="e">
        <f ca="1">(ROUND((ELEMENT!AC10-ELEMENT!EG10)*$P$2*(1-$H$2)*(1+$E$4),0)+ROUND((ELEMENT!EG10)*$P$2*(1-$H$2)*(1+$E$4),0))</f>
        <v>#VALUE!</v>
      </c>
      <c r="Q12" s="137" t="e">
        <f t="shared" ca="1" si="5"/>
        <v>#VALUE!</v>
      </c>
      <c r="R12" s="138" t="e">
        <f t="shared" ca="1" si="6"/>
        <v>#VALUE!</v>
      </c>
      <c r="S12" s="139" t="e">
        <f t="shared" ca="1" si="7"/>
        <v>#VALUE!</v>
      </c>
      <c r="T12" s="132" t="str">
        <f ca="1">IF(ELEMENT!AC10="","",P12+S12)</f>
        <v/>
      </c>
      <c r="U12" s="132" t="str">
        <f ca="1">IF(ELEMENT!AC10="","",C12*T12)</f>
        <v/>
      </c>
      <c r="V12" s="132" t="str">
        <f>IF(ELEMENT!AW10="JA",ELEMENT!V10,IF(D12+E12=0,"",SUM(T12/ELEMENT!AA10)))</f>
        <v/>
      </c>
      <c r="W12" s="199">
        <f t="shared" si="92"/>
        <v>1</v>
      </c>
      <c r="X12" s="141">
        <f t="shared" si="8"/>
        <v>0</v>
      </c>
      <c r="Y12" s="199" t="s">
        <v>1276</v>
      </c>
      <c r="Z12" s="141">
        <f t="shared" si="9"/>
        <v>0</v>
      </c>
      <c r="AA12" s="199"/>
      <c r="AB12" s="141">
        <f t="shared" si="10"/>
        <v>0</v>
      </c>
      <c r="AC12" s="199"/>
      <c r="AD12" s="141">
        <f t="shared" si="11"/>
        <v>0</v>
      </c>
      <c r="AE12" s="199"/>
      <c r="AF12" s="141">
        <f t="shared" si="12"/>
        <v>0</v>
      </c>
      <c r="AG12" s="199"/>
      <c r="AH12" s="141">
        <f t="shared" si="13"/>
        <v>0</v>
      </c>
      <c r="AI12" s="199"/>
      <c r="AJ12" s="141">
        <f t="shared" si="14"/>
        <v>0</v>
      </c>
      <c r="AK12" s="199"/>
      <c r="AL12" s="141">
        <f t="shared" si="15"/>
        <v>0</v>
      </c>
      <c r="AM12" s="199"/>
      <c r="AN12" s="141">
        <f t="shared" si="16"/>
        <v>0</v>
      </c>
      <c r="AO12" s="199"/>
      <c r="AP12" s="141">
        <f t="shared" si="17"/>
        <v>0</v>
      </c>
      <c r="AQ12" s="199"/>
      <c r="AR12" s="141">
        <f t="shared" si="18"/>
        <v>0</v>
      </c>
      <c r="AS12" s="199"/>
      <c r="AT12" s="141">
        <f t="shared" si="19"/>
        <v>0</v>
      </c>
      <c r="AU12" s="199"/>
      <c r="AV12" s="141">
        <f t="shared" si="20"/>
        <v>0</v>
      </c>
      <c r="AW12" s="199"/>
      <c r="AX12" s="141">
        <f t="shared" si="21"/>
        <v>0</v>
      </c>
      <c r="AY12" s="199"/>
      <c r="AZ12" s="141">
        <f t="shared" si="22"/>
        <v>0</v>
      </c>
      <c r="BA12" s="199"/>
      <c r="BB12" s="141">
        <f t="shared" si="23"/>
        <v>0</v>
      </c>
      <c r="BC12" s="199"/>
      <c r="BD12" s="141">
        <f t="shared" si="24"/>
        <v>0</v>
      </c>
      <c r="BE12" s="199"/>
      <c r="BF12" s="141">
        <f t="shared" si="25"/>
        <v>0</v>
      </c>
      <c r="BG12" s="199"/>
      <c r="BH12" s="141">
        <f t="shared" si="26"/>
        <v>0</v>
      </c>
      <c r="BI12" s="199"/>
      <c r="BJ12" s="141">
        <f t="shared" si="27"/>
        <v>0</v>
      </c>
      <c r="BK12" s="199"/>
      <c r="BL12" s="141">
        <f t="shared" si="28"/>
        <v>0</v>
      </c>
      <c r="BM12" s="199"/>
      <c r="BN12" s="141">
        <f t="shared" si="29"/>
        <v>0</v>
      </c>
      <c r="BO12" s="199"/>
      <c r="BP12" s="141">
        <f t="shared" si="30"/>
        <v>0</v>
      </c>
      <c r="BQ12" s="199"/>
      <c r="BR12" s="141">
        <f t="shared" si="31"/>
        <v>0</v>
      </c>
      <c r="BS12" s="199"/>
      <c r="BT12" s="141">
        <f t="shared" si="32"/>
        <v>0</v>
      </c>
      <c r="BU12" s="199"/>
      <c r="BV12" s="141">
        <f t="shared" si="33"/>
        <v>0</v>
      </c>
      <c r="BW12" s="199"/>
      <c r="BX12" s="141">
        <f t="shared" si="34"/>
        <v>0</v>
      </c>
      <c r="BY12" s="199"/>
      <c r="BZ12" s="141">
        <f t="shared" si="35"/>
        <v>0</v>
      </c>
      <c r="CA12" s="199"/>
      <c r="CB12" s="141">
        <f t="shared" si="36"/>
        <v>0</v>
      </c>
      <c r="CC12" s="199"/>
      <c r="CD12" s="141">
        <f t="shared" si="37"/>
        <v>0</v>
      </c>
      <c r="CE12" s="119"/>
      <c r="CF12" s="119"/>
      <c r="CG12" s="119"/>
      <c r="CH12" s="119"/>
      <c r="CI12" s="119"/>
      <c r="CJ12" s="119"/>
      <c r="CM12">
        <f t="shared" si="38"/>
        <v>0</v>
      </c>
      <c r="CN12" t="str">
        <f ca="1">ELEMENT!AC10</f>
        <v/>
      </c>
      <c r="CO12">
        <f t="shared" ca="1" si="39"/>
        <v>0</v>
      </c>
      <c r="CP12" t="str">
        <f t="shared" ca="1" si="40"/>
        <v/>
      </c>
      <c r="CQ12" t="str">
        <f t="shared" ca="1" si="41"/>
        <v/>
      </c>
      <c r="CR12">
        <f t="shared" ca="1" si="42"/>
        <v>0</v>
      </c>
      <c r="CS12">
        <f t="shared" ca="1" si="43"/>
        <v>0</v>
      </c>
      <c r="CT12">
        <f t="shared" si="44"/>
        <v>0</v>
      </c>
      <c r="CU12" t="str">
        <f t="shared" ca="1" si="45"/>
        <v/>
      </c>
      <c r="CV12">
        <f t="shared" si="46"/>
        <v>0</v>
      </c>
      <c r="CW12">
        <f t="shared" si="47"/>
        <v>0</v>
      </c>
      <c r="CX12">
        <f t="shared" si="48"/>
        <v>0</v>
      </c>
      <c r="CZ12">
        <v>0</v>
      </c>
      <c r="DC12" t="str">
        <f t="shared" si="49"/>
        <v/>
      </c>
      <c r="DE12">
        <f t="shared" si="50"/>
        <v>0</v>
      </c>
      <c r="DG12" t="str">
        <f t="shared" si="51"/>
        <v/>
      </c>
      <c r="DI12" t="str">
        <f t="shared" si="52"/>
        <v/>
      </c>
      <c r="DK12" t="str">
        <f t="shared" si="53"/>
        <v/>
      </c>
      <c r="DM12" t="str">
        <f t="shared" si="54"/>
        <v/>
      </c>
      <c r="DO12" t="str">
        <f t="shared" si="55"/>
        <v/>
      </c>
      <c r="DQ12" t="str">
        <f t="shared" si="56"/>
        <v/>
      </c>
      <c r="DS12" t="str">
        <f t="shared" si="57"/>
        <v/>
      </c>
      <c r="DU12" t="str">
        <f t="shared" si="58"/>
        <v/>
      </c>
      <c r="DW12" t="str">
        <f t="shared" si="59"/>
        <v/>
      </c>
      <c r="DY12" t="str">
        <f t="shared" si="60"/>
        <v/>
      </c>
      <c r="EA12" t="str">
        <f t="shared" si="61"/>
        <v/>
      </c>
      <c r="EC12" t="str">
        <f t="shared" si="62"/>
        <v/>
      </c>
      <c r="EE12" t="str">
        <f t="shared" si="63"/>
        <v/>
      </c>
      <c r="EG12" t="str">
        <f t="shared" si="64"/>
        <v/>
      </c>
      <c r="EI12" t="str">
        <f t="shared" si="65"/>
        <v/>
      </c>
      <c r="EK12" t="str">
        <f t="shared" si="66"/>
        <v/>
      </c>
      <c r="EM12" t="str">
        <f t="shared" si="67"/>
        <v/>
      </c>
      <c r="EO12" t="str">
        <f t="shared" si="68"/>
        <v/>
      </c>
      <c r="EQ12" t="str">
        <f t="shared" si="69"/>
        <v/>
      </c>
      <c r="ES12" t="str">
        <f t="shared" si="70"/>
        <v/>
      </c>
      <c r="EU12" t="str">
        <f t="shared" si="71"/>
        <v/>
      </c>
      <c r="EW12" t="str">
        <f t="shared" si="72"/>
        <v/>
      </c>
      <c r="EY12" t="str">
        <f t="shared" si="73"/>
        <v/>
      </c>
      <c r="FA12" t="str">
        <f t="shared" si="74"/>
        <v/>
      </c>
      <c r="FC12" t="str">
        <f t="shared" si="75"/>
        <v/>
      </c>
      <c r="FE12" t="str">
        <f t="shared" si="76"/>
        <v/>
      </c>
      <c r="FG12" t="str">
        <f t="shared" si="77"/>
        <v/>
      </c>
      <c r="FI12" t="str">
        <f t="shared" si="78"/>
        <v/>
      </c>
      <c r="FL12" t="str">
        <f t="shared" si="79"/>
        <v/>
      </c>
      <c r="FM12" t="e">
        <f t="shared" ca="1" si="80"/>
        <v>#VALUE!</v>
      </c>
      <c r="FN12">
        <v>130590</v>
      </c>
      <c r="FO12">
        <f>ROUND((ELEMENT!EH10*(1-$H$2)*(1+$E$4)),0)*C12</f>
        <v>0</v>
      </c>
      <c r="FP12">
        <f t="shared" si="81"/>
        <v>0</v>
      </c>
      <c r="FQ12">
        <f t="shared" si="82"/>
        <v>0</v>
      </c>
      <c r="FR12">
        <f t="shared" si="83"/>
        <v>0</v>
      </c>
      <c r="FS12" t="str">
        <f>IF(ELEMENT!AO10="","",H12*C12)</f>
        <v/>
      </c>
      <c r="FT12">
        <f t="shared" si="84"/>
        <v>0</v>
      </c>
      <c r="FU12">
        <f t="shared" si="85"/>
        <v>0</v>
      </c>
      <c r="FV12">
        <f t="shared" si="86"/>
        <v>2.5499999999999998</v>
      </c>
      <c r="FW12">
        <f t="shared" si="87"/>
        <v>4.66</v>
      </c>
      <c r="FX12">
        <f t="shared" si="88"/>
        <v>0.36</v>
      </c>
      <c r="FY12">
        <f>ELEMENT!AR10</f>
        <v>2</v>
      </c>
      <c r="FZ12">
        <f>ELEMENT!L10</f>
        <v>1</v>
      </c>
      <c r="GA12">
        <f>ELEMENT!M10</f>
        <v>1</v>
      </c>
      <c r="GB12">
        <f>ELEMENT!N10</f>
        <v>2</v>
      </c>
      <c r="GC12">
        <f>ELEMENT!O10</f>
        <v>0</v>
      </c>
      <c r="GD12">
        <f t="shared" si="89"/>
        <v>0</v>
      </c>
      <c r="GE12">
        <f>IF(GI12=ELEMENT!$CJ$59,$GW$8,
IF(GI12=ELEMENT!$CK$59,$GW$16,
IF(GI12=ELEMENT!$CL$59,$GW$24,)))</f>
        <v>4.0999999999999996</v>
      </c>
      <c r="GF12">
        <f>IF(GI12=ELEMENT!$CJ$59,$GW$9,
IF(GI12=ELEMENT!$CK$59,$GW$17,
IF(GI12=ELEMENT!$CL$59,$GW$25,)))</f>
        <v>1.2869999999999999</v>
      </c>
      <c r="GG12">
        <f>IF(GI12=ELEMENT!$CJ$59,$GW$10,
IF(GI12=ELEMENT!$CK$59,$GW$18,
IF(GI12=ELEMENT!$CL$59,$GW$26,)))</f>
        <v>3.032</v>
      </c>
      <c r="GH12">
        <f>IF(GI12=ELEMENT!$CJ$59,$GW$12,
IF(GI12=ELEMENT!$CK$59,$GW$20,
IF(GI12=ELEMENT!$CL$59,$GW$28,)))</f>
        <v>1.87</v>
      </c>
      <c r="GI12">
        <f>ELEMENT!G10</f>
        <v>0</v>
      </c>
      <c r="GJ12">
        <f>ELEMENT!BD10</f>
        <v>0</v>
      </c>
      <c r="GL12">
        <f>ELEMENT!R10</f>
        <v>0</v>
      </c>
      <c r="GM12">
        <f>ELEMENT!S10</f>
        <v>0</v>
      </c>
      <c r="GN12">
        <f>ELEMENT!T10</f>
        <v>0</v>
      </c>
      <c r="GP12">
        <f>ELEMENT!AU10</f>
        <v>0</v>
      </c>
      <c r="GQ12">
        <f>ELEMENT!AY10</f>
        <v>0</v>
      </c>
      <c r="GR12">
        <f t="shared" si="90"/>
        <v>0</v>
      </c>
      <c r="GS12">
        <f>ELEMENT!BE10</f>
        <v>0</v>
      </c>
      <c r="GV12">
        <f>ELEMENT!BF11</f>
        <v>0</v>
      </c>
      <c r="GW12">
        <f>ELEMENT!BO11</f>
        <v>1.87</v>
      </c>
    </row>
    <row r="13" spans="1:205" x14ac:dyDescent="0.2">
      <c r="A13" s="114"/>
      <c r="B13" s="184">
        <f>(ELEMENT!B11)</f>
        <v>0</v>
      </c>
      <c r="C13" s="184">
        <f>SUM(ELEMENT!C11)</f>
        <v>0</v>
      </c>
      <c r="D13" s="184">
        <f>ELEMENT!D11</f>
        <v>0</v>
      </c>
      <c r="E13" s="184">
        <f>ELEMENT!E11</f>
        <v>0</v>
      </c>
      <c r="F13" s="184">
        <f t="shared" si="3"/>
        <v>0</v>
      </c>
      <c r="G13" s="135" t="str">
        <f>ELEMENT!AH11</f>
        <v/>
      </c>
      <c r="H13" s="191" t="str">
        <f>IF(ELEMENT!AO11="","",ELEMENT!AA11*ELEMENT!DQ11)</f>
        <v/>
      </c>
      <c r="I13" s="184">
        <f t="shared" si="4"/>
        <v>0</v>
      </c>
      <c r="J13" s="136">
        <f>ROUND(ELEMENT!DE11,1)</f>
        <v>0</v>
      </c>
      <c r="K13" s="198"/>
      <c r="L13" s="198">
        <f t="shared" si="91"/>
        <v>0</v>
      </c>
      <c r="M13" s="198"/>
      <c r="N13" s="198"/>
      <c r="O13" s="198"/>
      <c r="P13" s="137" t="e">
        <f ca="1">(ROUND((ELEMENT!AC11-ELEMENT!EG11)*$P$2*(1-$H$2)*(1+$E$4),0)+ROUND((ELEMENT!EG11)*$P$2*(1-$H$2)*(1+$E$4),0))</f>
        <v>#VALUE!</v>
      </c>
      <c r="Q13" s="137" t="e">
        <f t="shared" ca="1" si="5"/>
        <v>#VALUE!</v>
      </c>
      <c r="R13" s="138" t="e">
        <f t="shared" ca="1" si="6"/>
        <v>#VALUE!</v>
      </c>
      <c r="S13" s="139" t="e">
        <f t="shared" ca="1" si="7"/>
        <v>#VALUE!</v>
      </c>
      <c r="T13" s="132" t="str">
        <f ca="1">IF(ELEMENT!AC11="","",P13+S13)</f>
        <v/>
      </c>
      <c r="U13" s="132" t="str">
        <f ca="1">IF(ELEMENT!AC11="","",C13*T13)</f>
        <v/>
      </c>
      <c r="V13" s="132" t="str">
        <f>IF(ELEMENT!AW11="JA",ELEMENT!V11,IF(D13+E13=0,"",SUM(T13/ELEMENT!AA11)))</f>
        <v/>
      </c>
      <c r="W13" s="199">
        <f t="shared" si="92"/>
        <v>1</v>
      </c>
      <c r="X13" s="141">
        <f t="shared" si="8"/>
        <v>0</v>
      </c>
      <c r="Y13" s="199" t="s">
        <v>1276</v>
      </c>
      <c r="Z13" s="141">
        <f t="shared" si="9"/>
        <v>0</v>
      </c>
      <c r="AA13" s="199"/>
      <c r="AB13" s="141">
        <f t="shared" si="10"/>
        <v>0</v>
      </c>
      <c r="AC13" s="199"/>
      <c r="AD13" s="141">
        <f t="shared" si="11"/>
        <v>0</v>
      </c>
      <c r="AE13" s="199"/>
      <c r="AF13" s="141">
        <f t="shared" si="12"/>
        <v>0</v>
      </c>
      <c r="AG13" s="199"/>
      <c r="AH13" s="141">
        <f t="shared" si="13"/>
        <v>0</v>
      </c>
      <c r="AI13" s="199"/>
      <c r="AJ13" s="141">
        <f t="shared" si="14"/>
        <v>0</v>
      </c>
      <c r="AK13" s="199"/>
      <c r="AL13" s="141">
        <f t="shared" si="15"/>
        <v>0</v>
      </c>
      <c r="AM13" s="199"/>
      <c r="AN13" s="141">
        <f t="shared" si="16"/>
        <v>0</v>
      </c>
      <c r="AO13" s="199"/>
      <c r="AP13" s="141">
        <f t="shared" si="17"/>
        <v>0</v>
      </c>
      <c r="AQ13" s="199"/>
      <c r="AR13" s="141">
        <f t="shared" si="18"/>
        <v>0</v>
      </c>
      <c r="AS13" s="199"/>
      <c r="AT13" s="141">
        <f t="shared" si="19"/>
        <v>0</v>
      </c>
      <c r="AU13" s="199"/>
      <c r="AV13" s="141">
        <f t="shared" si="20"/>
        <v>0</v>
      </c>
      <c r="AW13" s="199"/>
      <c r="AX13" s="141">
        <f t="shared" si="21"/>
        <v>0</v>
      </c>
      <c r="AY13" s="199"/>
      <c r="AZ13" s="141">
        <f t="shared" si="22"/>
        <v>0</v>
      </c>
      <c r="BA13" s="199"/>
      <c r="BB13" s="141">
        <f t="shared" si="23"/>
        <v>0</v>
      </c>
      <c r="BC13" s="199"/>
      <c r="BD13" s="141">
        <f t="shared" si="24"/>
        <v>0</v>
      </c>
      <c r="BE13" s="199"/>
      <c r="BF13" s="141">
        <f t="shared" si="25"/>
        <v>0</v>
      </c>
      <c r="BG13" s="199"/>
      <c r="BH13" s="141">
        <f t="shared" si="26"/>
        <v>0</v>
      </c>
      <c r="BI13" s="199"/>
      <c r="BJ13" s="141">
        <f t="shared" si="27"/>
        <v>0</v>
      </c>
      <c r="BK13" s="199"/>
      <c r="BL13" s="141">
        <f t="shared" si="28"/>
        <v>0</v>
      </c>
      <c r="BM13" s="199"/>
      <c r="BN13" s="141">
        <f t="shared" si="29"/>
        <v>0</v>
      </c>
      <c r="BO13" s="199"/>
      <c r="BP13" s="141">
        <f t="shared" si="30"/>
        <v>0</v>
      </c>
      <c r="BQ13" s="199"/>
      <c r="BR13" s="141">
        <f t="shared" si="31"/>
        <v>0</v>
      </c>
      <c r="BS13" s="199"/>
      <c r="BT13" s="141">
        <f t="shared" si="32"/>
        <v>0</v>
      </c>
      <c r="BU13" s="199"/>
      <c r="BV13" s="141">
        <f t="shared" si="33"/>
        <v>0</v>
      </c>
      <c r="BW13" s="199"/>
      <c r="BX13" s="141">
        <f t="shared" si="34"/>
        <v>0</v>
      </c>
      <c r="BY13" s="199"/>
      <c r="BZ13" s="141">
        <f t="shared" si="35"/>
        <v>0</v>
      </c>
      <c r="CA13" s="199"/>
      <c r="CB13" s="141">
        <f t="shared" si="36"/>
        <v>0</v>
      </c>
      <c r="CC13" s="199"/>
      <c r="CD13" s="141">
        <f t="shared" si="37"/>
        <v>0</v>
      </c>
      <c r="CE13" s="119"/>
      <c r="CF13" s="119"/>
      <c r="CG13" s="119"/>
      <c r="CH13" s="119"/>
      <c r="CI13" s="119"/>
      <c r="CJ13" s="119"/>
      <c r="CM13">
        <f t="shared" si="38"/>
        <v>0</v>
      </c>
      <c r="CN13" t="str">
        <f ca="1">ELEMENT!AC11</f>
        <v/>
      </c>
      <c r="CO13">
        <f t="shared" ca="1" si="39"/>
        <v>0</v>
      </c>
      <c r="CP13" t="str">
        <f t="shared" ca="1" si="40"/>
        <v/>
      </c>
      <c r="CQ13" t="str">
        <f t="shared" ca="1" si="41"/>
        <v/>
      </c>
      <c r="CR13">
        <f t="shared" ca="1" si="42"/>
        <v>0</v>
      </c>
      <c r="CS13">
        <f t="shared" ca="1" si="43"/>
        <v>0</v>
      </c>
      <c r="CT13">
        <f t="shared" si="44"/>
        <v>0</v>
      </c>
      <c r="CU13" t="str">
        <f t="shared" ca="1" si="45"/>
        <v/>
      </c>
      <c r="CV13">
        <f t="shared" si="46"/>
        <v>0</v>
      </c>
      <c r="CW13">
        <f t="shared" si="47"/>
        <v>0</v>
      </c>
      <c r="CX13">
        <f t="shared" si="48"/>
        <v>0</v>
      </c>
      <c r="DC13" t="str">
        <f t="shared" si="49"/>
        <v/>
      </c>
      <c r="DE13">
        <f t="shared" si="50"/>
        <v>0</v>
      </c>
      <c r="DG13" t="str">
        <f t="shared" si="51"/>
        <v/>
      </c>
      <c r="DI13" t="str">
        <f t="shared" si="52"/>
        <v/>
      </c>
      <c r="DK13" t="str">
        <f t="shared" si="53"/>
        <v/>
      </c>
      <c r="DM13" t="str">
        <f t="shared" si="54"/>
        <v/>
      </c>
      <c r="DO13" t="str">
        <f t="shared" si="55"/>
        <v/>
      </c>
      <c r="DQ13" t="str">
        <f t="shared" si="56"/>
        <v/>
      </c>
      <c r="DS13" t="str">
        <f t="shared" si="57"/>
        <v/>
      </c>
      <c r="DU13" t="str">
        <f t="shared" si="58"/>
        <v/>
      </c>
      <c r="DW13" t="str">
        <f t="shared" si="59"/>
        <v/>
      </c>
      <c r="DY13" t="str">
        <f t="shared" si="60"/>
        <v/>
      </c>
      <c r="EA13" t="str">
        <f t="shared" si="61"/>
        <v/>
      </c>
      <c r="EC13" t="str">
        <f t="shared" si="62"/>
        <v/>
      </c>
      <c r="EE13" t="str">
        <f t="shared" si="63"/>
        <v/>
      </c>
      <c r="EG13" t="str">
        <f t="shared" si="64"/>
        <v/>
      </c>
      <c r="EI13" t="str">
        <f t="shared" si="65"/>
        <v/>
      </c>
      <c r="EK13" t="str">
        <f t="shared" si="66"/>
        <v/>
      </c>
      <c r="EM13" t="str">
        <f t="shared" si="67"/>
        <v/>
      </c>
      <c r="EO13" t="str">
        <f t="shared" si="68"/>
        <v/>
      </c>
      <c r="EQ13" t="str">
        <f t="shared" si="69"/>
        <v/>
      </c>
      <c r="ES13" t="str">
        <f t="shared" si="70"/>
        <v/>
      </c>
      <c r="EU13" t="str">
        <f t="shared" si="71"/>
        <v/>
      </c>
      <c r="EW13" t="str">
        <f t="shared" si="72"/>
        <v/>
      </c>
      <c r="EY13" t="str">
        <f t="shared" si="73"/>
        <v/>
      </c>
      <c r="FA13" t="str">
        <f t="shared" si="74"/>
        <v/>
      </c>
      <c r="FC13" t="str">
        <f t="shared" si="75"/>
        <v/>
      </c>
      <c r="FE13" t="str">
        <f t="shared" si="76"/>
        <v/>
      </c>
      <c r="FG13" t="str">
        <f t="shared" si="77"/>
        <v/>
      </c>
      <c r="FI13" t="str">
        <f t="shared" si="78"/>
        <v/>
      </c>
      <c r="FL13" t="str">
        <f t="shared" si="79"/>
        <v/>
      </c>
      <c r="FM13" t="e">
        <f t="shared" ca="1" si="80"/>
        <v>#VALUE!</v>
      </c>
      <c r="FN13">
        <v>130590</v>
      </c>
      <c r="FO13">
        <f>ROUND((ELEMENT!EH11*(1-$H$2)*(1+$E$4)),0)*C13</f>
        <v>0</v>
      </c>
      <c r="FP13">
        <f t="shared" si="81"/>
        <v>0</v>
      </c>
      <c r="FQ13">
        <f t="shared" si="82"/>
        <v>0</v>
      </c>
      <c r="FR13">
        <f t="shared" si="83"/>
        <v>0</v>
      </c>
      <c r="FS13" t="str">
        <f>IF(ELEMENT!AO11="","",H13*C13)</f>
        <v/>
      </c>
      <c r="FT13">
        <f t="shared" si="84"/>
        <v>0</v>
      </c>
      <c r="FU13">
        <f t="shared" si="85"/>
        <v>0</v>
      </c>
      <c r="FV13">
        <f t="shared" si="86"/>
        <v>2.5499999999999998</v>
      </c>
      <c r="FW13">
        <f t="shared" si="87"/>
        <v>4.66</v>
      </c>
      <c r="FX13">
        <f t="shared" si="88"/>
        <v>0.36</v>
      </c>
      <c r="FY13">
        <f>ELEMENT!AR11</f>
        <v>2</v>
      </c>
      <c r="FZ13">
        <f>ELEMENT!L11</f>
        <v>1</v>
      </c>
      <c r="GA13">
        <f>ELEMENT!M11</f>
        <v>1</v>
      </c>
      <c r="GB13">
        <f>ELEMENT!N11</f>
        <v>2</v>
      </c>
      <c r="GC13">
        <f>ELEMENT!O11</f>
        <v>0</v>
      </c>
      <c r="GD13">
        <f t="shared" si="89"/>
        <v>0</v>
      </c>
      <c r="GE13">
        <f>IF(GI13=ELEMENT!$CJ$59,$GW$8,
IF(GI13=ELEMENT!$CK$59,$GW$16,
IF(GI13=ELEMENT!$CL$59,$GW$24,)))</f>
        <v>4.0999999999999996</v>
      </c>
      <c r="GF13">
        <f>IF(GI13=ELEMENT!$CJ$59,$GW$9,
IF(GI13=ELEMENT!$CK$59,$GW$17,
IF(GI13=ELEMENT!$CL$59,$GW$25,)))</f>
        <v>1.2869999999999999</v>
      </c>
      <c r="GG13">
        <f>IF(GI13=ELEMENT!$CJ$59,$GW$10,
IF(GI13=ELEMENT!$CK$59,$GW$18,
IF(GI13=ELEMENT!$CL$59,$GW$26,)))</f>
        <v>3.032</v>
      </c>
      <c r="GH13">
        <f>IF(GI13=ELEMENT!$CJ$59,$GW$12,
IF(GI13=ELEMENT!$CK$59,$GW$20,
IF(GI13=ELEMENT!$CL$59,$GW$28,)))</f>
        <v>1.87</v>
      </c>
      <c r="GI13">
        <f>ELEMENT!G11</f>
        <v>0</v>
      </c>
      <c r="GJ13">
        <f>ELEMENT!BD11</f>
        <v>0</v>
      </c>
      <c r="GL13">
        <f>ELEMENT!R11</f>
        <v>0</v>
      </c>
      <c r="GM13">
        <f>ELEMENT!S11</f>
        <v>0</v>
      </c>
      <c r="GN13">
        <f>ELEMENT!T11</f>
        <v>0</v>
      </c>
      <c r="GP13">
        <f>ELEMENT!AU11</f>
        <v>0</v>
      </c>
      <c r="GQ13">
        <f>ELEMENT!AY11</f>
        <v>0</v>
      </c>
      <c r="GR13">
        <f t="shared" si="90"/>
        <v>0</v>
      </c>
      <c r="GS13">
        <f>ELEMENT!BE11</f>
        <v>0</v>
      </c>
      <c r="GV13">
        <f>ELEMENT!BF12</f>
        <v>0</v>
      </c>
      <c r="GW13">
        <f>ELEMENT!BO12</f>
        <v>0</v>
      </c>
    </row>
    <row r="14" spans="1:205" x14ac:dyDescent="0.2">
      <c r="A14" s="114"/>
      <c r="B14" s="184">
        <f>(ELEMENT!B12)</f>
        <v>0</v>
      </c>
      <c r="C14" s="184">
        <f>SUM(ELEMENT!C12)</f>
        <v>0</v>
      </c>
      <c r="D14" s="184">
        <f>ELEMENT!D12</f>
        <v>0</v>
      </c>
      <c r="E14" s="184">
        <f>ELEMENT!E12</f>
        <v>0</v>
      </c>
      <c r="F14" s="184">
        <f t="shared" ref="F14:F47" si="93">D14*E14/1000000</f>
        <v>0</v>
      </c>
      <c r="G14" s="135" t="str">
        <f>ELEMENT!AH12</f>
        <v/>
      </c>
      <c r="H14" s="191" t="str">
        <f>IF(ELEMENT!AO12="","",ELEMENT!AA12*ELEMENT!DQ12)</f>
        <v/>
      </c>
      <c r="I14" s="184">
        <f t="shared" ref="I14:I47" si="94">FT14</f>
        <v>0</v>
      </c>
      <c r="J14" s="136">
        <f>ROUND(ELEMENT!DE12,1)</f>
        <v>0</v>
      </c>
      <c r="K14" s="198"/>
      <c r="L14" s="198">
        <f t="shared" si="91"/>
        <v>0</v>
      </c>
      <c r="M14" s="198"/>
      <c r="N14" s="198"/>
      <c r="O14" s="198"/>
      <c r="P14" s="137" t="e">
        <f ca="1">(ROUND((ELEMENT!AC12-ELEMENT!EG12)*$P$2*(1-$H$2)*(1+$E$4),0)+ROUND((ELEMENT!EG12)*$P$2*(1-$H$2)*(1+$E$4),0))</f>
        <v>#VALUE!</v>
      </c>
      <c r="Q14" s="137" t="e">
        <f t="shared" ref="Q14:Q47" ca="1" si="95">IF(P14=0,,SUM(L14*$E$3+IF(K14="",J14*$E$2,K14*$E$2)))</f>
        <v>#VALUE!</v>
      </c>
      <c r="R14" s="138" t="e">
        <f t="shared" ref="R14:R47" ca="1" si="96">IF(P14=0,0,SUM(E14/1000*2*M14+D14/1000*M14+D14/1000*N14+O14))</f>
        <v>#VALUE!</v>
      </c>
      <c r="S14" s="139" t="e">
        <f t="shared" ref="S14:S47" ca="1" si="97">ROUND(((Q14+R14)*(1+$E$4)),0)</f>
        <v>#VALUE!</v>
      </c>
      <c r="T14" s="132" t="str">
        <f ca="1">IF(ELEMENT!AC12="","",P14+S14)</f>
        <v/>
      </c>
      <c r="U14" s="132" t="str">
        <f ca="1">IF(ELEMENT!AC12="","",C14*T14)</f>
        <v/>
      </c>
      <c r="V14" s="132" t="str">
        <f>IF(ELEMENT!AW12="JA",ELEMENT!V12,IF(D14+E14=0,"",SUM(T14/ELEMENT!AA12)))</f>
        <v/>
      </c>
      <c r="W14" s="199">
        <f t="shared" si="92"/>
        <v>1</v>
      </c>
      <c r="X14" s="141">
        <f t="shared" ref="X14:X47" si="98">IF(DC14="",
IF(W14="U",2*($E14+$D14)/1000*$C14,
IF(W14="H",$E14/1000*$C14,
IF(W14="F",$E14*$D14/1000000*$C14,
IF(W14="HH",2*$E14/1000*$C14,$C14*W14)))),DC14)</f>
        <v>0</v>
      </c>
      <c r="Y14" s="199" t="s">
        <v>1276</v>
      </c>
      <c r="Z14" s="141">
        <f t="shared" ref="Z14:Z47" si="99">IF(DE14="",
IF(Y14="U",2*($E14+$D14)/1000*$C14,
IF(Y14="H",$E14/1000*$C14,
IF(Y14="F",$E14*$D14/1000000*$C14,
IF(Y14="HH",2*$E14/1000*$C14,$C14*Y14)))),DE14)</f>
        <v>0</v>
      </c>
      <c r="AA14" s="199"/>
      <c r="AB14" s="141">
        <f t="shared" ref="AB14:AB47" si="100">IF(DG14="",
IF(AA14="U",2*($E14+$D14)/1000*$C14,
IF(AA14="H",$E14/1000*$C14,
IF(AA14="F",$E14*$D14/1000000*$C14,
IF(AA14="HH",2*$E14/1000*$C14,$C14*AA14)))),DG14)</f>
        <v>0</v>
      </c>
      <c r="AC14" s="199"/>
      <c r="AD14" s="141">
        <f t="shared" ref="AD14:AD47" si="101">IF(DI14="",
IF(AC14="U",2*($E14+$D14)/1000*$C14,
IF(AC14="H",$E14/1000*$C14,
IF(AC14="F",$E14*$D14/1000000*$C14,
IF(AC14="HH",2*$E14/1000*$C14,$C14*AC14)))),DI14)</f>
        <v>0</v>
      </c>
      <c r="AE14" s="199"/>
      <c r="AF14" s="141">
        <f t="shared" ref="AF14:AF47" si="102">IF(DK14="",
IF(AE14="U",2*($E14+$D14)/1000*$C14,
IF(AE14="H",$E14/1000*$C14,
IF(AE14="F",$E14*$D14/1000000*$C14,
IF(AE14="HH",2*$E14/1000*$C14,$C14*AE14)))),DK14)</f>
        <v>0</v>
      </c>
      <c r="AG14" s="199"/>
      <c r="AH14" s="141">
        <f t="shared" ref="AH14:AH47" si="103">IF(DM14="",
IF(AG14="U",2*($E14+$D14)/1000*$C14,
IF(AG14="H",$E14/1000*$C14,
IF(AG14="F",$E14*$D14/1000000*$C14,
IF(AG14="HH",2*$E14/1000*$C14,$C14*AG14)))),DM14)</f>
        <v>0</v>
      </c>
      <c r="AI14" s="199"/>
      <c r="AJ14" s="141">
        <f t="shared" ref="AJ14:AJ47" si="104">IF(DO14="",
IF(AI14="U",2*($E14+$D14)/1000*$C14,
IF(AI14="H",$E14/1000*$C14,
IF(AI14="F",$E14*$D14/1000000*$C14,
IF(AI14="HH",2*$E14/1000*$C14,$C14*AI14)))),DO14)</f>
        <v>0</v>
      </c>
      <c r="AK14" s="199"/>
      <c r="AL14" s="141">
        <f t="shared" ref="AL14:AL47" si="105">IF(DQ14="",
IF(AK14="U",2*($E14+$D14)/1000*$C14,
IF(AK14="H",$E14/1000*$C14,
IF(AK14="F",$E14*$D14/1000000*$C14,
IF(AK14="HH",2*$E14/1000*$C14,$C14*AK14)))),DQ14)</f>
        <v>0</v>
      </c>
      <c r="AM14" s="199"/>
      <c r="AN14" s="141">
        <f t="shared" ref="AN14:AN47" si="106">IF(DS14="",
IF(AM14="U",2*($E14+$D14)/1000*$C14,
IF(AM14="H",$E14/1000*$C14,
IF(AM14="F",$E14*$D14/1000000*$C14,
IF(AM14="HH",2*$E14/1000*$C14,$C14*AM14)))),DS14)</f>
        <v>0</v>
      </c>
      <c r="AO14" s="199"/>
      <c r="AP14" s="141">
        <f t="shared" ref="AP14:AP47" si="107">IF(DU14="",
IF(AO14="U",2*($E14+$D14)/1000*$C14,
IF(AO14="H",$E14/1000*$C14,
IF(AO14="F",$E14*$D14/1000000*$C14,
IF(AO14="HH",2*$E14/1000*$C14,$C14*AO14)))),DU14)</f>
        <v>0</v>
      </c>
      <c r="AQ14" s="199"/>
      <c r="AR14" s="141">
        <f t="shared" ref="AR14:AR47" si="108">IF(DW14="",
IF(AQ14="U",2*($E14+$D14)/1000*$C14,
IF(AQ14="H",$E14/1000*$C14,
IF(AQ14="F",$E14*$D14/1000000*$C14,
IF(AQ14="HH",2*$E14/1000*$C14,$C14*AQ14)))),DW14)</f>
        <v>0</v>
      </c>
      <c r="AS14" s="199"/>
      <c r="AT14" s="141">
        <f t="shared" ref="AT14:AT47" si="109">IF(DY14="",
IF(AS14="U",2*($E14+$D14)/1000*$C14,
IF(AS14="H",$E14/1000*$C14,
IF(AS14="F",$E14*$D14/1000000*$C14,
IF(AS14="HH",2*$E14/1000*$C14,$C14*AS14)))),DY14)</f>
        <v>0</v>
      </c>
      <c r="AU14" s="199"/>
      <c r="AV14" s="141">
        <f t="shared" ref="AV14:AV47" si="110">IF(EA14="",
IF(AU14="U",2*($E14+$D14)/1000*$C14,
IF(AU14="H",$E14/1000*$C14,
IF(AU14="F",$E14*$D14/1000000*$C14,
IF(AU14="HH",2*$E14/1000*$C14,$C14*AU14)))),EA14)</f>
        <v>0</v>
      </c>
      <c r="AW14" s="199"/>
      <c r="AX14" s="141">
        <f t="shared" ref="AX14:AX47" si="111">IF(EC14="",
IF(AW14="U",2*($E14+$D14)/1000*$C14,
IF(AW14="H",$E14/1000*$C14,
IF(AW14="F",$E14*$D14/1000000*$C14,
IF(AW14="HH",2*$E14/1000*$C14,$C14*AW14)))),EC14)</f>
        <v>0</v>
      </c>
      <c r="AY14" s="199"/>
      <c r="AZ14" s="141">
        <f t="shared" ref="AZ14:BN47" si="112">IF(EE14="",
IF(AY14="U",2*($E14+$D14)/1000*$C14,
IF(AY14="H",$E14/1000*$C14,
IF(AY14="F",$E14*$D14/1000000*$C14,
IF(AY14="HH",2*$E14/1000*$C14,$C14*AY14)))),EE14)</f>
        <v>0</v>
      </c>
      <c r="BA14" s="199"/>
      <c r="BB14" s="141">
        <f t="shared" si="112"/>
        <v>0</v>
      </c>
      <c r="BC14" s="199"/>
      <c r="BD14" s="141">
        <f t="shared" si="112"/>
        <v>0</v>
      </c>
      <c r="BE14" s="199"/>
      <c r="BF14" s="141">
        <f t="shared" si="112"/>
        <v>0</v>
      </c>
      <c r="BG14" s="199"/>
      <c r="BH14" s="141">
        <f t="shared" si="112"/>
        <v>0</v>
      </c>
      <c r="BI14" s="199"/>
      <c r="BJ14" s="141">
        <f t="shared" si="112"/>
        <v>0</v>
      </c>
      <c r="BK14" s="199"/>
      <c r="BL14" s="141">
        <f t="shared" si="112"/>
        <v>0</v>
      </c>
      <c r="BM14" s="199"/>
      <c r="BN14" s="141">
        <f t="shared" si="112"/>
        <v>0</v>
      </c>
      <c r="BO14" s="199"/>
      <c r="BP14" s="141">
        <f t="shared" si="30"/>
        <v>0</v>
      </c>
      <c r="BQ14" s="199"/>
      <c r="BR14" s="141">
        <f t="shared" si="31"/>
        <v>0</v>
      </c>
      <c r="BS14" s="199"/>
      <c r="BT14" s="141">
        <f t="shared" si="32"/>
        <v>0</v>
      </c>
      <c r="BU14" s="199"/>
      <c r="BV14" s="141">
        <f t="shared" si="33"/>
        <v>0</v>
      </c>
      <c r="BW14" s="199"/>
      <c r="BX14" s="141">
        <f t="shared" si="34"/>
        <v>0</v>
      </c>
      <c r="BY14" s="199"/>
      <c r="BZ14" s="141">
        <f t="shared" si="35"/>
        <v>0</v>
      </c>
      <c r="CA14" s="199"/>
      <c r="CB14" s="141">
        <f t="shared" si="36"/>
        <v>0</v>
      </c>
      <c r="CC14" s="199"/>
      <c r="CD14" s="141">
        <f t="shared" si="37"/>
        <v>0</v>
      </c>
      <c r="CE14" s="119"/>
      <c r="CF14" s="119"/>
      <c r="CG14" s="119"/>
      <c r="CH14" s="119"/>
      <c r="CI14" s="119"/>
      <c r="CJ14" s="119"/>
      <c r="CM14">
        <f t="shared" ref="CM14:CM47" si="113">B14</f>
        <v>0</v>
      </c>
      <c r="CN14" t="str">
        <f ca="1">ELEMENT!AC12</f>
        <v/>
      </c>
      <c r="CO14">
        <f t="shared" ref="CO14:CO47" ca="1" si="114">IFERROR(CN14*C14,)</f>
        <v>0</v>
      </c>
      <c r="CP14" t="str">
        <f t="shared" ref="CP14:CP47" ca="1" si="115">IF(CN14="","",IF(K14=0,J14,K14))</f>
        <v/>
      </c>
      <c r="CQ14" t="str">
        <f t="shared" ref="CQ14:CQ47" ca="1" si="116">IF(CN14="","",C14*IF(K14=0,J14,K14))</f>
        <v/>
      </c>
      <c r="CR14">
        <f t="shared" ref="CR14:CR47" ca="1" si="117">IF(CN14="",0,L14)</f>
        <v>0</v>
      </c>
      <c r="CS14">
        <f t="shared" ref="CS14:CS47" ca="1" si="118">IF(CN14="",0,L14*C14)</f>
        <v>0</v>
      </c>
      <c r="CT14">
        <f t="shared" ref="CT14:CT47" si="119">(D14+2*E14)/1000</f>
        <v>0</v>
      </c>
      <c r="CU14" t="str">
        <f t="shared" ref="CU14:CU47" ca="1" si="120">IF(CN14="","",C14*CT14*M14)</f>
        <v/>
      </c>
      <c r="CV14">
        <f t="shared" ref="CV14:CV47" si="121">D14/1000</f>
        <v>0</v>
      </c>
      <c r="CW14">
        <f t="shared" ref="CW14:CW47" si="122">C14*CV14*N14</f>
        <v>0</v>
      </c>
      <c r="CX14">
        <f t="shared" ref="CX14:CX47" si="123">C14*O14</f>
        <v>0</v>
      </c>
      <c r="DC14" t="str">
        <f t="shared" ref="DC14:DC47" si="124">IF(W14="B",$D14/1000*$C14,
IF(W14="BB",2*$D14/1000*$C14,
IF(W14="BBH",($E14+2*$D14)/1000*$C14,
IF(W14="BH",($E14+$D14)/1000*$C14,
IF(W14="BHH",(2*$E14+$D14)/1000*$C14,
IF(W14="BBHH",(2*$E14+2*$D14)/1000*$C14,""))))))</f>
        <v/>
      </c>
      <c r="DE14">
        <f t="shared" ref="DE14:DE47" si="125">IF(Y14="B",$D14/1000*$C14,
IF(Y14="BB",2*$D14/1000*$C14,
IF(Y14="BBH",($E14+2*$D14)/1000*$C14,
IF(Y14="BH",($E14+$D14)/1000*$C14,
IF(Y14="BHH",(2*$E14+$D14)/1000*$C14,
IF(Y14="BBHH",(2*$E14+2*$D14)/1000*$C14,""))))))</f>
        <v>0</v>
      </c>
      <c r="DG14" t="str">
        <f t="shared" ref="DG14:DG47" si="126">IF(AA14="B",$D14/1000*$C14,
IF(AA14="BB",2*$D14/1000*$C14,
IF(AA14="BBH",($E14+2*$D14)/1000*$C14,
IF(AA14="BH",($E14+$D14)/1000*$C14,
IF(AA14="BHH",(2*$E14+$D14)/1000*$C14,
IF(AA14="BBHH",(2*$E14+2*$D14)/1000*$C14,""))))))</f>
        <v/>
      </c>
      <c r="DI14" t="str">
        <f t="shared" ref="DI14:DI47" si="127">IF(AC14="B",$D14/1000*$C14,
IF(AC14="BB",2*$D14/1000*$C14,
IF(AC14="BBH",($E14+2*$D14)/1000*$C14,
IF(AC14="BH",($E14+$D14)/1000*$C14,
IF(AC14="BHH",(2*$E14+$D14)/1000*$C14,
IF(AC14="BBHH",(2*$E14+2*$D14)/1000*$C14,""))))))</f>
        <v/>
      </c>
      <c r="DK14" t="str">
        <f t="shared" ref="DK14:DK47" si="128">IF(AE14="B",$D14/1000*$C14,
IF(AE14="BB",2*$D14/1000*$C14,
IF(AE14="BBH",($E14+2*$D14)/1000*$C14,
IF(AE14="BH",($E14+$D14)/1000*$C14,
IF(AE14="BHH",(2*$E14+$D14)/1000*$C14,
IF(AE14="BBHH",(2*$E14+2*$D14)/1000*$C14,""))))))</f>
        <v/>
      </c>
      <c r="DM14" t="str">
        <f t="shared" ref="DM14:DM47" si="129">IF(AG14="B",$D14/1000*$C14,
IF(AG14="BB",2*$D14/1000*$C14,
IF(AG14="BBH",($E14+2*$D14)/1000*$C14,
IF(AG14="BH",($E14+$D14)/1000*$C14,
IF(AG14="BHH",(2*$E14+$D14)/1000*$C14,
IF(AG14="BBHH",(2*$E14+2*$D14)/1000*$C14,""))))))</f>
        <v/>
      </c>
      <c r="DO14" t="str">
        <f t="shared" ref="DO14:DO47" si="130">IF(AI14="B",$D14/1000*$C14,
IF(AI14="BB",2*$D14/1000*$C14,
IF(AI14="BBH",($E14+2*$D14)/1000*$C14,
IF(AI14="BH",($E14+$D14)/1000*$C14,
IF(AI14="BHH",(2*$E14+$D14)/1000*$C14,
IF(AI14="BBHH",(2*$E14+2*$D14)/1000*$C14,""))))))</f>
        <v/>
      </c>
      <c r="DQ14" t="str">
        <f t="shared" ref="DQ14:DQ47" si="131">IF(AK14="B",$D14/1000*$C14,
IF(AK14="BB",2*$D14/1000*$C14,
IF(AK14="BBH",($E14+2*$D14)/1000*$C14,
IF(AK14="BH",($E14+$D14)/1000*$C14,
IF(AK14="BHH",(2*$E14+$D14)/1000*$C14,
IF(AK14="BBHH",(2*$E14+2*$D14)/1000*$C14,""))))))</f>
        <v/>
      </c>
      <c r="DS14" t="str">
        <f t="shared" ref="DS14:DS47" si="132">IF(AM14="B",$D14/1000*$C14,
IF(AM14="BB",2*$D14/1000*$C14,
IF(AM14="BBH",($E14+2*$D14)/1000*$C14,
IF(AM14="BH",($E14+$D14)/1000*$C14,
IF(AM14="BHH",(2*$E14+$D14)/1000*$C14,
IF(AM14="BBHH",(2*$E14+2*$D14)/1000*$C14,""))))))</f>
        <v/>
      </c>
      <c r="DU14" t="str">
        <f t="shared" ref="DU14:DU47" si="133">IF(AO14="B",$D14/1000*$C14,
IF(AO14="BB",2*$D14/1000*$C14,
IF(AO14="BBH",($E14+2*$D14)/1000*$C14,
IF(AO14="BH",($E14+$D14)/1000*$C14,
IF(AO14="BHH",(2*$E14+$D14)/1000*$C14,
IF(AO14="BBHH",(2*$E14+2*$D14)/1000*$C14,""))))))</f>
        <v/>
      </c>
      <c r="DW14" t="str">
        <f t="shared" ref="DW14:DW47" si="134">IF(AQ14="B",$D14/1000*$C14,
IF(AQ14="BB",2*$D14/1000*$C14,
IF(AQ14="BBH",($E14+2*$D14)/1000*$C14,
IF(AQ14="BH",($E14+$D14)/1000*$C14,
IF(AQ14="BHH",(2*$E14+$D14)/1000*$C14,
IF(AQ14="BBHH",(2*$E14+2*$D14)/1000*$C14,""))))))</f>
        <v/>
      </c>
      <c r="DY14" t="str">
        <f t="shared" ref="DY14:DY47" si="135">IF(AS14="B",$D14/1000*$C14,
IF(AS14="BB",2*$D14/1000*$C14,
IF(AS14="BBH",($E14+2*$D14)/1000*$C14,
IF(AS14="BH",($E14+$D14)/1000*$C14,
IF(AS14="BHH",(2*$E14+$D14)/1000*$C14,
IF(AS14="BBHH",(2*$E14+2*$D14)/1000*$C14,""))))))</f>
        <v/>
      </c>
      <c r="EA14" t="str">
        <f t="shared" ref="EA14:EA47" si="136">IF(AU14="B",$D14/1000*$C14,
IF(AU14="BB",2*$D14/1000*$C14,
IF(AU14="BBH",($E14+2*$D14)/1000*$C14,
IF(AU14="BH",($E14+$D14)/1000*$C14,
IF(AU14="BHH",(2*$E14+$D14)/1000*$C14,
IF(AU14="BBHH",(2*$E14+2*$D14)/1000*$C14,""))))))</f>
        <v/>
      </c>
      <c r="EC14" t="str">
        <f t="shared" ref="EC14:EC47" si="137">IF(AW14="B",$D14/1000*$C14,
IF(AW14="BB",2*$D14/1000*$C14,
IF(AW14="BBH",($E14+2*$D14)/1000*$C14,
IF(AW14="BH",($E14+$D14)/1000*$C14,
IF(AW14="BHH",(2*$E14+$D14)/1000*$C14,
IF(AW14="BBHH",(2*$E14+2*$D14)/1000*$C14,""))))))</f>
        <v/>
      </c>
      <c r="EE14" t="str">
        <f t="shared" ref="EE14:ES47" si="138">IF(AY14="B",$D14/1000*$C14,
IF(AY14="BB",2*$D14/1000*$C14,
IF(AY14="BBH",($E14+2*$D14)/1000*$C14,
IF(AY14="BH",($E14+$D14)/1000*$C14,
IF(AY14="BHH",(2*$E14+$D14)/1000*$C14,
IF(AY14="BBHH",(2*$E14+2*$D14)/1000*$C14,""))))))</f>
        <v/>
      </c>
      <c r="EG14" t="str">
        <f t="shared" si="138"/>
        <v/>
      </c>
      <c r="EI14" t="str">
        <f t="shared" si="138"/>
        <v/>
      </c>
      <c r="EK14" t="str">
        <f t="shared" si="138"/>
        <v/>
      </c>
      <c r="EM14" t="str">
        <f t="shared" si="138"/>
        <v/>
      </c>
      <c r="EO14" t="str">
        <f t="shared" si="138"/>
        <v/>
      </c>
      <c r="EQ14" t="str">
        <f t="shared" si="138"/>
        <v/>
      </c>
      <c r="ES14" t="str">
        <f t="shared" si="138"/>
        <v/>
      </c>
      <c r="EU14" t="str">
        <f t="shared" si="71"/>
        <v/>
      </c>
      <c r="EW14" t="str">
        <f t="shared" si="72"/>
        <v/>
      </c>
      <c r="EY14" t="str">
        <f t="shared" si="73"/>
        <v/>
      </c>
      <c r="FA14" t="str">
        <f t="shared" si="74"/>
        <v/>
      </c>
      <c r="FC14" t="str">
        <f t="shared" si="75"/>
        <v/>
      </c>
      <c r="FE14" t="str">
        <f t="shared" si="76"/>
        <v/>
      </c>
      <c r="FG14" t="str">
        <f t="shared" si="77"/>
        <v/>
      </c>
      <c r="FI14" t="str">
        <f t="shared" si="78"/>
        <v/>
      </c>
      <c r="FL14" t="str">
        <f t="shared" ref="FL14:FL47" si="139">IF(AJ14="B",$D14/1000*$C14,
IF(AJ14="BB",2*$D14/1000*$C14,
IF(AJ14="BBH",($E14+2*$D14)/1000*$C14,
IF(AJ14="BH",($E14+$D14)/1000*$C14,
IF(AJ14="BHH",(2*$E14+$D14)/1000*$C14,
IF(AJ14="BBHH",(2*$E14+2*$D14)/1000*$C14,""))))))</f>
        <v/>
      </c>
      <c r="FM14" t="e">
        <f t="shared" ref="FM14:FM47" ca="1" si="140">U14-FN14</f>
        <v>#VALUE!</v>
      </c>
      <c r="FN14">
        <v>130591</v>
      </c>
      <c r="FO14">
        <f>ROUND((ELEMENT!EH12*(1-$H$2)*(1+$E$4)),0)*C14</f>
        <v>0</v>
      </c>
      <c r="FP14">
        <f t="shared" ref="FP14:FP47" si="141">C14*L14</f>
        <v>0</v>
      </c>
      <c r="FQ14">
        <f t="shared" ref="FQ14:FQ47" si="142">C14*IF(K14&lt;0.1,J14,K14)</f>
        <v>0</v>
      </c>
      <c r="FR14">
        <f t="shared" ref="FR14:FR47" si="143">I14*C14</f>
        <v>0</v>
      </c>
      <c r="FS14" t="str">
        <f>IF(ELEMENT!AO12="","",H14*C14)</f>
        <v/>
      </c>
      <c r="FT14">
        <f t="shared" ref="FT14:FT47" si="144">FU14+GD14</f>
        <v>0</v>
      </c>
      <c r="FU14">
        <f t="shared" ref="FU14:FU47" si="145">(FV14*(FZ14*GS14+GB14*E14))/1000
+
(FW14*(GA14*GS14+GC14*E14))/1000
+
(FX14*GS14)/1000</f>
        <v>0</v>
      </c>
      <c r="FV14">
        <f t="shared" ref="FV14:FV47" si="146">IF(FY14=2,$GW$47,
IF(FY14=3,$GW$44,
IF(FY14=4,$GW$41,$GW$38)))</f>
        <v>2.5499999999999998</v>
      </c>
      <c r="FW14">
        <f t="shared" ref="FW14:FW47" si="147">IF(FY14=2,$GW$48,
IF(FY14=3,$GW$45,
IF(FY14=4,$GW$42,$GW$39)))</f>
        <v>4.66</v>
      </c>
      <c r="FX14">
        <f t="shared" ref="FX14:FX47" si="148">IF(FY14=2,$GW$46,
IF(FY14=3,$GW$43,
IF(FY14=4,$GW$40,$GW$37)))</f>
        <v>0.36</v>
      </c>
      <c r="FY14">
        <f>ELEMENT!AR12</f>
        <v>2</v>
      </c>
      <c r="FZ14">
        <f>ELEMENT!L12</f>
        <v>1</v>
      </c>
      <c r="GA14">
        <f>ELEMENT!M12</f>
        <v>1</v>
      </c>
      <c r="GB14">
        <f>ELEMENT!N12</f>
        <v>2</v>
      </c>
      <c r="GC14">
        <f>ELEMENT!O12</f>
        <v>0</v>
      </c>
      <c r="GD14">
        <f t="shared" ref="GD14:GD47" si="149">GR14/1000*(GN14*GH14+GM14*GG14+GL14*GF14+GJ14*GE14)</f>
        <v>0</v>
      </c>
      <c r="GE14">
        <f>IF(GI14=ELEMENT!$CJ$59,$GW$8,
IF(GI14=ELEMENT!$CK$59,$GW$16,
IF(GI14=ELEMENT!$CL$59,$GW$24,)))</f>
        <v>4.0999999999999996</v>
      </c>
      <c r="GF14">
        <f>IF(GI14=ELEMENT!$CJ$59,$GW$9,
IF(GI14=ELEMENT!$CK$59,$GW$17,
IF(GI14=ELEMENT!$CL$59,$GW$25,)))</f>
        <v>1.2869999999999999</v>
      </c>
      <c r="GG14">
        <f>IF(GI14=ELEMENT!$CJ$59,$GW$10,
IF(GI14=ELEMENT!$CK$59,$GW$18,
IF(GI14=ELEMENT!$CL$59,$GW$26,)))</f>
        <v>3.032</v>
      </c>
      <c r="GH14">
        <f>IF(GI14=ELEMENT!$CJ$59,$GW$12,
IF(GI14=ELEMENT!$CK$59,$GW$20,
IF(GI14=ELEMENT!$CL$59,$GW$28,)))</f>
        <v>1.87</v>
      </c>
      <c r="GI14">
        <f>ELEMENT!G12</f>
        <v>0</v>
      </c>
      <c r="GJ14">
        <f>ELEMENT!BD12</f>
        <v>0</v>
      </c>
      <c r="GL14">
        <f>ELEMENT!R12</f>
        <v>0</v>
      </c>
      <c r="GM14">
        <f>ELEMENT!S12</f>
        <v>0</v>
      </c>
      <c r="GN14">
        <f>ELEMENT!T12</f>
        <v>0</v>
      </c>
      <c r="GP14">
        <f>ELEMENT!AU12</f>
        <v>0</v>
      </c>
      <c r="GQ14">
        <f>ELEMENT!AY12</f>
        <v>0</v>
      </c>
      <c r="GR14">
        <f t="shared" ref="GR14:GR47" si="150">E14</f>
        <v>0</v>
      </c>
      <c r="GS14">
        <f>ELEMENT!BE12</f>
        <v>0</v>
      </c>
      <c r="GV14">
        <f>ELEMENT!BF13</f>
        <v>0</v>
      </c>
      <c r="GW14">
        <f>ELEMENT!BO13</f>
        <v>0</v>
      </c>
    </row>
    <row r="15" spans="1:205" x14ac:dyDescent="0.2">
      <c r="A15" s="114"/>
      <c r="B15" s="184">
        <f>(ELEMENT!B13)</f>
        <v>0</v>
      </c>
      <c r="C15" s="184">
        <f>SUM(ELEMENT!C13)</f>
        <v>0</v>
      </c>
      <c r="D15" s="184">
        <f>ELEMENT!D13</f>
        <v>0</v>
      </c>
      <c r="E15" s="184">
        <f>ELEMENT!E13</f>
        <v>0</v>
      </c>
      <c r="F15" s="184">
        <f t="shared" si="93"/>
        <v>0</v>
      </c>
      <c r="G15" s="135" t="str">
        <f>ELEMENT!AH13</f>
        <v/>
      </c>
      <c r="H15" s="191" t="str">
        <f>IF(ELEMENT!AO13="","",ELEMENT!AA13*ELEMENT!DQ13)</f>
        <v/>
      </c>
      <c r="I15" s="184">
        <f t="shared" si="94"/>
        <v>0</v>
      </c>
      <c r="J15" s="136">
        <f>ROUND(ELEMENT!DE13,1)</f>
        <v>0</v>
      </c>
      <c r="K15" s="198"/>
      <c r="L15" s="198">
        <f t="shared" si="91"/>
        <v>0</v>
      </c>
      <c r="M15" s="198"/>
      <c r="N15" s="198"/>
      <c r="O15" s="198"/>
      <c r="P15" s="137" t="e">
        <f ca="1">(ROUND((ELEMENT!AC13-ELEMENT!EG13)*$P$2*(1-$H$2)*(1+$E$4),0)+ROUND((ELEMENT!EG13)*$P$2*(1-$H$2)*(1+$E$4),0))</f>
        <v>#VALUE!</v>
      </c>
      <c r="Q15" s="137" t="e">
        <f t="shared" ca="1" si="95"/>
        <v>#VALUE!</v>
      </c>
      <c r="R15" s="138" t="e">
        <f t="shared" ca="1" si="96"/>
        <v>#VALUE!</v>
      </c>
      <c r="S15" s="139" t="e">
        <f t="shared" ca="1" si="97"/>
        <v>#VALUE!</v>
      </c>
      <c r="T15" s="132" t="str">
        <f ca="1">IF(ELEMENT!AC13="","",P15+S15)</f>
        <v/>
      </c>
      <c r="U15" s="132" t="str">
        <f ca="1">IF(ELEMENT!AC13="","",C15*T15)</f>
        <v/>
      </c>
      <c r="V15" s="132" t="str">
        <f>IF(ELEMENT!AW13="JA",ELEMENT!V13,IF(D15+E15=0,"",SUM(T15/ELEMENT!AA13)))</f>
        <v/>
      </c>
      <c r="W15" s="199">
        <f t="shared" si="92"/>
        <v>1</v>
      </c>
      <c r="X15" s="141">
        <f t="shared" si="98"/>
        <v>0</v>
      </c>
      <c r="Y15" s="199" t="s">
        <v>1276</v>
      </c>
      <c r="Z15" s="141">
        <f t="shared" si="99"/>
        <v>0</v>
      </c>
      <c r="AA15" s="199"/>
      <c r="AB15" s="141">
        <f t="shared" si="100"/>
        <v>0</v>
      </c>
      <c r="AC15" s="199"/>
      <c r="AD15" s="141">
        <f t="shared" si="101"/>
        <v>0</v>
      </c>
      <c r="AE15" s="199"/>
      <c r="AF15" s="141">
        <f t="shared" si="102"/>
        <v>0</v>
      </c>
      <c r="AG15" s="199"/>
      <c r="AH15" s="141">
        <f t="shared" si="103"/>
        <v>0</v>
      </c>
      <c r="AI15" s="140"/>
      <c r="AJ15" s="141">
        <f t="shared" si="104"/>
        <v>0</v>
      </c>
      <c r="AK15" s="140"/>
      <c r="AL15" s="141">
        <f t="shared" si="105"/>
        <v>0</v>
      </c>
      <c r="AM15" s="140"/>
      <c r="AN15" s="141">
        <f t="shared" si="106"/>
        <v>0</v>
      </c>
      <c r="AO15" s="140"/>
      <c r="AP15" s="141">
        <f t="shared" si="107"/>
        <v>0</v>
      </c>
      <c r="AQ15" s="140"/>
      <c r="AR15" s="141">
        <f t="shared" si="108"/>
        <v>0</v>
      </c>
      <c r="AS15" s="140"/>
      <c r="AT15" s="141">
        <f t="shared" si="109"/>
        <v>0</v>
      </c>
      <c r="AU15" s="140"/>
      <c r="AV15" s="141">
        <f t="shared" si="110"/>
        <v>0</v>
      </c>
      <c r="AW15" s="140"/>
      <c r="AX15" s="141">
        <f t="shared" si="111"/>
        <v>0</v>
      </c>
      <c r="AY15" s="140"/>
      <c r="AZ15" s="141">
        <f t="shared" si="112"/>
        <v>0</v>
      </c>
      <c r="BA15" s="140"/>
      <c r="BB15" s="141">
        <f t="shared" si="112"/>
        <v>0</v>
      </c>
      <c r="BC15" s="140"/>
      <c r="BD15" s="141">
        <f t="shared" si="112"/>
        <v>0</v>
      </c>
      <c r="BE15" s="140"/>
      <c r="BF15" s="141">
        <f t="shared" si="112"/>
        <v>0</v>
      </c>
      <c r="BG15" s="140"/>
      <c r="BH15" s="141">
        <f t="shared" si="112"/>
        <v>0</v>
      </c>
      <c r="BI15" s="140"/>
      <c r="BJ15" s="141">
        <f t="shared" si="112"/>
        <v>0</v>
      </c>
      <c r="BK15" s="140"/>
      <c r="BL15" s="141">
        <f t="shared" si="112"/>
        <v>0</v>
      </c>
      <c r="BM15" s="140"/>
      <c r="BN15" s="141">
        <f t="shared" si="112"/>
        <v>0</v>
      </c>
      <c r="BO15" s="140"/>
      <c r="BP15" s="141">
        <f t="shared" si="30"/>
        <v>0</v>
      </c>
      <c r="BQ15" s="140"/>
      <c r="BR15" s="141">
        <f t="shared" si="31"/>
        <v>0</v>
      </c>
      <c r="BS15" s="140"/>
      <c r="BT15" s="141">
        <f t="shared" si="32"/>
        <v>0</v>
      </c>
      <c r="BU15" s="140"/>
      <c r="BV15" s="141">
        <f t="shared" si="33"/>
        <v>0</v>
      </c>
      <c r="BW15" s="140"/>
      <c r="BX15" s="141">
        <f t="shared" si="34"/>
        <v>0</v>
      </c>
      <c r="BY15" s="140"/>
      <c r="BZ15" s="141">
        <f t="shared" si="35"/>
        <v>0</v>
      </c>
      <c r="CA15" s="140"/>
      <c r="CB15" s="141">
        <f t="shared" si="36"/>
        <v>0</v>
      </c>
      <c r="CC15" s="140"/>
      <c r="CD15" s="141">
        <f t="shared" si="37"/>
        <v>0</v>
      </c>
      <c r="CE15" s="119"/>
      <c r="CF15" s="119"/>
      <c r="CG15" s="119"/>
      <c r="CH15" s="119"/>
      <c r="CI15" s="119"/>
      <c r="CJ15" s="119"/>
      <c r="CM15">
        <f t="shared" si="113"/>
        <v>0</v>
      </c>
      <c r="CN15" t="str">
        <f ca="1">ELEMENT!AC13</f>
        <v/>
      </c>
      <c r="CO15">
        <f t="shared" ca="1" si="114"/>
        <v>0</v>
      </c>
      <c r="CP15" t="str">
        <f t="shared" ca="1" si="115"/>
        <v/>
      </c>
      <c r="CQ15" t="str">
        <f t="shared" ca="1" si="116"/>
        <v/>
      </c>
      <c r="CR15">
        <f t="shared" ca="1" si="117"/>
        <v>0</v>
      </c>
      <c r="CS15">
        <f t="shared" ca="1" si="118"/>
        <v>0</v>
      </c>
      <c r="CT15">
        <f t="shared" si="119"/>
        <v>0</v>
      </c>
      <c r="CU15" t="str">
        <f t="shared" ca="1" si="120"/>
        <v/>
      </c>
      <c r="CV15">
        <f t="shared" si="121"/>
        <v>0</v>
      </c>
      <c r="CW15">
        <f t="shared" si="122"/>
        <v>0</v>
      </c>
      <c r="CX15">
        <f t="shared" si="123"/>
        <v>0</v>
      </c>
      <c r="DC15" t="str">
        <f t="shared" si="124"/>
        <v/>
      </c>
      <c r="DE15">
        <f t="shared" si="125"/>
        <v>0</v>
      </c>
      <c r="DG15" t="str">
        <f t="shared" si="126"/>
        <v/>
      </c>
      <c r="DI15" t="str">
        <f t="shared" si="127"/>
        <v/>
      </c>
      <c r="DK15" t="str">
        <f t="shared" si="128"/>
        <v/>
      </c>
      <c r="DM15" t="str">
        <f t="shared" si="129"/>
        <v/>
      </c>
      <c r="DO15" t="str">
        <f t="shared" si="130"/>
        <v/>
      </c>
      <c r="DQ15" t="str">
        <f t="shared" si="131"/>
        <v/>
      </c>
      <c r="DS15" t="str">
        <f t="shared" si="132"/>
        <v/>
      </c>
      <c r="DU15" t="str">
        <f t="shared" si="133"/>
        <v/>
      </c>
      <c r="DW15" t="str">
        <f t="shared" si="134"/>
        <v/>
      </c>
      <c r="DY15" t="str">
        <f t="shared" si="135"/>
        <v/>
      </c>
      <c r="EA15" t="str">
        <f t="shared" si="136"/>
        <v/>
      </c>
      <c r="EC15" t="str">
        <f t="shared" si="137"/>
        <v/>
      </c>
      <c r="EE15" t="str">
        <f t="shared" si="138"/>
        <v/>
      </c>
      <c r="EG15" t="str">
        <f t="shared" si="138"/>
        <v/>
      </c>
      <c r="EI15" t="str">
        <f t="shared" si="138"/>
        <v/>
      </c>
      <c r="EK15" t="str">
        <f t="shared" si="138"/>
        <v/>
      </c>
      <c r="EM15" t="str">
        <f t="shared" si="138"/>
        <v/>
      </c>
      <c r="EO15" t="str">
        <f t="shared" si="138"/>
        <v/>
      </c>
      <c r="EQ15" t="str">
        <f t="shared" si="138"/>
        <v/>
      </c>
      <c r="ES15" t="str">
        <f t="shared" si="138"/>
        <v/>
      </c>
      <c r="EU15" t="str">
        <f t="shared" si="71"/>
        <v/>
      </c>
      <c r="EW15" t="str">
        <f t="shared" si="72"/>
        <v/>
      </c>
      <c r="EY15" t="str">
        <f t="shared" si="73"/>
        <v/>
      </c>
      <c r="FA15" t="str">
        <f t="shared" si="74"/>
        <v/>
      </c>
      <c r="FC15" t="str">
        <f t="shared" si="75"/>
        <v/>
      </c>
      <c r="FE15" t="str">
        <f t="shared" si="76"/>
        <v/>
      </c>
      <c r="FG15" t="str">
        <f t="shared" si="77"/>
        <v/>
      </c>
      <c r="FI15" t="str">
        <f t="shared" si="78"/>
        <v/>
      </c>
      <c r="FL15" t="str">
        <f t="shared" si="139"/>
        <v/>
      </c>
      <c r="FM15" t="e">
        <f t="shared" ca="1" si="140"/>
        <v>#VALUE!</v>
      </c>
      <c r="FN15">
        <v>130592</v>
      </c>
      <c r="FO15">
        <f>ROUND((ELEMENT!EH13*(1-$H$2)*(1+$E$4)),0)*C15</f>
        <v>0</v>
      </c>
      <c r="FP15">
        <f t="shared" si="141"/>
        <v>0</v>
      </c>
      <c r="FQ15">
        <f t="shared" si="142"/>
        <v>0</v>
      </c>
      <c r="FR15">
        <f t="shared" si="143"/>
        <v>0</v>
      </c>
      <c r="FS15" t="str">
        <f>IF(ELEMENT!AO13="","",H15*C15)</f>
        <v/>
      </c>
      <c r="FT15">
        <f t="shared" si="144"/>
        <v>0</v>
      </c>
      <c r="FU15">
        <f t="shared" si="145"/>
        <v>0</v>
      </c>
      <c r="FV15">
        <f t="shared" si="146"/>
        <v>2.5499999999999998</v>
      </c>
      <c r="FW15">
        <f t="shared" si="147"/>
        <v>4.66</v>
      </c>
      <c r="FX15">
        <f t="shared" si="148"/>
        <v>0.36</v>
      </c>
      <c r="FY15">
        <f>ELEMENT!AR13</f>
        <v>2</v>
      </c>
      <c r="FZ15">
        <f>ELEMENT!L13</f>
        <v>1</v>
      </c>
      <c r="GA15">
        <f>ELEMENT!M13</f>
        <v>1</v>
      </c>
      <c r="GB15">
        <f>ELEMENT!N13</f>
        <v>2</v>
      </c>
      <c r="GC15">
        <f>ELEMENT!O13</f>
        <v>0</v>
      </c>
      <c r="GD15">
        <f t="shared" si="149"/>
        <v>0</v>
      </c>
      <c r="GE15">
        <f>IF(GI15=ELEMENT!$CJ$59,$GW$8,
IF(GI15=ELEMENT!$CK$59,$GW$16,
IF(GI15=ELEMENT!$CL$59,$GW$24,)))</f>
        <v>4.0999999999999996</v>
      </c>
      <c r="GF15">
        <f>IF(GI15=ELEMENT!$CJ$59,$GW$9,
IF(GI15=ELEMENT!$CK$59,$GW$17,
IF(GI15=ELEMENT!$CL$59,$GW$25,)))</f>
        <v>1.2869999999999999</v>
      </c>
      <c r="GG15">
        <f>IF(GI15=ELEMENT!$CJ$59,$GW$10,
IF(GI15=ELEMENT!$CK$59,$GW$18,
IF(GI15=ELEMENT!$CL$59,$GW$26,)))</f>
        <v>3.032</v>
      </c>
      <c r="GH15">
        <f>IF(GI15=ELEMENT!$CJ$59,$GW$12,
IF(GI15=ELEMENT!$CK$59,$GW$20,
IF(GI15=ELEMENT!$CL$59,$GW$28,)))</f>
        <v>1.87</v>
      </c>
      <c r="GI15">
        <f>ELEMENT!G13</f>
        <v>0</v>
      </c>
      <c r="GJ15">
        <f>ELEMENT!BD13</f>
        <v>0</v>
      </c>
      <c r="GL15">
        <f>ELEMENT!R13</f>
        <v>0</v>
      </c>
      <c r="GM15">
        <f>ELEMENT!S13</f>
        <v>0</v>
      </c>
      <c r="GN15">
        <f>ELEMENT!T13</f>
        <v>0</v>
      </c>
      <c r="GP15">
        <f>ELEMENT!AU13</f>
        <v>0</v>
      </c>
      <c r="GQ15">
        <f>ELEMENT!AY13</f>
        <v>0</v>
      </c>
      <c r="GR15">
        <f t="shared" si="150"/>
        <v>0</v>
      </c>
      <c r="GS15">
        <f>ELEMENT!BE13</f>
        <v>0</v>
      </c>
      <c r="GV15">
        <f>ELEMENT!BF14</f>
        <v>0</v>
      </c>
      <c r="GW15">
        <f>ELEMENT!BO14</f>
        <v>0</v>
      </c>
    </row>
    <row r="16" spans="1:205" x14ac:dyDescent="0.2">
      <c r="A16" s="114"/>
      <c r="B16" s="184">
        <f>(ELEMENT!B14)</f>
        <v>0</v>
      </c>
      <c r="C16" s="184">
        <f>SUM(ELEMENT!C14)</f>
        <v>0</v>
      </c>
      <c r="D16" s="184">
        <f>ELEMENT!D14</f>
        <v>0</v>
      </c>
      <c r="E16" s="184">
        <f>ELEMENT!E14</f>
        <v>0</v>
      </c>
      <c r="F16" s="184">
        <f t="shared" si="93"/>
        <v>0</v>
      </c>
      <c r="G16" s="135" t="str">
        <f>ELEMENT!AH14</f>
        <v/>
      </c>
      <c r="H16" s="191" t="str">
        <f>IF(ELEMENT!AO14="","",ELEMENT!AA14*ELEMENT!DQ14)</f>
        <v/>
      </c>
      <c r="I16" s="184">
        <f t="shared" si="94"/>
        <v>0</v>
      </c>
      <c r="J16" s="136">
        <f>ROUND(ELEMENT!DE14,1)</f>
        <v>0</v>
      </c>
      <c r="K16" s="198"/>
      <c r="L16" s="198">
        <f t="shared" si="91"/>
        <v>0</v>
      </c>
      <c r="M16" s="198"/>
      <c r="N16" s="198"/>
      <c r="O16" s="198"/>
      <c r="P16" s="137" t="e">
        <f ca="1">(ROUND((ELEMENT!AC14-ELEMENT!EG14)*$P$2*(1-$H$2)*(1+$E$4),0)+ROUND((ELEMENT!EG14)*$P$2*(1-$H$2)*(1+$E$4),0))</f>
        <v>#VALUE!</v>
      </c>
      <c r="Q16" s="137" t="e">
        <f t="shared" ca="1" si="95"/>
        <v>#VALUE!</v>
      </c>
      <c r="R16" s="138" t="e">
        <f t="shared" ca="1" si="96"/>
        <v>#VALUE!</v>
      </c>
      <c r="S16" s="139" t="e">
        <f t="shared" ca="1" si="97"/>
        <v>#VALUE!</v>
      </c>
      <c r="T16" s="132" t="str">
        <f ca="1">IF(ELEMENT!AC14="","",P16+S16)</f>
        <v/>
      </c>
      <c r="U16" s="132" t="str">
        <f ca="1">IF(ELEMENT!AC14="","",C16*T16)</f>
        <v/>
      </c>
      <c r="V16" s="132" t="str">
        <f>IF(ELEMENT!AW14="JA",ELEMENT!V14,IF(D16+E16=0,"",SUM(T16/ELEMENT!AA14)))</f>
        <v/>
      </c>
      <c r="W16" s="199">
        <f t="shared" si="92"/>
        <v>1</v>
      </c>
      <c r="X16" s="141">
        <f t="shared" si="98"/>
        <v>0</v>
      </c>
      <c r="Y16" s="199" t="s">
        <v>1276</v>
      </c>
      <c r="Z16" s="141">
        <f t="shared" si="99"/>
        <v>0</v>
      </c>
      <c r="AA16" s="199"/>
      <c r="AB16" s="141">
        <f t="shared" si="100"/>
        <v>0</v>
      </c>
      <c r="AC16" s="199"/>
      <c r="AD16" s="141">
        <f t="shared" si="101"/>
        <v>0</v>
      </c>
      <c r="AE16" s="199"/>
      <c r="AF16" s="141">
        <f t="shared" si="102"/>
        <v>0</v>
      </c>
      <c r="AG16" s="199"/>
      <c r="AH16" s="141">
        <f t="shared" si="103"/>
        <v>0</v>
      </c>
      <c r="AI16" s="140"/>
      <c r="AJ16" s="141">
        <f t="shared" si="104"/>
        <v>0</v>
      </c>
      <c r="AK16" s="140"/>
      <c r="AL16" s="141">
        <f t="shared" si="105"/>
        <v>0</v>
      </c>
      <c r="AM16" s="140"/>
      <c r="AN16" s="141">
        <f t="shared" si="106"/>
        <v>0</v>
      </c>
      <c r="AO16" s="140"/>
      <c r="AP16" s="141">
        <f t="shared" si="107"/>
        <v>0</v>
      </c>
      <c r="AQ16" s="140"/>
      <c r="AR16" s="141">
        <f t="shared" si="108"/>
        <v>0</v>
      </c>
      <c r="AS16" s="140"/>
      <c r="AT16" s="141">
        <f t="shared" si="109"/>
        <v>0</v>
      </c>
      <c r="AU16" s="140"/>
      <c r="AV16" s="141">
        <f t="shared" si="110"/>
        <v>0</v>
      </c>
      <c r="AW16" s="140"/>
      <c r="AX16" s="141">
        <f t="shared" si="111"/>
        <v>0</v>
      </c>
      <c r="AY16" s="140"/>
      <c r="AZ16" s="141">
        <f t="shared" si="112"/>
        <v>0</v>
      </c>
      <c r="BA16" s="140"/>
      <c r="BB16" s="141">
        <f t="shared" si="112"/>
        <v>0</v>
      </c>
      <c r="BC16" s="140"/>
      <c r="BD16" s="141">
        <f t="shared" si="112"/>
        <v>0</v>
      </c>
      <c r="BE16" s="140"/>
      <c r="BF16" s="141">
        <f t="shared" si="112"/>
        <v>0</v>
      </c>
      <c r="BG16" s="140"/>
      <c r="BH16" s="141">
        <f t="shared" si="112"/>
        <v>0</v>
      </c>
      <c r="BI16" s="140"/>
      <c r="BJ16" s="141">
        <f t="shared" si="112"/>
        <v>0</v>
      </c>
      <c r="BK16" s="140"/>
      <c r="BL16" s="141">
        <f t="shared" si="112"/>
        <v>0</v>
      </c>
      <c r="BM16" s="140"/>
      <c r="BN16" s="141">
        <f t="shared" si="112"/>
        <v>0</v>
      </c>
      <c r="BO16" s="140"/>
      <c r="BP16" s="141">
        <f t="shared" si="30"/>
        <v>0</v>
      </c>
      <c r="BQ16" s="140"/>
      <c r="BR16" s="141">
        <f t="shared" si="31"/>
        <v>0</v>
      </c>
      <c r="BS16" s="140"/>
      <c r="BT16" s="141">
        <f t="shared" si="32"/>
        <v>0</v>
      </c>
      <c r="BU16" s="140"/>
      <c r="BV16" s="141">
        <f t="shared" si="33"/>
        <v>0</v>
      </c>
      <c r="BW16" s="140"/>
      <c r="BX16" s="141">
        <f t="shared" si="34"/>
        <v>0</v>
      </c>
      <c r="BY16" s="140"/>
      <c r="BZ16" s="141">
        <f t="shared" si="35"/>
        <v>0</v>
      </c>
      <c r="CA16" s="140"/>
      <c r="CB16" s="141">
        <f t="shared" si="36"/>
        <v>0</v>
      </c>
      <c r="CC16" s="140"/>
      <c r="CD16" s="141">
        <f t="shared" si="37"/>
        <v>0</v>
      </c>
      <c r="CE16" s="119"/>
      <c r="CF16" s="119"/>
      <c r="CG16" s="119"/>
      <c r="CH16" s="119"/>
      <c r="CI16" s="119"/>
      <c r="CJ16" s="119"/>
      <c r="CM16">
        <f t="shared" si="113"/>
        <v>0</v>
      </c>
      <c r="CN16" t="str">
        <f ca="1">ELEMENT!AC14</f>
        <v/>
      </c>
      <c r="CO16">
        <f t="shared" ca="1" si="114"/>
        <v>0</v>
      </c>
      <c r="CP16" t="str">
        <f t="shared" ca="1" si="115"/>
        <v/>
      </c>
      <c r="CQ16" t="str">
        <f t="shared" ca="1" si="116"/>
        <v/>
      </c>
      <c r="CR16">
        <f t="shared" ca="1" si="117"/>
        <v>0</v>
      </c>
      <c r="CS16">
        <f t="shared" ca="1" si="118"/>
        <v>0</v>
      </c>
      <c r="CT16">
        <f t="shared" si="119"/>
        <v>0</v>
      </c>
      <c r="CU16" t="str">
        <f t="shared" ca="1" si="120"/>
        <v/>
      </c>
      <c r="CV16">
        <f t="shared" si="121"/>
        <v>0</v>
      </c>
      <c r="CW16">
        <f t="shared" si="122"/>
        <v>0</v>
      </c>
      <c r="CX16">
        <f t="shared" si="123"/>
        <v>0</v>
      </c>
      <c r="DC16" t="str">
        <f t="shared" si="124"/>
        <v/>
      </c>
      <c r="DE16">
        <f t="shared" si="125"/>
        <v>0</v>
      </c>
      <c r="DG16" t="str">
        <f t="shared" si="126"/>
        <v/>
      </c>
      <c r="DI16" t="str">
        <f t="shared" si="127"/>
        <v/>
      </c>
      <c r="DK16" t="str">
        <f t="shared" si="128"/>
        <v/>
      </c>
      <c r="DM16" t="str">
        <f t="shared" si="129"/>
        <v/>
      </c>
      <c r="DO16" t="str">
        <f t="shared" si="130"/>
        <v/>
      </c>
      <c r="DQ16" t="str">
        <f t="shared" si="131"/>
        <v/>
      </c>
      <c r="DS16" t="str">
        <f t="shared" si="132"/>
        <v/>
      </c>
      <c r="DU16" t="str">
        <f t="shared" si="133"/>
        <v/>
      </c>
      <c r="DW16" t="str">
        <f t="shared" si="134"/>
        <v/>
      </c>
      <c r="DY16" t="str">
        <f t="shared" si="135"/>
        <v/>
      </c>
      <c r="EA16" t="str">
        <f t="shared" si="136"/>
        <v/>
      </c>
      <c r="EC16" t="str">
        <f t="shared" si="137"/>
        <v/>
      </c>
      <c r="EE16" t="str">
        <f t="shared" si="138"/>
        <v/>
      </c>
      <c r="EG16" t="str">
        <f t="shared" si="138"/>
        <v/>
      </c>
      <c r="EI16" t="str">
        <f t="shared" si="138"/>
        <v/>
      </c>
      <c r="EK16" t="str">
        <f t="shared" si="138"/>
        <v/>
      </c>
      <c r="EM16" t="str">
        <f t="shared" si="138"/>
        <v/>
      </c>
      <c r="EO16" t="str">
        <f t="shared" si="138"/>
        <v/>
      </c>
      <c r="EQ16" t="str">
        <f t="shared" si="138"/>
        <v/>
      </c>
      <c r="ES16" t="str">
        <f t="shared" si="138"/>
        <v/>
      </c>
      <c r="EU16" t="str">
        <f t="shared" si="71"/>
        <v/>
      </c>
      <c r="EW16" t="str">
        <f t="shared" si="72"/>
        <v/>
      </c>
      <c r="EY16" t="str">
        <f t="shared" si="73"/>
        <v/>
      </c>
      <c r="FA16" t="str">
        <f t="shared" si="74"/>
        <v/>
      </c>
      <c r="FC16" t="str">
        <f t="shared" si="75"/>
        <v/>
      </c>
      <c r="FE16" t="str">
        <f t="shared" si="76"/>
        <v/>
      </c>
      <c r="FG16" t="str">
        <f t="shared" si="77"/>
        <v/>
      </c>
      <c r="FI16" t="str">
        <f t="shared" si="78"/>
        <v/>
      </c>
      <c r="FL16" t="str">
        <f t="shared" si="139"/>
        <v/>
      </c>
      <c r="FM16" t="e">
        <f t="shared" ca="1" si="140"/>
        <v>#VALUE!</v>
      </c>
      <c r="FN16">
        <v>130593</v>
      </c>
      <c r="FO16">
        <f>ROUND((ELEMENT!EH14*(1-$H$2)*(1+$E$4)),0)*C16</f>
        <v>0</v>
      </c>
      <c r="FP16">
        <f t="shared" si="141"/>
        <v>0</v>
      </c>
      <c r="FQ16">
        <f t="shared" si="142"/>
        <v>0</v>
      </c>
      <c r="FR16">
        <f t="shared" si="143"/>
        <v>0</v>
      </c>
      <c r="FS16" t="str">
        <f>IF(ELEMENT!AO14="","",H16*C16)</f>
        <v/>
      </c>
      <c r="FT16">
        <f t="shared" si="144"/>
        <v>0</v>
      </c>
      <c r="FU16">
        <f t="shared" si="145"/>
        <v>0</v>
      </c>
      <c r="FV16">
        <f t="shared" si="146"/>
        <v>2.5499999999999998</v>
      </c>
      <c r="FW16">
        <f t="shared" si="147"/>
        <v>4.66</v>
      </c>
      <c r="FX16">
        <f t="shared" si="148"/>
        <v>0.36</v>
      </c>
      <c r="FY16">
        <f>ELEMENT!AR14</f>
        <v>2</v>
      </c>
      <c r="FZ16">
        <f>ELEMENT!L14</f>
        <v>1</v>
      </c>
      <c r="GA16">
        <f>ELEMENT!M14</f>
        <v>1</v>
      </c>
      <c r="GB16">
        <f>ELEMENT!N14</f>
        <v>2</v>
      </c>
      <c r="GC16">
        <f>ELEMENT!O14</f>
        <v>0</v>
      </c>
      <c r="GD16">
        <f t="shared" si="149"/>
        <v>0</v>
      </c>
      <c r="GE16">
        <f>IF(GI16=ELEMENT!$CJ$59,$GW$8,
IF(GI16=ELEMENT!$CK$59,$GW$16,
IF(GI16=ELEMENT!$CL$59,$GW$24,)))</f>
        <v>4.0999999999999996</v>
      </c>
      <c r="GF16">
        <f>IF(GI16=ELEMENT!$CJ$59,$GW$9,
IF(GI16=ELEMENT!$CK$59,$GW$17,
IF(GI16=ELEMENT!$CL$59,$GW$25,)))</f>
        <v>1.2869999999999999</v>
      </c>
      <c r="GG16">
        <f>IF(GI16=ELEMENT!$CJ$59,$GW$10,
IF(GI16=ELEMENT!$CK$59,$GW$18,
IF(GI16=ELEMENT!$CL$59,$GW$26,)))</f>
        <v>3.032</v>
      </c>
      <c r="GH16">
        <f>IF(GI16=ELEMENT!$CJ$59,$GW$12,
IF(GI16=ELEMENT!$CK$59,$GW$20,
IF(GI16=ELEMENT!$CL$59,$GW$28,)))</f>
        <v>1.87</v>
      </c>
      <c r="GI16">
        <f>ELEMENT!G14</f>
        <v>0</v>
      </c>
      <c r="GJ16">
        <f>ELEMENT!BD14</f>
        <v>0</v>
      </c>
      <c r="GL16">
        <f>ELEMENT!R14</f>
        <v>0</v>
      </c>
      <c r="GM16">
        <f>ELEMENT!S14</f>
        <v>0</v>
      </c>
      <c r="GN16">
        <f>ELEMENT!T14</f>
        <v>0</v>
      </c>
      <c r="GP16">
        <f>ELEMENT!AU14</f>
        <v>0</v>
      </c>
      <c r="GQ16">
        <f>ELEMENT!AY14</f>
        <v>0</v>
      </c>
      <c r="GR16">
        <f t="shared" si="150"/>
        <v>0</v>
      </c>
      <c r="GS16">
        <f>ELEMENT!BE14</f>
        <v>0</v>
      </c>
      <c r="GV16">
        <f>ELEMENT!BF15</f>
        <v>0</v>
      </c>
      <c r="GW16">
        <f>ELEMENT!BO15</f>
        <v>4.0999999999999996</v>
      </c>
    </row>
    <row r="17" spans="1:207" x14ac:dyDescent="0.2">
      <c r="A17" s="114"/>
      <c r="B17" s="184">
        <f>(ELEMENT!B15)</f>
        <v>0</v>
      </c>
      <c r="C17" s="184">
        <f>SUM(ELEMENT!C15)</f>
        <v>0</v>
      </c>
      <c r="D17" s="184">
        <f>ELEMENT!D15</f>
        <v>0</v>
      </c>
      <c r="E17" s="184">
        <f>ELEMENT!E15</f>
        <v>0</v>
      </c>
      <c r="F17" s="184">
        <f t="shared" si="93"/>
        <v>0</v>
      </c>
      <c r="G17" s="135" t="str">
        <f>ELEMENT!AH15</f>
        <v/>
      </c>
      <c r="H17" s="191" t="str">
        <f>IF(ELEMENT!AO15="","",ELEMENT!AA15*ELEMENT!DQ15)</f>
        <v/>
      </c>
      <c r="I17" s="184">
        <f t="shared" si="94"/>
        <v>0</v>
      </c>
      <c r="J17" s="136">
        <f>ROUND(ELEMENT!DE15,1)</f>
        <v>0</v>
      </c>
      <c r="K17" s="198"/>
      <c r="L17" s="198">
        <f t="shared" si="91"/>
        <v>0</v>
      </c>
      <c r="M17" s="198"/>
      <c r="N17" s="198"/>
      <c r="O17" s="198"/>
      <c r="P17" s="137" t="e">
        <f ca="1">(ROUND((ELEMENT!AC15-ELEMENT!EG15)*$P$2*(1-$H$2)*(1+$E$4),0)+ROUND((ELEMENT!EG15)*$P$2*(1-$H$2)*(1+$E$4),0))</f>
        <v>#VALUE!</v>
      </c>
      <c r="Q17" s="137" t="e">
        <f t="shared" ca="1" si="95"/>
        <v>#VALUE!</v>
      </c>
      <c r="R17" s="138" t="e">
        <f t="shared" ca="1" si="96"/>
        <v>#VALUE!</v>
      </c>
      <c r="S17" s="139" t="e">
        <f t="shared" ca="1" si="97"/>
        <v>#VALUE!</v>
      </c>
      <c r="T17" s="132" t="str">
        <f ca="1">IF(ELEMENT!AC15="","",P17+S17)</f>
        <v/>
      </c>
      <c r="U17" s="132" t="str">
        <f ca="1">IF(ELEMENT!AC15="","",C17*T17)</f>
        <v/>
      </c>
      <c r="V17" s="132" t="str">
        <f>IF(ELEMENT!AW15="JA",ELEMENT!V15,IF(D17+E17=0,"",SUM(T17/ELEMENT!AA15)))</f>
        <v/>
      </c>
      <c r="W17" s="199">
        <f t="shared" si="92"/>
        <v>1</v>
      </c>
      <c r="X17" s="141">
        <f t="shared" si="98"/>
        <v>0</v>
      </c>
      <c r="Y17" s="199" t="s">
        <v>1276</v>
      </c>
      <c r="Z17" s="141">
        <f t="shared" si="99"/>
        <v>0</v>
      </c>
      <c r="AA17" s="199"/>
      <c r="AB17" s="141">
        <f t="shared" si="100"/>
        <v>0</v>
      </c>
      <c r="AC17" s="199"/>
      <c r="AD17" s="141">
        <f t="shared" si="101"/>
        <v>0</v>
      </c>
      <c r="AE17" s="199"/>
      <c r="AF17" s="141">
        <f t="shared" si="102"/>
        <v>0</v>
      </c>
      <c r="AG17" s="199"/>
      <c r="AH17" s="141">
        <f t="shared" si="103"/>
        <v>0</v>
      </c>
      <c r="AI17" s="140"/>
      <c r="AJ17" s="141">
        <f t="shared" si="104"/>
        <v>0</v>
      </c>
      <c r="AK17" s="140"/>
      <c r="AL17" s="141">
        <f t="shared" si="105"/>
        <v>0</v>
      </c>
      <c r="AM17" s="140"/>
      <c r="AN17" s="141">
        <f t="shared" si="106"/>
        <v>0</v>
      </c>
      <c r="AO17" s="140"/>
      <c r="AP17" s="141">
        <f t="shared" si="107"/>
        <v>0</v>
      </c>
      <c r="AQ17" s="140"/>
      <c r="AR17" s="141">
        <f t="shared" si="108"/>
        <v>0</v>
      </c>
      <c r="AS17" s="140"/>
      <c r="AT17" s="141">
        <f t="shared" si="109"/>
        <v>0</v>
      </c>
      <c r="AU17" s="140"/>
      <c r="AV17" s="141">
        <f t="shared" si="110"/>
        <v>0</v>
      </c>
      <c r="AW17" s="140"/>
      <c r="AX17" s="141">
        <f t="shared" si="111"/>
        <v>0</v>
      </c>
      <c r="AY17" s="140"/>
      <c r="AZ17" s="141">
        <f t="shared" si="112"/>
        <v>0</v>
      </c>
      <c r="BA17" s="140"/>
      <c r="BB17" s="141">
        <f t="shared" si="112"/>
        <v>0</v>
      </c>
      <c r="BC17" s="140"/>
      <c r="BD17" s="141">
        <f t="shared" si="112"/>
        <v>0</v>
      </c>
      <c r="BE17" s="140"/>
      <c r="BF17" s="141">
        <f t="shared" si="112"/>
        <v>0</v>
      </c>
      <c r="BG17" s="140"/>
      <c r="BH17" s="141">
        <f t="shared" si="112"/>
        <v>0</v>
      </c>
      <c r="BI17" s="140"/>
      <c r="BJ17" s="141">
        <f t="shared" si="112"/>
        <v>0</v>
      </c>
      <c r="BK17" s="140"/>
      <c r="BL17" s="141">
        <f t="shared" si="112"/>
        <v>0</v>
      </c>
      <c r="BM17" s="140"/>
      <c r="BN17" s="141">
        <f t="shared" si="112"/>
        <v>0</v>
      </c>
      <c r="BO17" s="140"/>
      <c r="BP17" s="141">
        <f t="shared" si="30"/>
        <v>0</v>
      </c>
      <c r="BQ17" s="140"/>
      <c r="BR17" s="141">
        <f t="shared" si="31"/>
        <v>0</v>
      </c>
      <c r="BS17" s="140"/>
      <c r="BT17" s="141">
        <f t="shared" si="32"/>
        <v>0</v>
      </c>
      <c r="BU17" s="140"/>
      <c r="BV17" s="141">
        <f t="shared" si="33"/>
        <v>0</v>
      </c>
      <c r="BW17" s="140"/>
      <c r="BX17" s="141">
        <f t="shared" si="34"/>
        <v>0</v>
      </c>
      <c r="BY17" s="140"/>
      <c r="BZ17" s="141">
        <f t="shared" si="35"/>
        <v>0</v>
      </c>
      <c r="CA17" s="140"/>
      <c r="CB17" s="141">
        <f t="shared" si="36"/>
        <v>0</v>
      </c>
      <c r="CC17" s="140"/>
      <c r="CD17" s="141">
        <f t="shared" si="37"/>
        <v>0</v>
      </c>
      <c r="CE17" s="119"/>
      <c r="CF17" s="119"/>
      <c r="CG17" s="119"/>
      <c r="CH17" s="119"/>
      <c r="CI17" s="119"/>
      <c r="CJ17" s="119"/>
      <c r="CM17">
        <f t="shared" si="113"/>
        <v>0</v>
      </c>
      <c r="CN17" t="str">
        <f ca="1">ELEMENT!AC15</f>
        <v/>
      </c>
      <c r="CO17">
        <f t="shared" ca="1" si="114"/>
        <v>0</v>
      </c>
      <c r="CP17" t="str">
        <f t="shared" ca="1" si="115"/>
        <v/>
      </c>
      <c r="CQ17" t="str">
        <f t="shared" ca="1" si="116"/>
        <v/>
      </c>
      <c r="CR17">
        <f t="shared" ca="1" si="117"/>
        <v>0</v>
      </c>
      <c r="CS17">
        <f t="shared" ca="1" si="118"/>
        <v>0</v>
      </c>
      <c r="CT17">
        <f t="shared" si="119"/>
        <v>0</v>
      </c>
      <c r="CU17" t="str">
        <f t="shared" ca="1" si="120"/>
        <v/>
      </c>
      <c r="CV17">
        <f t="shared" si="121"/>
        <v>0</v>
      </c>
      <c r="CW17">
        <f t="shared" si="122"/>
        <v>0</v>
      </c>
      <c r="CX17">
        <f t="shared" si="123"/>
        <v>0</v>
      </c>
      <c r="DC17" t="str">
        <f t="shared" si="124"/>
        <v/>
      </c>
      <c r="DE17">
        <f t="shared" si="125"/>
        <v>0</v>
      </c>
      <c r="DG17" t="str">
        <f t="shared" si="126"/>
        <v/>
      </c>
      <c r="DI17" t="str">
        <f t="shared" si="127"/>
        <v/>
      </c>
      <c r="DK17" t="str">
        <f t="shared" si="128"/>
        <v/>
      </c>
      <c r="DM17" t="str">
        <f t="shared" si="129"/>
        <v/>
      </c>
      <c r="DO17" t="str">
        <f t="shared" si="130"/>
        <v/>
      </c>
      <c r="DQ17" t="str">
        <f t="shared" si="131"/>
        <v/>
      </c>
      <c r="DS17" t="str">
        <f t="shared" si="132"/>
        <v/>
      </c>
      <c r="DU17" t="str">
        <f t="shared" si="133"/>
        <v/>
      </c>
      <c r="DW17" t="str">
        <f t="shared" si="134"/>
        <v/>
      </c>
      <c r="DY17" t="str">
        <f t="shared" si="135"/>
        <v/>
      </c>
      <c r="EA17" t="str">
        <f t="shared" si="136"/>
        <v/>
      </c>
      <c r="EC17" t="str">
        <f t="shared" si="137"/>
        <v/>
      </c>
      <c r="EE17" t="str">
        <f t="shared" si="138"/>
        <v/>
      </c>
      <c r="EG17" t="str">
        <f t="shared" si="138"/>
        <v/>
      </c>
      <c r="EI17" t="str">
        <f t="shared" si="138"/>
        <v/>
      </c>
      <c r="EK17" t="str">
        <f t="shared" si="138"/>
        <v/>
      </c>
      <c r="EM17" t="str">
        <f t="shared" si="138"/>
        <v/>
      </c>
      <c r="EO17" t="str">
        <f t="shared" si="138"/>
        <v/>
      </c>
      <c r="EQ17" t="str">
        <f t="shared" si="138"/>
        <v/>
      </c>
      <c r="ES17" t="str">
        <f t="shared" si="138"/>
        <v/>
      </c>
      <c r="EU17" t="str">
        <f t="shared" si="71"/>
        <v/>
      </c>
      <c r="EW17" t="str">
        <f t="shared" si="72"/>
        <v/>
      </c>
      <c r="EY17" t="str">
        <f t="shared" si="73"/>
        <v/>
      </c>
      <c r="FA17" t="str">
        <f t="shared" si="74"/>
        <v/>
      </c>
      <c r="FC17" t="str">
        <f t="shared" si="75"/>
        <v/>
      </c>
      <c r="FE17" t="str">
        <f t="shared" si="76"/>
        <v/>
      </c>
      <c r="FG17" t="str">
        <f t="shared" si="77"/>
        <v/>
      </c>
      <c r="FI17" t="str">
        <f t="shared" si="78"/>
        <v/>
      </c>
      <c r="FL17" t="str">
        <f t="shared" si="139"/>
        <v/>
      </c>
      <c r="FM17" t="e">
        <f t="shared" ca="1" si="140"/>
        <v>#VALUE!</v>
      </c>
      <c r="FN17">
        <v>130594</v>
      </c>
      <c r="FO17">
        <f>ROUND((ELEMENT!EH15*(1-$H$2)*(1+$E$4)),0)*C17</f>
        <v>0</v>
      </c>
      <c r="FP17">
        <f t="shared" si="141"/>
        <v>0</v>
      </c>
      <c r="FQ17">
        <f t="shared" si="142"/>
        <v>0</v>
      </c>
      <c r="FR17">
        <f t="shared" si="143"/>
        <v>0</v>
      </c>
      <c r="FS17" t="str">
        <f>IF(ELEMENT!AO15="","",H17*C17)</f>
        <v/>
      </c>
      <c r="FT17">
        <f t="shared" si="144"/>
        <v>0</v>
      </c>
      <c r="FU17">
        <f t="shared" si="145"/>
        <v>0</v>
      </c>
      <c r="FV17">
        <f t="shared" si="146"/>
        <v>2.5499999999999998</v>
      </c>
      <c r="FW17">
        <f t="shared" si="147"/>
        <v>4.66</v>
      </c>
      <c r="FX17">
        <f t="shared" si="148"/>
        <v>0.36</v>
      </c>
      <c r="FY17">
        <f>ELEMENT!AR15</f>
        <v>2</v>
      </c>
      <c r="FZ17">
        <f>ELEMENT!L15</f>
        <v>1</v>
      </c>
      <c r="GA17">
        <f>ELEMENT!M15</f>
        <v>1</v>
      </c>
      <c r="GB17">
        <f>ELEMENT!N15</f>
        <v>2</v>
      </c>
      <c r="GC17">
        <f>ELEMENT!O15</f>
        <v>0</v>
      </c>
      <c r="GD17">
        <f t="shared" si="149"/>
        <v>0</v>
      </c>
      <c r="GE17">
        <f>IF(GI17=ELEMENT!$CJ$59,$GW$8,
IF(GI17=ELEMENT!$CK$59,$GW$16,
IF(GI17=ELEMENT!$CL$59,$GW$24,)))</f>
        <v>4.0999999999999996</v>
      </c>
      <c r="GF17">
        <f>IF(GI17=ELEMENT!$CJ$59,$GW$9,
IF(GI17=ELEMENT!$CK$59,$GW$17,
IF(GI17=ELEMENT!$CL$59,$GW$25,)))</f>
        <v>1.2869999999999999</v>
      </c>
      <c r="GG17">
        <f>IF(GI17=ELEMENT!$CJ$59,$GW$10,
IF(GI17=ELEMENT!$CK$59,$GW$18,
IF(GI17=ELEMENT!$CL$59,$GW$26,)))</f>
        <v>3.032</v>
      </c>
      <c r="GH17">
        <f>IF(GI17=ELEMENT!$CJ$59,$GW$12,
IF(GI17=ELEMENT!$CK$59,$GW$20,
IF(GI17=ELEMENT!$CL$59,$GW$28,)))</f>
        <v>1.87</v>
      </c>
      <c r="GI17">
        <f>ELEMENT!G15</f>
        <v>0</v>
      </c>
      <c r="GJ17">
        <f>ELEMENT!BD15</f>
        <v>0</v>
      </c>
      <c r="GL17">
        <f>ELEMENT!R15</f>
        <v>0</v>
      </c>
      <c r="GM17">
        <f>ELEMENT!S15</f>
        <v>0</v>
      </c>
      <c r="GN17">
        <f>ELEMENT!T15</f>
        <v>0</v>
      </c>
      <c r="GP17">
        <f>ELEMENT!AU15</f>
        <v>0</v>
      </c>
      <c r="GQ17">
        <f>ELEMENT!AY15</f>
        <v>0</v>
      </c>
      <c r="GR17">
        <f t="shared" si="150"/>
        <v>0</v>
      </c>
      <c r="GS17">
        <f>ELEMENT!BE15</f>
        <v>0</v>
      </c>
      <c r="GV17">
        <f>ELEMENT!BF16</f>
        <v>0</v>
      </c>
      <c r="GW17">
        <f>ELEMENT!BO16</f>
        <v>1.2869999999999999</v>
      </c>
    </row>
    <row r="18" spans="1:207" x14ac:dyDescent="0.2">
      <c r="A18" s="114"/>
      <c r="B18" s="184">
        <f>(ELEMENT!B16)</f>
        <v>0</v>
      </c>
      <c r="C18" s="184">
        <f>SUM(ELEMENT!C16)</f>
        <v>0</v>
      </c>
      <c r="D18" s="184">
        <f>ELEMENT!D16</f>
        <v>0</v>
      </c>
      <c r="E18" s="184">
        <f>ELEMENT!E16</f>
        <v>0</v>
      </c>
      <c r="F18" s="184">
        <f t="shared" si="93"/>
        <v>0</v>
      </c>
      <c r="G18" s="135" t="str">
        <f>ELEMENT!AH16</f>
        <v/>
      </c>
      <c r="H18" s="191" t="str">
        <f>IF(ELEMENT!AO16="","",ELEMENT!AA16*ELEMENT!DQ16)</f>
        <v/>
      </c>
      <c r="I18" s="184">
        <f t="shared" si="94"/>
        <v>0</v>
      </c>
      <c r="J18" s="136">
        <f>ROUND(ELEMENT!DE16,1)</f>
        <v>0</v>
      </c>
      <c r="K18" s="198"/>
      <c r="L18" s="198">
        <f t="shared" si="91"/>
        <v>0</v>
      </c>
      <c r="M18" s="198"/>
      <c r="N18" s="198"/>
      <c r="O18" s="198"/>
      <c r="P18" s="137" t="e">
        <f ca="1">(ROUND((ELEMENT!AC16-ELEMENT!EG16)*$P$2*(1-$H$2)*(1+$E$4),0)+ROUND((ELEMENT!EG16)*$P$2*(1-$H$2)*(1+$E$4),0))</f>
        <v>#VALUE!</v>
      </c>
      <c r="Q18" s="137" t="e">
        <f t="shared" ca="1" si="95"/>
        <v>#VALUE!</v>
      </c>
      <c r="R18" s="138" t="e">
        <f t="shared" ca="1" si="96"/>
        <v>#VALUE!</v>
      </c>
      <c r="S18" s="139" t="e">
        <f t="shared" ca="1" si="97"/>
        <v>#VALUE!</v>
      </c>
      <c r="T18" s="132" t="str">
        <f ca="1">IF(ELEMENT!AC16="","",P18+S18)</f>
        <v/>
      </c>
      <c r="U18" s="132" t="str">
        <f ca="1">IF(ELEMENT!AC16="","",C18*T18)</f>
        <v/>
      </c>
      <c r="V18" s="132" t="str">
        <f>IF(ELEMENT!AW16="JA",ELEMENT!V16,IF(D18+E18=0,"",SUM(T18/ELEMENT!AA16)))</f>
        <v/>
      </c>
      <c r="W18" s="199">
        <f t="shared" si="92"/>
        <v>1</v>
      </c>
      <c r="X18" s="141">
        <f t="shared" si="98"/>
        <v>0</v>
      </c>
      <c r="Y18" s="199" t="s">
        <v>1276</v>
      </c>
      <c r="Z18" s="141">
        <f t="shared" si="99"/>
        <v>0</v>
      </c>
      <c r="AA18" s="199"/>
      <c r="AB18" s="141">
        <f t="shared" si="100"/>
        <v>0</v>
      </c>
      <c r="AC18" s="199"/>
      <c r="AD18" s="141">
        <f t="shared" si="101"/>
        <v>0</v>
      </c>
      <c r="AE18" s="199"/>
      <c r="AF18" s="141">
        <f t="shared" si="102"/>
        <v>0</v>
      </c>
      <c r="AG18" s="199"/>
      <c r="AH18" s="141">
        <f t="shared" si="103"/>
        <v>0</v>
      </c>
      <c r="AI18" s="140"/>
      <c r="AJ18" s="141">
        <f t="shared" si="104"/>
        <v>0</v>
      </c>
      <c r="AK18" s="140"/>
      <c r="AL18" s="141">
        <f t="shared" si="105"/>
        <v>0</v>
      </c>
      <c r="AM18" s="140"/>
      <c r="AN18" s="141">
        <f t="shared" si="106"/>
        <v>0</v>
      </c>
      <c r="AO18" s="140"/>
      <c r="AP18" s="141">
        <f t="shared" si="107"/>
        <v>0</v>
      </c>
      <c r="AQ18" s="140"/>
      <c r="AR18" s="141">
        <f t="shared" si="108"/>
        <v>0</v>
      </c>
      <c r="AS18" s="140"/>
      <c r="AT18" s="141">
        <f t="shared" si="109"/>
        <v>0</v>
      </c>
      <c r="AU18" s="140"/>
      <c r="AV18" s="141">
        <f t="shared" si="110"/>
        <v>0</v>
      </c>
      <c r="AW18" s="140"/>
      <c r="AX18" s="141">
        <f t="shared" si="111"/>
        <v>0</v>
      </c>
      <c r="AY18" s="140"/>
      <c r="AZ18" s="141">
        <f t="shared" si="112"/>
        <v>0</v>
      </c>
      <c r="BA18" s="140"/>
      <c r="BB18" s="141">
        <f t="shared" si="112"/>
        <v>0</v>
      </c>
      <c r="BC18" s="140"/>
      <c r="BD18" s="141">
        <f t="shared" si="112"/>
        <v>0</v>
      </c>
      <c r="BE18" s="140"/>
      <c r="BF18" s="141">
        <f t="shared" si="112"/>
        <v>0</v>
      </c>
      <c r="BG18" s="140"/>
      <c r="BH18" s="141">
        <f t="shared" si="112"/>
        <v>0</v>
      </c>
      <c r="BI18" s="140"/>
      <c r="BJ18" s="141">
        <f t="shared" si="112"/>
        <v>0</v>
      </c>
      <c r="BK18" s="140"/>
      <c r="BL18" s="141">
        <f t="shared" si="112"/>
        <v>0</v>
      </c>
      <c r="BM18" s="140"/>
      <c r="BN18" s="141">
        <f t="shared" si="112"/>
        <v>0</v>
      </c>
      <c r="BO18" s="140"/>
      <c r="BP18" s="141">
        <f t="shared" si="30"/>
        <v>0</v>
      </c>
      <c r="BQ18" s="140"/>
      <c r="BR18" s="141">
        <f t="shared" si="31"/>
        <v>0</v>
      </c>
      <c r="BS18" s="140"/>
      <c r="BT18" s="141">
        <f t="shared" si="32"/>
        <v>0</v>
      </c>
      <c r="BU18" s="140"/>
      <c r="BV18" s="141">
        <f t="shared" si="33"/>
        <v>0</v>
      </c>
      <c r="BW18" s="140"/>
      <c r="BX18" s="141">
        <f t="shared" si="34"/>
        <v>0</v>
      </c>
      <c r="BY18" s="140"/>
      <c r="BZ18" s="141">
        <f t="shared" si="35"/>
        <v>0</v>
      </c>
      <c r="CA18" s="140"/>
      <c r="CB18" s="141">
        <f t="shared" si="36"/>
        <v>0</v>
      </c>
      <c r="CC18" s="140"/>
      <c r="CD18" s="141">
        <f t="shared" si="37"/>
        <v>0</v>
      </c>
      <c r="CE18" s="119"/>
      <c r="CF18" s="119"/>
      <c r="CG18" s="119"/>
      <c r="CH18" s="119"/>
      <c r="CI18" s="119"/>
      <c r="CJ18" s="119"/>
      <c r="CM18">
        <f t="shared" si="113"/>
        <v>0</v>
      </c>
      <c r="CN18" t="str">
        <f ca="1">ELEMENT!AC16</f>
        <v/>
      </c>
      <c r="CO18">
        <f t="shared" ca="1" si="114"/>
        <v>0</v>
      </c>
      <c r="CP18" t="str">
        <f t="shared" ca="1" si="115"/>
        <v/>
      </c>
      <c r="CQ18" t="str">
        <f t="shared" ca="1" si="116"/>
        <v/>
      </c>
      <c r="CR18">
        <f t="shared" ca="1" si="117"/>
        <v>0</v>
      </c>
      <c r="CS18">
        <f t="shared" ca="1" si="118"/>
        <v>0</v>
      </c>
      <c r="CT18">
        <f t="shared" si="119"/>
        <v>0</v>
      </c>
      <c r="CU18" t="str">
        <f t="shared" ca="1" si="120"/>
        <v/>
      </c>
      <c r="CV18">
        <f t="shared" si="121"/>
        <v>0</v>
      </c>
      <c r="CW18">
        <f t="shared" si="122"/>
        <v>0</v>
      </c>
      <c r="CX18">
        <f t="shared" si="123"/>
        <v>0</v>
      </c>
      <c r="DC18" t="str">
        <f t="shared" si="124"/>
        <v/>
      </c>
      <c r="DE18">
        <f t="shared" si="125"/>
        <v>0</v>
      </c>
      <c r="DG18" t="str">
        <f t="shared" si="126"/>
        <v/>
      </c>
      <c r="DI18" t="str">
        <f t="shared" si="127"/>
        <v/>
      </c>
      <c r="DK18" t="str">
        <f t="shared" si="128"/>
        <v/>
      </c>
      <c r="DM18" t="str">
        <f t="shared" si="129"/>
        <v/>
      </c>
      <c r="DO18" t="str">
        <f t="shared" si="130"/>
        <v/>
      </c>
      <c r="DQ18" t="str">
        <f t="shared" si="131"/>
        <v/>
      </c>
      <c r="DS18" t="str">
        <f t="shared" si="132"/>
        <v/>
      </c>
      <c r="DU18" t="str">
        <f t="shared" si="133"/>
        <v/>
      </c>
      <c r="DW18" t="str">
        <f t="shared" si="134"/>
        <v/>
      </c>
      <c r="DY18" t="str">
        <f t="shared" si="135"/>
        <v/>
      </c>
      <c r="EA18" t="str">
        <f t="shared" si="136"/>
        <v/>
      </c>
      <c r="EC18" t="str">
        <f t="shared" si="137"/>
        <v/>
      </c>
      <c r="EE18" t="str">
        <f t="shared" si="138"/>
        <v/>
      </c>
      <c r="EG18" t="str">
        <f t="shared" si="138"/>
        <v/>
      </c>
      <c r="EI18" t="str">
        <f t="shared" si="138"/>
        <v/>
      </c>
      <c r="EK18" t="str">
        <f t="shared" si="138"/>
        <v/>
      </c>
      <c r="EM18" t="str">
        <f t="shared" si="138"/>
        <v/>
      </c>
      <c r="EO18" t="str">
        <f t="shared" si="138"/>
        <v/>
      </c>
      <c r="EQ18" t="str">
        <f t="shared" si="138"/>
        <v/>
      </c>
      <c r="ES18" t="str">
        <f t="shared" si="138"/>
        <v/>
      </c>
      <c r="EU18" t="str">
        <f t="shared" si="71"/>
        <v/>
      </c>
      <c r="EW18" t="str">
        <f t="shared" si="72"/>
        <v/>
      </c>
      <c r="EY18" t="str">
        <f t="shared" si="73"/>
        <v/>
      </c>
      <c r="FA18" t="str">
        <f t="shared" si="74"/>
        <v/>
      </c>
      <c r="FC18" t="str">
        <f t="shared" si="75"/>
        <v/>
      </c>
      <c r="FE18" t="str">
        <f t="shared" si="76"/>
        <v/>
      </c>
      <c r="FG18" t="str">
        <f t="shared" si="77"/>
        <v/>
      </c>
      <c r="FI18" t="str">
        <f t="shared" si="78"/>
        <v/>
      </c>
      <c r="FL18" t="str">
        <f t="shared" si="139"/>
        <v/>
      </c>
      <c r="FM18" t="e">
        <f t="shared" ca="1" si="140"/>
        <v>#VALUE!</v>
      </c>
      <c r="FN18">
        <v>130595</v>
      </c>
      <c r="FO18">
        <f>ROUND((ELEMENT!EH16*(1-$H$2)*(1+$E$4)),0)*C18</f>
        <v>0</v>
      </c>
      <c r="FP18">
        <f t="shared" si="141"/>
        <v>0</v>
      </c>
      <c r="FQ18">
        <f t="shared" si="142"/>
        <v>0</v>
      </c>
      <c r="FR18">
        <f t="shared" si="143"/>
        <v>0</v>
      </c>
      <c r="FS18" t="str">
        <f>IF(ELEMENT!AO16="","",H18*C18)</f>
        <v/>
      </c>
      <c r="FT18">
        <f t="shared" si="144"/>
        <v>0</v>
      </c>
      <c r="FU18">
        <f t="shared" si="145"/>
        <v>0</v>
      </c>
      <c r="FV18">
        <f t="shared" si="146"/>
        <v>2.5499999999999998</v>
      </c>
      <c r="FW18">
        <f t="shared" si="147"/>
        <v>4.66</v>
      </c>
      <c r="FX18">
        <f t="shared" si="148"/>
        <v>0.36</v>
      </c>
      <c r="FY18">
        <f>ELEMENT!AR16</f>
        <v>2</v>
      </c>
      <c r="FZ18">
        <f>ELEMENT!L16</f>
        <v>1</v>
      </c>
      <c r="GA18">
        <f>ELEMENT!M16</f>
        <v>1</v>
      </c>
      <c r="GB18">
        <f>ELEMENT!N16</f>
        <v>2</v>
      </c>
      <c r="GC18">
        <f>ELEMENT!O16</f>
        <v>0</v>
      </c>
      <c r="GD18">
        <f t="shared" si="149"/>
        <v>0</v>
      </c>
      <c r="GE18">
        <f>IF(GI18=ELEMENT!$CJ$59,$GW$8,
IF(GI18=ELEMENT!$CK$59,$GW$16,
IF(GI18=ELEMENT!$CL$59,$GW$24,)))</f>
        <v>4.0999999999999996</v>
      </c>
      <c r="GF18">
        <f>IF(GI18=ELEMENT!$CJ$59,$GW$9,
IF(GI18=ELEMENT!$CK$59,$GW$17,
IF(GI18=ELEMENT!$CL$59,$GW$25,)))</f>
        <v>1.2869999999999999</v>
      </c>
      <c r="GG18">
        <f>IF(GI18=ELEMENT!$CJ$59,$GW$10,
IF(GI18=ELEMENT!$CK$59,$GW$18,
IF(GI18=ELEMENT!$CL$59,$GW$26,)))</f>
        <v>3.032</v>
      </c>
      <c r="GH18">
        <f>IF(GI18=ELEMENT!$CJ$59,$GW$12,
IF(GI18=ELEMENT!$CK$59,$GW$20,
IF(GI18=ELEMENT!$CL$59,$GW$28,)))</f>
        <v>1.87</v>
      </c>
      <c r="GI18">
        <f>ELEMENT!G16</f>
        <v>0</v>
      </c>
      <c r="GJ18">
        <f>ELEMENT!BD16</f>
        <v>0</v>
      </c>
      <c r="GL18">
        <f>ELEMENT!R16</f>
        <v>0</v>
      </c>
      <c r="GM18">
        <f>ELEMENT!S16</f>
        <v>0</v>
      </c>
      <c r="GN18">
        <f>ELEMENT!T16</f>
        <v>0</v>
      </c>
      <c r="GP18">
        <f>ELEMENT!AU16</f>
        <v>0</v>
      </c>
      <c r="GQ18">
        <f>ELEMENT!AY16</f>
        <v>0</v>
      </c>
      <c r="GR18">
        <f t="shared" si="150"/>
        <v>0</v>
      </c>
      <c r="GS18">
        <f>ELEMENT!BE16</f>
        <v>0</v>
      </c>
      <c r="GV18">
        <f>ELEMENT!BF17</f>
        <v>0</v>
      </c>
      <c r="GW18">
        <f>ELEMENT!BO17</f>
        <v>4.1779999999999999</v>
      </c>
    </row>
    <row r="19" spans="1:207" x14ac:dyDescent="0.2">
      <c r="A19" s="114"/>
      <c r="B19" s="184">
        <f>(ELEMENT!B17)</f>
        <v>0</v>
      </c>
      <c r="C19" s="184">
        <f>SUM(ELEMENT!C17)</f>
        <v>0</v>
      </c>
      <c r="D19" s="184">
        <f>ELEMENT!D17</f>
        <v>0</v>
      </c>
      <c r="E19" s="184">
        <f>ELEMENT!E17</f>
        <v>0</v>
      </c>
      <c r="F19" s="184">
        <f t="shared" si="93"/>
        <v>0</v>
      </c>
      <c r="G19" s="135" t="str">
        <f>ELEMENT!AH17</f>
        <v/>
      </c>
      <c r="H19" s="191" t="str">
        <f>IF(ELEMENT!AO17="","",ELEMENT!AA17*ELEMENT!DQ17)</f>
        <v/>
      </c>
      <c r="I19" s="184">
        <f t="shared" si="94"/>
        <v>0</v>
      </c>
      <c r="J19" s="136">
        <f>ROUND(ELEMENT!DE17,1)</f>
        <v>0</v>
      </c>
      <c r="K19" s="198"/>
      <c r="L19" s="198">
        <f t="shared" si="91"/>
        <v>0</v>
      </c>
      <c r="M19" s="198"/>
      <c r="N19" s="198"/>
      <c r="O19" s="198"/>
      <c r="P19" s="137" t="e">
        <f ca="1">(ROUND((ELEMENT!AC17-ELEMENT!EG17)*$P$2*(1-$H$2)*(1+$E$4),0)+ROUND((ELEMENT!EG17)*$P$2*(1-$H$2)*(1+$E$4),0))</f>
        <v>#VALUE!</v>
      </c>
      <c r="Q19" s="137" t="e">
        <f t="shared" ca="1" si="95"/>
        <v>#VALUE!</v>
      </c>
      <c r="R19" s="138" t="e">
        <f t="shared" ca="1" si="96"/>
        <v>#VALUE!</v>
      </c>
      <c r="S19" s="139" t="e">
        <f t="shared" ca="1" si="97"/>
        <v>#VALUE!</v>
      </c>
      <c r="T19" s="132" t="str">
        <f ca="1">IF(ELEMENT!AC17="","",P19+S19)</f>
        <v/>
      </c>
      <c r="U19" s="132" t="str">
        <f ca="1">IF(ELEMENT!AC17="","",C19*T19)</f>
        <v/>
      </c>
      <c r="V19" s="132" t="str">
        <f>IF(ELEMENT!AW17="JA",ELEMENT!V17,IF(D19+E19=0,"",SUM(T19/ELEMENT!AA17)))</f>
        <v/>
      </c>
      <c r="W19" s="199">
        <f t="shared" si="92"/>
        <v>1</v>
      </c>
      <c r="X19" s="141">
        <f t="shared" si="98"/>
        <v>0</v>
      </c>
      <c r="Y19" s="199" t="s">
        <v>1276</v>
      </c>
      <c r="Z19" s="141">
        <f t="shared" si="99"/>
        <v>0</v>
      </c>
      <c r="AA19" s="199"/>
      <c r="AB19" s="141">
        <f t="shared" si="100"/>
        <v>0</v>
      </c>
      <c r="AC19" s="199"/>
      <c r="AD19" s="141">
        <f t="shared" si="101"/>
        <v>0</v>
      </c>
      <c r="AE19" s="199"/>
      <c r="AF19" s="141">
        <f t="shared" si="102"/>
        <v>0</v>
      </c>
      <c r="AG19" s="199"/>
      <c r="AH19" s="141">
        <f t="shared" si="103"/>
        <v>0</v>
      </c>
      <c r="AI19" s="140"/>
      <c r="AJ19" s="141">
        <f t="shared" si="104"/>
        <v>0</v>
      </c>
      <c r="AK19" s="140"/>
      <c r="AL19" s="141">
        <f t="shared" si="105"/>
        <v>0</v>
      </c>
      <c r="AM19" s="140"/>
      <c r="AN19" s="141">
        <f t="shared" si="106"/>
        <v>0</v>
      </c>
      <c r="AO19" s="140"/>
      <c r="AP19" s="141">
        <f t="shared" si="107"/>
        <v>0</v>
      </c>
      <c r="AQ19" s="140"/>
      <c r="AR19" s="141">
        <f t="shared" si="108"/>
        <v>0</v>
      </c>
      <c r="AS19" s="140"/>
      <c r="AT19" s="141">
        <f t="shared" si="109"/>
        <v>0</v>
      </c>
      <c r="AU19" s="140"/>
      <c r="AV19" s="141">
        <f t="shared" si="110"/>
        <v>0</v>
      </c>
      <c r="AW19" s="140"/>
      <c r="AX19" s="141">
        <f t="shared" si="111"/>
        <v>0</v>
      </c>
      <c r="AY19" s="140"/>
      <c r="AZ19" s="141">
        <f t="shared" si="112"/>
        <v>0</v>
      </c>
      <c r="BA19" s="140"/>
      <c r="BB19" s="141">
        <f t="shared" si="112"/>
        <v>0</v>
      </c>
      <c r="BC19" s="140"/>
      <c r="BD19" s="141">
        <f t="shared" si="112"/>
        <v>0</v>
      </c>
      <c r="BE19" s="140"/>
      <c r="BF19" s="141">
        <f t="shared" si="112"/>
        <v>0</v>
      </c>
      <c r="BG19" s="140"/>
      <c r="BH19" s="141">
        <f t="shared" si="112"/>
        <v>0</v>
      </c>
      <c r="BI19" s="140"/>
      <c r="BJ19" s="141">
        <f t="shared" si="112"/>
        <v>0</v>
      </c>
      <c r="BK19" s="140"/>
      <c r="BL19" s="141">
        <f t="shared" si="112"/>
        <v>0</v>
      </c>
      <c r="BM19" s="140"/>
      <c r="BN19" s="141">
        <f t="shared" si="112"/>
        <v>0</v>
      </c>
      <c r="BO19" s="140"/>
      <c r="BP19" s="141">
        <f t="shared" si="30"/>
        <v>0</v>
      </c>
      <c r="BQ19" s="140"/>
      <c r="BR19" s="141">
        <f t="shared" si="31"/>
        <v>0</v>
      </c>
      <c r="BS19" s="140"/>
      <c r="BT19" s="141">
        <f t="shared" si="32"/>
        <v>0</v>
      </c>
      <c r="BU19" s="140"/>
      <c r="BV19" s="141">
        <f t="shared" si="33"/>
        <v>0</v>
      </c>
      <c r="BW19" s="140"/>
      <c r="BX19" s="141">
        <f t="shared" si="34"/>
        <v>0</v>
      </c>
      <c r="BY19" s="140"/>
      <c r="BZ19" s="141">
        <f t="shared" si="35"/>
        <v>0</v>
      </c>
      <c r="CA19" s="140"/>
      <c r="CB19" s="141">
        <f t="shared" si="36"/>
        <v>0</v>
      </c>
      <c r="CC19" s="140"/>
      <c r="CD19" s="141">
        <f t="shared" si="37"/>
        <v>0</v>
      </c>
      <c r="CE19" s="119"/>
      <c r="CF19" s="119"/>
      <c r="CG19" s="119"/>
      <c r="CH19" s="119"/>
      <c r="CI19" s="119"/>
      <c r="CJ19" s="119"/>
      <c r="CM19">
        <f t="shared" si="113"/>
        <v>0</v>
      </c>
      <c r="CN19" t="str">
        <f ca="1">ELEMENT!AC17</f>
        <v/>
      </c>
      <c r="CO19">
        <f t="shared" ca="1" si="114"/>
        <v>0</v>
      </c>
      <c r="CP19" t="str">
        <f t="shared" ca="1" si="115"/>
        <v/>
      </c>
      <c r="CQ19" t="str">
        <f t="shared" ca="1" si="116"/>
        <v/>
      </c>
      <c r="CR19">
        <f t="shared" ca="1" si="117"/>
        <v>0</v>
      </c>
      <c r="CS19">
        <f t="shared" ca="1" si="118"/>
        <v>0</v>
      </c>
      <c r="CT19">
        <f t="shared" si="119"/>
        <v>0</v>
      </c>
      <c r="CU19" t="str">
        <f t="shared" ca="1" si="120"/>
        <v/>
      </c>
      <c r="CV19">
        <f t="shared" si="121"/>
        <v>0</v>
      </c>
      <c r="CW19">
        <f t="shared" si="122"/>
        <v>0</v>
      </c>
      <c r="CX19">
        <f t="shared" si="123"/>
        <v>0</v>
      </c>
      <c r="DC19" t="str">
        <f t="shared" si="124"/>
        <v/>
      </c>
      <c r="DE19">
        <f t="shared" si="125"/>
        <v>0</v>
      </c>
      <c r="DG19" t="str">
        <f t="shared" si="126"/>
        <v/>
      </c>
      <c r="DI19" t="str">
        <f t="shared" si="127"/>
        <v/>
      </c>
      <c r="DK19" t="str">
        <f t="shared" si="128"/>
        <v/>
      </c>
      <c r="DM19" t="str">
        <f t="shared" si="129"/>
        <v/>
      </c>
      <c r="DO19" t="str">
        <f t="shared" si="130"/>
        <v/>
      </c>
      <c r="DQ19" t="str">
        <f t="shared" si="131"/>
        <v/>
      </c>
      <c r="DS19" t="str">
        <f t="shared" si="132"/>
        <v/>
      </c>
      <c r="DU19" t="str">
        <f t="shared" si="133"/>
        <v/>
      </c>
      <c r="DW19" t="str">
        <f t="shared" si="134"/>
        <v/>
      </c>
      <c r="DY19" t="str">
        <f t="shared" si="135"/>
        <v/>
      </c>
      <c r="EA19" t="str">
        <f t="shared" si="136"/>
        <v/>
      </c>
      <c r="EC19" t="str">
        <f t="shared" si="137"/>
        <v/>
      </c>
      <c r="EE19" t="str">
        <f t="shared" si="138"/>
        <v/>
      </c>
      <c r="EG19" t="str">
        <f t="shared" si="138"/>
        <v/>
      </c>
      <c r="EI19" t="str">
        <f t="shared" si="138"/>
        <v/>
      </c>
      <c r="EK19" t="str">
        <f t="shared" si="138"/>
        <v/>
      </c>
      <c r="EM19" t="str">
        <f t="shared" si="138"/>
        <v/>
      </c>
      <c r="EO19" t="str">
        <f t="shared" si="138"/>
        <v/>
      </c>
      <c r="EQ19" t="str">
        <f t="shared" si="138"/>
        <v/>
      </c>
      <c r="ES19" t="str">
        <f t="shared" si="138"/>
        <v/>
      </c>
      <c r="EU19" t="str">
        <f t="shared" si="71"/>
        <v/>
      </c>
      <c r="EW19" t="str">
        <f t="shared" si="72"/>
        <v/>
      </c>
      <c r="EY19" t="str">
        <f t="shared" si="73"/>
        <v/>
      </c>
      <c r="FA19" t="str">
        <f t="shared" si="74"/>
        <v/>
      </c>
      <c r="FC19" t="str">
        <f t="shared" si="75"/>
        <v/>
      </c>
      <c r="FE19" t="str">
        <f t="shared" si="76"/>
        <v/>
      </c>
      <c r="FG19" t="str">
        <f t="shared" si="77"/>
        <v/>
      </c>
      <c r="FI19" t="str">
        <f t="shared" si="78"/>
        <v/>
      </c>
      <c r="FL19" t="str">
        <f t="shared" si="139"/>
        <v/>
      </c>
      <c r="FM19" t="e">
        <f t="shared" ca="1" si="140"/>
        <v>#VALUE!</v>
      </c>
      <c r="FN19">
        <v>130596</v>
      </c>
      <c r="FO19">
        <f>ROUND((ELEMENT!EH17*(1-$H$2)*(1+$E$4)),0)*C19</f>
        <v>0</v>
      </c>
      <c r="FP19">
        <f t="shared" si="141"/>
        <v>0</v>
      </c>
      <c r="FQ19">
        <f t="shared" si="142"/>
        <v>0</v>
      </c>
      <c r="FR19">
        <f t="shared" si="143"/>
        <v>0</v>
      </c>
      <c r="FS19" t="str">
        <f>IF(ELEMENT!AO17="","",H19*C19)</f>
        <v/>
      </c>
      <c r="FT19">
        <f t="shared" si="144"/>
        <v>0</v>
      </c>
      <c r="FU19">
        <f t="shared" si="145"/>
        <v>0</v>
      </c>
      <c r="FV19">
        <f t="shared" si="146"/>
        <v>2.5499999999999998</v>
      </c>
      <c r="FW19">
        <f t="shared" si="147"/>
        <v>4.66</v>
      </c>
      <c r="FX19">
        <f t="shared" si="148"/>
        <v>0.36</v>
      </c>
      <c r="FY19">
        <f>ELEMENT!AR17</f>
        <v>2</v>
      </c>
      <c r="FZ19">
        <f>ELEMENT!L17</f>
        <v>1</v>
      </c>
      <c r="GA19">
        <f>ELEMENT!M17</f>
        <v>1</v>
      </c>
      <c r="GB19">
        <f>ELEMENT!N17</f>
        <v>2</v>
      </c>
      <c r="GC19">
        <f>ELEMENT!O17</f>
        <v>0</v>
      </c>
      <c r="GD19">
        <f t="shared" si="149"/>
        <v>0</v>
      </c>
      <c r="GE19">
        <f>IF(GI19=ELEMENT!$CJ$59,$GW$8,
IF(GI19=ELEMENT!$CK$59,$GW$16,
IF(GI19=ELEMENT!$CL$59,$GW$24,)))</f>
        <v>4.0999999999999996</v>
      </c>
      <c r="GF19">
        <f>IF(GI19=ELEMENT!$CJ$59,$GW$9,
IF(GI19=ELEMENT!$CK$59,$GW$17,
IF(GI19=ELEMENT!$CL$59,$GW$25,)))</f>
        <v>1.2869999999999999</v>
      </c>
      <c r="GG19">
        <f>IF(GI19=ELEMENT!$CJ$59,$GW$10,
IF(GI19=ELEMENT!$CK$59,$GW$18,
IF(GI19=ELEMENT!$CL$59,$GW$26,)))</f>
        <v>3.032</v>
      </c>
      <c r="GH19">
        <f>IF(GI19=ELEMENT!$CJ$59,$GW$12,
IF(GI19=ELEMENT!$CK$59,$GW$20,
IF(GI19=ELEMENT!$CL$59,$GW$28,)))</f>
        <v>1.87</v>
      </c>
      <c r="GI19">
        <f>ELEMENT!G17</f>
        <v>0</v>
      </c>
      <c r="GJ19">
        <f>ELEMENT!BD17</f>
        <v>0</v>
      </c>
      <c r="GL19">
        <f>ELEMENT!R17</f>
        <v>0</v>
      </c>
      <c r="GM19">
        <f>ELEMENT!S17</f>
        <v>0</v>
      </c>
      <c r="GN19">
        <f>ELEMENT!T17</f>
        <v>0</v>
      </c>
      <c r="GP19">
        <f>ELEMENT!AU17</f>
        <v>0</v>
      </c>
      <c r="GQ19">
        <f>ELEMENT!AY17</f>
        <v>0</v>
      </c>
      <c r="GR19">
        <f t="shared" si="150"/>
        <v>0</v>
      </c>
      <c r="GS19">
        <f>ELEMENT!BE17</f>
        <v>0</v>
      </c>
      <c r="GV19">
        <f>ELEMENT!BF18</f>
        <v>0</v>
      </c>
      <c r="GW19">
        <f>ELEMENT!BO18</f>
        <v>0</v>
      </c>
    </row>
    <row r="20" spans="1:207" x14ac:dyDescent="0.2">
      <c r="A20" s="114"/>
      <c r="B20" s="184">
        <f>(ELEMENT!B18)</f>
        <v>0</v>
      </c>
      <c r="C20" s="184">
        <f>SUM(ELEMENT!C18)</f>
        <v>0</v>
      </c>
      <c r="D20" s="184">
        <f>ELEMENT!D18</f>
        <v>0</v>
      </c>
      <c r="E20" s="184">
        <f>ELEMENT!E18</f>
        <v>0</v>
      </c>
      <c r="F20" s="184">
        <f t="shared" si="93"/>
        <v>0</v>
      </c>
      <c r="G20" s="135" t="str">
        <f>ELEMENT!AH18</f>
        <v/>
      </c>
      <c r="H20" s="191" t="str">
        <f>IF(ELEMENT!AO18="","",ELEMENT!AA18*ELEMENT!DQ18)</f>
        <v/>
      </c>
      <c r="I20" s="184">
        <f t="shared" si="94"/>
        <v>0</v>
      </c>
      <c r="J20" s="136">
        <f>ROUND(ELEMENT!DE18,1)</f>
        <v>0</v>
      </c>
      <c r="K20" s="198"/>
      <c r="L20" s="198">
        <f t="shared" si="91"/>
        <v>0</v>
      </c>
      <c r="M20" s="198"/>
      <c r="N20" s="198"/>
      <c r="O20" s="198"/>
      <c r="P20" s="137" t="e">
        <f ca="1">(ROUND((ELEMENT!AC18-ELEMENT!EG18)*$P$2*(1-$H$2)*(1+$E$4),0)+ROUND((ELEMENT!EG18)*$P$2*(1-$H$2)*(1+$E$4),0))</f>
        <v>#VALUE!</v>
      </c>
      <c r="Q20" s="137" t="e">
        <f t="shared" ca="1" si="95"/>
        <v>#VALUE!</v>
      </c>
      <c r="R20" s="138" t="e">
        <f t="shared" ca="1" si="96"/>
        <v>#VALUE!</v>
      </c>
      <c r="S20" s="139" t="e">
        <f t="shared" ca="1" si="97"/>
        <v>#VALUE!</v>
      </c>
      <c r="T20" s="132" t="str">
        <f ca="1">IF(ELEMENT!AC18="","",P20+S20)</f>
        <v/>
      </c>
      <c r="U20" s="132" t="str">
        <f ca="1">IF(ELEMENT!AC18="","",C20*T20)</f>
        <v/>
      </c>
      <c r="V20" s="132" t="str">
        <f>IF(ELEMENT!AW18="JA",ELEMENT!V18,IF(D20+E20=0,"",SUM(T20/ELEMENT!AA18)))</f>
        <v/>
      </c>
      <c r="W20" s="199">
        <f t="shared" si="92"/>
        <v>1</v>
      </c>
      <c r="X20" s="141">
        <f t="shared" si="98"/>
        <v>0</v>
      </c>
      <c r="Y20" s="199" t="s">
        <v>1276</v>
      </c>
      <c r="Z20" s="141">
        <f t="shared" si="99"/>
        <v>0</v>
      </c>
      <c r="AA20" s="199"/>
      <c r="AB20" s="141">
        <f t="shared" si="100"/>
        <v>0</v>
      </c>
      <c r="AC20" s="199"/>
      <c r="AD20" s="141">
        <f t="shared" si="101"/>
        <v>0</v>
      </c>
      <c r="AE20" s="199"/>
      <c r="AF20" s="141">
        <f t="shared" si="102"/>
        <v>0</v>
      </c>
      <c r="AG20" s="199"/>
      <c r="AH20" s="141">
        <f t="shared" si="103"/>
        <v>0</v>
      </c>
      <c r="AI20" s="140"/>
      <c r="AJ20" s="141">
        <f t="shared" si="104"/>
        <v>0</v>
      </c>
      <c r="AK20" s="140"/>
      <c r="AL20" s="141">
        <f t="shared" si="105"/>
        <v>0</v>
      </c>
      <c r="AM20" s="140"/>
      <c r="AN20" s="141">
        <f t="shared" si="106"/>
        <v>0</v>
      </c>
      <c r="AO20" s="140"/>
      <c r="AP20" s="141">
        <f t="shared" si="107"/>
        <v>0</v>
      </c>
      <c r="AQ20" s="140"/>
      <c r="AR20" s="141">
        <f t="shared" si="108"/>
        <v>0</v>
      </c>
      <c r="AS20" s="140"/>
      <c r="AT20" s="141">
        <f t="shared" si="109"/>
        <v>0</v>
      </c>
      <c r="AU20" s="140"/>
      <c r="AV20" s="141">
        <f t="shared" si="110"/>
        <v>0</v>
      </c>
      <c r="AW20" s="140"/>
      <c r="AX20" s="141">
        <f t="shared" si="111"/>
        <v>0</v>
      </c>
      <c r="AY20" s="140"/>
      <c r="AZ20" s="141">
        <f t="shared" si="112"/>
        <v>0</v>
      </c>
      <c r="BA20" s="140"/>
      <c r="BB20" s="141">
        <f t="shared" si="112"/>
        <v>0</v>
      </c>
      <c r="BC20" s="140"/>
      <c r="BD20" s="141">
        <f t="shared" si="112"/>
        <v>0</v>
      </c>
      <c r="BE20" s="140"/>
      <c r="BF20" s="141">
        <f t="shared" si="112"/>
        <v>0</v>
      </c>
      <c r="BG20" s="140"/>
      <c r="BH20" s="141">
        <f t="shared" si="112"/>
        <v>0</v>
      </c>
      <c r="BI20" s="140"/>
      <c r="BJ20" s="141">
        <f t="shared" si="112"/>
        <v>0</v>
      </c>
      <c r="BK20" s="140"/>
      <c r="BL20" s="141">
        <f t="shared" si="112"/>
        <v>0</v>
      </c>
      <c r="BM20" s="140"/>
      <c r="BN20" s="141">
        <f t="shared" si="112"/>
        <v>0</v>
      </c>
      <c r="BO20" s="140"/>
      <c r="BP20" s="141">
        <f t="shared" si="30"/>
        <v>0</v>
      </c>
      <c r="BQ20" s="140"/>
      <c r="BR20" s="141">
        <f t="shared" si="31"/>
        <v>0</v>
      </c>
      <c r="BS20" s="140"/>
      <c r="BT20" s="141">
        <f t="shared" si="32"/>
        <v>0</v>
      </c>
      <c r="BU20" s="140"/>
      <c r="BV20" s="141">
        <f t="shared" si="33"/>
        <v>0</v>
      </c>
      <c r="BW20" s="140"/>
      <c r="BX20" s="141">
        <f t="shared" si="34"/>
        <v>0</v>
      </c>
      <c r="BY20" s="140"/>
      <c r="BZ20" s="141">
        <f t="shared" si="35"/>
        <v>0</v>
      </c>
      <c r="CA20" s="140"/>
      <c r="CB20" s="141">
        <f t="shared" si="36"/>
        <v>0</v>
      </c>
      <c r="CC20" s="140"/>
      <c r="CD20" s="141">
        <f t="shared" si="37"/>
        <v>0</v>
      </c>
      <c r="CE20" s="119"/>
      <c r="CF20" s="119"/>
      <c r="CG20" s="119"/>
      <c r="CH20" s="119"/>
      <c r="CI20" s="119"/>
      <c r="CJ20" s="119"/>
      <c r="CM20">
        <f t="shared" si="113"/>
        <v>0</v>
      </c>
      <c r="CN20" t="str">
        <f ca="1">ELEMENT!AC18</f>
        <v/>
      </c>
      <c r="CO20">
        <f t="shared" ca="1" si="114"/>
        <v>0</v>
      </c>
      <c r="CP20" t="str">
        <f t="shared" ca="1" si="115"/>
        <v/>
      </c>
      <c r="CQ20" t="str">
        <f t="shared" ca="1" si="116"/>
        <v/>
      </c>
      <c r="CR20">
        <f t="shared" ca="1" si="117"/>
        <v>0</v>
      </c>
      <c r="CS20">
        <f t="shared" ca="1" si="118"/>
        <v>0</v>
      </c>
      <c r="CT20">
        <f t="shared" si="119"/>
        <v>0</v>
      </c>
      <c r="CU20" t="str">
        <f t="shared" ca="1" si="120"/>
        <v/>
      </c>
      <c r="CV20">
        <f t="shared" si="121"/>
        <v>0</v>
      </c>
      <c r="CW20">
        <f t="shared" si="122"/>
        <v>0</v>
      </c>
      <c r="CX20">
        <f t="shared" si="123"/>
        <v>0</v>
      </c>
      <c r="DC20" t="str">
        <f t="shared" si="124"/>
        <v/>
      </c>
      <c r="DE20">
        <f t="shared" si="125"/>
        <v>0</v>
      </c>
      <c r="DG20" t="str">
        <f t="shared" si="126"/>
        <v/>
      </c>
      <c r="DI20" t="str">
        <f t="shared" si="127"/>
        <v/>
      </c>
      <c r="DK20" t="str">
        <f t="shared" si="128"/>
        <v/>
      </c>
      <c r="DM20" t="str">
        <f t="shared" si="129"/>
        <v/>
      </c>
      <c r="DO20" t="str">
        <f t="shared" si="130"/>
        <v/>
      </c>
      <c r="DQ20" t="str">
        <f t="shared" si="131"/>
        <v/>
      </c>
      <c r="DS20" t="str">
        <f t="shared" si="132"/>
        <v/>
      </c>
      <c r="DU20" t="str">
        <f t="shared" si="133"/>
        <v/>
      </c>
      <c r="DW20" t="str">
        <f t="shared" si="134"/>
        <v/>
      </c>
      <c r="DY20" t="str">
        <f t="shared" si="135"/>
        <v/>
      </c>
      <c r="EA20" t="str">
        <f t="shared" si="136"/>
        <v/>
      </c>
      <c r="EC20" t="str">
        <f t="shared" si="137"/>
        <v/>
      </c>
      <c r="EE20" t="str">
        <f t="shared" si="138"/>
        <v/>
      </c>
      <c r="EG20" t="str">
        <f t="shared" si="138"/>
        <v/>
      </c>
      <c r="EI20" t="str">
        <f t="shared" si="138"/>
        <v/>
      </c>
      <c r="EK20" t="str">
        <f t="shared" si="138"/>
        <v/>
      </c>
      <c r="EM20" t="str">
        <f t="shared" si="138"/>
        <v/>
      </c>
      <c r="EO20" t="str">
        <f t="shared" si="138"/>
        <v/>
      </c>
      <c r="EQ20" t="str">
        <f t="shared" si="138"/>
        <v/>
      </c>
      <c r="ES20" t="str">
        <f t="shared" si="138"/>
        <v/>
      </c>
      <c r="EU20" t="str">
        <f t="shared" si="71"/>
        <v/>
      </c>
      <c r="EW20" t="str">
        <f t="shared" si="72"/>
        <v/>
      </c>
      <c r="EY20" t="str">
        <f t="shared" si="73"/>
        <v/>
      </c>
      <c r="FA20" t="str">
        <f t="shared" si="74"/>
        <v/>
      </c>
      <c r="FC20" t="str">
        <f t="shared" si="75"/>
        <v/>
      </c>
      <c r="FE20" t="str">
        <f t="shared" si="76"/>
        <v/>
      </c>
      <c r="FG20" t="str">
        <f t="shared" si="77"/>
        <v/>
      </c>
      <c r="FI20" t="str">
        <f t="shared" si="78"/>
        <v/>
      </c>
      <c r="FL20" t="str">
        <f t="shared" si="139"/>
        <v/>
      </c>
      <c r="FM20" t="e">
        <f t="shared" ca="1" si="140"/>
        <v>#VALUE!</v>
      </c>
      <c r="FN20">
        <v>130597</v>
      </c>
      <c r="FO20">
        <f>ROUND((ELEMENT!EH18*(1-$H$2)*(1+$E$4)),0)*C20</f>
        <v>0</v>
      </c>
      <c r="FP20">
        <f t="shared" si="141"/>
        <v>0</v>
      </c>
      <c r="FQ20">
        <f t="shared" si="142"/>
        <v>0</v>
      </c>
      <c r="FR20">
        <f t="shared" si="143"/>
        <v>0</v>
      </c>
      <c r="FS20" t="str">
        <f>IF(ELEMENT!AO18="","",H20*C20)</f>
        <v/>
      </c>
      <c r="FT20">
        <f t="shared" si="144"/>
        <v>0</v>
      </c>
      <c r="FU20">
        <f t="shared" si="145"/>
        <v>0</v>
      </c>
      <c r="FV20">
        <f t="shared" si="146"/>
        <v>2.5499999999999998</v>
      </c>
      <c r="FW20">
        <f t="shared" si="147"/>
        <v>4.66</v>
      </c>
      <c r="FX20">
        <f t="shared" si="148"/>
        <v>0.36</v>
      </c>
      <c r="FY20">
        <f>ELEMENT!AR18</f>
        <v>2</v>
      </c>
      <c r="FZ20">
        <f>ELEMENT!L18</f>
        <v>1</v>
      </c>
      <c r="GA20">
        <f>ELEMENT!M18</f>
        <v>1</v>
      </c>
      <c r="GB20">
        <f>ELEMENT!N18</f>
        <v>2</v>
      </c>
      <c r="GC20">
        <f>ELEMENT!O18</f>
        <v>0</v>
      </c>
      <c r="GD20">
        <f t="shared" si="149"/>
        <v>0</v>
      </c>
      <c r="GE20">
        <f>IF(GI20=ELEMENT!$CJ$59,$GW$8,
IF(GI20=ELEMENT!$CK$59,$GW$16,
IF(GI20=ELEMENT!$CL$59,$GW$24,)))</f>
        <v>4.0999999999999996</v>
      </c>
      <c r="GF20">
        <f>IF(GI20=ELEMENT!$CJ$59,$GW$9,
IF(GI20=ELEMENT!$CK$59,$GW$17,
IF(GI20=ELEMENT!$CL$59,$GW$25,)))</f>
        <v>1.2869999999999999</v>
      </c>
      <c r="GG20">
        <f>IF(GI20=ELEMENT!$CJ$59,$GW$10,
IF(GI20=ELEMENT!$CK$59,$GW$18,
IF(GI20=ELEMENT!$CL$59,$GW$26,)))</f>
        <v>3.032</v>
      </c>
      <c r="GH20">
        <f>IF(GI20=ELEMENT!$CJ$59,$GW$12,
IF(GI20=ELEMENT!$CK$59,$GW$20,
IF(GI20=ELEMENT!$CL$59,$GW$28,)))</f>
        <v>1.87</v>
      </c>
      <c r="GI20">
        <f>ELEMENT!G18</f>
        <v>0</v>
      </c>
      <c r="GJ20">
        <f>ELEMENT!BD18</f>
        <v>0</v>
      </c>
      <c r="GL20">
        <f>ELEMENT!R18</f>
        <v>0</v>
      </c>
      <c r="GM20">
        <f>ELEMENT!S18</f>
        <v>0</v>
      </c>
      <c r="GN20">
        <f>ELEMENT!T18</f>
        <v>0</v>
      </c>
      <c r="GP20">
        <f>ELEMENT!AU18</f>
        <v>0</v>
      </c>
      <c r="GQ20">
        <f>ELEMENT!AY18</f>
        <v>0</v>
      </c>
      <c r="GR20">
        <f t="shared" si="150"/>
        <v>0</v>
      </c>
      <c r="GS20">
        <f>ELEMENT!BE18</f>
        <v>0</v>
      </c>
      <c r="GV20">
        <f>ELEMENT!BF19</f>
        <v>0</v>
      </c>
      <c r="GW20">
        <f>ELEMENT!BO19</f>
        <v>1.9</v>
      </c>
    </row>
    <row r="21" spans="1:207" x14ac:dyDescent="0.2">
      <c r="A21" s="114"/>
      <c r="B21" s="184">
        <f>(ELEMENT!B19)</f>
        <v>0</v>
      </c>
      <c r="C21" s="184">
        <f>SUM(ELEMENT!C19)</f>
        <v>0</v>
      </c>
      <c r="D21" s="184">
        <f>ELEMENT!D19</f>
        <v>0</v>
      </c>
      <c r="E21" s="184">
        <f>ELEMENT!E19</f>
        <v>0</v>
      </c>
      <c r="F21" s="184">
        <f t="shared" si="93"/>
        <v>0</v>
      </c>
      <c r="G21" s="135" t="str">
        <f>ELEMENT!AH19</f>
        <v/>
      </c>
      <c r="H21" s="191" t="str">
        <f>IF(ELEMENT!AO19="","",ELEMENT!AA19*ELEMENT!DQ19)</f>
        <v/>
      </c>
      <c r="I21" s="184">
        <f t="shared" si="94"/>
        <v>0</v>
      </c>
      <c r="J21" s="136">
        <f>ROUND(ELEMENT!DE19,1)</f>
        <v>0</v>
      </c>
      <c r="K21" s="198"/>
      <c r="L21" s="198">
        <f t="shared" si="91"/>
        <v>0</v>
      </c>
      <c r="M21" s="198"/>
      <c r="N21" s="198"/>
      <c r="O21" s="198"/>
      <c r="P21" s="137" t="e">
        <f ca="1">(ROUND((ELEMENT!AC19-ELEMENT!EG19)*$P$2*(1-$H$2)*(1+$E$4),0)+ROUND((ELEMENT!EG19)*$P$2*(1-$H$2)*(1+$E$4),0))</f>
        <v>#VALUE!</v>
      </c>
      <c r="Q21" s="137" t="e">
        <f t="shared" ca="1" si="95"/>
        <v>#VALUE!</v>
      </c>
      <c r="R21" s="138" t="e">
        <f t="shared" ca="1" si="96"/>
        <v>#VALUE!</v>
      </c>
      <c r="S21" s="139" t="e">
        <f t="shared" ca="1" si="97"/>
        <v>#VALUE!</v>
      </c>
      <c r="T21" s="132" t="str">
        <f ca="1">IF(ELEMENT!AC19="","",P21+S21)</f>
        <v/>
      </c>
      <c r="U21" s="132" t="str">
        <f ca="1">IF(ELEMENT!AC19="","",C21*T21)</f>
        <v/>
      </c>
      <c r="V21" s="132" t="str">
        <f>IF(ELEMENT!AW19="JA",ELEMENT!V19,IF(D21+E21=0,"",SUM(T21/ELEMENT!AA19)))</f>
        <v/>
      </c>
      <c r="W21" s="199">
        <f t="shared" si="92"/>
        <v>1</v>
      </c>
      <c r="X21" s="141">
        <f t="shared" si="98"/>
        <v>0</v>
      </c>
      <c r="Y21" s="199" t="s">
        <v>1276</v>
      </c>
      <c r="Z21" s="141">
        <f t="shared" si="99"/>
        <v>0</v>
      </c>
      <c r="AA21" s="199"/>
      <c r="AB21" s="141">
        <f t="shared" si="100"/>
        <v>0</v>
      </c>
      <c r="AC21" s="199"/>
      <c r="AD21" s="141">
        <f t="shared" si="101"/>
        <v>0</v>
      </c>
      <c r="AE21" s="199"/>
      <c r="AF21" s="141">
        <f t="shared" si="102"/>
        <v>0</v>
      </c>
      <c r="AG21" s="199"/>
      <c r="AH21" s="141">
        <f t="shared" si="103"/>
        <v>0</v>
      </c>
      <c r="AI21" s="140"/>
      <c r="AJ21" s="141">
        <f t="shared" si="104"/>
        <v>0</v>
      </c>
      <c r="AK21" s="140"/>
      <c r="AL21" s="141">
        <f t="shared" si="105"/>
        <v>0</v>
      </c>
      <c r="AM21" s="140"/>
      <c r="AN21" s="141">
        <f t="shared" si="106"/>
        <v>0</v>
      </c>
      <c r="AO21" s="140"/>
      <c r="AP21" s="141">
        <f t="shared" si="107"/>
        <v>0</v>
      </c>
      <c r="AQ21" s="140"/>
      <c r="AR21" s="141">
        <f t="shared" si="108"/>
        <v>0</v>
      </c>
      <c r="AS21" s="140"/>
      <c r="AT21" s="141">
        <f t="shared" si="109"/>
        <v>0</v>
      </c>
      <c r="AU21" s="140"/>
      <c r="AV21" s="141">
        <f t="shared" si="110"/>
        <v>0</v>
      </c>
      <c r="AW21" s="140"/>
      <c r="AX21" s="141">
        <f t="shared" si="111"/>
        <v>0</v>
      </c>
      <c r="AY21" s="140"/>
      <c r="AZ21" s="141">
        <f t="shared" si="112"/>
        <v>0</v>
      </c>
      <c r="BA21" s="140"/>
      <c r="BB21" s="141">
        <f t="shared" si="112"/>
        <v>0</v>
      </c>
      <c r="BC21" s="140"/>
      <c r="BD21" s="141">
        <f t="shared" si="112"/>
        <v>0</v>
      </c>
      <c r="BE21" s="140"/>
      <c r="BF21" s="141">
        <f t="shared" si="112"/>
        <v>0</v>
      </c>
      <c r="BG21" s="140"/>
      <c r="BH21" s="141">
        <f t="shared" si="112"/>
        <v>0</v>
      </c>
      <c r="BI21" s="140"/>
      <c r="BJ21" s="141">
        <f t="shared" si="112"/>
        <v>0</v>
      </c>
      <c r="BK21" s="140"/>
      <c r="BL21" s="141">
        <f t="shared" si="112"/>
        <v>0</v>
      </c>
      <c r="BM21" s="140"/>
      <c r="BN21" s="141">
        <f t="shared" si="112"/>
        <v>0</v>
      </c>
      <c r="BO21" s="140"/>
      <c r="BP21" s="141">
        <f t="shared" si="30"/>
        <v>0</v>
      </c>
      <c r="BQ21" s="140"/>
      <c r="BR21" s="141">
        <f t="shared" si="31"/>
        <v>0</v>
      </c>
      <c r="BS21" s="140"/>
      <c r="BT21" s="141">
        <f t="shared" si="32"/>
        <v>0</v>
      </c>
      <c r="BU21" s="140"/>
      <c r="BV21" s="141">
        <f t="shared" si="33"/>
        <v>0</v>
      </c>
      <c r="BW21" s="140"/>
      <c r="BX21" s="141">
        <f t="shared" si="34"/>
        <v>0</v>
      </c>
      <c r="BY21" s="140"/>
      <c r="BZ21" s="141">
        <f t="shared" si="35"/>
        <v>0</v>
      </c>
      <c r="CA21" s="140"/>
      <c r="CB21" s="141">
        <f t="shared" si="36"/>
        <v>0</v>
      </c>
      <c r="CC21" s="140"/>
      <c r="CD21" s="141">
        <f t="shared" si="37"/>
        <v>0</v>
      </c>
      <c r="CE21" s="119"/>
      <c r="CF21" s="119"/>
      <c r="CG21" s="119"/>
      <c r="CH21" s="119"/>
      <c r="CI21" s="119"/>
      <c r="CJ21" s="119"/>
      <c r="CM21">
        <f t="shared" si="113"/>
        <v>0</v>
      </c>
      <c r="CN21" t="str">
        <f ca="1">ELEMENT!AC19</f>
        <v/>
      </c>
      <c r="CO21">
        <f t="shared" ca="1" si="114"/>
        <v>0</v>
      </c>
      <c r="CP21" t="str">
        <f t="shared" ca="1" si="115"/>
        <v/>
      </c>
      <c r="CQ21" t="str">
        <f t="shared" ca="1" si="116"/>
        <v/>
      </c>
      <c r="CR21">
        <f t="shared" ca="1" si="117"/>
        <v>0</v>
      </c>
      <c r="CS21">
        <f t="shared" ca="1" si="118"/>
        <v>0</v>
      </c>
      <c r="CT21">
        <f t="shared" si="119"/>
        <v>0</v>
      </c>
      <c r="CU21" t="str">
        <f t="shared" ca="1" si="120"/>
        <v/>
      </c>
      <c r="CV21">
        <f t="shared" si="121"/>
        <v>0</v>
      </c>
      <c r="CW21">
        <f t="shared" si="122"/>
        <v>0</v>
      </c>
      <c r="CX21">
        <f t="shared" si="123"/>
        <v>0</v>
      </c>
      <c r="DC21" t="str">
        <f t="shared" si="124"/>
        <v/>
      </c>
      <c r="DE21">
        <f t="shared" si="125"/>
        <v>0</v>
      </c>
      <c r="DG21" t="str">
        <f t="shared" si="126"/>
        <v/>
      </c>
      <c r="DI21" t="str">
        <f t="shared" si="127"/>
        <v/>
      </c>
      <c r="DK21" t="str">
        <f t="shared" si="128"/>
        <v/>
      </c>
      <c r="DM21" t="str">
        <f t="shared" si="129"/>
        <v/>
      </c>
      <c r="DO21" t="str">
        <f t="shared" si="130"/>
        <v/>
      </c>
      <c r="DQ21" t="str">
        <f t="shared" si="131"/>
        <v/>
      </c>
      <c r="DS21" t="str">
        <f t="shared" si="132"/>
        <v/>
      </c>
      <c r="DU21" t="str">
        <f t="shared" si="133"/>
        <v/>
      </c>
      <c r="DW21" t="str">
        <f t="shared" si="134"/>
        <v/>
      </c>
      <c r="DY21" t="str">
        <f t="shared" si="135"/>
        <v/>
      </c>
      <c r="EA21" t="str">
        <f t="shared" si="136"/>
        <v/>
      </c>
      <c r="EC21" t="str">
        <f t="shared" si="137"/>
        <v/>
      </c>
      <c r="EE21" t="str">
        <f t="shared" si="138"/>
        <v/>
      </c>
      <c r="EG21" t="str">
        <f t="shared" si="138"/>
        <v/>
      </c>
      <c r="EI21" t="str">
        <f t="shared" si="138"/>
        <v/>
      </c>
      <c r="EK21" t="str">
        <f t="shared" si="138"/>
        <v/>
      </c>
      <c r="EM21" t="str">
        <f t="shared" si="138"/>
        <v/>
      </c>
      <c r="EO21" t="str">
        <f t="shared" si="138"/>
        <v/>
      </c>
      <c r="EQ21" t="str">
        <f t="shared" si="138"/>
        <v/>
      </c>
      <c r="ES21" t="str">
        <f t="shared" si="138"/>
        <v/>
      </c>
      <c r="EU21" t="str">
        <f t="shared" si="71"/>
        <v/>
      </c>
      <c r="EW21" t="str">
        <f t="shared" si="72"/>
        <v/>
      </c>
      <c r="EY21" t="str">
        <f t="shared" si="73"/>
        <v/>
      </c>
      <c r="FA21" t="str">
        <f t="shared" si="74"/>
        <v/>
      </c>
      <c r="FC21" t="str">
        <f t="shared" si="75"/>
        <v/>
      </c>
      <c r="FE21" t="str">
        <f t="shared" si="76"/>
        <v/>
      </c>
      <c r="FG21" t="str">
        <f t="shared" si="77"/>
        <v/>
      </c>
      <c r="FI21" t="str">
        <f t="shared" si="78"/>
        <v/>
      </c>
      <c r="FL21" t="str">
        <f t="shared" si="139"/>
        <v/>
      </c>
      <c r="FM21" t="e">
        <f t="shared" ca="1" si="140"/>
        <v>#VALUE!</v>
      </c>
      <c r="FN21">
        <v>130598</v>
      </c>
      <c r="FO21">
        <f>ROUND((ELEMENT!EH19*(1-$H$2)*(1+$E$4)),0)*C21</f>
        <v>0</v>
      </c>
      <c r="FP21">
        <f t="shared" si="141"/>
        <v>0</v>
      </c>
      <c r="FQ21">
        <f t="shared" si="142"/>
        <v>0</v>
      </c>
      <c r="FR21">
        <f t="shared" si="143"/>
        <v>0</v>
      </c>
      <c r="FS21" t="str">
        <f>IF(ELEMENT!AO19="","",H21*C21)</f>
        <v/>
      </c>
      <c r="FT21">
        <f t="shared" si="144"/>
        <v>0</v>
      </c>
      <c r="FU21">
        <f t="shared" si="145"/>
        <v>0</v>
      </c>
      <c r="FV21">
        <f t="shared" si="146"/>
        <v>2.5499999999999998</v>
      </c>
      <c r="FW21">
        <f t="shared" si="147"/>
        <v>4.66</v>
      </c>
      <c r="FX21">
        <f t="shared" si="148"/>
        <v>0.36</v>
      </c>
      <c r="FY21">
        <f>ELEMENT!AR19</f>
        <v>2</v>
      </c>
      <c r="FZ21">
        <f>ELEMENT!L19</f>
        <v>1</v>
      </c>
      <c r="GA21">
        <f>ELEMENT!M19</f>
        <v>1</v>
      </c>
      <c r="GB21">
        <f>ELEMENT!N19</f>
        <v>2</v>
      </c>
      <c r="GC21">
        <f>ELEMENT!O19</f>
        <v>0</v>
      </c>
      <c r="GD21">
        <f t="shared" si="149"/>
        <v>0</v>
      </c>
      <c r="GE21">
        <f>IF(GI21=ELEMENT!$CJ$59,$GW$8,
IF(GI21=ELEMENT!$CK$59,$GW$16,
IF(GI21=ELEMENT!$CL$59,$GW$24,)))</f>
        <v>4.0999999999999996</v>
      </c>
      <c r="GF21">
        <f>IF(GI21=ELEMENT!$CJ$59,$GW$9,
IF(GI21=ELEMENT!$CK$59,$GW$17,
IF(GI21=ELEMENT!$CL$59,$GW$25,)))</f>
        <v>1.2869999999999999</v>
      </c>
      <c r="GG21">
        <f>IF(GI21=ELEMENT!$CJ$59,$GW$10,
IF(GI21=ELEMENT!$CK$59,$GW$18,
IF(GI21=ELEMENT!$CL$59,$GW$26,)))</f>
        <v>3.032</v>
      </c>
      <c r="GH21">
        <f>IF(GI21=ELEMENT!$CJ$59,$GW$12,
IF(GI21=ELEMENT!$CK$59,$GW$20,
IF(GI21=ELEMENT!$CL$59,$GW$28,)))</f>
        <v>1.87</v>
      </c>
      <c r="GI21">
        <f>ELEMENT!G19</f>
        <v>0</v>
      </c>
      <c r="GJ21">
        <f>ELEMENT!BD19</f>
        <v>0</v>
      </c>
      <c r="GL21">
        <f>ELEMENT!R19</f>
        <v>0</v>
      </c>
      <c r="GM21">
        <f>ELEMENT!S19</f>
        <v>0</v>
      </c>
      <c r="GN21">
        <f>ELEMENT!T19</f>
        <v>0</v>
      </c>
      <c r="GP21">
        <f>ELEMENT!AU19</f>
        <v>0</v>
      </c>
      <c r="GQ21">
        <f>ELEMENT!AY19</f>
        <v>0</v>
      </c>
      <c r="GR21">
        <f t="shared" si="150"/>
        <v>0</v>
      </c>
      <c r="GS21">
        <f>ELEMENT!BE19</f>
        <v>0</v>
      </c>
      <c r="GV21">
        <f>ELEMENT!BF20</f>
        <v>0</v>
      </c>
      <c r="GW21">
        <f>ELEMENT!BO20</f>
        <v>0</v>
      </c>
    </row>
    <row r="22" spans="1:207" x14ac:dyDescent="0.2">
      <c r="A22" s="114"/>
      <c r="B22" s="184">
        <f>(ELEMENT!B20)</f>
        <v>0</v>
      </c>
      <c r="C22" s="184">
        <f>SUM(ELEMENT!C20)</f>
        <v>0</v>
      </c>
      <c r="D22" s="184">
        <f>ELEMENT!D20</f>
        <v>0</v>
      </c>
      <c r="E22" s="184">
        <f>ELEMENT!E20</f>
        <v>0</v>
      </c>
      <c r="F22" s="184">
        <f t="shared" si="93"/>
        <v>0</v>
      </c>
      <c r="G22" s="135" t="str">
        <f>ELEMENT!AH20</f>
        <v/>
      </c>
      <c r="H22" s="191" t="str">
        <f>IF(ELEMENT!AO20="","",ELEMENT!AA20*ELEMENT!DQ20)</f>
        <v/>
      </c>
      <c r="I22" s="184">
        <f t="shared" si="94"/>
        <v>0</v>
      </c>
      <c r="J22" s="136">
        <f>ROUND(ELEMENT!DE20,1)</f>
        <v>0</v>
      </c>
      <c r="K22" s="198"/>
      <c r="L22" s="198">
        <f t="shared" si="91"/>
        <v>0</v>
      </c>
      <c r="M22" s="198"/>
      <c r="N22" s="198"/>
      <c r="O22" s="198"/>
      <c r="P22" s="137" t="e">
        <f ca="1">(ROUND((ELEMENT!AC20-ELEMENT!EG20)*$P$2*(1-$H$2)*(1+$E$4),0)+ROUND((ELEMENT!EG20)*$P$2*(1-$H$2)*(1+$E$4),0))</f>
        <v>#VALUE!</v>
      </c>
      <c r="Q22" s="137" t="e">
        <f t="shared" ca="1" si="95"/>
        <v>#VALUE!</v>
      </c>
      <c r="R22" s="138" t="e">
        <f t="shared" ca="1" si="96"/>
        <v>#VALUE!</v>
      </c>
      <c r="S22" s="139" t="e">
        <f t="shared" ca="1" si="97"/>
        <v>#VALUE!</v>
      </c>
      <c r="T22" s="132" t="str">
        <f ca="1">IF(ELEMENT!AC20="","",P22+S22)</f>
        <v/>
      </c>
      <c r="U22" s="132" t="str">
        <f ca="1">IF(ELEMENT!AC20="","",C22*T22)</f>
        <v/>
      </c>
      <c r="V22" s="132" t="str">
        <f>IF(ELEMENT!AW20="JA",ELEMENT!V20,IF(D22+E22=0,"",SUM(T22/ELEMENT!AA20)))</f>
        <v/>
      </c>
      <c r="W22" s="199">
        <f t="shared" si="92"/>
        <v>1</v>
      </c>
      <c r="X22" s="141">
        <f t="shared" si="98"/>
        <v>0</v>
      </c>
      <c r="Y22" s="199" t="s">
        <v>1276</v>
      </c>
      <c r="Z22" s="141">
        <f t="shared" si="99"/>
        <v>0</v>
      </c>
      <c r="AA22" s="199"/>
      <c r="AB22" s="141">
        <f t="shared" si="100"/>
        <v>0</v>
      </c>
      <c r="AC22" s="199"/>
      <c r="AD22" s="141">
        <f t="shared" si="101"/>
        <v>0</v>
      </c>
      <c r="AE22" s="199"/>
      <c r="AF22" s="141">
        <f t="shared" si="102"/>
        <v>0</v>
      </c>
      <c r="AG22" s="199"/>
      <c r="AH22" s="141">
        <f t="shared" si="103"/>
        <v>0</v>
      </c>
      <c r="AI22" s="140"/>
      <c r="AJ22" s="141">
        <f t="shared" si="104"/>
        <v>0</v>
      </c>
      <c r="AK22" s="140"/>
      <c r="AL22" s="141">
        <f t="shared" si="105"/>
        <v>0</v>
      </c>
      <c r="AM22" s="140"/>
      <c r="AN22" s="141">
        <f t="shared" si="106"/>
        <v>0</v>
      </c>
      <c r="AO22" s="140"/>
      <c r="AP22" s="141">
        <f t="shared" si="107"/>
        <v>0</v>
      </c>
      <c r="AQ22" s="140"/>
      <c r="AR22" s="141">
        <f t="shared" si="108"/>
        <v>0</v>
      </c>
      <c r="AS22" s="140"/>
      <c r="AT22" s="141">
        <f t="shared" si="109"/>
        <v>0</v>
      </c>
      <c r="AU22" s="140"/>
      <c r="AV22" s="141">
        <f t="shared" si="110"/>
        <v>0</v>
      </c>
      <c r="AW22" s="140"/>
      <c r="AX22" s="141">
        <f t="shared" si="111"/>
        <v>0</v>
      </c>
      <c r="AY22" s="140"/>
      <c r="AZ22" s="141">
        <f t="shared" si="112"/>
        <v>0</v>
      </c>
      <c r="BA22" s="140"/>
      <c r="BB22" s="141">
        <f t="shared" si="112"/>
        <v>0</v>
      </c>
      <c r="BC22" s="140"/>
      <c r="BD22" s="141">
        <f t="shared" si="112"/>
        <v>0</v>
      </c>
      <c r="BE22" s="140"/>
      <c r="BF22" s="141">
        <f t="shared" si="112"/>
        <v>0</v>
      </c>
      <c r="BG22" s="140"/>
      <c r="BH22" s="141">
        <f t="shared" si="112"/>
        <v>0</v>
      </c>
      <c r="BI22" s="140"/>
      <c r="BJ22" s="141">
        <f t="shared" si="112"/>
        <v>0</v>
      </c>
      <c r="BK22" s="140"/>
      <c r="BL22" s="141">
        <f t="shared" si="112"/>
        <v>0</v>
      </c>
      <c r="BM22" s="140"/>
      <c r="BN22" s="141">
        <f t="shared" si="112"/>
        <v>0</v>
      </c>
      <c r="BO22" s="140"/>
      <c r="BP22" s="141">
        <f t="shared" si="30"/>
        <v>0</v>
      </c>
      <c r="BQ22" s="140"/>
      <c r="BR22" s="141">
        <f t="shared" si="31"/>
        <v>0</v>
      </c>
      <c r="BS22" s="140"/>
      <c r="BT22" s="141">
        <f t="shared" si="32"/>
        <v>0</v>
      </c>
      <c r="BU22" s="140"/>
      <c r="BV22" s="141">
        <f t="shared" si="33"/>
        <v>0</v>
      </c>
      <c r="BW22" s="140"/>
      <c r="BX22" s="141">
        <f t="shared" si="34"/>
        <v>0</v>
      </c>
      <c r="BY22" s="140"/>
      <c r="BZ22" s="141">
        <f t="shared" si="35"/>
        <v>0</v>
      </c>
      <c r="CA22" s="140"/>
      <c r="CB22" s="141">
        <f t="shared" si="36"/>
        <v>0</v>
      </c>
      <c r="CC22" s="140"/>
      <c r="CD22" s="141">
        <f t="shared" si="37"/>
        <v>0</v>
      </c>
      <c r="CE22" s="119"/>
      <c r="CF22" s="119"/>
      <c r="CG22" s="119"/>
      <c r="CH22" s="119"/>
      <c r="CI22" s="119"/>
      <c r="CJ22" s="119"/>
      <c r="CM22">
        <f t="shared" si="113"/>
        <v>0</v>
      </c>
      <c r="CN22" t="str">
        <f ca="1">ELEMENT!AC20</f>
        <v/>
      </c>
      <c r="CO22">
        <f t="shared" ca="1" si="114"/>
        <v>0</v>
      </c>
      <c r="CP22" t="str">
        <f t="shared" ca="1" si="115"/>
        <v/>
      </c>
      <c r="CQ22" t="str">
        <f t="shared" ca="1" si="116"/>
        <v/>
      </c>
      <c r="CR22">
        <f t="shared" ca="1" si="117"/>
        <v>0</v>
      </c>
      <c r="CS22">
        <f t="shared" ca="1" si="118"/>
        <v>0</v>
      </c>
      <c r="CT22">
        <f t="shared" si="119"/>
        <v>0</v>
      </c>
      <c r="CU22" t="str">
        <f t="shared" ca="1" si="120"/>
        <v/>
      </c>
      <c r="CV22">
        <f t="shared" si="121"/>
        <v>0</v>
      </c>
      <c r="CW22">
        <f t="shared" si="122"/>
        <v>0</v>
      </c>
      <c r="CX22">
        <f t="shared" si="123"/>
        <v>0</v>
      </c>
      <c r="DC22" t="str">
        <f t="shared" si="124"/>
        <v/>
      </c>
      <c r="DE22">
        <f t="shared" si="125"/>
        <v>0</v>
      </c>
      <c r="DG22" t="str">
        <f t="shared" si="126"/>
        <v/>
      </c>
      <c r="DI22" t="str">
        <f t="shared" si="127"/>
        <v/>
      </c>
      <c r="DK22" t="str">
        <f t="shared" si="128"/>
        <v/>
      </c>
      <c r="DM22" t="str">
        <f t="shared" si="129"/>
        <v/>
      </c>
      <c r="DO22" t="str">
        <f t="shared" si="130"/>
        <v/>
      </c>
      <c r="DQ22" t="str">
        <f t="shared" si="131"/>
        <v/>
      </c>
      <c r="DS22" t="str">
        <f t="shared" si="132"/>
        <v/>
      </c>
      <c r="DU22" t="str">
        <f t="shared" si="133"/>
        <v/>
      </c>
      <c r="DW22" t="str">
        <f t="shared" si="134"/>
        <v/>
      </c>
      <c r="DY22" t="str">
        <f t="shared" si="135"/>
        <v/>
      </c>
      <c r="EA22" t="str">
        <f t="shared" si="136"/>
        <v/>
      </c>
      <c r="EC22" t="str">
        <f t="shared" si="137"/>
        <v/>
      </c>
      <c r="EE22" t="str">
        <f t="shared" si="138"/>
        <v/>
      </c>
      <c r="EG22" t="str">
        <f t="shared" si="138"/>
        <v/>
      </c>
      <c r="EI22" t="str">
        <f t="shared" si="138"/>
        <v/>
      </c>
      <c r="EK22" t="str">
        <f t="shared" si="138"/>
        <v/>
      </c>
      <c r="EM22" t="str">
        <f t="shared" si="138"/>
        <v/>
      </c>
      <c r="EO22" t="str">
        <f t="shared" si="138"/>
        <v/>
      </c>
      <c r="EQ22" t="str">
        <f t="shared" si="138"/>
        <v/>
      </c>
      <c r="ES22" t="str">
        <f t="shared" si="138"/>
        <v/>
      </c>
      <c r="EU22" t="str">
        <f t="shared" si="71"/>
        <v/>
      </c>
      <c r="EW22" t="str">
        <f t="shared" si="72"/>
        <v/>
      </c>
      <c r="EY22" t="str">
        <f t="shared" si="73"/>
        <v/>
      </c>
      <c r="FA22" t="str">
        <f t="shared" si="74"/>
        <v/>
      </c>
      <c r="FC22" t="str">
        <f t="shared" si="75"/>
        <v/>
      </c>
      <c r="FE22" t="str">
        <f t="shared" si="76"/>
        <v/>
      </c>
      <c r="FG22" t="str">
        <f t="shared" si="77"/>
        <v/>
      </c>
      <c r="FI22" t="str">
        <f t="shared" si="78"/>
        <v/>
      </c>
      <c r="FL22" t="str">
        <f t="shared" si="139"/>
        <v/>
      </c>
      <c r="FM22" t="e">
        <f t="shared" ca="1" si="140"/>
        <v>#VALUE!</v>
      </c>
      <c r="FN22">
        <v>130599</v>
      </c>
      <c r="FO22">
        <f>ROUND((ELEMENT!EH20*(1-$H$2)*(1+$E$4)),0)*C22</f>
        <v>0</v>
      </c>
      <c r="FP22">
        <f t="shared" si="141"/>
        <v>0</v>
      </c>
      <c r="FQ22">
        <f t="shared" si="142"/>
        <v>0</v>
      </c>
      <c r="FR22">
        <f t="shared" si="143"/>
        <v>0</v>
      </c>
      <c r="FS22" t="str">
        <f>IF(ELEMENT!AO20="","",H22*C22)</f>
        <v/>
      </c>
      <c r="FT22">
        <f t="shared" si="144"/>
        <v>0</v>
      </c>
      <c r="FU22">
        <f t="shared" si="145"/>
        <v>0</v>
      </c>
      <c r="FV22">
        <f t="shared" si="146"/>
        <v>2.5499999999999998</v>
      </c>
      <c r="FW22">
        <f t="shared" si="147"/>
        <v>4.66</v>
      </c>
      <c r="FX22">
        <f t="shared" si="148"/>
        <v>0.36</v>
      </c>
      <c r="FY22">
        <f>ELEMENT!AR20</f>
        <v>2</v>
      </c>
      <c r="FZ22">
        <f>ELEMENT!L20</f>
        <v>1</v>
      </c>
      <c r="GA22">
        <f>ELEMENT!M20</f>
        <v>1</v>
      </c>
      <c r="GB22">
        <f>ELEMENT!N20</f>
        <v>2</v>
      </c>
      <c r="GC22">
        <f>ELEMENT!O20</f>
        <v>0</v>
      </c>
      <c r="GD22">
        <f t="shared" si="149"/>
        <v>0</v>
      </c>
      <c r="GE22">
        <f>IF(GI22=ELEMENT!$CJ$59,$GW$8,
IF(GI22=ELEMENT!$CK$59,$GW$16,
IF(GI22=ELEMENT!$CL$59,$GW$24,)))</f>
        <v>4.0999999999999996</v>
      </c>
      <c r="GF22">
        <f>IF(GI22=ELEMENT!$CJ$59,$GW$9,
IF(GI22=ELEMENT!$CK$59,$GW$17,
IF(GI22=ELEMENT!$CL$59,$GW$25,)))</f>
        <v>1.2869999999999999</v>
      </c>
      <c r="GG22">
        <f>IF(GI22=ELEMENT!$CJ$59,$GW$10,
IF(GI22=ELEMENT!$CK$59,$GW$18,
IF(GI22=ELEMENT!$CL$59,$GW$26,)))</f>
        <v>3.032</v>
      </c>
      <c r="GH22">
        <f>IF(GI22=ELEMENT!$CJ$59,$GW$12,
IF(GI22=ELEMENT!$CK$59,$GW$20,
IF(GI22=ELEMENT!$CL$59,$GW$28,)))</f>
        <v>1.87</v>
      </c>
      <c r="GI22">
        <f>ELEMENT!G20</f>
        <v>0</v>
      </c>
      <c r="GJ22">
        <f>ELEMENT!BD20</f>
        <v>0</v>
      </c>
      <c r="GL22">
        <f>ELEMENT!R20</f>
        <v>0</v>
      </c>
      <c r="GM22">
        <f>ELEMENT!S20</f>
        <v>0</v>
      </c>
      <c r="GN22">
        <f>ELEMENT!T20</f>
        <v>0</v>
      </c>
      <c r="GP22">
        <f>ELEMENT!AU20</f>
        <v>0</v>
      </c>
      <c r="GQ22">
        <f>ELEMENT!AY20</f>
        <v>0</v>
      </c>
      <c r="GR22">
        <f t="shared" si="150"/>
        <v>0</v>
      </c>
      <c r="GS22">
        <f>ELEMENT!BE20</f>
        <v>0</v>
      </c>
      <c r="GV22">
        <f>ELEMENT!BF21</f>
        <v>0</v>
      </c>
      <c r="GW22">
        <f>ELEMENT!BO21</f>
        <v>0</v>
      </c>
      <c r="GX22">
        <f>ELEMENT!BQ36</f>
        <v>58</v>
      </c>
      <c r="GY22">
        <f>ELEMENT!BR36</f>
        <v>32</v>
      </c>
    </row>
    <row r="23" spans="1:207" x14ac:dyDescent="0.2">
      <c r="A23" s="114"/>
      <c r="B23" s="184">
        <f>(ELEMENT!B21)</f>
        <v>0</v>
      </c>
      <c r="C23" s="184">
        <f>SUM(ELEMENT!C21)</f>
        <v>0</v>
      </c>
      <c r="D23" s="184">
        <f>ELEMENT!D21</f>
        <v>0</v>
      </c>
      <c r="E23" s="184">
        <f>ELEMENT!E21</f>
        <v>0</v>
      </c>
      <c r="F23" s="184">
        <f t="shared" si="93"/>
        <v>0</v>
      </c>
      <c r="G23" s="135" t="str">
        <f>ELEMENT!AH21</f>
        <v/>
      </c>
      <c r="H23" s="191" t="str">
        <f>IF(ELEMENT!AO21="","",ELEMENT!AA21*ELEMENT!DQ21)</f>
        <v/>
      </c>
      <c r="I23" s="184">
        <f t="shared" si="94"/>
        <v>0</v>
      </c>
      <c r="J23" s="136">
        <f>ROUND(ELEMENT!DE21,1)</f>
        <v>0</v>
      </c>
      <c r="K23" s="198"/>
      <c r="L23" s="198">
        <f t="shared" si="91"/>
        <v>0</v>
      </c>
      <c r="M23" s="198"/>
      <c r="N23" s="198"/>
      <c r="O23" s="198"/>
      <c r="P23" s="137" t="e">
        <f ca="1">(ROUND((ELEMENT!AC21-ELEMENT!EG21)*$P$2*(1-$H$2)*(1+$E$4),0)+ROUND((ELEMENT!EG21)*$P$2*(1-$H$2)*(1+$E$4),0))</f>
        <v>#VALUE!</v>
      </c>
      <c r="Q23" s="137" t="e">
        <f t="shared" ca="1" si="95"/>
        <v>#VALUE!</v>
      </c>
      <c r="R23" s="138" t="e">
        <f t="shared" ca="1" si="96"/>
        <v>#VALUE!</v>
      </c>
      <c r="S23" s="139" t="e">
        <f t="shared" ca="1" si="97"/>
        <v>#VALUE!</v>
      </c>
      <c r="T23" s="132" t="str">
        <f ca="1">IF(ELEMENT!AC21="","",P23+S23)</f>
        <v/>
      </c>
      <c r="U23" s="132" t="str">
        <f ca="1">IF(ELEMENT!AC21="","",C23*T23)</f>
        <v/>
      </c>
      <c r="V23" s="132" t="str">
        <f>IF(ELEMENT!AW21="JA",ELEMENT!V21,IF(D23+E23=0,"",SUM(T23/ELEMENT!AA21)))</f>
        <v/>
      </c>
      <c r="W23" s="199">
        <f t="shared" si="92"/>
        <v>1</v>
      </c>
      <c r="X23" s="141">
        <f t="shared" si="98"/>
        <v>0</v>
      </c>
      <c r="Y23" s="199" t="s">
        <v>1276</v>
      </c>
      <c r="Z23" s="141">
        <f t="shared" si="99"/>
        <v>0</v>
      </c>
      <c r="AA23" s="199"/>
      <c r="AB23" s="141">
        <f t="shared" si="100"/>
        <v>0</v>
      </c>
      <c r="AC23" s="199"/>
      <c r="AD23" s="141">
        <f t="shared" si="101"/>
        <v>0</v>
      </c>
      <c r="AE23" s="199"/>
      <c r="AF23" s="141">
        <f t="shared" si="102"/>
        <v>0</v>
      </c>
      <c r="AG23" s="199"/>
      <c r="AH23" s="141">
        <f t="shared" si="103"/>
        <v>0</v>
      </c>
      <c r="AI23" s="140"/>
      <c r="AJ23" s="141">
        <f t="shared" si="104"/>
        <v>0</v>
      </c>
      <c r="AK23" s="140"/>
      <c r="AL23" s="141">
        <f t="shared" si="105"/>
        <v>0</v>
      </c>
      <c r="AM23" s="140"/>
      <c r="AN23" s="141">
        <f t="shared" si="106"/>
        <v>0</v>
      </c>
      <c r="AO23" s="140"/>
      <c r="AP23" s="141">
        <f t="shared" si="107"/>
        <v>0</v>
      </c>
      <c r="AQ23" s="140"/>
      <c r="AR23" s="141">
        <f t="shared" si="108"/>
        <v>0</v>
      </c>
      <c r="AS23" s="140"/>
      <c r="AT23" s="141">
        <f t="shared" si="109"/>
        <v>0</v>
      </c>
      <c r="AU23" s="140"/>
      <c r="AV23" s="141">
        <f t="shared" si="110"/>
        <v>0</v>
      </c>
      <c r="AW23" s="140"/>
      <c r="AX23" s="141">
        <f t="shared" si="111"/>
        <v>0</v>
      </c>
      <c r="AY23" s="140"/>
      <c r="AZ23" s="141">
        <f t="shared" si="112"/>
        <v>0</v>
      </c>
      <c r="BA23" s="140"/>
      <c r="BB23" s="141">
        <f t="shared" si="112"/>
        <v>0</v>
      </c>
      <c r="BC23" s="140"/>
      <c r="BD23" s="141">
        <f t="shared" si="112"/>
        <v>0</v>
      </c>
      <c r="BE23" s="140"/>
      <c r="BF23" s="141">
        <f t="shared" si="112"/>
        <v>0</v>
      </c>
      <c r="BG23" s="140"/>
      <c r="BH23" s="141">
        <f t="shared" si="112"/>
        <v>0</v>
      </c>
      <c r="BI23" s="140"/>
      <c r="BJ23" s="141">
        <f t="shared" si="112"/>
        <v>0</v>
      </c>
      <c r="BK23" s="140"/>
      <c r="BL23" s="141">
        <f t="shared" si="112"/>
        <v>0</v>
      </c>
      <c r="BM23" s="140"/>
      <c r="BN23" s="141">
        <f t="shared" si="112"/>
        <v>0</v>
      </c>
      <c r="BO23" s="140"/>
      <c r="BP23" s="141">
        <f t="shared" si="30"/>
        <v>0</v>
      </c>
      <c r="BQ23" s="140"/>
      <c r="BR23" s="141">
        <f t="shared" si="31"/>
        <v>0</v>
      </c>
      <c r="BS23" s="140"/>
      <c r="BT23" s="141">
        <f t="shared" si="32"/>
        <v>0</v>
      </c>
      <c r="BU23" s="140"/>
      <c r="BV23" s="141">
        <f t="shared" si="33"/>
        <v>0</v>
      </c>
      <c r="BW23" s="140"/>
      <c r="BX23" s="141">
        <f t="shared" si="34"/>
        <v>0</v>
      </c>
      <c r="BY23" s="140"/>
      <c r="BZ23" s="141">
        <f t="shared" si="35"/>
        <v>0</v>
      </c>
      <c r="CA23" s="140"/>
      <c r="CB23" s="141">
        <f t="shared" si="36"/>
        <v>0</v>
      </c>
      <c r="CC23" s="140"/>
      <c r="CD23" s="141">
        <f t="shared" si="37"/>
        <v>0</v>
      </c>
      <c r="CE23" s="119"/>
      <c r="CF23" s="119"/>
      <c r="CG23" s="119"/>
      <c r="CH23" s="119"/>
      <c r="CI23" s="119"/>
      <c r="CJ23" s="119"/>
      <c r="CM23">
        <f t="shared" si="113"/>
        <v>0</v>
      </c>
      <c r="CN23" t="str">
        <f ca="1">ELEMENT!AC21</f>
        <v/>
      </c>
      <c r="CO23">
        <f t="shared" ca="1" si="114"/>
        <v>0</v>
      </c>
      <c r="CP23" t="str">
        <f t="shared" ca="1" si="115"/>
        <v/>
      </c>
      <c r="CQ23" t="str">
        <f t="shared" ca="1" si="116"/>
        <v/>
      </c>
      <c r="CR23">
        <f t="shared" ca="1" si="117"/>
        <v>0</v>
      </c>
      <c r="CS23">
        <f t="shared" ca="1" si="118"/>
        <v>0</v>
      </c>
      <c r="CT23">
        <f t="shared" si="119"/>
        <v>0</v>
      </c>
      <c r="CU23" t="str">
        <f t="shared" ca="1" si="120"/>
        <v/>
      </c>
      <c r="CV23">
        <f t="shared" si="121"/>
        <v>0</v>
      </c>
      <c r="CW23">
        <f t="shared" si="122"/>
        <v>0</v>
      </c>
      <c r="CX23">
        <f t="shared" si="123"/>
        <v>0</v>
      </c>
      <c r="DC23" t="str">
        <f t="shared" si="124"/>
        <v/>
      </c>
      <c r="DE23">
        <f t="shared" si="125"/>
        <v>0</v>
      </c>
      <c r="DG23" t="str">
        <f t="shared" si="126"/>
        <v/>
      </c>
      <c r="DI23" t="str">
        <f t="shared" si="127"/>
        <v/>
      </c>
      <c r="DK23" t="str">
        <f t="shared" si="128"/>
        <v/>
      </c>
      <c r="DM23" t="str">
        <f t="shared" si="129"/>
        <v/>
      </c>
      <c r="DO23" t="str">
        <f t="shared" si="130"/>
        <v/>
      </c>
      <c r="DQ23" t="str">
        <f t="shared" si="131"/>
        <v/>
      </c>
      <c r="DS23" t="str">
        <f t="shared" si="132"/>
        <v/>
      </c>
      <c r="DU23" t="str">
        <f t="shared" si="133"/>
        <v/>
      </c>
      <c r="DW23" t="str">
        <f t="shared" si="134"/>
        <v/>
      </c>
      <c r="DY23" t="str">
        <f t="shared" si="135"/>
        <v/>
      </c>
      <c r="EA23" t="str">
        <f t="shared" si="136"/>
        <v/>
      </c>
      <c r="EC23" t="str">
        <f t="shared" si="137"/>
        <v/>
      </c>
      <c r="EE23" t="str">
        <f t="shared" si="138"/>
        <v/>
      </c>
      <c r="EG23" t="str">
        <f t="shared" si="138"/>
        <v/>
      </c>
      <c r="EI23" t="str">
        <f t="shared" si="138"/>
        <v/>
      </c>
      <c r="EK23" t="str">
        <f t="shared" si="138"/>
        <v/>
      </c>
      <c r="EM23" t="str">
        <f t="shared" si="138"/>
        <v/>
      </c>
      <c r="EO23" t="str">
        <f t="shared" si="138"/>
        <v/>
      </c>
      <c r="EQ23" t="str">
        <f t="shared" si="138"/>
        <v/>
      </c>
      <c r="ES23" t="str">
        <f t="shared" si="138"/>
        <v/>
      </c>
      <c r="EU23" t="str">
        <f t="shared" ref="EU23:EU47" si="151">IF(BO23="B",$D23/1000*$C23,
IF(BO23="BB",2*$D23/1000*$C23,
IF(BO23="BBH",($E23+2*$D23)/1000*$C23,
IF(BO23="BH",($E23+$D23)/1000*$C23,
IF(BO23="BHH",(2*$E23+$D23)/1000*$C23,
IF(BO23="BBHH",(2*$E23+2*$D23)/1000*$C23,""))))))</f>
        <v/>
      </c>
      <c r="EW23" t="str">
        <f t="shared" ref="EW23:EW47" si="152">IF(BQ23="B",$D23/1000*$C23,
IF(BQ23="BB",2*$D23/1000*$C23,
IF(BQ23="BBH",($E23+2*$D23)/1000*$C23,
IF(BQ23="BH",($E23+$D23)/1000*$C23,
IF(BQ23="BHH",(2*$E23+$D23)/1000*$C23,
IF(BQ23="BBHH",(2*$E23+2*$D23)/1000*$C23,""))))))</f>
        <v/>
      </c>
      <c r="EY23" t="str">
        <f t="shared" ref="EY23:EY47" si="153">IF(BS23="B",$D23/1000*$C23,
IF(BS23="BB",2*$D23/1000*$C23,
IF(BS23="BBH",($E23+2*$D23)/1000*$C23,
IF(BS23="BH",($E23+$D23)/1000*$C23,
IF(BS23="BHH",(2*$E23+$D23)/1000*$C23,
IF(BS23="BBHH",(2*$E23+2*$D23)/1000*$C23,""))))))</f>
        <v/>
      </c>
      <c r="FA23" t="str">
        <f t="shared" ref="FA23:FA47" si="154">IF(BU23="B",$D23/1000*$C23,
IF(BU23="BB",2*$D23/1000*$C23,
IF(BU23="BBH",($E23+2*$D23)/1000*$C23,
IF(BU23="BH",($E23+$D23)/1000*$C23,
IF(BU23="BHH",(2*$E23+$D23)/1000*$C23,
IF(BU23="BBHH",(2*$E23+2*$D23)/1000*$C23,""))))))</f>
        <v/>
      </c>
      <c r="FC23" t="str">
        <f t="shared" ref="FC23:FC47" si="155">IF(BW23="B",$D23/1000*$C23,
IF(BW23="BB",2*$D23/1000*$C23,
IF(BW23="BBH",($E23+2*$D23)/1000*$C23,
IF(BW23="BH",($E23+$D23)/1000*$C23,
IF(BW23="BHH",(2*$E23+$D23)/1000*$C23,
IF(BW23="BBHH",(2*$E23+2*$D23)/1000*$C23,""))))))</f>
        <v/>
      </c>
      <c r="FE23" t="str">
        <f t="shared" ref="FE23:FE47" si="156">IF(BY23="B",$D23/1000*$C23,
IF(BY23="BB",2*$D23/1000*$C23,
IF(BY23="BBH",($E23+2*$D23)/1000*$C23,
IF(BY23="BH",($E23+$D23)/1000*$C23,
IF(BY23="BHH",(2*$E23+$D23)/1000*$C23,
IF(BY23="BBHH",(2*$E23+2*$D23)/1000*$C23,""))))))</f>
        <v/>
      </c>
      <c r="FG23" t="str">
        <f t="shared" ref="FG23:FG47" si="157">IF(CA23="B",$D23/1000*$C23,
IF(CA23="BB",2*$D23/1000*$C23,
IF(CA23="BBH",($E23+2*$D23)/1000*$C23,
IF(CA23="BH",($E23+$D23)/1000*$C23,
IF(CA23="BHH",(2*$E23+$D23)/1000*$C23,
IF(CA23="BBHH",(2*$E23+2*$D23)/1000*$C23,""))))))</f>
        <v/>
      </c>
      <c r="FI23" t="str">
        <f t="shared" ref="FI23:FI47" si="158">IF(CC23="B",$D23/1000*$C23,
IF(CC23="BB",2*$D23/1000*$C23,
IF(CC23="BBH",($E23+2*$D23)/1000*$C23,
IF(CC23="BH",($E23+$D23)/1000*$C23,
IF(CC23="BHH",(2*$E23+$D23)/1000*$C23,
IF(CC23="BBHH",(2*$E23+2*$D23)/1000*$C23,""))))))</f>
        <v/>
      </c>
      <c r="FL23" t="str">
        <f t="shared" si="139"/>
        <v/>
      </c>
      <c r="FM23" t="e">
        <f t="shared" ca="1" si="140"/>
        <v>#VALUE!</v>
      </c>
      <c r="FN23">
        <v>130600</v>
      </c>
      <c r="FO23">
        <f>ROUND((ELEMENT!EH21*(1-$H$2)*(1+$E$4)),0)*C23</f>
        <v>0</v>
      </c>
      <c r="FP23">
        <f t="shared" si="141"/>
        <v>0</v>
      </c>
      <c r="FQ23">
        <f t="shared" si="142"/>
        <v>0</v>
      </c>
      <c r="FR23">
        <f t="shared" si="143"/>
        <v>0</v>
      </c>
      <c r="FS23" t="str">
        <f>IF(ELEMENT!AO21="","",H23*C23)</f>
        <v/>
      </c>
      <c r="FT23">
        <f t="shared" si="144"/>
        <v>0</v>
      </c>
      <c r="FU23">
        <f t="shared" si="145"/>
        <v>0</v>
      </c>
      <c r="FV23">
        <f t="shared" si="146"/>
        <v>2.5499999999999998</v>
      </c>
      <c r="FW23">
        <f t="shared" si="147"/>
        <v>4.66</v>
      </c>
      <c r="FX23">
        <f t="shared" si="148"/>
        <v>0.36</v>
      </c>
      <c r="FY23">
        <f>ELEMENT!AR21</f>
        <v>2</v>
      </c>
      <c r="FZ23">
        <f>ELEMENT!L21</f>
        <v>1</v>
      </c>
      <c r="GA23">
        <f>ELEMENT!M21</f>
        <v>1</v>
      </c>
      <c r="GB23">
        <f>ELEMENT!N21</f>
        <v>2</v>
      </c>
      <c r="GC23">
        <f>ELEMENT!O21</f>
        <v>0</v>
      </c>
      <c r="GD23">
        <f t="shared" si="149"/>
        <v>0</v>
      </c>
      <c r="GE23">
        <f>IF(GI23=ELEMENT!$CJ$59,$GW$8,
IF(GI23=ELEMENT!$CK$59,$GW$16,
IF(GI23=ELEMENT!$CL$59,$GW$24,)))</f>
        <v>4.0999999999999996</v>
      </c>
      <c r="GF23">
        <f>IF(GI23=ELEMENT!$CJ$59,$GW$9,
IF(GI23=ELEMENT!$CK$59,$GW$17,
IF(GI23=ELEMENT!$CL$59,$GW$25,)))</f>
        <v>1.2869999999999999</v>
      </c>
      <c r="GG23">
        <f>IF(GI23=ELEMENT!$CJ$59,$GW$10,
IF(GI23=ELEMENT!$CK$59,$GW$18,
IF(GI23=ELEMENT!$CL$59,$GW$26,)))</f>
        <v>3.032</v>
      </c>
      <c r="GH23">
        <f>IF(GI23=ELEMENT!$CJ$59,$GW$12,
IF(GI23=ELEMENT!$CK$59,$GW$20,
IF(GI23=ELEMENT!$CL$59,$GW$28,)))</f>
        <v>1.87</v>
      </c>
      <c r="GI23">
        <f>ELEMENT!G21</f>
        <v>0</v>
      </c>
      <c r="GJ23">
        <f>ELEMENT!BD21</f>
        <v>0</v>
      </c>
      <c r="GL23">
        <f>ELEMENT!R21</f>
        <v>0</v>
      </c>
      <c r="GM23">
        <f>ELEMENT!S21</f>
        <v>0</v>
      </c>
      <c r="GN23">
        <f>ELEMENT!T21</f>
        <v>0</v>
      </c>
      <c r="GP23">
        <f>ELEMENT!AU21</f>
        <v>0</v>
      </c>
      <c r="GQ23">
        <f>ELEMENT!AY21</f>
        <v>0</v>
      </c>
      <c r="GR23">
        <f t="shared" si="150"/>
        <v>0</v>
      </c>
      <c r="GS23">
        <f>ELEMENT!BE21</f>
        <v>0</v>
      </c>
      <c r="GV23">
        <f>ELEMENT!BF22</f>
        <v>0</v>
      </c>
      <c r="GW23">
        <f>ELEMENT!BO22</f>
        <v>0</v>
      </c>
      <c r="GX23">
        <f>ELEMENT!BQ37</f>
        <v>58</v>
      </c>
      <c r="GY23">
        <f>ELEMENT!BR37</f>
        <v>32</v>
      </c>
    </row>
    <row r="24" spans="1:207" x14ac:dyDescent="0.2">
      <c r="A24" s="114"/>
      <c r="B24" s="184">
        <f>(ELEMENT!B22)</f>
        <v>0</v>
      </c>
      <c r="C24" s="184">
        <f>SUM(ELEMENT!C22)</f>
        <v>0</v>
      </c>
      <c r="D24" s="184">
        <f>ELEMENT!D22</f>
        <v>0</v>
      </c>
      <c r="E24" s="184">
        <f>ELEMENT!E22</f>
        <v>0</v>
      </c>
      <c r="F24" s="184">
        <f t="shared" si="93"/>
        <v>0</v>
      </c>
      <c r="G24" s="135" t="str">
        <f>ELEMENT!AH22</f>
        <v/>
      </c>
      <c r="H24" s="191" t="str">
        <f>IF(ELEMENT!AO22="","",ELEMENT!AA22*ELEMENT!DQ22)</f>
        <v/>
      </c>
      <c r="I24" s="184">
        <f t="shared" si="94"/>
        <v>0</v>
      </c>
      <c r="J24" s="136">
        <f>ROUND(ELEMENT!DE22,1)</f>
        <v>0</v>
      </c>
      <c r="K24" s="198"/>
      <c r="L24" s="198">
        <f t="shared" si="91"/>
        <v>0</v>
      </c>
      <c r="M24" s="198"/>
      <c r="N24" s="198"/>
      <c r="O24" s="198"/>
      <c r="P24" s="137" t="e">
        <f ca="1">(ROUND((ELEMENT!AC22-ELEMENT!EG22)*$P$2*(1-$H$2)*(1+$E$4),0)+ROUND((ELEMENT!EG22)*$P$2*(1-$H$2)*(1+$E$4),0))</f>
        <v>#VALUE!</v>
      </c>
      <c r="Q24" s="137" t="e">
        <f t="shared" ca="1" si="95"/>
        <v>#VALUE!</v>
      </c>
      <c r="R24" s="138" t="e">
        <f t="shared" ca="1" si="96"/>
        <v>#VALUE!</v>
      </c>
      <c r="S24" s="139" t="e">
        <f t="shared" ca="1" si="97"/>
        <v>#VALUE!</v>
      </c>
      <c r="T24" s="132" t="str">
        <f ca="1">IF(ELEMENT!AC22="","",P24+S24)</f>
        <v/>
      </c>
      <c r="U24" s="132" t="str">
        <f ca="1">IF(ELEMENT!AC22="","",C24*T24)</f>
        <v/>
      </c>
      <c r="V24" s="132" t="str">
        <f>IF(ELEMENT!AW22="JA",ELEMENT!V22,IF(D24+E24=0,"",SUM(T24/ELEMENT!AA22)))</f>
        <v/>
      </c>
      <c r="W24" s="199">
        <f t="shared" si="92"/>
        <v>1</v>
      </c>
      <c r="X24" s="141">
        <f t="shared" si="98"/>
        <v>0</v>
      </c>
      <c r="Y24" s="199" t="s">
        <v>1276</v>
      </c>
      <c r="Z24" s="141">
        <f t="shared" si="99"/>
        <v>0</v>
      </c>
      <c r="AA24" s="199"/>
      <c r="AB24" s="141">
        <f t="shared" si="100"/>
        <v>0</v>
      </c>
      <c r="AC24" s="199"/>
      <c r="AD24" s="141">
        <f t="shared" si="101"/>
        <v>0</v>
      </c>
      <c r="AE24" s="199"/>
      <c r="AF24" s="141">
        <f t="shared" si="102"/>
        <v>0</v>
      </c>
      <c r="AG24" s="199"/>
      <c r="AH24" s="141">
        <f t="shared" si="103"/>
        <v>0</v>
      </c>
      <c r="AI24" s="140"/>
      <c r="AJ24" s="141">
        <f t="shared" si="104"/>
        <v>0</v>
      </c>
      <c r="AK24" s="140"/>
      <c r="AL24" s="141">
        <f t="shared" si="105"/>
        <v>0</v>
      </c>
      <c r="AM24" s="140"/>
      <c r="AN24" s="141">
        <f t="shared" si="106"/>
        <v>0</v>
      </c>
      <c r="AO24" s="140"/>
      <c r="AP24" s="141">
        <f t="shared" si="107"/>
        <v>0</v>
      </c>
      <c r="AQ24" s="140"/>
      <c r="AR24" s="141">
        <f t="shared" si="108"/>
        <v>0</v>
      </c>
      <c r="AS24" s="140"/>
      <c r="AT24" s="141">
        <f t="shared" si="109"/>
        <v>0</v>
      </c>
      <c r="AU24" s="140"/>
      <c r="AV24" s="141">
        <f t="shared" si="110"/>
        <v>0</v>
      </c>
      <c r="AW24" s="140"/>
      <c r="AX24" s="141">
        <f t="shared" si="111"/>
        <v>0</v>
      </c>
      <c r="AY24" s="140"/>
      <c r="AZ24" s="141">
        <f t="shared" si="112"/>
        <v>0</v>
      </c>
      <c r="BA24" s="140"/>
      <c r="BB24" s="141">
        <f t="shared" si="112"/>
        <v>0</v>
      </c>
      <c r="BC24" s="140"/>
      <c r="BD24" s="141">
        <f t="shared" si="112"/>
        <v>0</v>
      </c>
      <c r="BE24" s="140"/>
      <c r="BF24" s="141">
        <f t="shared" si="112"/>
        <v>0</v>
      </c>
      <c r="BG24" s="140"/>
      <c r="BH24" s="141">
        <f t="shared" si="112"/>
        <v>0</v>
      </c>
      <c r="BI24" s="140"/>
      <c r="BJ24" s="141">
        <f t="shared" si="112"/>
        <v>0</v>
      </c>
      <c r="BK24" s="140"/>
      <c r="BL24" s="141">
        <f t="shared" si="112"/>
        <v>0</v>
      </c>
      <c r="BM24" s="140"/>
      <c r="BN24" s="141">
        <f t="shared" si="112"/>
        <v>0</v>
      </c>
      <c r="BO24" s="140"/>
      <c r="BP24" s="141">
        <f t="shared" ref="BP24:BP47" si="159">IF(EU24="",
IF(BO24="U",2*($E24+$D24)/1000*$C24,
IF(BO24="H",$E24/1000*$C24,
IF(BO24="F",$E24*$D24/1000000*$C24,
IF(BO24="HH",2*$E24/1000*$C24,$C24*BO24)))),EU24)</f>
        <v>0</v>
      </c>
      <c r="BQ24" s="140"/>
      <c r="BR24" s="141">
        <f t="shared" ref="BR24:BR47" si="160">IF(EW24="",
IF(BQ24="U",2*($E24+$D24)/1000*$C24,
IF(BQ24="H",$E24/1000*$C24,
IF(BQ24="F",$E24*$D24/1000000*$C24,
IF(BQ24="HH",2*$E24/1000*$C24,$C24*BQ24)))),EW24)</f>
        <v>0</v>
      </c>
      <c r="BS24" s="140"/>
      <c r="BT24" s="141">
        <f t="shared" ref="BT24:BT47" si="161">IF(EY24="",
IF(BS24="U",2*($E24+$D24)/1000*$C24,
IF(BS24="H",$E24/1000*$C24,
IF(BS24="F",$E24*$D24/1000000*$C24,
IF(BS24="HH",2*$E24/1000*$C24,$C24*BS24)))),EY24)</f>
        <v>0</v>
      </c>
      <c r="BU24" s="140"/>
      <c r="BV24" s="141">
        <f t="shared" ref="BV24:BV47" si="162">IF(FA24="",
IF(BU24="U",2*($E24+$D24)/1000*$C24,
IF(BU24="H",$E24/1000*$C24,
IF(BU24="F",$E24*$D24/1000000*$C24,
IF(BU24="HH",2*$E24/1000*$C24,$C24*BU24)))),FA24)</f>
        <v>0</v>
      </c>
      <c r="BW24" s="140"/>
      <c r="BX24" s="141">
        <f t="shared" ref="BX24:BX47" si="163">IF(FC24="",
IF(BW24="U",2*($E24+$D24)/1000*$C24,
IF(BW24="H",$E24/1000*$C24,
IF(BW24="F",$E24*$D24/1000000*$C24,
IF(BW24="HH",2*$E24/1000*$C24,$C24*BW24)))),FC24)</f>
        <v>0</v>
      </c>
      <c r="BY24" s="140"/>
      <c r="BZ24" s="141">
        <f t="shared" ref="BZ24:BZ47" si="164">IF(FE24="",
IF(BY24="U",2*($E24+$D24)/1000*$C24,
IF(BY24="H",$E24/1000*$C24,
IF(BY24="F",$E24*$D24/1000000*$C24,
IF(BY24="HH",2*$E24/1000*$C24,$C24*BY24)))),FE24)</f>
        <v>0</v>
      </c>
      <c r="CA24" s="140"/>
      <c r="CB24" s="141">
        <f t="shared" ref="CB24:CB47" si="165">IF(FG24="",
IF(CA24="U",2*($E24+$D24)/1000*$C24,
IF(CA24="H",$E24/1000*$C24,
IF(CA24="F",$E24*$D24/1000000*$C24,
IF(CA24="HH",2*$E24/1000*$C24,$C24*CA24)))),FG24)</f>
        <v>0</v>
      </c>
      <c r="CC24" s="140"/>
      <c r="CD24" s="141">
        <f t="shared" ref="CD24:CD47" si="166">IF(FI24="",
IF(CC24="U",2*($E24+$D24)/1000*$C24,
IF(CC24="H",$E24/1000*$C24,
IF(CC24="F",$E24*$D24/1000000*$C24,
IF(CC24="HH",2*$E24/1000*$C24,$C24*CC24)))),FI24)</f>
        <v>0</v>
      </c>
      <c r="CE24" s="119"/>
      <c r="CF24" s="119"/>
      <c r="CG24" s="119"/>
      <c r="CH24" s="119"/>
      <c r="CI24" s="119"/>
      <c r="CJ24" s="119"/>
      <c r="CM24">
        <f t="shared" si="113"/>
        <v>0</v>
      </c>
      <c r="CN24" t="str">
        <f ca="1">ELEMENT!AC22</f>
        <v/>
      </c>
      <c r="CO24">
        <f t="shared" ca="1" si="114"/>
        <v>0</v>
      </c>
      <c r="CP24" t="str">
        <f t="shared" ca="1" si="115"/>
        <v/>
      </c>
      <c r="CQ24" t="str">
        <f t="shared" ca="1" si="116"/>
        <v/>
      </c>
      <c r="CR24">
        <f t="shared" ca="1" si="117"/>
        <v>0</v>
      </c>
      <c r="CS24">
        <f t="shared" ca="1" si="118"/>
        <v>0</v>
      </c>
      <c r="CT24">
        <f t="shared" si="119"/>
        <v>0</v>
      </c>
      <c r="CU24" t="str">
        <f t="shared" ca="1" si="120"/>
        <v/>
      </c>
      <c r="CV24">
        <f t="shared" si="121"/>
        <v>0</v>
      </c>
      <c r="CW24">
        <f t="shared" si="122"/>
        <v>0</v>
      </c>
      <c r="CX24">
        <f t="shared" si="123"/>
        <v>0</v>
      </c>
      <c r="DC24" t="str">
        <f t="shared" si="124"/>
        <v/>
      </c>
      <c r="DE24">
        <f t="shared" si="125"/>
        <v>0</v>
      </c>
      <c r="DG24" t="str">
        <f t="shared" si="126"/>
        <v/>
      </c>
      <c r="DI24" t="str">
        <f t="shared" si="127"/>
        <v/>
      </c>
      <c r="DK24" t="str">
        <f t="shared" si="128"/>
        <v/>
      </c>
      <c r="DM24" t="str">
        <f t="shared" si="129"/>
        <v/>
      </c>
      <c r="DO24" t="str">
        <f t="shared" si="130"/>
        <v/>
      </c>
      <c r="DQ24" t="str">
        <f t="shared" si="131"/>
        <v/>
      </c>
      <c r="DS24" t="str">
        <f t="shared" si="132"/>
        <v/>
      </c>
      <c r="DU24" t="str">
        <f t="shared" si="133"/>
        <v/>
      </c>
      <c r="DW24" t="str">
        <f t="shared" si="134"/>
        <v/>
      </c>
      <c r="DY24" t="str">
        <f t="shared" si="135"/>
        <v/>
      </c>
      <c r="EA24" t="str">
        <f t="shared" si="136"/>
        <v/>
      </c>
      <c r="EC24" t="str">
        <f t="shared" si="137"/>
        <v/>
      </c>
      <c r="EE24" t="str">
        <f t="shared" si="138"/>
        <v/>
      </c>
      <c r="EG24" t="str">
        <f t="shared" si="138"/>
        <v/>
      </c>
      <c r="EI24" t="str">
        <f t="shared" si="138"/>
        <v/>
      </c>
      <c r="EK24" t="str">
        <f t="shared" si="138"/>
        <v/>
      </c>
      <c r="EM24" t="str">
        <f t="shared" si="138"/>
        <v/>
      </c>
      <c r="EO24" t="str">
        <f t="shared" si="138"/>
        <v/>
      </c>
      <c r="EQ24" t="str">
        <f t="shared" si="138"/>
        <v/>
      </c>
      <c r="ES24" t="str">
        <f t="shared" si="138"/>
        <v/>
      </c>
      <c r="EU24" t="str">
        <f t="shared" si="151"/>
        <v/>
      </c>
      <c r="EW24" t="str">
        <f t="shared" si="152"/>
        <v/>
      </c>
      <c r="EY24" t="str">
        <f t="shared" si="153"/>
        <v/>
      </c>
      <c r="FA24" t="str">
        <f t="shared" si="154"/>
        <v/>
      </c>
      <c r="FC24" t="str">
        <f t="shared" si="155"/>
        <v/>
      </c>
      <c r="FE24" t="str">
        <f t="shared" si="156"/>
        <v/>
      </c>
      <c r="FG24" t="str">
        <f t="shared" si="157"/>
        <v/>
      </c>
      <c r="FI24" t="str">
        <f t="shared" si="158"/>
        <v/>
      </c>
      <c r="FL24" t="str">
        <f t="shared" si="139"/>
        <v/>
      </c>
      <c r="FM24" t="e">
        <f t="shared" ca="1" si="140"/>
        <v>#VALUE!</v>
      </c>
      <c r="FN24">
        <v>130601</v>
      </c>
      <c r="FO24">
        <f>ROUND((ELEMENT!EH22*(1-$H$2)*(1+$E$4)),0)*C24</f>
        <v>0</v>
      </c>
      <c r="FP24">
        <f t="shared" si="141"/>
        <v>0</v>
      </c>
      <c r="FQ24">
        <f t="shared" si="142"/>
        <v>0</v>
      </c>
      <c r="FR24">
        <f t="shared" si="143"/>
        <v>0</v>
      </c>
      <c r="FS24" t="str">
        <f>IF(ELEMENT!AO22="","",H24*C24)</f>
        <v/>
      </c>
      <c r="FT24">
        <f t="shared" si="144"/>
        <v>0</v>
      </c>
      <c r="FU24">
        <f t="shared" si="145"/>
        <v>0</v>
      </c>
      <c r="FV24">
        <f t="shared" si="146"/>
        <v>2.5499999999999998</v>
      </c>
      <c r="FW24">
        <f t="shared" si="147"/>
        <v>4.66</v>
      </c>
      <c r="FX24">
        <f t="shared" si="148"/>
        <v>0.36</v>
      </c>
      <c r="FY24">
        <f>ELEMENT!AR22</f>
        <v>2</v>
      </c>
      <c r="FZ24">
        <f>ELEMENT!L22</f>
        <v>1</v>
      </c>
      <c r="GA24">
        <f>ELEMENT!M22</f>
        <v>1</v>
      </c>
      <c r="GB24">
        <f>ELEMENT!N22</f>
        <v>2</v>
      </c>
      <c r="GC24">
        <f>ELEMENT!O22</f>
        <v>0</v>
      </c>
      <c r="GD24">
        <f t="shared" si="149"/>
        <v>0</v>
      </c>
      <c r="GE24">
        <f>IF(GI24=ELEMENT!$CJ$59,$GW$8,
IF(GI24=ELEMENT!$CK$59,$GW$16,
IF(GI24=ELEMENT!$CL$59,$GW$24,)))</f>
        <v>4.0999999999999996</v>
      </c>
      <c r="GF24">
        <f>IF(GI24=ELEMENT!$CJ$59,$GW$9,
IF(GI24=ELEMENT!$CK$59,$GW$17,
IF(GI24=ELEMENT!$CL$59,$GW$25,)))</f>
        <v>1.2869999999999999</v>
      </c>
      <c r="GG24">
        <f>IF(GI24=ELEMENT!$CJ$59,$GW$10,
IF(GI24=ELEMENT!$CK$59,$GW$18,
IF(GI24=ELEMENT!$CL$59,$GW$26,)))</f>
        <v>3.032</v>
      </c>
      <c r="GH24">
        <f>IF(GI24=ELEMENT!$CJ$59,$GW$12,
IF(GI24=ELEMENT!$CK$59,$GW$20,
IF(GI24=ELEMENT!$CL$59,$GW$28,)))</f>
        <v>1.87</v>
      </c>
      <c r="GI24">
        <f>ELEMENT!G22</f>
        <v>0</v>
      </c>
      <c r="GJ24">
        <f>ELEMENT!BD22</f>
        <v>0</v>
      </c>
      <c r="GL24">
        <f>ELEMENT!R22</f>
        <v>0</v>
      </c>
      <c r="GM24">
        <f>ELEMENT!S22</f>
        <v>0</v>
      </c>
      <c r="GN24">
        <f>ELEMENT!T22</f>
        <v>0</v>
      </c>
      <c r="GP24">
        <f>ELEMENT!AU22</f>
        <v>0</v>
      </c>
      <c r="GQ24">
        <f>ELEMENT!AY22</f>
        <v>0</v>
      </c>
      <c r="GR24">
        <f t="shared" si="150"/>
        <v>0</v>
      </c>
      <c r="GS24">
        <f>ELEMENT!BE22</f>
        <v>0</v>
      </c>
      <c r="GV24">
        <f>ELEMENT!BF23</f>
        <v>0</v>
      </c>
      <c r="GW24">
        <f>ELEMENT!BO23</f>
        <v>4.0999999999999996</v>
      </c>
      <c r="GX24">
        <f>ELEMENT!BQ38</f>
        <v>58</v>
      </c>
      <c r="GY24">
        <f>ELEMENT!BR38</f>
        <v>32</v>
      </c>
    </row>
    <row r="25" spans="1:207" x14ac:dyDescent="0.2">
      <c r="A25" s="114"/>
      <c r="B25" s="184">
        <f>(ELEMENT!B23)</f>
        <v>0</v>
      </c>
      <c r="C25" s="184">
        <f>SUM(ELEMENT!C23)</f>
        <v>0</v>
      </c>
      <c r="D25" s="184">
        <f>ELEMENT!D23</f>
        <v>0</v>
      </c>
      <c r="E25" s="184">
        <f>ELEMENT!E23</f>
        <v>0</v>
      </c>
      <c r="F25" s="184">
        <f t="shared" si="93"/>
        <v>0</v>
      </c>
      <c r="G25" s="135" t="str">
        <f>ELEMENT!AH23</f>
        <v/>
      </c>
      <c r="H25" s="191" t="str">
        <f>IF(ELEMENT!AO23="","",ELEMENT!AA23*ELEMENT!DQ23)</f>
        <v/>
      </c>
      <c r="I25" s="184">
        <f t="shared" si="94"/>
        <v>0</v>
      </c>
      <c r="J25" s="136">
        <f>ROUND(ELEMENT!DE23,1)</f>
        <v>0</v>
      </c>
      <c r="K25" s="198"/>
      <c r="L25" s="198">
        <f t="shared" si="91"/>
        <v>0</v>
      </c>
      <c r="M25" s="198"/>
      <c r="N25" s="198"/>
      <c r="O25" s="198"/>
      <c r="P25" s="137" t="e">
        <f ca="1">(ROUND((ELEMENT!AC23-ELEMENT!EG23)*$P$2*(1-$H$2)*(1+$E$4),0)+ROUND((ELEMENT!EG23)*$P$2*(1-$H$2)*(1+$E$4),0))</f>
        <v>#VALUE!</v>
      </c>
      <c r="Q25" s="137" t="e">
        <f t="shared" ca="1" si="95"/>
        <v>#VALUE!</v>
      </c>
      <c r="R25" s="138" t="e">
        <f t="shared" ca="1" si="96"/>
        <v>#VALUE!</v>
      </c>
      <c r="S25" s="139" t="e">
        <f t="shared" ca="1" si="97"/>
        <v>#VALUE!</v>
      </c>
      <c r="T25" s="132" t="str">
        <f ca="1">IF(ELEMENT!AC23="","",P25+S25)</f>
        <v/>
      </c>
      <c r="U25" s="132" t="str">
        <f ca="1">IF(ELEMENT!AC23="","",C25*T25)</f>
        <v/>
      </c>
      <c r="V25" s="132" t="str">
        <f>IF(ELEMENT!AW23="JA",ELEMENT!V23,IF(D25+E25=0,"",SUM(T25/ELEMENT!AA23)))</f>
        <v/>
      </c>
      <c r="W25" s="199">
        <f t="shared" si="92"/>
        <v>1</v>
      </c>
      <c r="X25" s="141">
        <f t="shared" si="98"/>
        <v>0</v>
      </c>
      <c r="Y25" s="199" t="s">
        <v>1276</v>
      </c>
      <c r="Z25" s="141">
        <f t="shared" si="99"/>
        <v>0</v>
      </c>
      <c r="AA25" s="199"/>
      <c r="AB25" s="141">
        <f t="shared" si="100"/>
        <v>0</v>
      </c>
      <c r="AC25" s="199"/>
      <c r="AD25" s="141">
        <f t="shared" si="101"/>
        <v>0</v>
      </c>
      <c r="AE25" s="199"/>
      <c r="AF25" s="141">
        <f t="shared" si="102"/>
        <v>0</v>
      </c>
      <c r="AG25" s="199"/>
      <c r="AH25" s="141">
        <f t="shared" si="103"/>
        <v>0</v>
      </c>
      <c r="AI25" s="140"/>
      <c r="AJ25" s="141">
        <f t="shared" si="104"/>
        <v>0</v>
      </c>
      <c r="AK25" s="140"/>
      <c r="AL25" s="141">
        <f t="shared" si="105"/>
        <v>0</v>
      </c>
      <c r="AM25" s="140"/>
      <c r="AN25" s="141">
        <f t="shared" si="106"/>
        <v>0</v>
      </c>
      <c r="AO25" s="140"/>
      <c r="AP25" s="141">
        <f t="shared" si="107"/>
        <v>0</v>
      </c>
      <c r="AQ25" s="140"/>
      <c r="AR25" s="141">
        <f t="shared" si="108"/>
        <v>0</v>
      </c>
      <c r="AS25" s="140"/>
      <c r="AT25" s="141">
        <f t="shared" si="109"/>
        <v>0</v>
      </c>
      <c r="AU25" s="140"/>
      <c r="AV25" s="141">
        <f t="shared" si="110"/>
        <v>0</v>
      </c>
      <c r="AW25" s="140"/>
      <c r="AX25" s="141">
        <f t="shared" si="111"/>
        <v>0</v>
      </c>
      <c r="AY25" s="140"/>
      <c r="AZ25" s="141">
        <f t="shared" si="112"/>
        <v>0</v>
      </c>
      <c r="BA25" s="140"/>
      <c r="BB25" s="141">
        <f t="shared" si="112"/>
        <v>0</v>
      </c>
      <c r="BC25" s="140"/>
      <c r="BD25" s="141">
        <f t="shared" si="112"/>
        <v>0</v>
      </c>
      <c r="BE25" s="140"/>
      <c r="BF25" s="141">
        <f t="shared" si="112"/>
        <v>0</v>
      </c>
      <c r="BG25" s="140"/>
      <c r="BH25" s="141">
        <f t="shared" si="112"/>
        <v>0</v>
      </c>
      <c r="BI25" s="140"/>
      <c r="BJ25" s="141">
        <f t="shared" si="112"/>
        <v>0</v>
      </c>
      <c r="BK25" s="140"/>
      <c r="BL25" s="141">
        <f t="shared" si="112"/>
        <v>0</v>
      </c>
      <c r="BM25" s="140"/>
      <c r="BN25" s="141">
        <f t="shared" si="112"/>
        <v>0</v>
      </c>
      <c r="BO25" s="140"/>
      <c r="BP25" s="141">
        <f t="shared" si="159"/>
        <v>0</v>
      </c>
      <c r="BQ25" s="140"/>
      <c r="BR25" s="141">
        <f t="shared" si="160"/>
        <v>0</v>
      </c>
      <c r="BS25" s="140"/>
      <c r="BT25" s="141">
        <f t="shared" si="161"/>
        <v>0</v>
      </c>
      <c r="BU25" s="140"/>
      <c r="BV25" s="141">
        <f t="shared" si="162"/>
        <v>0</v>
      </c>
      <c r="BW25" s="140"/>
      <c r="BX25" s="141">
        <f t="shared" si="163"/>
        <v>0</v>
      </c>
      <c r="BY25" s="140"/>
      <c r="BZ25" s="141">
        <f t="shared" si="164"/>
        <v>0</v>
      </c>
      <c r="CA25" s="140"/>
      <c r="CB25" s="141">
        <f t="shared" si="165"/>
        <v>0</v>
      </c>
      <c r="CC25" s="140"/>
      <c r="CD25" s="141">
        <f t="shared" si="166"/>
        <v>0</v>
      </c>
      <c r="CE25" s="119"/>
      <c r="CF25" s="119"/>
      <c r="CG25" s="119"/>
      <c r="CH25" s="119"/>
      <c r="CI25" s="119"/>
      <c r="CJ25" s="119"/>
      <c r="CM25">
        <f t="shared" si="113"/>
        <v>0</v>
      </c>
      <c r="CN25" t="str">
        <f ca="1">ELEMENT!AC23</f>
        <v/>
      </c>
      <c r="CO25">
        <f t="shared" ca="1" si="114"/>
        <v>0</v>
      </c>
      <c r="CP25" t="str">
        <f t="shared" ca="1" si="115"/>
        <v/>
      </c>
      <c r="CQ25" t="str">
        <f t="shared" ca="1" si="116"/>
        <v/>
      </c>
      <c r="CR25">
        <f t="shared" ca="1" si="117"/>
        <v>0</v>
      </c>
      <c r="CS25">
        <f t="shared" ca="1" si="118"/>
        <v>0</v>
      </c>
      <c r="CT25">
        <f t="shared" si="119"/>
        <v>0</v>
      </c>
      <c r="CU25" t="str">
        <f t="shared" ca="1" si="120"/>
        <v/>
      </c>
      <c r="CV25">
        <f t="shared" si="121"/>
        <v>0</v>
      </c>
      <c r="CW25">
        <f t="shared" si="122"/>
        <v>0</v>
      </c>
      <c r="CX25">
        <f t="shared" si="123"/>
        <v>0</v>
      </c>
      <c r="DC25" t="str">
        <f t="shared" si="124"/>
        <v/>
      </c>
      <c r="DE25">
        <f t="shared" si="125"/>
        <v>0</v>
      </c>
      <c r="DG25" t="str">
        <f t="shared" si="126"/>
        <v/>
      </c>
      <c r="DI25" t="str">
        <f t="shared" si="127"/>
        <v/>
      </c>
      <c r="DK25" t="str">
        <f t="shared" si="128"/>
        <v/>
      </c>
      <c r="DM25" t="str">
        <f t="shared" si="129"/>
        <v/>
      </c>
      <c r="DO25" t="str">
        <f t="shared" si="130"/>
        <v/>
      </c>
      <c r="DQ25" t="str">
        <f t="shared" si="131"/>
        <v/>
      </c>
      <c r="DS25" t="str">
        <f t="shared" si="132"/>
        <v/>
      </c>
      <c r="DU25" t="str">
        <f t="shared" si="133"/>
        <v/>
      </c>
      <c r="DW25" t="str">
        <f t="shared" si="134"/>
        <v/>
      </c>
      <c r="DY25" t="str">
        <f t="shared" si="135"/>
        <v/>
      </c>
      <c r="EA25" t="str">
        <f t="shared" si="136"/>
        <v/>
      </c>
      <c r="EC25" t="str">
        <f t="shared" si="137"/>
        <v/>
      </c>
      <c r="EE25" t="str">
        <f t="shared" si="138"/>
        <v/>
      </c>
      <c r="EG25" t="str">
        <f t="shared" si="138"/>
        <v/>
      </c>
      <c r="EI25" t="str">
        <f t="shared" si="138"/>
        <v/>
      </c>
      <c r="EK25" t="str">
        <f t="shared" si="138"/>
        <v/>
      </c>
      <c r="EM25" t="str">
        <f t="shared" si="138"/>
        <v/>
      </c>
      <c r="EO25" t="str">
        <f t="shared" si="138"/>
        <v/>
      </c>
      <c r="EQ25" t="str">
        <f t="shared" si="138"/>
        <v/>
      </c>
      <c r="ES25" t="str">
        <f t="shared" si="138"/>
        <v/>
      </c>
      <c r="EU25" t="str">
        <f t="shared" si="151"/>
        <v/>
      </c>
      <c r="EW25" t="str">
        <f t="shared" si="152"/>
        <v/>
      </c>
      <c r="EY25" t="str">
        <f t="shared" si="153"/>
        <v/>
      </c>
      <c r="FA25" t="str">
        <f t="shared" si="154"/>
        <v/>
      </c>
      <c r="FC25" t="str">
        <f t="shared" si="155"/>
        <v/>
      </c>
      <c r="FE25" t="str">
        <f t="shared" si="156"/>
        <v/>
      </c>
      <c r="FG25" t="str">
        <f t="shared" si="157"/>
        <v/>
      </c>
      <c r="FI25" t="str">
        <f t="shared" si="158"/>
        <v/>
      </c>
      <c r="FL25" t="str">
        <f t="shared" si="139"/>
        <v/>
      </c>
      <c r="FM25" t="e">
        <f t="shared" ca="1" si="140"/>
        <v>#VALUE!</v>
      </c>
      <c r="FN25">
        <v>130602</v>
      </c>
      <c r="FO25">
        <f>ROUND((ELEMENT!EH23*(1-$H$2)*(1+$E$4)),0)*C25</f>
        <v>0</v>
      </c>
      <c r="FP25">
        <f t="shared" si="141"/>
        <v>0</v>
      </c>
      <c r="FQ25">
        <f t="shared" si="142"/>
        <v>0</v>
      </c>
      <c r="FR25">
        <f t="shared" si="143"/>
        <v>0</v>
      </c>
      <c r="FS25" t="str">
        <f>IF(ELEMENT!AO23="","",H25*C25)</f>
        <v/>
      </c>
      <c r="FT25">
        <f t="shared" si="144"/>
        <v>0</v>
      </c>
      <c r="FU25">
        <f t="shared" si="145"/>
        <v>0</v>
      </c>
      <c r="FV25">
        <f t="shared" si="146"/>
        <v>2.5499999999999998</v>
      </c>
      <c r="FW25">
        <f t="shared" si="147"/>
        <v>4.66</v>
      </c>
      <c r="FX25">
        <f t="shared" si="148"/>
        <v>0.36</v>
      </c>
      <c r="FY25">
        <f>ELEMENT!AR23</f>
        <v>2</v>
      </c>
      <c r="FZ25">
        <f>ELEMENT!L23</f>
        <v>1</v>
      </c>
      <c r="GA25">
        <f>ELEMENT!M23</f>
        <v>1</v>
      </c>
      <c r="GB25">
        <f>ELEMENT!N23</f>
        <v>2</v>
      </c>
      <c r="GC25">
        <f>ELEMENT!O23</f>
        <v>0</v>
      </c>
      <c r="GD25">
        <f t="shared" si="149"/>
        <v>0</v>
      </c>
      <c r="GE25">
        <f>IF(GI25=ELEMENT!$CJ$59,$GW$8,
IF(GI25=ELEMENT!$CK$59,$GW$16,
IF(GI25=ELEMENT!$CL$59,$GW$24,)))</f>
        <v>4.0999999999999996</v>
      </c>
      <c r="GF25">
        <f>IF(GI25=ELEMENT!$CJ$59,$GW$9,
IF(GI25=ELEMENT!$CK$59,$GW$17,
IF(GI25=ELEMENT!$CL$59,$GW$25,)))</f>
        <v>1.2869999999999999</v>
      </c>
      <c r="GG25">
        <f>IF(GI25=ELEMENT!$CJ$59,$GW$10,
IF(GI25=ELEMENT!$CK$59,$GW$18,
IF(GI25=ELEMENT!$CL$59,$GW$26,)))</f>
        <v>3.032</v>
      </c>
      <c r="GH25">
        <f>IF(GI25=ELEMENT!$CJ$59,$GW$12,
IF(GI25=ELEMENT!$CK$59,$GW$20,
IF(GI25=ELEMENT!$CL$59,$GW$28,)))</f>
        <v>1.87</v>
      </c>
      <c r="GI25">
        <f>ELEMENT!G23</f>
        <v>0</v>
      </c>
      <c r="GJ25">
        <f>ELEMENT!BD23</f>
        <v>0</v>
      </c>
      <c r="GL25">
        <f>ELEMENT!R23</f>
        <v>0</v>
      </c>
      <c r="GM25">
        <f>ELEMENT!S23</f>
        <v>0</v>
      </c>
      <c r="GN25">
        <f>ELEMENT!T23</f>
        <v>0</v>
      </c>
      <c r="GP25">
        <f>ELEMENT!AU23</f>
        <v>0</v>
      </c>
      <c r="GQ25">
        <f>ELEMENT!AY23</f>
        <v>0</v>
      </c>
      <c r="GR25">
        <f t="shared" si="150"/>
        <v>0</v>
      </c>
      <c r="GS25">
        <f>ELEMENT!BE23</f>
        <v>0</v>
      </c>
      <c r="GV25">
        <f>ELEMENT!BF24</f>
        <v>0</v>
      </c>
      <c r="GW25">
        <f>ELEMENT!BO24</f>
        <v>1.2869999999999999</v>
      </c>
      <c r="GX25">
        <f>ELEMENT!BQ39</f>
        <v>58</v>
      </c>
      <c r="GY25">
        <f>ELEMENT!BR39</f>
        <v>32</v>
      </c>
    </row>
    <row r="26" spans="1:207" x14ac:dyDescent="0.2">
      <c r="A26" s="114"/>
      <c r="B26" s="184">
        <f>(ELEMENT!B24)</f>
        <v>0</v>
      </c>
      <c r="C26" s="184">
        <f>SUM(ELEMENT!C24)</f>
        <v>0</v>
      </c>
      <c r="D26" s="184">
        <f>ELEMENT!D24</f>
        <v>0</v>
      </c>
      <c r="E26" s="184">
        <f>ELEMENT!E24</f>
        <v>0</v>
      </c>
      <c r="F26" s="184">
        <f t="shared" si="93"/>
        <v>0</v>
      </c>
      <c r="G26" s="135" t="str">
        <f>ELEMENT!AH24</f>
        <v/>
      </c>
      <c r="H26" s="191" t="str">
        <f>IF(ELEMENT!AO24="","",ELEMENT!AA24*ELEMENT!DQ24)</f>
        <v/>
      </c>
      <c r="I26" s="184">
        <f t="shared" si="94"/>
        <v>0</v>
      </c>
      <c r="J26" s="136">
        <f>ROUND(ELEMENT!DE24,1)</f>
        <v>0</v>
      </c>
      <c r="K26" s="198"/>
      <c r="L26" s="198">
        <f t="shared" si="91"/>
        <v>0</v>
      </c>
      <c r="M26" s="198"/>
      <c r="N26" s="198"/>
      <c r="O26" s="198"/>
      <c r="P26" s="137" t="e">
        <f ca="1">(ROUND((ELEMENT!AC24-ELEMENT!EG24)*$P$2*(1-$H$2)*(1+$E$4),0)+ROUND((ELEMENT!EG24)*$P$2*(1-$H$2)*(1+$E$4),0))</f>
        <v>#VALUE!</v>
      </c>
      <c r="Q26" s="137" t="e">
        <f t="shared" ca="1" si="95"/>
        <v>#VALUE!</v>
      </c>
      <c r="R26" s="138" t="e">
        <f t="shared" ca="1" si="96"/>
        <v>#VALUE!</v>
      </c>
      <c r="S26" s="139" t="e">
        <f t="shared" ca="1" si="97"/>
        <v>#VALUE!</v>
      </c>
      <c r="T26" s="132" t="str">
        <f ca="1">IF(ELEMENT!AC24="","",P26+S26)</f>
        <v/>
      </c>
      <c r="U26" s="132" t="str">
        <f ca="1">IF(ELEMENT!AC24="","",C26*T26)</f>
        <v/>
      </c>
      <c r="V26" s="132" t="str">
        <f>IF(ELEMENT!AW24="JA",ELEMENT!V24,IF(D26+E26=0,"",SUM(T26/ELEMENT!AA24)))</f>
        <v/>
      </c>
      <c r="W26" s="199">
        <f t="shared" si="92"/>
        <v>1</v>
      </c>
      <c r="X26" s="141">
        <f t="shared" si="98"/>
        <v>0</v>
      </c>
      <c r="Y26" s="199" t="s">
        <v>1276</v>
      </c>
      <c r="Z26" s="141">
        <f t="shared" si="99"/>
        <v>0</v>
      </c>
      <c r="AA26" s="199"/>
      <c r="AB26" s="141">
        <f t="shared" si="100"/>
        <v>0</v>
      </c>
      <c r="AC26" s="199"/>
      <c r="AD26" s="141">
        <f t="shared" si="101"/>
        <v>0</v>
      </c>
      <c r="AE26" s="199"/>
      <c r="AF26" s="141">
        <f t="shared" si="102"/>
        <v>0</v>
      </c>
      <c r="AG26" s="199"/>
      <c r="AH26" s="141">
        <f t="shared" si="103"/>
        <v>0</v>
      </c>
      <c r="AI26" s="140"/>
      <c r="AJ26" s="141">
        <f t="shared" si="104"/>
        <v>0</v>
      </c>
      <c r="AK26" s="140"/>
      <c r="AL26" s="141">
        <f t="shared" si="105"/>
        <v>0</v>
      </c>
      <c r="AM26" s="140"/>
      <c r="AN26" s="141">
        <f t="shared" si="106"/>
        <v>0</v>
      </c>
      <c r="AO26" s="140"/>
      <c r="AP26" s="141">
        <f t="shared" si="107"/>
        <v>0</v>
      </c>
      <c r="AQ26" s="140"/>
      <c r="AR26" s="141">
        <f t="shared" si="108"/>
        <v>0</v>
      </c>
      <c r="AS26" s="140"/>
      <c r="AT26" s="141">
        <f t="shared" si="109"/>
        <v>0</v>
      </c>
      <c r="AU26" s="140"/>
      <c r="AV26" s="141">
        <f t="shared" si="110"/>
        <v>0</v>
      </c>
      <c r="AW26" s="140"/>
      <c r="AX26" s="141">
        <f t="shared" si="111"/>
        <v>0</v>
      </c>
      <c r="AY26" s="140"/>
      <c r="AZ26" s="141">
        <f t="shared" si="112"/>
        <v>0</v>
      </c>
      <c r="BA26" s="140"/>
      <c r="BB26" s="141">
        <f t="shared" si="112"/>
        <v>0</v>
      </c>
      <c r="BC26" s="140"/>
      <c r="BD26" s="141">
        <f t="shared" si="112"/>
        <v>0</v>
      </c>
      <c r="BE26" s="140"/>
      <c r="BF26" s="141">
        <f t="shared" si="112"/>
        <v>0</v>
      </c>
      <c r="BG26" s="140"/>
      <c r="BH26" s="141">
        <f t="shared" si="112"/>
        <v>0</v>
      </c>
      <c r="BI26" s="140"/>
      <c r="BJ26" s="141">
        <f t="shared" si="112"/>
        <v>0</v>
      </c>
      <c r="BK26" s="140"/>
      <c r="BL26" s="141">
        <f t="shared" si="112"/>
        <v>0</v>
      </c>
      <c r="BM26" s="140"/>
      <c r="BN26" s="141">
        <f t="shared" si="112"/>
        <v>0</v>
      </c>
      <c r="BO26" s="140"/>
      <c r="BP26" s="141">
        <f t="shared" si="159"/>
        <v>0</v>
      </c>
      <c r="BQ26" s="140"/>
      <c r="BR26" s="141">
        <f t="shared" si="160"/>
        <v>0</v>
      </c>
      <c r="BS26" s="140"/>
      <c r="BT26" s="141">
        <f t="shared" si="161"/>
        <v>0</v>
      </c>
      <c r="BU26" s="140"/>
      <c r="BV26" s="141">
        <f t="shared" si="162"/>
        <v>0</v>
      </c>
      <c r="BW26" s="140"/>
      <c r="BX26" s="141">
        <f t="shared" si="163"/>
        <v>0</v>
      </c>
      <c r="BY26" s="140"/>
      <c r="BZ26" s="141">
        <f t="shared" si="164"/>
        <v>0</v>
      </c>
      <c r="CA26" s="140"/>
      <c r="CB26" s="141">
        <f t="shared" si="165"/>
        <v>0</v>
      </c>
      <c r="CC26" s="140"/>
      <c r="CD26" s="141">
        <f t="shared" si="166"/>
        <v>0</v>
      </c>
      <c r="CE26" s="119"/>
      <c r="CF26" s="119"/>
      <c r="CG26" s="119"/>
      <c r="CH26" s="119"/>
      <c r="CI26" s="119"/>
      <c r="CJ26" s="119"/>
      <c r="CM26">
        <f t="shared" si="113"/>
        <v>0</v>
      </c>
      <c r="CN26" t="str">
        <f ca="1">ELEMENT!AC24</f>
        <v/>
      </c>
      <c r="CO26">
        <f t="shared" ca="1" si="114"/>
        <v>0</v>
      </c>
      <c r="CP26" t="str">
        <f t="shared" ca="1" si="115"/>
        <v/>
      </c>
      <c r="CQ26" t="str">
        <f t="shared" ca="1" si="116"/>
        <v/>
      </c>
      <c r="CR26">
        <f t="shared" ca="1" si="117"/>
        <v>0</v>
      </c>
      <c r="CS26">
        <f t="shared" ca="1" si="118"/>
        <v>0</v>
      </c>
      <c r="CT26">
        <f t="shared" si="119"/>
        <v>0</v>
      </c>
      <c r="CU26" t="str">
        <f t="shared" ca="1" si="120"/>
        <v/>
      </c>
      <c r="CV26">
        <f t="shared" si="121"/>
        <v>0</v>
      </c>
      <c r="CW26">
        <f t="shared" si="122"/>
        <v>0</v>
      </c>
      <c r="CX26">
        <f t="shared" si="123"/>
        <v>0</v>
      </c>
      <c r="DC26" t="str">
        <f t="shared" si="124"/>
        <v/>
      </c>
      <c r="DE26">
        <f t="shared" si="125"/>
        <v>0</v>
      </c>
      <c r="DG26" t="str">
        <f t="shared" si="126"/>
        <v/>
      </c>
      <c r="DI26" t="str">
        <f t="shared" si="127"/>
        <v/>
      </c>
      <c r="DK26" t="str">
        <f t="shared" si="128"/>
        <v/>
      </c>
      <c r="DM26" t="str">
        <f t="shared" si="129"/>
        <v/>
      </c>
      <c r="DO26" t="str">
        <f t="shared" si="130"/>
        <v/>
      </c>
      <c r="DQ26" t="str">
        <f t="shared" si="131"/>
        <v/>
      </c>
      <c r="DS26" t="str">
        <f t="shared" si="132"/>
        <v/>
      </c>
      <c r="DU26" t="str">
        <f t="shared" si="133"/>
        <v/>
      </c>
      <c r="DW26" t="str">
        <f t="shared" si="134"/>
        <v/>
      </c>
      <c r="DY26" t="str">
        <f t="shared" si="135"/>
        <v/>
      </c>
      <c r="EA26" t="str">
        <f t="shared" si="136"/>
        <v/>
      </c>
      <c r="EC26" t="str">
        <f t="shared" si="137"/>
        <v/>
      </c>
      <c r="EE26" t="str">
        <f t="shared" si="138"/>
        <v/>
      </c>
      <c r="EG26" t="str">
        <f t="shared" si="138"/>
        <v/>
      </c>
      <c r="EI26" t="str">
        <f t="shared" si="138"/>
        <v/>
      </c>
      <c r="EK26" t="str">
        <f t="shared" si="138"/>
        <v/>
      </c>
      <c r="EM26" t="str">
        <f t="shared" si="138"/>
        <v/>
      </c>
      <c r="EO26" t="str">
        <f t="shared" si="138"/>
        <v/>
      </c>
      <c r="EQ26" t="str">
        <f t="shared" si="138"/>
        <v/>
      </c>
      <c r="ES26" t="str">
        <f t="shared" si="138"/>
        <v/>
      </c>
      <c r="EU26" t="str">
        <f t="shared" si="151"/>
        <v/>
      </c>
      <c r="EW26" t="str">
        <f t="shared" si="152"/>
        <v/>
      </c>
      <c r="EY26" t="str">
        <f t="shared" si="153"/>
        <v/>
      </c>
      <c r="FA26" t="str">
        <f t="shared" si="154"/>
        <v/>
      </c>
      <c r="FC26" t="str">
        <f t="shared" si="155"/>
        <v/>
      </c>
      <c r="FE26" t="str">
        <f t="shared" si="156"/>
        <v/>
      </c>
      <c r="FG26" t="str">
        <f t="shared" si="157"/>
        <v/>
      </c>
      <c r="FI26" t="str">
        <f t="shared" si="158"/>
        <v/>
      </c>
      <c r="FL26" t="str">
        <f t="shared" si="139"/>
        <v/>
      </c>
      <c r="FM26" t="e">
        <f t="shared" ca="1" si="140"/>
        <v>#VALUE!</v>
      </c>
      <c r="FN26">
        <v>130603</v>
      </c>
      <c r="FO26">
        <f>ROUND((ELEMENT!EH24*(1-$H$2)*(1+$E$4)),0)*C26</f>
        <v>0</v>
      </c>
      <c r="FP26">
        <f t="shared" si="141"/>
        <v>0</v>
      </c>
      <c r="FQ26">
        <f t="shared" si="142"/>
        <v>0</v>
      </c>
      <c r="FR26">
        <f t="shared" si="143"/>
        <v>0</v>
      </c>
      <c r="FS26" t="str">
        <f>IF(ELEMENT!AO24="","",H26*C26)</f>
        <v/>
      </c>
      <c r="FT26">
        <f t="shared" si="144"/>
        <v>0</v>
      </c>
      <c r="FU26">
        <f t="shared" si="145"/>
        <v>0</v>
      </c>
      <c r="FV26">
        <f t="shared" si="146"/>
        <v>2.5499999999999998</v>
      </c>
      <c r="FW26">
        <f t="shared" si="147"/>
        <v>4.66</v>
      </c>
      <c r="FX26">
        <f t="shared" si="148"/>
        <v>0.36</v>
      </c>
      <c r="FY26">
        <f>ELEMENT!AR24</f>
        <v>2</v>
      </c>
      <c r="FZ26">
        <f>ELEMENT!L24</f>
        <v>1</v>
      </c>
      <c r="GA26">
        <f>ELEMENT!M24</f>
        <v>1</v>
      </c>
      <c r="GB26">
        <f>ELEMENT!N24</f>
        <v>2</v>
      </c>
      <c r="GC26">
        <f>ELEMENT!O24</f>
        <v>0</v>
      </c>
      <c r="GD26">
        <f t="shared" si="149"/>
        <v>0</v>
      </c>
      <c r="GE26">
        <f>IF(GI26=ELEMENT!$CJ$59,$GW$8,
IF(GI26=ELEMENT!$CK$59,$GW$16,
IF(GI26=ELEMENT!$CL$59,$GW$24,)))</f>
        <v>4.0999999999999996</v>
      </c>
      <c r="GF26">
        <f>IF(GI26=ELEMENT!$CJ$59,$GW$9,
IF(GI26=ELEMENT!$CK$59,$GW$17,
IF(GI26=ELEMENT!$CL$59,$GW$25,)))</f>
        <v>1.2869999999999999</v>
      </c>
      <c r="GG26">
        <f>IF(GI26=ELEMENT!$CJ$59,$GW$10,
IF(GI26=ELEMENT!$CK$59,$GW$18,
IF(GI26=ELEMENT!$CL$59,$GW$26,)))</f>
        <v>3.032</v>
      </c>
      <c r="GH26">
        <f>IF(GI26=ELEMENT!$CJ$59,$GW$12,
IF(GI26=ELEMENT!$CK$59,$GW$20,
IF(GI26=ELEMENT!$CL$59,$GW$28,)))</f>
        <v>1.87</v>
      </c>
      <c r="GI26">
        <f>ELEMENT!G24</f>
        <v>0</v>
      </c>
      <c r="GJ26">
        <f>ELEMENT!BD24</f>
        <v>0</v>
      </c>
      <c r="GL26">
        <f>ELEMENT!R24</f>
        <v>0</v>
      </c>
      <c r="GM26">
        <f>ELEMENT!S24</f>
        <v>0</v>
      </c>
      <c r="GN26">
        <f>ELEMENT!T24</f>
        <v>0</v>
      </c>
      <c r="GP26">
        <f>ELEMENT!AU24</f>
        <v>0</v>
      </c>
      <c r="GQ26">
        <f>ELEMENT!AY24</f>
        <v>0</v>
      </c>
      <c r="GR26">
        <f t="shared" si="150"/>
        <v>0</v>
      </c>
      <c r="GS26">
        <f>ELEMENT!BE24</f>
        <v>0</v>
      </c>
      <c r="GV26">
        <f>ELEMENT!BF25</f>
        <v>0</v>
      </c>
      <c r="GW26">
        <f>ELEMENT!BO25</f>
        <v>9.8000000000000007</v>
      </c>
      <c r="GX26">
        <f>ELEMENT!BQ40</f>
        <v>58</v>
      </c>
      <c r="GY26">
        <f>ELEMENT!BR40</f>
        <v>32</v>
      </c>
    </row>
    <row r="27" spans="1:207" x14ac:dyDescent="0.2">
      <c r="A27" s="114"/>
      <c r="B27" s="184">
        <f>(ELEMENT!B25)</f>
        <v>0</v>
      </c>
      <c r="C27" s="184">
        <f>SUM(ELEMENT!C25)</f>
        <v>0</v>
      </c>
      <c r="D27" s="184">
        <f>ELEMENT!D25</f>
        <v>0</v>
      </c>
      <c r="E27" s="184">
        <f>ELEMENT!E25</f>
        <v>0</v>
      </c>
      <c r="F27" s="184">
        <f t="shared" si="93"/>
        <v>0</v>
      </c>
      <c r="G27" s="135" t="str">
        <f>ELEMENT!AH25</f>
        <v/>
      </c>
      <c r="H27" s="191" t="str">
        <f>IF(ELEMENT!AO25="","",ELEMENT!AA25*ELEMENT!DQ25)</f>
        <v/>
      </c>
      <c r="I27" s="184">
        <f t="shared" si="94"/>
        <v>0</v>
      </c>
      <c r="J27" s="136">
        <f>ROUND(ELEMENT!DE25,1)</f>
        <v>0</v>
      </c>
      <c r="K27" s="198"/>
      <c r="L27" s="198">
        <f t="shared" si="91"/>
        <v>0</v>
      </c>
      <c r="M27" s="198"/>
      <c r="N27" s="198"/>
      <c r="O27" s="198"/>
      <c r="P27" s="137" t="e">
        <f ca="1">(ROUND((ELEMENT!AC25-ELEMENT!EG25)*$P$2*(1-$H$2)*(1+$E$4),0)+ROUND((ELEMENT!EG25)*$P$2*(1-$H$2)*(1+$E$4),0))</f>
        <v>#VALUE!</v>
      </c>
      <c r="Q27" s="137" t="e">
        <f t="shared" ca="1" si="95"/>
        <v>#VALUE!</v>
      </c>
      <c r="R27" s="138" t="e">
        <f t="shared" ca="1" si="96"/>
        <v>#VALUE!</v>
      </c>
      <c r="S27" s="139" t="e">
        <f t="shared" ca="1" si="97"/>
        <v>#VALUE!</v>
      </c>
      <c r="T27" s="132" t="str">
        <f ca="1">IF(ELEMENT!AC25="","",P27+S27)</f>
        <v/>
      </c>
      <c r="U27" s="132" t="str">
        <f ca="1">IF(ELEMENT!AC25="","",C27*T27)</f>
        <v/>
      </c>
      <c r="V27" s="132" t="str">
        <f>IF(ELEMENT!AW25="JA",ELEMENT!V25,IF(D27+E27=0,"",SUM(T27/ELEMENT!AA25)))</f>
        <v/>
      </c>
      <c r="W27" s="199">
        <f t="shared" si="92"/>
        <v>1</v>
      </c>
      <c r="X27" s="141">
        <f t="shared" si="98"/>
        <v>0</v>
      </c>
      <c r="Y27" s="199" t="s">
        <v>1276</v>
      </c>
      <c r="Z27" s="141">
        <f t="shared" si="99"/>
        <v>0</v>
      </c>
      <c r="AA27" s="199"/>
      <c r="AB27" s="141">
        <f t="shared" si="100"/>
        <v>0</v>
      </c>
      <c r="AC27" s="199"/>
      <c r="AD27" s="141">
        <f t="shared" si="101"/>
        <v>0</v>
      </c>
      <c r="AE27" s="199"/>
      <c r="AF27" s="141">
        <f t="shared" si="102"/>
        <v>0</v>
      </c>
      <c r="AG27" s="199"/>
      <c r="AH27" s="141">
        <f t="shared" si="103"/>
        <v>0</v>
      </c>
      <c r="AI27" s="140"/>
      <c r="AJ27" s="141">
        <f t="shared" si="104"/>
        <v>0</v>
      </c>
      <c r="AK27" s="140"/>
      <c r="AL27" s="141">
        <f t="shared" si="105"/>
        <v>0</v>
      </c>
      <c r="AM27" s="140"/>
      <c r="AN27" s="141">
        <f t="shared" si="106"/>
        <v>0</v>
      </c>
      <c r="AO27" s="140"/>
      <c r="AP27" s="141">
        <f t="shared" si="107"/>
        <v>0</v>
      </c>
      <c r="AQ27" s="140"/>
      <c r="AR27" s="141">
        <f t="shared" si="108"/>
        <v>0</v>
      </c>
      <c r="AS27" s="140"/>
      <c r="AT27" s="141">
        <f t="shared" si="109"/>
        <v>0</v>
      </c>
      <c r="AU27" s="140"/>
      <c r="AV27" s="141">
        <f t="shared" si="110"/>
        <v>0</v>
      </c>
      <c r="AW27" s="140"/>
      <c r="AX27" s="141">
        <f t="shared" si="111"/>
        <v>0</v>
      </c>
      <c r="AY27" s="140"/>
      <c r="AZ27" s="141">
        <f t="shared" si="112"/>
        <v>0</v>
      </c>
      <c r="BA27" s="140"/>
      <c r="BB27" s="141">
        <f t="shared" si="112"/>
        <v>0</v>
      </c>
      <c r="BC27" s="140"/>
      <c r="BD27" s="141">
        <f t="shared" si="112"/>
        <v>0</v>
      </c>
      <c r="BE27" s="140"/>
      <c r="BF27" s="141">
        <f t="shared" si="112"/>
        <v>0</v>
      </c>
      <c r="BG27" s="140"/>
      <c r="BH27" s="141">
        <f t="shared" si="112"/>
        <v>0</v>
      </c>
      <c r="BI27" s="140"/>
      <c r="BJ27" s="141">
        <f t="shared" si="112"/>
        <v>0</v>
      </c>
      <c r="BK27" s="140"/>
      <c r="BL27" s="141">
        <f t="shared" si="112"/>
        <v>0</v>
      </c>
      <c r="BM27" s="140"/>
      <c r="BN27" s="141">
        <f t="shared" si="112"/>
        <v>0</v>
      </c>
      <c r="BO27" s="140"/>
      <c r="BP27" s="141">
        <f t="shared" si="159"/>
        <v>0</v>
      </c>
      <c r="BQ27" s="140"/>
      <c r="BR27" s="141">
        <f t="shared" si="160"/>
        <v>0</v>
      </c>
      <c r="BS27" s="140"/>
      <c r="BT27" s="141">
        <f t="shared" si="161"/>
        <v>0</v>
      </c>
      <c r="BU27" s="140"/>
      <c r="BV27" s="141">
        <f t="shared" si="162"/>
        <v>0</v>
      </c>
      <c r="BW27" s="140"/>
      <c r="BX27" s="141">
        <f t="shared" si="163"/>
        <v>0</v>
      </c>
      <c r="BY27" s="140"/>
      <c r="BZ27" s="141">
        <f t="shared" si="164"/>
        <v>0</v>
      </c>
      <c r="CA27" s="140"/>
      <c r="CB27" s="141">
        <f t="shared" si="165"/>
        <v>0</v>
      </c>
      <c r="CC27" s="140"/>
      <c r="CD27" s="141">
        <f t="shared" si="166"/>
        <v>0</v>
      </c>
      <c r="CE27" s="119"/>
      <c r="CF27" s="119"/>
      <c r="CG27" s="119"/>
      <c r="CH27" s="119"/>
      <c r="CI27" s="119"/>
      <c r="CJ27" s="119"/>
      <c r="CM27">
        <f t="shared" si="113"/>
        <v>0</v>
      </c>
      <c r="CN27" t="str">
        <f ca="1">ELEMENT!AC25</f>
        <v/>
      </c>
      <c r="CO27">
        <f t="shared" ca="1" si="114"/>
        <v>0</v>
      </c>
      <c r="CP27" t="str">
        <f t="shared" ca="1" si="115"/>
        <v/>
      </c>
      <c r="CQ27" t="str">
        <f t="shared" ca="1" si="116"/>
        <v/>
      </c>
      <c r="CR27">
        <f t="shared" ca="1" si="117"/>
        <v>0</v>
      </c>
      <c r="CS27">
        <f t="shared" ca="1" si="118"/>
        <v>0</v>
      </c>
      <c r="CT27">
        <f t="shared" si="119"/>
        <v>0</v>
      </c>
      <c r="CU27" t="str">
        <f t="shared" ca="1" si="120"/>
        <v/>
      </c>
      <c r="CV27">
        <f t="shared" si="121"/>
        <v>0</v>
      </c>
      <c r="CW27">
        <f t="shared" si="122"/>
        <v>0</v>
      </c>
      <c r="CX27">
        <f t="shared" si="123"/>
        <v>0</v>
      </c>
      <c r="DC27" t="str">
        <f t="shared" si="124"/>
        <v/>
      </c>
      <c r="DE27">
        <f t="shared" si="125"/>
        <v>0</v>
      </c>
      <c r="DG27" t="str">
        <f t="shared" si="126"/>
        <v/>
      </c>
      <c r="DI27" t="str">
        <f t="shared" si="127"/>
        <v/>
      </c>
      <c r="DK27" t="str">
        <f t="shared" si="128"/>
        <v/>
      </c>
      <c r="DM27" t="str">
        <f t="shared" si="129"/>
        <v/>
      </c>
      <c r="DO27" t="str">
        <f t="shared" si="130"/>
        <v/>
      </c>
      <c r="DQ27" t="str">
        <f t="shared" si="131"/>
        <v/>
      </c>
      <c r="DS27" t="str">
        <f t="shared" si="132"/>
        <v/>
      </c>
      <c r="DU27" t="str">
        <f t="shared" si="133"/>
        <v/>
      </c>
      <c r="DW27" t="str">
        <f t="shared" si="134"/>
        <v/>
      </c>
      <c r="DY27" t="str">
        <f t="shared" si="135"/>
        <v/>
      </c>
      <c r="EA27" t="str">
        <f t="shared" si="136"/>
        <v/>
      </c>
      <c r="EC27" t="str">
        <f t="shared" si="137"/>
        <v/>
      </c>
      <c r="EE27" t="str">
        <f t="shared" si="138"/>
        <v/>
      </c>
      <c r="EG27" t="str">
        <f t="shared" si="138"/>
        <v/>
      </c>
      <c r="EI27" t="str">
        <f t="shared" si="138"/>
        <v/>
      </c>
      <c r="EK27" t="str">
        <f t="shared" si="138"/>
        <v/>
      </c>
      <c r="EM27" t="str">
        <f t="shared" si="138"/>
        <v/>
      </c>
      <c r="EO27" t="str">
        <f t="shared" si="138"/>
        <v/>
      </c>
      <c r="EQ27" t="str">
        <f t="shared" si="138"/>
        <v/>
      </c>
      <c r="ES27" t="str">
        <f t="shared" si="138"/>
        <v/>
      </c>
      <c r="EU27" t="str">
        <f t="shared" si="151"/>
        <v/>
      </c>
      <c r="EW27" t="str">
        <f t="shared" si="152"/>
        <v/>
      </c>
      <c r="EY27" t="str">
        <f t="shared" si="153"/>
        <v/>
      </c>
      <c r="FA27" t="str">
        <f t="shared" si="154"/>
        <v/>
      </c>
      <c r="FC27" t="str">
        <f t="shared" si="155"/>
        <v/>
      </c>
      <c r="FE27" t="str">
        <f t="shared" si="156"/>
        <v/>
      </c>
      <c r="FG27" t="str">
        <f t="shared" si="157"/>
        <v/>
      </c>
      <c r="FI27" t="str">
        <f t="shared" si="158"/>
        <v/>
      </c>
      <c r="FL27" t="str">
        <f t="shared" si="139"/>
        <v/>
      </c>
      <c r="FM27" t="e">
        <f t="shared" ca="1" si="140"/>
        <v>#VALUE!</v>
      </c>
      <c r="FN27">
        <v>130604</v>
      </c>
      <c r="FO27">
        <f>ROUND((ELEMENT!EH25*(1-$H$2)*(1+$E$4)),0)*C27</f>
        <v>0</v>
      </c>
      <c r="FP27">
        <f t="shared" si="141"/>
        <v>0</v>
      </c>
      <c r="FQ27">
        <f t="shared" si="142"/>
        <v>0</v>
      </c>
      <c r="FR27">
        <f t="shared" si="143"/>
        <v>0</v>
      </c>
      <c r="FS27" t="str">
        <f>IF(ELEMENT!AO25="","",H27*C27)</f>
        <v/>
      </c>
      <c r="FT27">
        <f t="shared" si="144"/>
        <v>0</v>
      </c>
      <c r="FU27">
        <f t="shared" si="145"/>
        <v>0</v>
      </c>
      <c r="FV27">
        <f t="shared" si="146"/>
        <v>2.5499999999999998</v>
      </c>
      <c r="FW27">
        <f t="shared" si="147"/>
        <v>4.66</v>
      </c>
      <c r="FX27">
        <f t="shared" si="148"/>
        <v>0.36</v>
      </c>
      <c r="FY27">
        <f>ELEMENT!AR25</f>
        <v>2</v>
      </c>
      <c r="FZ27">
        <f>ELEMENT!L25</f>
        <v>1</v>
      </c>
      <c r="GA27">
        <f>ELEMENT!M25</f>
        <v>1</v>
      </c>
      <c r="GB27">
        <f>ELEMENT!N25</f>
        <v>2</v>
      </c>
      <c r="GC27">
        <f>ELEMENT!O25</f>
        <v>0</v>
      </c>
      <c r="GD27">
        <f t="shared" si="149"/>
        <v>0</v>
      </c>
      <c r="GE27">
        <f>IF(GI27=ELEMENT!$CJ$59,$GW$8,
IF(GI27=ELEMENT!$CK$59,$GW$16,
IF(GI27=ELEMENT!$CL$59,$GW$24,)))</f>
        <v>4.0999999999999996</v>
      </c>
      <c r="GF27">
        <f>IF(GI27=ELEMENT!$CJ$59,$GW$9,
IF(GI27=ELEMENT!$CK$59,$GW$17,
IF(GI27=ELEMENT!$CL$59,$GW$25,)))</f>
        <v>1.2869999999999999</v>
      </c>
      <c r="GG27">
        <f>IF(GI27=ELEMENT!$CJ$59,$GW$10,
IF(GI27=ELEMENT!$CK$59,$GW$18,
IF(GI27=ELEMENT!$CL$59,$GW$26,)))</f>
        <v>3.032</v>
      </c>
      <c r="GH27">
        <f>IF(GI27=ELEMENT!$CJ$59,$GW$12,
IF(GI27=ELEMENT!$CK$59,$GW$20,
IF(GI27=ELEMENT!$CL$59,$GW$28,)))</f>
        <v>1.87</v>
      </c>
      <c r="GI27">
        <f>ELEMENT!G25</f>
        <v>0</v>
      </c>
      <c r="GJ27">
        <f>ELEMENT!BD25</f>
        <v>0</v>
      </c>
      <c r="GL27">
        <f>ELEMENT!R25</f>
        <v>0</v>
      </c>
      <c r="GM27">
        <f>ELEMENT!S25</f>
        <v>0</v>
      </c>
      <c r="GN27">
        <f>ELEMENT!T25</f>
        <v>0</v>
      </c>
      <c r="GP27">
        <f>ELEMENT!AU25</f>
        <v>0</v>
      </c>
      <c r="GQ27">
        <f>ELEMENT!AY25</f>
        <v>0</v>
      </c>
      <c r="GR27">
        <f t="shared" si="150"/>
        <v>0</v>
      </c>
      <c r="GS27">
        <f>ELEMENT!BE25</f>
        <v>0</v>
      </c>
      <c r="GV27">
        <f>ELEMENT!BF26</f>
        <v>0</v>
      </c>
      <c r="GW27">
        <f>ELEMENT!BO26</f>
        <v>0</v>
      </c>
      <c r="GX27">
        <f>ELEMENT!BQ41</f>
        <v>58</v>
      </c>
      <c r="GY27">
        <f>ELEMENT!BR41</f>
        <v>32</v>
      </c>
    </row>
    <row r="28" spans="1:207" x14ac:dyDescent="0.2">
      <c r="A28" s="114"/>
      <c r="B28" s="184">
        <f>(ELEMENT!B26)</f>
        <v>0</v>
      </c>
      <c r="C28" s="184">
        <f>SUM(ELEMENT!C26)</f>
        <v>0</v>
      </c>
      <c r="D28" s="184">
        <f>ELEMENT!D26</f>
        <v>0</v>
      </c>
      <c r="E28" s="184">
        <f>ELEMENT!E26</f>
        <v>0</v>
      </c>
      <c r="F28" s="184">
        <f t="shared" si="93"/>
        <v>0</v>
      </c>
      <c r="G28" s="135" t="str">
        <f>ELEMENT!AH26</f>
        <v/>
      </c>
      <c r="H28" s="191" t="str">
        <f>IF(ELEMENT!AO26="","",ELEMENT!AA26*ELEMENT!DQ26)</f>
        <v/>
      </c>
      <c r="I28" s="184">
        <f t="shared" si="94"/>
        <v>0</v>
      </c>
      <c r="J28" s="136">
        <f>ROUND(ELEMENT!DE26,1)</f>
        <v>0</v>
      </c>
      <c r="K28" s="198"/>
      <c r="L28" s="198">
        <f t="shared" si="91"/>
        <v>0</v>
      </c>
      <c r="M28" s="198"/>
      <c r="N28" s="198"/>
      <c r="O28" s="198"/>
      <c r="P28" s="137" t="e">
        <f ca="1">(ROUND((ELEMENT!AC26-ELEMENT!EG26)*$P$2*(1-$H$2)*(1+$E$4),0)+ROUND((ELEMENT!EG26)*$P$2*(1-$H$2)*(1+$E$4),0))</f>
        <v>#VALUE!</v>
      </c>
      <c r="Q28" s="137" t="e">
        <f t="shared" ca="1" si="95"/>
        <v>#VALUE!</v>
      </c>
      <c r="R28" s="138" t="e">
        <f t="shared" ca="1" si="96"/>
        <v>#VALUE!</v>
      </c>
      <c r="S28" s="139" t="e">
        <f t="shared" ca="1" si="97"/>
        <v>#VALUE!</v>
      </c>
      <c r="T28" s="132" t="str">
        <f ca="1">IF(ELEMENT!AC26="","",P28+S28)</f>
        <v/>
      </c>
      <c r="U28" s="132" t="str">
        <f ca="1">IF(ELEMENT!AC26="","",C28*T28)</f>
        <v/>
      </c>
      <c r="V28" s="132" t="str">
        <f>IF(ELEMENT!AW26="JA",ELEMENT!V26,IF(D28+E28=0,"",SUM(T28/ELEMENT!AA26)))</f>
        <v/>
      </c>
      <c r="W28" s="199">
        <f t="shared" si="92"/>
        <v>1</v>
      </c>
      <c r="X28" s="141">
        <f t="shared" si="98"/>
        <v>0</v>
      </c>
      <c r="Y28" s="199" t="s">
        <v>1276</v>
      </c>
      <c r="Z28" s="141">
        <f t="shared" si="99"/>
        <v>0</v>
      </c>
      <c r="AA28" s="199"/>
      <c r="AB28" s="141">
        <f t="shared" si="100"/>
        <v>0</v>
      </c>
      <c r="AC28" s="199"/>
      <c r="AD28" s="141">
        <f t="shared" si="101"/>
        <v>0</v>
      </c>
      <c r="AE28" s="199"/>
      <c r="AF28" s="141">
        <f t="shared" si="102"/>
        <v>0</v>
      </c>
      <c r="AG28" s="199"/>
      <c r="AH28" s="141">
        <f t="shared" si="103"/>
        <v>0</v>
      </c>
      <c r="AI28" s="140"/>
      <c r="AJ28" s="141">
        <f t="shared" si="104"/>
        <v>0</v>
      </c>
      <c r="AK28" s="140"/>
      <c r="AL28" s="141">
        <f t="shared" si="105"/>
        <v>0</v>
      </c>
      <c r="AM28" s="140"/>
      <c r="AN28" s="141">
        <f t="shared" si="106"/>
        <v>0</v>
      </c>
      <c r="AO28" s="140"/>
      <c r="AP28" s="141">
        <f t="shared" si="107"/>
        <v>0</v>
      </c>
      <c r="AQ28" s="140"/>
      <c r="AR28" s="141">
        <f t="shared" si="108"/>
        <v>0</v>
      </c>
      <c r="AS28" s="140"/>
      <c r="AT28" s="141">
        <f t="shared" si="109"/>
        <v>0</v>
      </c>
      <c r="AU28" s="140"/>
      <c r="AV28" s="141">
        <f t="shared" si="110"/>
        <v>0</v>
      </c>
      <c r="AW28" s="140"/>
      <c r="AX28" s="141">
        <f t="shared" si="111"/>
        <v>0</v>
      </c>
      <c r="AY28" s="140"/>
      <c r="AZ28" s="141">
        <f t="shared" si="112"/>
        <v>0</v>
      </c>
      <c r="BA28" s="140"/>
      <c r="BB28" s="141">
        <f t="shared" si="112"/>
        <v>0</v>
      </c>
      <c r="BC28" s="140"/>
      <c r="BD28" s="141">
        <f t="shared" si="112"/>
        <v>0</v>
      </c>
      <c r="BE28" s="140"/>
      <c r="BF28" s="141">
        <f t="shared" si="112"/>
        <v>0</v>
      </c>
      <c r="BG28" s="140"/>
      <c r="BH28" s="141">
        <f t="shared" si="112"/>
        <v>0</v>
      </c>
      <c r="BI28" s="140"/>
      <c r="BJ28" s="141">
        <f t="shared" si="112"/>
        <v>0</v>
      </c>
      <c r="BK28" s="140"/>
      <c r="BL28" s="141">
        <f t="shared" si="112"/>
        <v>0</v>
      </c>
      <c r="BM28" s="140"/>
      <c r="BN28" s="141">
        <f t="shared" si="112"/>
        <v>0</v>
      </c>
      <c r="BO28" s="140"/>
      <c r="BP28" s="141">
        <f t="shared" si="159"/>
        <v>0</v>
      </c>
      <c r="BQ28" s="140"/>
      <c r="BR28" s="141">
        <f t="shared" si="160"/>
        <v>0</v>
      </c>
      <c r="BS28" s="140"/>
      <c r="BT28" s="141">
        <f t="shared" si="161"/>
        <v>0</v>
      </c>
      <c r="BU28" s="140"/>
      <c r="BV28" s="141">
        <f t="shared" si="162"/>
        <v>0</v>
      </c>
      <c r="BW28" s="140"/>
      <c r="BX28" s="141">
        <f t="shared" si="163"/>
        <v>0</v>
      </c>
      <c r="BY28" s="140"/>
      <c r="BZ28" s="141">
        <f t="shared" si="164"/>
        <v>0</v>
      </c>
      <c r="CA28" s="140"/>
      <c r="CB28" s="141">
        <f t="shared" si="165"/>
        <v>0</v>
      </c>
      <c r="CC28" s="140"/>
      <c r="CD28" s="141">
        <f t="shared" si="166"/>
        <v>0</v>
      </c>
      <c r="CE28" s="119"/>
      <c r="CF28" s="119"/>
      <c r="CG28" s="119"/>
      <c r="CH28" s="119"/>
      <c r="CI28" s="119"/>
      <c r="CJ28" s="119"/>
      <c r="CM28">
        <f t="shared" si="113"/>
        <v>0</v>
      </c>
      <c r="CN28" t="str">
        <f ca="1">ELEMENT!AC26</f>
        <v/>
      </c>
      <c r="CO28">
        <f t="shared" ca="1" si="114"/>
        <v>0</v>
      </c>
      <c r="CP28" t="str">
        <f t="shared" ca="1" si="115"/>
        <v/>
      </c>
      <c r="CQ28" t="str">
        <f t="shared" ca="1" si="116"/>
        <v/>
      </c>
      <c r="CR28">
        <f t="shared" ca="1" si="117"/>
        <v>0</v>
      </c>
      <c r="CS28">
        <f t="shared" ca="1" si="118"/>
        <v>0</v>
      </c>
      <c r="CT28">
        <f t="shared" si="119"/>
        <v>0</v>
      </c>
      <c r="CU28" t="str">
        <f t="shared" ca="1" si="120"/>
        <v/>
      </c>
      <c r="CV28">
        <f t="shared" si="121"/>
        <v>0</v>
      </c>
      <c r="CW28">
        <f t="shared" si="122"/>
        <v>0</v>
      </c>
      <c r="CX28">
        <f t="shared" si="123"/>
        <v>0</v>
      </c>
      <c r="DC28" t="str">
        <f t="shared" si="124"/>
        <v/>
      </c>
      <c r="DE28">
        <f t="shared" si="125"/>
        <v>0</v>
      </c>
      <c r="DG28" t="str">
        <f t="shared" si="126"/>
        <v/>
      </c>
      <c r="DI28" t="str">
        <f t="shared" si="127"/>
        <v/>
      </c>
      <c r="DK28" t="str">
        <f t="shared" si="128"/>
        <v/>
      </c>
      <c r="DM28" t="str">
        <f t="shared" si="129"/>
        <v/>
      </c>
      <c r="DO28" t="str">
        <f t="shared" si="130"/>
        <v/>
      </c>
      <c r="DQ28" t="str">
        <f t="shared" si="131"/>
        <v/>
      </c>
      <c r="DS28" t="str">
        <f t="shared" si="132"/>
        <v/>
      </c>
      <c r="DU28" t="str">
        <f t="shared" si="133"/>
        <v/>
      </c>
      <c r="DW28" t="str">
        <f t="shared" si="134"/>
        <v/>
      </c>
      <c r="DY28" t="str">
        <f t="shared" si="135"/>
        <v/>
      </c>
      <c r="EA28" t="str">
        <f t="shared" si="136"/>
        <v/>
      </c>
      <c r="EC28" t="str">
        <f t="shared" si="137"/>
        <v/>
      </c>
      <c r="EE28" t="str">
        <f t="shared" si="138"/>
        <v/>
      </c>
      <c r="EG28" t="str">
        <f t="shared" si="138"/>
        <v/>
      </c>
      <c r="EI28" t="str">
        <f t="shared" si="138"/>
        <v/>
      </c>
      <c r="EK28" t="str">
        <f t="shared" si="138"/>
        <v/>
      </c>
      <c r="EM28" t="str">
        <f t="shared" si="138"/>
        <v/>
      </c>
      <c r="EO28" t="str">
        <f t="shared" si="138"/>
        <v/>
      </c>
      <c r="EQ28" t="str">
        <f t="shared" si="138"/>
        <v/>
      </c>
      <c r="ES28" t="str">
        <f t="shared" si="138"/>
        <v/>
      </c>
      <c r="EU28" t="str">
        <f t="shared" si="151"/>
        <v/>
      </c>
      <c r="EW28" t="str">
        <f t="shared" si="152"/>
        <v/>
      </c>
      <c r="EY28" t="str">
        <f t="shared" si="153"/>
        <v/>
      </c>
      <c r="FA28" t="str">
        <f t="shared" si="154"/>
        <v/>
      </c>
      <c r="FC28" t="str">
        <f t="shared" si="155"/>
        <v/>
      </c>
      <c r="FE28" t="str">
        <f t="shared" si="156"/>
        <v/>
      </c>
      <c r="FG28" t="str">
        <f t="shared" si="157"/>
        <v/>
      </c>
      <c r="FI28" t="str">
        <f t="shared" si="158"/>
        <v/>
      </c>
      <c r="FL28" t="str">
        <f t="shared" si="139"/>
        <v/>
      </c>
      <c r="FM28" t="e">
        <f t="shared" ca="1" si="140"/>
        <v>#VALUE!</v>
      </c>
      <c r="FN28">
        <v>130605</v>
      </c>
      <c r="FO28">
        <f>ROUND((ELEMENT!EH26*(1-$H$2)*(1+$E$4)),0)*C28</f>
        <v>0</v>
      </c>
      <c r="FP28">
        <f t="shared" si="141"/>
        <v>0</v>
      </c>
      <c r="FQ28">
        <f t="shared" si="142"/>
        <v>0</v>
      </c>
      <c r="FR28">
        <f t="shared" si="143"/>
        <v>0</v>
      </c>
      <c r="FS28" t="str">
        <f>IF(ELEMENT!AO26="","",H28*C28)</f>
        <v/>
      </c>
      <c r="FT28">
        <f t="shared" si="144"/>
        <v>0</v>
      </c>
      <c r="FU28">
        <f t="shared" si="145"/>
        <v>0</v>
      </c>
      <c r="FV28">
        <f t="shared" si="146"/>
        <v>2.5499999999999998</v>
      </c>
      <c r="FW28">
        <f t="shared" si="147"/>
        <v>4.66</v>
      </c>
      <c r="FX28">
        <f t="shared" si="148"/>
        <v>0.36</v>
      </c>
      <c r="FY28">
        <f>ELEMENT!AR26</f>
        <v>2</v>
      </c>
      <c r="FZ28">
        <f>ELEMENT!L26</f>
        <v>1</v>
      </c>
      <c r="GA28">
        <f>ELEMENT!M26</f>
        <v>1</v>
      </c>
      <c r="GB28">
        <f>ELEMENT!N26</f>
        <v>2</v>
      </c>
      <c r="GC28">
        <f>ELEMENT!O26</f>
        <v>0</v>
      </c>
      <c r="GD28">
        <f t="shared" si="149"/>
        <v>0</v>
      </c>
      <c r="GE28">
        <f>IF(GI28=ELEMENT!$CJ$59,$GW$8,
IF(GI28=ELEMENT!$CK$59,$GW$16,
IF(GI28=ELEMENT!$CL$59,$GW$24,)))</f>
        <v>4.0999999999999996</v>
      </c>
      <c r="GF28">
        <f>IF(GI28=ELEMENT!$CJ$59,$GW$9,
IF(GI28=ELEMENT!$CK$59,$GW$17,
IF(GI28=ELEMENT!$CL$59,$GW$25,)))</f>
        <v>1.2869999999999999</v>
      </c>
      <c r="GG28">
        <f>IF(GI28=ELEMENT!$CJ$59,$GW$10,
IF(GI28=ELEMENT!$CK$59,$GW$18,
IF(GI28=ELEMENT!$CL$59,$GW$26,)))</f>
        <v>3.032</v>
      </c>
      <c r="GH28">
        <f>IF(GI28=ELEMENT!$CJ$59,$GW$12,
IF(GI28=ELEMENT!$CK$59,$GW$20,
IF(GI28=ELEMENT!$CL$59,$GW$28,)))</f>
        <v>1.87</v>
      </c>
      <c r="GI28">
        <f>ELEMENT!G26</f>
        <v>0</v>
      </c>
      <c r="GJ28">
        <f>ELEMENT!BD26</f>
        <v>0</v>
      </c>
      <c r="GL28">
        <f>ELEMENT!R26</f>
        <v>0</v>
      </c>
      <c r="GM28">
        <f>ELEMENT!S26</f>
        <v>0</v>
      </c>
      <c r="GN28">
        <f>ELEMENT!T26</f>
        <v>0</v>
      </c>
      <c r="GP28">
        <f>ELEMENT!AU26</f>
        <v>0</v>
      </c>
      <c r="GQ28">
        <f>ELEMENT!AY26</f>
        <v>0</v>
      </c>
      <c r="GR28">
        <f t="shared" si="150"/>
        <v>0</v>
      </c>
      <c r="GS28">
        <f>ELEMENT!BE26</f>
        <v>0</v>
      </c>
      <c r="GV28">
        <f>ELEMENT!BF27</f>
        <v>0</v>
      </c>
      <c r="GW28">
        <f>ELEMENT!BO27</f>
        <v>8.6999999999999993</v>
      </c>
      <c r="GX28">
        <f>ELEMENT!BQ42</f>
        <v>58</v>
      </c>
      <c r="GY28">
        <f>ELEMENT!BR42</f>
        <v>32</v>
      </c>
    </row>
    <row r="29" spans="1:207" x14ac:dyDescent="0.2">
      <c r="A29" s="114"/>
      <c r="B29" s="184">
        <f>(ELEMENT!B27)</f>
        <v>0</v>
      </c>
      <c r="C29" s="184">
        <f>SUM(ELEMENT!C27)</f>
        <v>0</v>
      </c>
      <c r="D29" s="184">
        <f>ELEMENT!D27</f>
        <v>0</v>
      </c>
      <c r="E29" s="184">
        <f>ELEMENT!E27</f>
        <v>0</v>
      </c>
      <c r="F29" s="184">
        <f t="shared" si="93"/>
        <v>0</v>
      </c>
      <c r="G29" s="135" t="str">
        <f>ELEMENT!AH27</f>
        <v/>
      </c>
      <c r="H29" s="191" t="str">
        <f>IF(ELEMENT!AO27="","",ELEMENT!AA27*ELEMENT!DQ27)</f>
        <v/>
      </c>
      <c r="I29" s="184">
        <f t="shared" si="94"/>
        <v>0</v>
      </c>
      <c r="J29" s="136">
        <f>ROUND(ELEMENT!DE27,1)</f>
        <v>0</v>
      </c>
      <c r="K29" s="198"/>
      <c r="L29" s="198">
        <f t="shared" si="91"/>
        <v>0</v>
      </c>
      <c r="M29" s="198"/>
      <c r="N29" s="198"/>
      <c r="O29" s="198"/>
      <c r="P29" s="137" t="e">
        <f ca="1">(ROUND((ELEMENT!AC27-ELEMENT!EG27)*$P$2*(1-$H$2)*(1+$E$4),0)+ROUND((ELEMENT!EG27)*$P$2*(1-$H$2)*(1+$E$4),0))</f>
        <v>#VALUE!</v>
      </c>
      <c r="Q29" s="137" t="e">
        <f t="shared" ca="1" si="95"/>
        <v>#VALUE!</v>
      </c>
      <c r="R29" s="138" t="e">
        <f t="shared" ca="1" si="96"/>
        <v>#VALUE!</v>
      </c>
      <c r="S29" s="139" t="e">
        <f t="shared" ca="1" si="97"/>
        <v>#VALUE!</v>
      </c>
      <c r="T29" s="132" t="str">
        <f ca="1">IF(ELEMENT!AC27="","",P29+S29)</f>
        <v/>
      </c>
      <c r="U29" s="132" t="str">
        <f ca="1">IF(ELEMENT!AC27="","",C29*T29)</f>
        <v/>
      </c>
      <c r="V29" s="132" t="str">
        <f>IF(ELEMENT!AW27="JA",ELEMENT!V27,IF(D29+E29=0,"",SUM(T29/ELEMENT!AA27)))</f>
        <v/>
      </c>
      <c r="W29" s="199">
        <f t="shared" si="92"/>
        <v>1</v>
      </c>
      <c r="X29" s="141">
        <f t="shared" si="98"/>
        <v>0</v>
      </c>
      <c r="Y29" s="199" t="s">
        <v>1276</v>
      </c>
      <c r="Z29" s="141">
        <f t="shared" si="99"/>
        <v>0</v>
      </c>
      <c r="AA29" s="199"/>
      <c r="AB29" s="141">
        <f t="shared" si="100"/>
        <v>0</v>
      </c>
      <c r="AC29" s="199"/>
      <c r="AD29" s="141">
        <f t="shared" si="101"/>
        <v>0</v>
      </c>
      <c r="AE29" s="199"/>
      <c r="AF29" s="141">
        <f t="shared" si="102"/>
        <v>0</v>
      </c>
      <c r="AG29" s="199"/>
      <c r="AH29" s="141">
        <f t="shared" si="103"/>
        <v>0</v>
      </c>
      <c r="AI29" s="140"/>
      <c r="AJ29" s="141">
        <f t="shared" si="104"/>
        <v>0</v>
      </c>
      <c r="AK29" s="140"/>
      <c r="AL29" s="141">
        <f t="shared" si="105"/>
        <v>0</v>
      </c>
      <c r="AM29" s="140"/>
      <c r="AN29" s="141">
        <f t="shared" si="106"/>
        <v>0</v>
      </c>
      <c r="AO29" s="140"/>
      <c r="AP29" s="141">
        <f t="shared" si="107"/>
        <v>0</v>
      </c>
      <c r="AQ29" s="140"/>
      <c r="AR29" s="141">
        <f t="shared" si="108"/>
        <v>0</v>
      </c>
      <c r="AS29" s="140"/>
      <c r="AT29" s="141">
        <f t="shared" si="109"/>
        <v>0</v>
      </c>
      <c r="AU29" s="140"/>
      <c r="AV29" s="141">
        <f t="shared" si="110"/>
        <v>0</v>
      </c>
      <c r="AW29" s="140"/>
      <c r="AX29" s="141">
        <f t="shared" si="111"/>
        <v>0</v>
      </c>
      <c r="AY29" s="140"/>
      <c r="AZ29" s="141">
        <f t="shared" si="112"/>
        <v>0</v>
      </c>
      <c r="BA29" s="140"/>
      <c r="BB29" s="141">
        <f t="shared" si="112"/>
        <v>0</v>
      </c>
      <c r="BC29" s="140"/>
      <c r="BD29" s="141">
        <f t="shared" si="112"/>
        <v>0</v>
      </c>
      <c r="BE29" s="140"/>
      <c r="BF29" s="141">
        <f t="shared" si="112"/>
        <v>0</v>
      </c>
      <c r="BG29" s="140"/>
      <c r="BH29" s="141">
        <f t="shared" si="112"/>
        <v>0</v>
      </c>
      <c r="BI29" s="140"/>
      <c r="BJ29" s="141">
        <f t="shared" si="112"/>
        <v>0</v>
      </c>
      <c r="BK29" s="140"/>
      <c r="BL29" s="141">
        <f t="shared" si="112"/>
        <v>0</v>
      </c>
      <c r="BM29" s="140"/>
      <c r="BN29" s="141">
        <f t="shared" si="112"/>
        <v>0</v>
      </c>
      <c r="BO29" s="140"/>
      <c r="BP29" s="141">
        <f t="shared" si="159"/>
        <v>0</v>
      </c>
      <c r="BQ29" s="140"/>
      <c r="BR29" s="141">
        <f t="shared" si="160"/>
        <v>0</v>
      </c>
      <c r="BS29" s="140"/>
      <c r="BT29" s="141">
        <f t="shared" si="161"/>
        <v>0</v>
      </c>
      <c r="BU29" s="140"/>
      <c r="BV29" s="141">
        <f t="shared" si="162"/>
        <v>0</v>
      </c>
      <c r="BW29" s="140"/>
      <c r="BX29" s="141">
        <f t="shared" si="163"/>
        <v>0</v>
      </c>
      <c r="BY29" s="140"/>
      <c r="BZ29" s="141">
        <f t="shared" si="164"/>
        <v>0</v>
      </c>
      <c r="CA29" s="140"/>
      <c r="CB29" s="141">
        <f t="shared" si="165"/>
        <v>0</v>
      </c>
      <c r="CC29" s="140"/>
      <c r="CD29" s="141">
        <f t="shared" si="166"/>
        <v>0</v>
      </c>
      <c r="CE29" s="119"/>
      <c r="CF29" s="119"/>
      <c r="CG29" s="119"/>
      <c r="CH29" s="119"/>
      <c r="CI29" s="119"/>
      <c r="CJ29" s="119"/>
      <c r="CM29">
        <f t="shared" si="113"/>
        <v>0</v>
      </c>
      <c r="CN29" t="str">
        <f ca="1">ELEMENT!AC27</f>
        <v/>
      </c>
      <c r="CO29">
        <f t="shared" ca="1" si="114"/>
        <v>0</v>
      </c>
      <c r="CP29" t="str">
        <f t="shared" ca="1" si="115"/>
        <v/>
      </c>
      <c r="CQ29" t="str">
        <f t="shared" ca="1" si="116"/>
        <v/>
      </c>
      <c r="CR29">
        <f t="shared" ca="1" si="117"/>
        <v>0</v>
      </c>
      <c r="CS29">
        <f t="shared" ca="1" si="118"/>
        <v>0</v>
      </c>
      <c r="CT29">
        <f t="shared" si="119"/>
        <v>0</v>
      </c>
      <c r="CU29" t="str">
        <f t="shared" ca="1" si="120"/>
        <v/>
      </c>
      <c r="CV29">
        <f t="shared" si="121"/>
        <v>0</v>
      </c>
      <c r="CW29">
        <f t="shared" si="122"/>
        <v>0</v>
      </c>
      <c r="CX29">
        <f t="shared" si="123"/>
        <v>0</v>
      </c>
      <c r="DC29" t="str">
        <f t="shared" si="124"/>
        <v/>
      </c>
      <c r="DE29">
        <f t="shared" si="125"/>
        <v>0</v>
      </c>
      <c r="DG29" t="str">
        <f t="shared" si="126"/>
        <v/>
      </c>
      <c r="DI29" t="str">
        <f t="shared" si="127"/>
        <v/>
      </c>
      <c r="DK29" t="str">
        <f t="shared" si="128"/>
        <v/>
      </c>
      <c r="DM29" t="str">
        <f t="shared" si="129"/>
        <v/>
      </c>
      <c r="DO29" t="str">
        <f t="shared" si="130"/>
        <v/>
      </c>
      <c r="DQ29" t="str">
        <f t="shared" si="131"/>
        <v/>
      </c>
      <c r="DS29" t="str">
        <f t="shared" si="132"/>
        <v/>
      </c>
      <c r="DU29" t="str">
        <f t="shared" si="133"/>
        <v/>
      </c>
      <c r="DW29" t="str">
        <f t="shared" si="134"/>
        <v/>
      </c>
      <c r="DY29" t="str">
        <f t="shared" si="135"/>
        <v/>
      </c>
      <c r="EA29" t="str">
        <f t="shared" si="136"/>
        <v/>
      </c>
      <c r="EC29" t="str">
        <f t="shared" si="137"/>
        <v/>
      </c>
      <c r="EE29" t="str">
        <f t="shared" si="138"/>
        <v/>
      </c>
      <c r="EG29" t="str">
        <f t="shared" si="138"/>
        <v/>
      </c>
      <c r="EI29" t="str">
        <f t="shared" si="138"/>
        <v/>
      </c>
      <c r="EK29" t="str">
        <f t="shared" si="138"/>
        <v/>
      </c>
      <c r="EM29" t="str">
        <f t="shared" si="138"/>
        <v/>
      </c>
      <c r="EO29" t="str">
        <f t="shared" si="138"/>
        <v/>
      </c>
      <c r="EQ29" t="str">
        <f t="shared" si="138"/>
        <v/>
      </c>
      <c r="ES29" t="str">
        <f t="shared" si="138"/>
        <v/>
      </c>
      <c r="EU29" t="str">
        <f t="shared" si="151"/>
        <v/>
      </c>
      <c r="EW29" t="str">
        <f t="shared" si="152"/>
        <v/>
      </c>
      <c r="EY29" t="str">
        <f t="shared" si="153"/>
        <v/>
      </c>
      <c r="FA29" t="str">
        <f t="shared" si="154"/>
        <v/>
      </c>
      <c r="FC29" t="str">
        <f t="shared" si="155"/>
        <v/>
      </c>
      <c r="FE29" t="str">
        <f t="shared" si="156"/>
        <v/>
      </c>
      <c r="FG29" t="str">
        <f t="shared" si="157"/>
        <v/>
      </c>
      <c r="FI29" t="str">
        <f t="shared" si="158"/>
        <v/>
      </c>
      <c r="FL29" t="str">
        <f t="shared" si="139"/>
        <v/>
      </c>
      <c r="FM29" t="e">
        <f t="shared" ca="1" si="140"/>
        <v>#VALUE!</v>
      </c>
      <c r="FN29">
        <v>130606</v>
      </c>
      <c r="FO29">
        <f>ROUND((ELEMENT!EH27*(1-$H$2)*(1+$E$4)),0)*C29</f>
        <v>0</v>
      </c>
      <c r="FP29">
        <f t="shared" si="141"/>
        <v>0</v>
      </c>
      <c r="FQ29">
        <f t="shared" si="142"/>
        <v>0</v>
      </c>
      <c r="FR29">
        <f t="shared" si="143"/>
        <v>0</v>
      </c>
      <c r="FS29" t="str">
        <f>IF(ELEMENT!AO27="","",H29*C29)</f>
        <v/>
      </c>
      <c r="FT29">
        <f t="shared" si="144"/>
        <v>0</v>
      </c>
      <c r="FU29">
        <f t="shared" si="145"/>
        <v>0</v>
      </c>
      <c r="FV29">
        <f t="shared" si="146"/>
        <v>2.5499999999999998</v>
      </c>
      <c r="FW29">
        <f t="shared" si="147"/>
        <v>4.66</v>
      </c>
      <c r="FX29">
        <f t="shared" si="148"/>
        <v>0.36</v>
      </c>
      <c r="FY29">
        <f>ELEMENT!AR27</f>
        <v>2</v>
      </c>
      <c r="FZ29">
        <f>ELEMENT!L27</f>
        <v>1</v>
      </c>
      <c r="GA29">
        <f>ELEMENT!M27</f>
        <v>1</v>
      </c>
      <c r="GB29">
        <f>ELEMENT!N27</f>
        <v>2</v>
      </c>
      <c r="GC29">
        <f>ELEMENT!O27</f>
        <v>0</v>
      </c>
      <c r="GD29">
        <f t="shared" si="149"/>
        <v>0</v>
      </c>
      <c r="GE29">
        <f>IF(GI29=ELEMENT!$CJ$59,$GW$8,
IF(GI29=ELEMENT!$CK$59,$GW$16,
IF(GI29=ELEMENT!$CL$59,$GW$24,)))</f>
        <v>4.0999999999999996</v>
      </c>
      <c r="GF29">
        <f>IF(GI29=ELEMENT!$CJ$59,$GW$9,
IF(GI29=ELEMENT!$CK$59,$GW$17,
IF(GI29=ELEMENT!$CL$59,$GW$25,)))</f>
        <v>1.2869999999999999</v>
      </c>
      <c r="GG29">
        <f>IF(GI29=ELEMENT!$CJ$59,$GW$10,
IF(GI29=ELEMENT!$CK$59,$GW$18,
IF(GI29=ELEMENT!$CL$59,$GW$26,)))</f>
        <v>3.032</v>
      </c>
      <c r="GH29">
        <f>IF(GI29=ELEMENT!$CJ$59,$GW$12,
IF(GI29=ELEMENT!$CK$59,$GW$20,
IF(GI29=ELEMENT!$CL$59,$GW$28,)))</f>
        <v>1.87</v>
      </c>
      <c r="GI29">
        <f>ELEMENT!G27</f>
        <v>0</v>
      </c>
      <c r="GJ29">
        <f>ELEMENT!BD27</f>
        <v>0</v>
      </c>
      <c r="GL29">
        <f>ELEMENT!R27</f>
        <v>0</v>
      </c>
      <c r="GM29">
        <f>ELEMENT!S27</f>
        <v>0</v>
      </c>
      <c r="GN29">
        <f>ELEMENT!T27</f>
        <v>0</v>
      </c>
      <c r="GP29">
        <f>ELEMENT!AU27</f>
        <v>0</v>
      </c>
      <c r="GQ29">
        <f>ELEMENT!AY27</f>
        <v>0</v>
      </c>
      <c r="GR29">
        <f t="shared" si="150"/>
        <v>0</v>
      </c>
      <c r="GS29">
        <f>ELEMENT!BE27</f>
        <v>0</v>
      </c>
      <c r="GV29">
        <f>ELEMENT!BF28</f>
        <v>0</v>
      </c>
      <c r="GW29">
        <f>ELEMENT!BO28</f>
        <v>0</v>
      </c>
      <c r="GX29">
        <f>ELEMENT!BQ43</f>
        <v>58</v>
      </c>
      <c r="GY29">
        <f>ELEMENT!BR43</f>
        <v>32</v>
      </c>
    </row>
    <row r="30" spans="1:207" x14ac:dyDescent="0.2">
      <c r="A30" s="114"/>
      <c r="B30" s="184">
        <f>(ELEMENT!B28)</f>
        <v>0</v>
      </c>
      <c r="C30" s="184">
        <f>SUM(ELEMENT!C28)</f>
        <v>0</v>
      </c>
      <c r="D30" s="184">
        <f>ELEMENT!D28</f>
        <v>0</v>
      </c>
      <c r="E30" s="184">
        <f>ELEMENT!E28</f>
        <v>0</v>
      </c>
      <c r="F30" s="184">
        <f t="shared" si="93"/>
        <v>0</v>
      </c>
      <c r="G30" s="135" t="str">
        <f>ELEMENT!AH28</f>
        <v/>
      </c>
      <c r="H30" s="191" t="str">
        <f>IF(ELEMENT!AO28="","",ELEMENT!AA28*ELEMENT!DQ28)</f>
        <v/>
      </c>
      <c r="I30" s="184">
        <f t="shared" si="94"/>
        <v>0</v>
      </c>
      <c r="J30" s="136">
        <f>ROUND(ELEMENT!DE28,1)</f>
        <v>0</v>
      </c>
      <c r="K30" s="198"/>
      <c r="L30" s="198">
        <f t="shared" si="91"/>
        <v>0</v>
      </c>
      <c r="M30" s="198"/>
      <c r="N30" s="198"/>
      <c r="O30" s="198"/>
      <c r="P30" s="137" t="e">
        <f ca="1">(ROUND((ELEMENT!AC28-ELEMENT!EG28)*$P$2*(1-$H$2)*(1+$E$4),0)+ROUND((ELEMENT!EG28)*$P$2*(1-$H$2)*(1+$E$4),0))</f>
        <v>#VALUE!</v>
      </c>
      <c r="Q30" s="137" t="e">
        <f t="shared" ca="1" si="95"/>
        <v>#VALUE!</v>
      </c>
      <c r="R30" s="138" t="e">
        <f t="shared" ca="1" si="96"/>
        <v>#VALUE!</v>
      </c>
      <c r="S30" s="139" t="e">
        <f t="shared" ca="1" si="97"/>
        <v>#VALUE!</v>
      </c>
      <c r="T30" s="132" t="str">
        <f ca="1">IF(ELEMENT!AC28="","",P30+S30)</f>
        <v/>
      </c>
      <c r="U30" s="132" t="str">
        <f ca="1">IF(ELEMENT!AC28="","",C30*T30)</f>
        <v/>
      </c>
      <c r="V30" s="132" t="str">
        <f>IF(ELEMENT!AW28="JA",ELEMENT!V28,IF(D30+E30=0,"",SUM(T30/ELEMENT!AA28)))</f>
        <v/>
      </c>
      <c r="W30" s="199">
        <f t="shared" si="92"/>
        <v>1</v>
      </c>
      <c r="X30" s="141">
        <f t="shared" si="98"/>
        <v>0</v>
      </c>
      <c r="Y30" s="199" t="s">
        <v>1276</v>
      </c>
      <c r="Z30" s="141">
        <f t="shared" si="99"/>
        <v>0</v>
      </c>
      <c r="AA30" s="199"/>
      <c r="AB30" s="141">
        <f t="shared" si="100"/>
        <v>0</v>
      </c>
      <c r="AC30" s="199"/>
      <c r="AD30" s="141">
        <f t="shared" si="101"/>
        <v>0</v>
      </c>
      <c r="AE30" s="199"/>
      <c r="AF30" s="141">
        <f t="shared" si="102"/>
        <v>0</v>
      </c>
      <c r="AG30" s="199"/>
      <c r="AH30" s="141">
        <f t="shared" si="103"/>
        <v>0</v>
      </c>
      <c r="AI30" s="140"/>
      <c r="AJ30" s="141">
        <f t="shared" si="104"/>
        <v>0</v>
      </c>
      <c r="AK30" s="140"/>
      <c r="AL30" s="141">
        <f t="shared" si="105"/>
        <v>0</v>
      </c>
      <c r="AM30" s="140"/>
      <c r="AN30" s="141">
        <f t="shared" si="106"/>
        <v>0</v>
      </c>
      <c r="AO30" s="140"/>
      <c r="AP30" s="141">
        <f t="shared" si="107"/>
        <v>0</v>
      </c>
      <c r="AQ30" s="140"/>
      <c r="AR30" s="141">
        <f t="shared" si="108"/>
        <v>0</v>
      </c>
      <c r="AS30" s="140"/>
      <c r="AT30" s="141">
        <f t="shared" si="109"/>
        <v>0</v>
      </c>
      <c r="AU30" s="140"/>
      <c r="AV30" s="141">
        <f t="shared" si="110"/>
        <v>0</v>
      </c>
      <c r="AW30" s="140"/>
      <c r="AX30" s="141">
        <f t="shared" si="111"/>
        <v>0</v>
      </c>
      <c r="AY30" s="140"/>
      <c r="AZ30" s="141">
        <f t="shared" si="112"/>
        <v>0</v>
      </c>
      <c r="BA30" s="140"/>
      <c r="BB30" s="141">
        <f t="shared" si="112"/>
        <v>0</v>
      </c>
      <c r="BC30" s="140"/>
      <c r="BD30" s="141">
        <f t="shared" si="112"/>
        <v>0</v>
      </c>
      <c r="BE30" s="140"/>
      <c r="BF30" s="141">
        <f t="shared" si="112"/>
        <v>0</v>
      </c>
      <c r="BG30" s="140"/>
      <c r="BH30" s="141">
        <f t="shared" si="112"/>
        <v>0</v>
      </c>
      <c r="BI30" s="140"/>
      <c r="BJ30" s="141">
        <f t="shared" si="112"/>
        <v>0</v>
      </c>
      <c r="BK30" s="140"/>
      <c r="BL30" s="141">
        <f t="shared" si="112"/>
        <v>0</v>
      </c>
      <c r="BM30" s="140"/>
      <c r="BN30" s="141">
        <f t="shared" si="112"/>
        <v>0</v>
      </c>
      <c r="BO30" s="140"/>
      <c r="BP30" s="141">
        <f t="shared" si="159"/>
        <v>0</v>
      </c>
      <c r="BQ30" s="140"/>
      <c r="BR30" s="141">
        <f t="shared" si="160"/>
        <v>0</v>
      </c>
      <c r="BS30" s="140"/>
      <c r="BT30" s="141">
        <f t="shared" si="161"/>
        <v>0</v>
      </c>
      <c r="BU30" s="140"/>
      <c r="BV30" s="141">
        <f t="shared" si="162"/>
        <v>0</v>
      </c>
      <c r="BW30" s="140"/>
      <c r="BX30" s="141">
        <f t="shared" si="163"/>
        <v>0</v>
      </c>
      <c r="BY30" s="140"/>
      <c r="BZ30" s="141">
        <f t="shared" si="164"/>
        <v>0</v>
      </c>
      <c r="CA30" s="140"/>
      <c r="CB30" s="141">
        <f t="shared" si="165"/>
        <v>0</v>
      </c>
      <c r="CC30" s="140"/>
      <c r="CD30" s="141">
        <f t="shared" si="166"/>
        <v>0</v>
      </c>
      <c r="CE30" s="119"/>
      <c r="CF30" s="119"/>
      <c r="CG30" s="119"/>
      <c r="CH30" s="119"/>
      <c r="CI30" s="119"/>
      <c r="CJ30" s="119"/>
      <c r="CM30">
        <f t="shared" si="113"/>
        <v>0</v>
      </c>
      <c r="CN30" t="str">
        <f ca="1">ELEMENT!AC28</f>
        <v/>
      </c>
      <c r="CO30">
        <f t="shared" ca="1" si="114"/>
        <v>0</v>
      </c>
      <c r="CP30" t="str">
        <f t="shared" ca="1" si="115"/>
        <v/>
      </c>
      <c r="CQ30" t="str">
        <f t="shared" ca="1" si="116"/>
        <v/>
      </c>
      <c r="CR30">
        <f t="shared" ca="1" si="117"/>
        <v>0</v>
      </c>
      <c r="CS30">
        <f t="shared" ca="1" si="118"/>
        <v>0</v>
      </c>
      <c r="CT30">
        <f t="shared" si="119"/>
        <v>0</v>
      </c>
      <c r="CU30" t="str">
        <f t="shared" ca="1" si="120"/>
        <v/>
      </c>
      <c r="CV30">
        <f t="shared" si="121"/>
        <v>0</v>
      </c>
      <c r="CW30">
        <f t="shared" si="122"/>
        <v>0</v>
      </c>
      <c r="CX30">
        <f t="shared" si="123"/>
        <v>0</v>
      </c>
      <c r="DC30" t="str">
        <f t="shared" si="124"/>
        <v/>
      </c>
      <c r="DE30">
        <f t="shared" si="125"/>
        <v>0</v>
      </c>
      <c r="DG30" t="str">
        <f t="shared" si="126"/>
        <v/>
      </c>
      <c r="DI30" t="str">
        <f t="shared" si="127"/>
        <v/>
      </c>
      <c r="DK30" t="str">
        <f t="shared" si="128"/>
        <v/>
      </c>
      <c r="DM30" t="str">
        <f t="shared" si="129"/>
        <v/>
      </c>
      <c r="DO30" t="str">
        <f t="shared" si="130"/>
        <v/>
      </c>
      <c r="DQ30" t="str">
        <f t="shared" si="131"/>
        <v/>
      </c>
      <c r="DS30" t="str">
        <f t="shared" si="132"/>
        <v/>
      </c>
      <c r="DU30" t="str">
        <f t="shared" si="133"/>
        <v/>
      </c>
      <c r="DW30" t="str">
        <f t="shared" si="134"/>
        <v/>
      </c>
      <c r="DY30" t="str">
        <f t="shared" si="135"/>
        <v/>
      </c>
      <c r="EA30" t="str">
        <f t="shared" si="136"/>
        <v/>
      </c>
      <c r="EC30" t="str">
        <f t="shared" si="137"/>
        <v/>
      </c>
      <c r="EE30" t="str">
        <f t="shared" si="138"/>
        <v/>
      </c>
      <c r="EG30" t="str">
        <f t="shared" si="138"/>
        <v/>
      </c>
      <c r="EI30" t="str">
        <f t="shared" si="138"/>
        <v/>
      </c>
      <c r="EK30" t="str">
        <f t="shared" si="138"/>
        <v/>
      </c>
      <c r="EM30" t="str">
        <f t="shared" si="138"/>
        <v/>
      </c>
      <c r="EO30" t="str">
        <f t="shared" si="138"/>
        <v/>
      </c>
      <c r="EQ30" t="str">
        <f t="shared" si="138"/>
        <v/>
      </c>
      <c r="ES30" t="str">
        <f t="shared" si="138"/>
        <v/>
      </c>
      <c r="EU30" t="str">
        <f t="shared" si="151"/>
        <v/>
      </c>
      <c r="EW30" t="str">
        <f t="shared" si="152"/>
        <v/>
      </c>
      <c r="EY30" t="str">
        <f t="shared" si="153"/>
        <v/>
      </c>
      <c r="FA30" t="str">
        <f t="shared" si="154"/>
        <v/>
      </c>
      <c r="FC30" t="str">
        <f t="shared" si="155"/>
        <v/>
      </c>
      <c r="FE30" t="str">
        <f t="shared" si="156"/>
        <v/>
      </c>
      <c r="FG30" t="str">
        <f t="shared" si="157"/>
        <v/>
      </c>
      <c r="FI30" t="str">
        <f t="shared" si="158"/>
        <v/>
      </c>
      <c r="FL30" t="str">
        <f t="shared" si="139"/>
        <v/>
      </c>
      <c r="FM30" t="e">
        <f t="shared" ca="1" si="140"/>
        <v>#VALUE!</v>
      </c>
      <c r="FN30">
        <v>130607</v>
      </c>
      <c r="FO30">
        <f>ROUND((ELEMENT!EH28*(1-$H$2)*(1+$E$4)),0)*C30</f>
        <v>0</v>
      </c>
      <c r="FP30">
        <f t="shared" si="141"/>
        <v>0</v>
      </c>
      <c r="FQ30">
        <f t="shared" si="142"/>
        <v>0</v>
      </c>
      <c r="FR30">
        <f t="shared" si="143"/>
        <v>0</v>
      </c>
      <c r="FS30" t="str">
        <f>IF(ELEMENT!AO28="","",H30*C30)</f>
        <v/>
      </c>
      <c r="FT30">
        <f t="shared" si="144"/>
        <v>0</v>
      </c>
      <c r="FU30">
        <f t="shared" si="145"/>
        <v>0</v>
      </c>
      <c r="FV30">
        <f t="shared" si="146"/>
        <v>2.5499999999999998</v>
      </c>
      <c r="FW30">
        <f t="shared" si="147"/>
        <v>4.66</v>
      </c>
      <c r="FX30">
        <f t="shared" si="148"/>
        <v>0.36</v>
      </c>
      <c r="FY30">
        <f>ELEMENT!AR28</f>
        <v>2</v>
      </c>
      <c r="FZ30">
        <f>ELEMENT!L28</f>
        <v>1</v>
      </c>
      <c r="GA30">
        <f>ELEMENT!M28</f>
        <v>1</v>
      </c>
      <c r="GB30">
        <f>ELEMENT!N28</f>
        <v>2</v>
      </c>
      <c r="GC30">
        <f>ELEMENT!O28</f>
        <v>0</v>
      </c>
      <c r="GD30">
        <f t="shared" si="149"/>
        <v>0</v>
      </c>
      <c r="GE30">
        <f>IF(GI30=ELEMENT!$CJ$59,$GW$8,
IF(GI30=ELEMENT!$CK$59,$GW$16,
IF(GI30=ELEMENT!$CL$59,$GW$24,)))</f>
        <v>4.0999999999999996</v>
      </c>
      <c r="GF30">
        <f>IF(GI30=ELEMENT!$CJ$59,$GW$9,
IF(GI30=ELEMENT!$CK$59,$GW$17,
IF(GI30=ELEMENT!$CL$59,$GW$25,)))</f>
        <v>1.2869999999999999</v>
      </c>
      <c r="GG30">
        <f>IF(GI30=ELEMENT!$CJ$59,$GW$10,
IF(GI30=ELEMENT!$CK$59,$GW$18,
IF(GI30=ELEMENT!$CL$59,$GW$26,)))</f>
        <v>3.032</v>
      </c>
      <c r="GH30">
        <f>IF(GI30=ELEMENT!$CJ$59,$GW$12,
IF(GI30=ELEMENT!$CK$59,$GW$20,
IF(GI30=ELEMENT!$CL$59,$GW$28,)))</f>
        <v>1.87</v>
      </c>
      <c r="GI30">
        <f>ELEMENT!G28</f>
        <v>0</v>
      </c>
      <c r="GJ30">
        <f>ELEMENT!BD28</f>
        <v>0</v>
      </c>
      <c r="GL30">
        <f>ELEMENT!R28</f>
        <v>0</v>
      </c>
      <c r="GM30">
        <f>ELEMENT!S28</f>
        <v>0</v>
      </c>
      <c r="GN30">
        <f>ELEMENT!T28</f>
        <v>0</v>
      </c>
      <c r="GP30">
        <f>ELEMENT!AU28</f>
        <v>0</v>
      </c>
      <c r="GQ30">
        <f>ELEMENT!AY28</f>
        <v>0</v>
      </c>
      <c r="GR30">
        <f t="shared" si="150"/>
        <v>0</v>
      </c>
      <c r="GS30">
        <f>ELEMENT!BE28</f>
        <v>0</v>
      </c>
      <c r="GV30">
        <f>ELEMENT!BF29</f>
        <v>0</v>
      </c>
      <c r="GW30">
        <f>ELEMENT!BO29</f>
        <v>0</v>
      </c>
      <c r="GX30">
        <f>ELEMENT!BQ44</f>
        <v>58</v>
      </c>
      <c r="GY30">
        <f>ELEMENT!BR44</f>
        <v>32</v>
      </c>
    </row>
    <row r="31" spans="1:207" x14ac:dyDescent="0.2">
      <c r="A31" s="114"/>
      <c r="B31" s="184">
        <f>(ELEMENT!B29)</f>
        <v>0</v>
      </c>
      <c r="C31" s="184">
        <f>SUM(ELEMENT!C29)</f>
        <v>0</v>
      </c>
      <c r="D31" s="184">
        <f>ELEMENT!D29</f>
        <v>0</v>
      </c>
      <c r="E31" s="184">
        <f>ELEMENT!E29</f>
        <v>0</v>
      </c>
      <c r="F31" s="184">
        <f t="shared" si="93"/>
        <v>0</v>
      </c>
      <c r="G31" s="135" t="str">
        <f>ELEMENT!AH29</f>
        <v/>
      </c>
      <c r="H31" s="191" t="str">
        <f>IF(ELEMENT!AO29="","",ELEMENT!AA29*ELEMENT!DQ29)</f>
        <v/>
      </c>
      <c r="I31" s="184">
        <f t="shared" si="94"/>
        <v>0</v>
      </c>
      <c r="J31" s="136">
        <f>ROUND(ELEMENT!DE29,1)</f>
        <v>0</v>
      </c>
      <c r="K31" s="198"/>
      <c r="L31" s="198">
        <f t="shared" si="91"/>
        <v>0</v>
      </c>
      <c r="M31" s="198"/>
      <c r="N31" s="198"/>
      <c r="O31" s="198"/>
      <c r="P31" s="137" t="e">
        <f ca="1">(ROUND((ELEMENT!AC29-ELEMENT!EG29)*$P$2*(1-$H$2)*(1+$E$4),0)+ROUND((ELEMENT!EG29)*$P$2*(1-$H$2)*(1+$E$4),0))</f>
        <v>#VALUE!</v>
      </c>
      <c r="Q31" s="137" t="e">
        <f t="shared" ca="1" si="95"/>
        <v>#VALUE!</v>
      </c>
      <c r="R31" s="138" t="e">
        <f t="shared" ca="1" si="96"/>
        <v>#VALUE!</v>
      </c>
      <c r="S31" s="139" t="e">
        <f t="shared" ca="1" si="97"/>
        <v>#VALUE!</v>
      </c>
      <c r="T31" s="132" t="str">
        <f ca="1">IF(ELEMENT!AC29="","",P31+S31)</f>
        <v/>
      </c>
      <c r="U31" s="132" t="str">
        <f ca="1">IF(ELEMENT!AC29="","",C31*T31)</f>
        <v/>
      </c>
      <c r="V31" s="132" t="str">
        <f>IF(ELEMENT!AW29="JA",ELEMENT!V29,IF(D31+E31=0,"",SUM(T31/ELEMENT!AA29)))</f>
        <v/>
      </c>
      <c r="W31" s="199">
        <f t="shared" si="92"/>
        <v>1</v>
      </c>
      <c r="X31" s="141">
        <f t="shared" si="98"/>
        <v>0</v>
      </c>
      <c r="Y31" s="199" t="s">
        <v>1276</v>
      </c>
      <c r="Z31" s="141">
        <f t="shared" si="99"/>
        <v>0</v>
      </c>
      <c r="AA31" s="199"/>
      <c r="AB31" s="141">
        <f t="shared" si="100"/>
        <v>0</v>
      </c>
      <c r="AC31" s="199"/>
      <c r="AD31" s="141">
        <f t="shared" si="101"/>
        <v>0</v>
      </c>
      <c r="AE31" s="199"/>
      <c r="AF31" s="141">
        <f t="shared" si="102"/>
        <v>0</v>
      </c>
      <c r="AG31" s="199"/>
      <c r="AH31" s="141">
        <f t="shared" si="103"/>
        <v>0</v>
      </c>
      <c r="AI31" s="140"/>
      <c r="AJ31" s="141">
        <f t="shared" si="104"/>
        <v>0</v>
      </c>
      <c r="AK31" s="140"/>
      <c r="AL31" s="141">
        <f t="shared" si="105"/>
        <v>0</v>
      </c>
      <c r="AM31" s="140"/>
      <c r="AN31" s="141">
        <f t="shared" si="106"/>
        <v>0</v>
      </c>
      <c r="AO31" s="140"/>
      <c r="AP31" s="141">
        <f t="shared" si="107"/>
        <v>0</v>
      </c>
      <c r="AQ31" s="140"/>
      <c r="AR31" s="141">
        <f t="shared" si="108"/>
        <v>0</v>
      </c>
      <c r="AS31" s="140"/>
      <c r="AT31" s="141">
        <f t="shared" si="109"/>
        <v>0</v>
      </c>
      <c r="AU31" s="140"/>
      <c r="AV31" s="141">
        <f t="shared" si="110"/>
        <v>0</v>
      </c>
      <c r="AW31" s="140"/>
      <c r="AX31" s="141">
        <f t="shared" si="111"/>
        <v>0</v>
      </c>
      <c r="AY31" s="140"/>
      <c r="AZ31" s="141">
        <f t="shared" si="112"/>
        <v>0</v>
      </c>
      <c r="BA31" s="140"/>
      <c r="BB31" s="141">
        <f t="shared" si="112"/>
        <v>0</v>
      </c>
      <c r="BC31" s="140"/>
      <c r="BD31" s="141">
        <f t="shared" si="112"/>
        <v>0</v>
      </c>
      <c r="BE31" s="140"/>
      <c r="BF31" s="141">
        <f t="shared" si="112"/>
        <v>0</v>
      </c>
      <c r="BG31" s="140"/>
      <c r="BH31" s="141">
        <f t="shared" si="112"/>
        <v>0</v>
      </c>
      <c r="BI31" s="140"/>
      <c r="BJ31" s="141">
        <f t="shared" si="112"/>
        <v>0</v>
      </c>
      <c r="BK31" s="140"/>
      <c r="BL31" s="141">
        <f t="shared" si="112"/>
        <v>0</v>
      </c>
      <c r="BM31" s="140"/>
      <c r="BN31" s="141">
        <f t="shared" ref="BN31:BN47" si="167">IF(ES31="",
IF(BM31="U",2*($E31+$D31)/1000*$C31,
IF(BM31="H",$E31/1000*$C31,
IF(BM31="F",$E31*$D31/1000000*$C31,
IF(BM31="HH",2*$E31/1000*$C31,$C31*BM31)))),ES31)</f>
        <v>0</v>
      </c>
      <c r="BO31" s="140"/>
      <c r="BP31" s="141">
        <f t="shared" si="159"/>
        <v>0</v>
      </c>
      <c r="BQ31" s="140"/>
      <c r="BR31" s="141">
        <f t="shared" si="160"/>
        <v>0</v>
      </c>
      <c r="BS31" s="140"/>
      <c r="BT31" s="141">
        <f t="shared" si="161"/>
        <v>0</v>
      </c>
      <c r="BU31" s="140"/>
      <c r="BV31" s="141">
        <f t="shared" si="162"/>
        <v>0</v>
      </c>
      <c r="BW31" s="140"/>
      <c r="BX31" s="141">
        <f t="shared" si="163"/>
        <v>0</v>
      </c>
      <c r="BY31" s="140"/>
      <c r="BZ31" s="141">
        <f t="shared" si="164"/>
        <v>0</v>
      </c>
      <c r="CA31" s="140"/>
      <c r="CB31" s="141">
        <f t="shared" si="165"/>
        <v>0</v>
      </c>
      <c r="CC31" s="140"/>
      <c r="CD31" s="141">
        <f t="shared" si="166"/>
        <v>0</v>
      </c>
      <c r="CE31" s="119"/>
      <c r="CF31" s="119"/>
      <c r="CG31" s="119"/>
      <c r="CH31" s="119"/>
      <c r="CI31" s="119"/>
      <c r="CJ31" s="119"/>
      <c r="CM31">
        <f t="shared" si="113"/>
        <v>0</v>
      </c>
      <c r="CN31" t="str">
        <f ca="1">ELEMENT!AC29</f>
        <v/>
      </c>
      <c r="CO31">
        <f t="shared" ca="1" si="114"/>
        <v>0</v>
      </c>
      <c r="CP31" t="str">
        <f t="shared" ca="1" si="115"/>
        <v/>
      </c>
      <c r="CQ31" t="str">
        <f t="shared" ca="1" si="116"/>
        <v/>
      </c>
      <c r="CR31">
        <f t="shared" ca="1" si="117"/>
        <v>0</v>
      </c>
      <c r="CS31">
        <f t="shared" ca="1" si="118"/>
        <v>0</v>
      </c>
      <c r="CT31">
        <f t="shared" si="119"/>
        <v>0</v>
      </c>
      <c r="CU31" t="str">
        <f t="shared" ca="1" si="120"/>
        <v/>
      </c>
      <c r="CV31">
        <f t="shared" si="121"/>
        <v>0</v>
      </c>
      <c r="CW31">
        <f t="shared" si="122"/>
        <v>0</v>
      </c>
      <c r="CX31">
        <f t="shared" si="123"/>
        <v>0</v>
      </c>
      <c r="DC31" t="str">
        <f t="shared" si="124"/>
        <v/>
      </c>
      <c r="DE31">
        <f t="shared" si="125"/>
        <v>0</v>
      </c>
      <c r="DG31" t="str">
        <f t="shared" si="126"/>
        <v/>
      </c>
      <c r="DI31" t="str">
        <f t="shared" si="127"/>
        <v/>
      </c>
      <c r="DK31" t="str">
        <f t="shared" si="128"/>
        <v/>
      </c>
      <c r="DM31" t="str">
        <f t="shared" si="129"/>
        <v/>
      </c>
      <c r="DO31" t="str">
        <f t="shared" si="130"/>
        <v/>
      </c>
      <c r="DQ31" t="str">
        <f t="shared" si="131"/>
        <v/>
      </c>
      <c r="DS31" t="str">
        <f t="shared" si="132"/>
        <v/>
      </c>
      <c r="DU31" t="str">
        <f t="shared" si="133"/>
        <v/>
      </c>
      <c r="DW31" t="str">
        <f t="shared" si="134"/>
        <v/>
      </c>
      <c r="DY31" t="str">
        <f t="shared" si="135"/>
        <v/>
      </c>
      <c r="EA31" t="str">
        <f t="shared" si="136"/>
        <v/>
      </c>
      <c r="EC31" t="str">
        <f t="shared" si="137"/>
        <v/>
      </c>
      <c r="EE31" t="str">
        <f t="shared" si="138"/>
        <v/>
      </c>
      <c r="EG31" t="str">
        <f t="shared" si="138"/>
        <v/>
      </c>
      <c r="EI31" t="str">
        <f t="shared" si="138"/>
        <v/>
      </c>
      <c r="EK31" t="str">
        <f t="shared" si="138"/>
        <v/>
      </c>
      <c r="EM31" t="str">
        <f t="shared" si="138"/>
        <v/>
      </c>
      <c r="EO31" t="str">
        <f t="shared" si="138"/>
        <v/>
      </c>
      <c r="EQ31" t="str">
        <f t="shared" si="138"/>
        <v/>
      </c>
      <c r="ES31" t="str">
        <f t="shared" ref="ES31:ES47" si="168">IF(BM31="B",$D31/1000*$C31,
IF(BM31="BB",2*$D31/1000*$C31,
IF(BM31="BBH",($E31+2*$D31)/1000*$C31,
IF(BM31="BH",($E31+$D31)/1000*$C31,
IF(BM31="BHH",(2*$E31+$D31)/1000*$C31,
IF(BM31="BBHH",(2*$E31+2*$D31)/1000*$C31,""))))))</f>
        <v/>
      </c>
      <c r="EU31" t="str">
        <f t="shared" si="151"/>
        <v/>
      </c>
      <c r="EW31" t="str">
        <f t="shared" si="152"/>
        <v/>
      </c>
      <c r="EY31" t="str">
        <f t="shared" si="153"/>
        <v/>
      </c>
      <c r="FA31" t="str">
        <f t="shared" si="154"/>
        <v/>
      </c>
      <c r="FC31" t="str">
        <f t="shared" si="155"/>
        <v/>
      </c>
      <c r="FE31" t="str">
        <f t="shared" si="156"/>
        <v/>
      </c>
      <c r="FG31" t="str">
        <f t="shared" si="157"/>
        <v/>
      </c>
      <c r="FI31" t="str">
        <f t="shared" si="158"/>
        <v/>
      </c>
      <c r="FL31" t="str">
        <f t="shared" si="139"/>
        <v/>
      </c>
      <c r="FM31" t="e">
        <f t="shared" ca="1" si="140"/>
        <v>#VALUE!</v>
      </c>
      <c r="FN31">
        <v>130608</v>
      </c>
      <c r="FO31">
        <f>ROUND((ELEMENT!EH29*(1-$H$2)*(1+$E$4)),0)*C31</f>
        <v>0</v>
      </c>
      <c r="FP31">
        <f t="shared" si="141"/>
        <v>0</v>
      </c>
      <c r="FQ31">
        <f t="shared" si="142"/>
        <v>0</v>
      </c>
      <c r="FR31">
        <f t="shared" si="143"/>
        <v>0</v>
      </c>
      <c r="FS31" t="str">
        <f>IF(ELEMENT!AO29="","",H31*C31)</f>
        <v/>
      </c>
      <c r="FT31">
        <f t="shared" si="144"/>
        <v>0</v>
      </c>
      <c r="FU31">
        <f t="shared" si="145"/>
        <v>0</v>
      </c>
      <c r="FV31">
        <f t="shared" si="146"/>
        <v>2.5499999999999998</v>
      </c>
      <c r="FW31">
        <f t="shared" si="147"/>
        <v>4.66</v>
      </c>
      <c r="FX31">
        <f t="shared" si="148"/>
        <v>0.36</v>
      </c>
      <c r="FY31">
        <f>ELEMENT!AR29</f>
        <v>2</v>
      </c>
      <c r="FZ31">
        <f>ELEMENT!L29</f>
        <v>1</v>
      </c>
      <c r="GA31">
        <f>ELEMENT!M29</f>
        <v>1</v>
      </c>
      <c r="GB31">
        <f>ELEMENT!N29</f>
        <v>2</v>
      </c>
      <c r="GC31">
        <f>ELEMENT!O29</f>
        <v>0</v>
      </c>
      <c r="GD31">
        <f t="shared" si="149"/>
        <v>0</v>
      </c>
      <c r="GE31">
        <f>IF(GI31=ELEMENT!$CJ$59,$GW$8,
IF(GI31=ELEMENT!$CK$59,$GW$16,
IF(GI31=ELEMENT!$CL$59,$GW$24,)))</f>
        <v>4.0999999999999996</v>
      </c>
      <c r="GF31">
        <f>IF(GI31=ELEMENT!$CJ$59,$GW$9,
IF(GI31=ELEMENT!$CK$59,$GW$17,
IF(GI31=ELEMENT!$CL$59,$GW$25,)))</f>
        <v>1.2869999999999999</v>
      </c>
      <c r="GG31">
        <f>IF(GI31=ELEMENT!$CJ$59,$GW$10,
IF(GI31=ELEMENT!$CK$59,$GW$18,
IF(GI31=ELEMENT!$CL$59,$GW$26,)))</f>
        <v>3.032</v>
      </c>
      <c r="GH31">
        <f>IF(GI31=ELEMENT!$CJ$59,$GW$12,
IF(GI31=ELEMENT!$CK$59,$GW$20,
IF(GI31=ELEMENT!$CL$59,$GW$28,)))</f>
        <v>1.87</v>
      </c>
      <c r="GI31">
        <f>ELEMENT!G29</f>
        <v>0</v>
      </c>
      <c r="GJ31">
        <f>ELEMENT!BD29</f>
        <v>0</v>
      </c>
      <c r="GL31">
        <f>ELEMENT!R29</f>
        <v>0</v>
      </c>
      <c r="GM31">
        <f>ELEMENT!S29</f>
        <v>0</v>
      </c>
      <c r="GN31">
        <f>ELEMENT!T29</f>
        <v>0</v>
      </c>
      <c r="GP31">
        <f>ELEMENT!AU29</f>
        <v>0</v>
      </c>
      <c r="GQ31">
        <f>ELEMENT!AY29</f>
        <v>0</v>
      </c>
      <c r="GR31">
        <f t="shared" si="150"/>
        <v>0</v>
      </c>
      <c r="GS31">
        <f>ELEMENT!BE29</f>
        <v>0</v>
      </c>
      <c r="GV31">
        <f>ELEMENT!BF30</f>
        <v>0</v>
      </c>
      <c r="GW31">
        <f>ELEMENT!BO30</f>
        <v>0</v>
      </c>
      <c r="GX31">
        <f>ELEMENT!BQ45</f>
        <v>58</v>
      </c>
      <c r="GY31">
        <f>ELEMENT!BR45</f>
        <v>32</v>
      </c>
    </row>
    <row r="32" spans="1:207" x14ac:dyDescent="0.2">
      <c r="A32" s="114"/>
      <c r="B32" s="184">
        <f>(ELEMENT!B30)</f>
        <v>0</v>
      </c>
      <c r="C32" s="184">
        <f>SUM(ELEMENT!C30)</f>
        <v>0</v>
      </c>
      <c r="D32" s="184">
        <f>ELEMENT!D30</f>
        <v>0</v>
      </c>
      <c r="E32" s="184">
        <f>ELEMENT!E30</f>
        <v>0</v>
      </c>
      <c r="F32" s="184">
        <f t="shared" si="93"/>
        <v>0</v>
      </c>
      <c r="G32" s="135" t="str">
        <f>ELEMENT!AH30</f>
        <v/>
      </c>
      <c r="H32" s="191" t="str">
        <f>IF(ELEMENT!AO30="","",ELEMENT!AA30*ELEMENT!DQ30)</f>
        <v/>
      </c>
      <c r="I32" s="184">
        <f t="shared" si="94"/>
        <v>0</v>
      </c>
      <c r="J32" s="136">
        <f>ROUND(ELEMENT!DE30,1)</f>
        <v>0</v>
      </c>
      <c r="K32" s="198"/>
      <c r="L32" s="198">
        <f t="shared" si="91"/>
        <v>0</v>
      </c>
      <c r="M32" s="198"/>
      <c r="N32" s="198"/>
      <c r="O32" s="198"/>
      <c r="P32" s="137" t="e">
        <f ca="1">(ROUND((ELEMENT!AC30-ELEMENT!EG30)*$P$2*(1-$H$2)*(1+$E$4),0)+ROUND((ELEMENT!EG30)*$P$2*(1-$H$2)*(1+$E$4),0))</f>
        <v>#VALUE!</v>
      </c>
      <c r="Q32" s="137" t="e">
        <f t="shared" ca="1" si="95"/>
        <v>#VALUE!</v>
      </c>
      <c r="R32" s="138" t="e">
        <f t="shared" ca="1" si="96"/>
        <v>#VALUE!</v>
      </c>
      <c r="S32" s="139" t="e">
        <f t="shared" ca="1" si="97"/>
        <v>#VALUE!</v>
      </c>
      <c r="T32" s="132" t="str">
        <f ca="1">IF(ELEMENT!AC30="","",P32+S32)</f>
        <v/>
      </c>
      <c r="U32" s="132" t="str">
        <f ca="1">IF(ELEMENT!AC30="","",C32*T32)</f>
        <v/>
      </c>
      <c r="V32" s="132" t="str">
        <f>IF(ELEMENT!AW30="JA",ELEMENT!V30,IF(D32+E32=0,"",SUM(T32/ELEMENT!AA30)))</f>
        <v/>
      </c>
      <c r="W32" s="199">
        <f t="shared" si="92"/>
        <v>1</v>
      </c>
      <c r="X32" s="141">
        <f t="shared" si="98"/>
        <v>0</v>
      </c>
      <c r="Y32" s="199" t="s">
        <v>1276</v>
      </c>
      <c r="Z32" s="141">
        <f t="shared" si="99"/>
        <v>0</v>
      </c>
      <c r="AA32" s="199"/>
      <c r="AB32" s="141">
        <f t="shared" si="100"/>
        <v>0</v>
      </c>
      <c r="AC32" s="199"/>
      <c r="AD32" s="141">
        <f t="shared" si="101"/>
        <v>0</v>
      </c>
      <c r="AE32" s="199"/>
      <c r="AF32" s="141">
        <f t="shared" si="102"/>
        <v>0</v>
      </c>
      <c r="AG32" s="199"/>
      <c r="AH32" s="141">
        <f t="shared" si="103"/>
        <v>0</v>
      </c>
      <c r="AI32" s="140"/>
      <c r="AJ32" s="141">
        <f t="shared" si="104"/>
        <v>0</v>
      </c>
      <c r="AK32" s="140"/>
      <c r="AL32" s="141">
        <f t="shared" si="105"/>
        <v>0</v>
      </c>
      <c r="AM32" s="140"/>
      <c r="AN32" s="141">
        <f t="shared" si="106"/>
        <v>0</v>
      </c>
      <c r="AO32" s="140"/>
      <c r="AP32" s="141">
        <f t="shared" si="107"/>
        <v>0</v>
      </c>
      <c r="AQ32" s="140"/>
      <c r="AR32" s="141">
        <f t="shared" si="108"/>
        <v>0</v>
      </c>
      <c r="AS32" s="140"/>
      <c r="AT32" s="141">
        <f t="shared" si="109"/>
        <v>0</v>
      </c>
      <c r="AU32" s="140"/>
      <c r="AV32" s="141">
        <f t="shared" si="110"/>
        <v>0</v>
      </c>
      <c r="AW32" s="140"/>
      <c r="AX32" s="141">
        <f t="shared" si="111"/>
        <v>0</v>
      </c>
      <c r="AY32" s="140"/>
      <c r="AZ32" s="141">
        <f t="shared" si="112"/>
        <v>0</v>
      </c>
      <c r="BA32" s="140"/>
      <c r="BB32" s="141">
        <f t="shared" si="112"/>
        <v>0</v>
      </c>
      <c r="BC32" s="140"/>
      <c r="BD32" s="141">
        <f t="shared" si="112"/>
        <v>0</v>
      </c>
      <c r="BE32" s="140"/>
      <c r="BF32" s="141">
        <f t="shared" si="112"/>
        <v>0</v>
      </c>
      <c r="BG32" s="140"/>
      <c r="BH32" s="141">
        <f t="shared" si="112"/>
        <v>0</v>
      </c>
      <c r="BI32" s="140"/>
      <c r="BJ32" s="141">
        <f t="shared" si="112"/>
        <v>0</v>
      </c>
      <c r="BK32" s="140"/>
      <c r="BL32" s="141">
        <f t="shared" si="112"/>
        <v>0</v>
      </c>
      <c r="BM32" s="140"/>
      <c r="BN32" s="141">
        <f t="shared" si="167"/>
        <v>0</v>
      </c>
      <c r="BO32" s="140"/>
      <c r="BP32" s="141">
        <f t="shared" si="159"/>
        <v>0</v>
      </c>
      <c r="BQ32" s="140"/>
      <c r="BR32" s="141">
        <f t="shared" si="160"/>
        <v>0</v>
      </c>
      <c r="BS32" s="140"/>
      <c r="BT32" s="141">
        <f t="shared" si="161"/>
        <v>0</v>
      </c>
      <c r="BU32" s="140"/>
      <c r="BV32" s="141">
        <f t="shared" si="162"/>
        <v>0</v>
      </c>
      <c r="BW32" s="140"/>
      <c r="BX32" s="141">
        <f t="shared" si="163"/>
        <v>0</v>
      </c>
      <c r="BY32" s="140"/>
      <c r="BZ32" s="141">
        <f t="shared" si="164"/>
        <v>0</v>
      </c>
      <c r="CA32" s="140"/>
      <c r="CB32" s="141">
        <f t="shared" si="165"/>
        <v>0</v>
      </c>
      <c r="CC32" s="140"/>
      <c r="CD32" s="141">
        <f t="shared" si="166"/>
        <v>0</v>
      </c>
      <c r="CE32" s="119"/>
      <c r="CF32" s="119"/>
      <c r="CG32" s="119"/>
      <c r="CH32" s="119"/>
      <c r="CI32" s="119"/>
      <c r="CJ32" s="119"/>
      <c r="CM32">
        <f t="shared" si="113"/>
        <v>0</v>
      </c>
      <c r="CN32" t="str">
        <f ca="1">ELEMENT!AC30</f>
        <v/>
      </c>
      <c r="CO32">
        <f t="shared" ca="1" si="114"/>
        <v>0</v>
      </c>
      <c r="CP32" t="str">
        <f t="shared" ca="1" si="115"/>
        <v/>
      </c>
      <c r="CQ32" t="str">
        <f t="shared" ca="1" si="116"/>
        <v/>
      </c>
      <c r="CR32">
        <f t="shared" ca="1" si="117"/>
        <v>0</v>
      </c>
      <c r="CS32">
        <f t="shared" ca="1" si="118"/>
        <v>0</v>
      </c>
      <c r="CT32">
        <f t="shared" si="119"/>
        <v>0</v>
      </c>
      <c r="CU32" t="str">
        <f t="shared" ca="1" si="120"/>
        <v/>
      </c>
      <c r="CV32">
        <f t="shared" si="121"/>
        <v>0</v>
      </c>
      <c r="CW32">
        <f t="shared" si="122"/>
        <v>0</v>
      </c>
      <c r="CX32">
        <f t="shared" si="123"/>
        <v>0</v>
      </c>
      <c r="DC32" t="str">
        <f t="shared" si="124"/>
        <v/>
      </c>
      <c r="DE32">
        <f t="shared" si="125"/>
        <v>0</v>
      </c>
      <c r="DG32" t="str">
        <f t="shared" si="126"/>
        <v/>
      </c>
      <c r="DI32" t="str">
        <f t="shared" si="127"/>
        <v/>
      </c>
      <c r="DK32" t="str">
        <f t="shared" si="128"/>
        <v/>
      </c>
      <c r="DM32" t="str">
        <f t="shared" si="129"/>
        <v/>
      </c>
      <c r="DO32" t="str">
        <f t="shared" si="130"/>
        <v/>
      </c>
      <c r="DQ32" t="str">
        <f t="shared" si="131"/>
        <v/>
      </c>
      <c r="DS32" t="str">
        <f t="shared" si="132"/>
        <v/>
      </c>
      <c r="DU32" t="str">
        <f t="shared" si="133"/>
        <v/>
      </c>
      <c r="DW32" t="str">
        <f t="shared" si="134"/>
        <v/>
      </c>
      <c r="DY32" t="str">
        <f t="shared" si="135"/>
        <v/>
      </c>
      <c r="EA32" t="str">
        <f t="shared" si="136"/>
        <v/>
      </c>
      <c r="EC32" t="str">
        <f t="shared" si="137"/>
        <v/>
      </c>
      <c r="EE32" t="str">
        <f t="shared" si="138"/>
        <v/>
      </c>
      <c r="EG32" t="str">
        <f t="shared" si="138"/>
        <v/>
      </c>
      <c r="EI32" t="str">
        <f t="shared" si="138"/>
        <v/>
      </c>
      <c r="EK32" t="str">
        <f t="shared" si="138"/>
        <v/>
      </c>
      <c r="EM32" t="str">
        <f t="shared" si="138"/>
        <v/>
      </c>
      <c r="EO32" t="str">
        <f t="shared" si="138"/>
        <v/>
      </c>
      <c r="EQ32" t="str">
        <f t="shared" si="138"/>
        <v/>
      </c>
      <c r="ES32" t="str">
        <f t="shared" si="168"/>
        <v/>
      </c>
      <c r="EU32" t="str">
        <f t="shared" si="151"/>
        <v/>
      </c>
      <c r="EW32" t="str">
        <f t="shared" si="152"/>
        <v/>
      </c>
      <c r="EY32" t="str">
        <f t="shared" si="153"/>
        <v/>
      </c>
      <c r="FA32" t="str">
        <f t="shared" si="154"/>
        <v/>
      </c>
      <c r="FC32" t="str">
        <f t="shared" si="155"/>
        <v/>
      </c>
      <c r="FE32" t="str">
        <f t="shared" si="156"/>
        <v/>
      </c>
      <c r="FG32" t="str">
        <f t="shared" si="157"/>
        <v/>
      </c>
      <c r="FI32" t="str">
        <f t="shared" si="158"/>
        <v/>
      </c>
      <c r="FL32" t="str">
        <f t="shared" si="139"/>
        <v/>
      </c>
      <c r="FM32" t="e">
        <f t="shared" ca="1" si="140"/>
        <v>#VALUE!</v>
      </c>
      <c r="FN32">
        <v>130609</v>
      </c>
      <c r="FO32">
        <f>ROUND((ELEMENT!EH30*(1-$H$2)*(1+$E$4)),0)*C32</f>
        <v>0</v>
      </c>
      <c r="FP32">
        <f t="shared" si="141"/>
        <v>0</v>
      </c>
      <c r="FQ32">
        <f t="shared" si="142"/>
        <v>0</v>
      </c>
      <c r="FR32">
        <f t="shared" si="143"/>
        <v>0</v>
      </c>
      <c r="FS32" t="str">
        <f>IF(ELEMENT!AO30="","",H32*C32)</f>
        <v/>
      </c>
      <c r="FT32">
        <f t="shared" si="144"/>
        <v>0</v>
      </c>
      <c r="FU32">
        <f t="shared" si="145"/>
        <v>0</v>
      </c>
      <c r="FV32">
        <f t="shared" si="146"/>
        <v>2.5499999999999998</v>
      </c>
      <c r="FW32">
        <f t="shared" si="147"/>
        <v>4.66</v>
      </c>
      <c r="FX32">
        <f t="shared" si="148"/>
        <v>0.36</v>
      </c>
      <c r="FY32">
        <f>ELEMENT!AR30</f>
        <v>2</v>
      </c>
      <c r="FZ32">
        <f>ELEMENT!L30</f>
        <v>1</v>
      </c>
      <c r="GA32">
        <f>ELEMENT!M30</f>
        <v>1</v>
      </c>
      <c r="GB32">
        <f>ELEMENT!N30</f>
        <v>2</v>
      </c>
      <c r="GC32">
        <f>ELEMENT!O30</f>
        <v>0</v>
      </c>
      <c r="GD32">
        <f t="shared" si="149"/>
        <v>0</v>
      </c>
      <c r="GE32">
        <f>IF(GI32=ELEMENT!$CJ$59,$GW$8,
IF(GI32=ELEMENT!$CK$59,$GW$16,
IF(GI32=ELEMENT!$CL$59,$GW$24,)))</f>
        <v>4.0999999999999996</v>
      </c>
      <c r="GF32">
        <f>IF(GI32=ELEMENT!$CJ$59,$GW$9,
IF(GI32=ELEMENT!$CK$59,$GW$17,
IF(GI32=ELEMENT!$CL$59,$GW$25,)))</f>
        <v>1.2869999999999999</v>
      </c>
      <c r="GG32">
        <f>IF(GI32=ELEMENT!$CJ$59,$GW$10,
IF(GI32=ELEMENT!$CK$59,$GW$18,
IF(GI32=ELEMENT!$CL$59,$GW$26,)))</f>
        <v>3.032</v>
      </c>
      <c r="GH32">
        <f>IF(GI32=ELEMENT!$CJ$59,$GW$12,
IF(GI32=ELEMENT!$CK$59,$GW$20,
IF(GI32=ELEMENT!$CL$59,$GW$28,)))</f>
        <v>1.87</v>
      </c>
      <c r="GI32">
        <f>ELEMENT!G30</f>
        <v>0</v>
      </c>
      <c r="GJ32">
        <f>ELEMENT!BD30</f>
        <v>0</v>
      </c>
      <c r="GL32">
        <f>ELEMENT!R30</f>
        <v>0</v>
      </c>
      <c r="GM32">
        <f>ELEMENT!S30</f>
        <v>0</v>
      </c>
      <c r="GN32">
        <f>ELEMENT!T30</f>
        <v>0</v>
      </c>
      <c r="GP32">
        <f>ELEMENT!AU30</f>
        <v>0</v>
      </c>
      <c r="GQ32">
        <f>ELEMENT!AY30</f>
        <v>0</v>
      </c>
      <c r="GR32">
        <f t="shared" si="150"/>
        <v>0</v>
      </c>
      <c r="GS32">
        <f>ELEMENT!BE30</f>
        <v>0</v>
      </c>
      <c r="GV32">
        <f>ELEMENT!BF31</f>
        <v>37365</v>
      </c>
      <c r="GW32">
        <f>ELEMENT!BO31</f>
        <v>0</v>
      </c>
      <c r="GX32">
        <f>ELEMENT!BQ46</f>
        <v>45</v>
      </c>
      <c r="GY32">
        <f>ELEMENT!BR46</f>
        <v>0</v>
      </c>
    </row>
    <row r="33" spans="1:207" x14ac:dyDescent="0.2">
      <c r="A33" s="142"/>
      <c r="B33" s="184">
        <f>(ELEMENT!B31)</f>
        <v>0</v>
      </c>
      <c r="C33" s="184">
        <f>SUM(ELEMENT!C31)</f>
        <v>0</v>
      </c>
      <c r="D33" s="184">
        <f>ELEMENT!D31</f>
        <v>0</v>
      </c>
      <c r="E33" s="184">
        <f>ELEMENT!E31</f>
        <v>0</v>
      </c>
      <c r="F33" s="184">
        <f t="shared" si="93"/>
        <v>0</v>
      </c>
      <c r="G33" s="135" t="str">
        <f>ELEMENT!AH31</f>
        <v/>
      </c>
      <c r="H33" s="191" t="str">
        <f>IF(ELEMENT!AO31="","",ELEMENT!AA31*ELEMENT!DQ31)</f>
        <v/>
      </c>
      <c r="I33" s="184">
        <f t="shared" si="94"/>
        <v>0</v>
      </c>
      <c r="J33" s="136">
        <f>ROUND(ELEMENT!DE31,1)</f>
        <v>0</v>
      </c>
      <c r="K33" s="198"/>
      <c r="L33" s="198">
        <f t="shared" si="91"/>
        <v>0</v>
      </c>
      <c r="M33" s="198"/>
      <c r="N33" s="198"/>
      <c r="O33" s="198"/>
      <c r="P33" s="137" t="e">
        <f ca="1">(ROUND((ELEMENT!AC31-ELEMENT!EG31)*$P$2*(1-$H$2)*(1+$E$4),0)+ROUND((ELEMENT!EG31)*$P$2*(1-$H$2)*(1+$E$4),0))</f>
        <v>#VALUE!</v>
      </c>
      <c r="Q33" s="137" t="e">
        <f t="shared" ca="1" si="95"/>
        <v>#VALUE!</v>
      </c>
      <c r="R33" s="138" t="e">
        <f t="shared" ca="1" si="96"/>
        <v>#VALUE!</v>
      </c>
      <c r="S33" s="139" t="e">
        <f t="shared" ca="1" si="97"/>
        <v>#VALUE!</v>
      </c>
      <c r="T33" s="132" t="str">
        <f ca="1">IF(ELEMENT!AC31="","",P33+S33)</f>
        <v/>
      </c>
      <c r="U33" s="132" t="str">
        <f ca="1">IF(ELEMENT!AC31="","",C33*T33)</f>
        <v/>
      </c>
      <c r="V33" s="132" t="str">
        <f>IF(ELEMENT!AW31="JA",ELEMENT!V31,IF(D33+E33=0,"",SUM(T33/ELEMENT!AA31)))</f>
        <v/>
      </c>
      <c r="W33" s="199">
        <f t="shared" si="92"/>
        <v>1</v>
      </c>
      <c r="X33" s="141">
        <f t="shared" si="98"/>
        <v>0</v>
      </c>
      <c r="Y33" s="199" t="s">
        <v>1276</v>
      </c>
      <c r="Z33" s="141">
        <f t="shared" si="99"/>
        <v>0</v>
      </c>
      <c r="AA33" s="199"/>
      <c r="AB33" s="141">
        <f t="shared" si="100"/>
        <v>0</v>
      </c>
      <c r="AC33" s="199"/>
      <c r="AD33" s="141">
        <f t="shared" si="101"/>
        <v>0</v>
      </c>
      <c r="AE33" s="199"/>
      <c r="AF33" s="141">
        <f t="shared" si="102"/>
        <v>0</v>
      </c>
      <c r="AG33" s="199"/>
      <c r="AH33" s="141">
        <f t="shared" si="103"/>
        <v>0</v>
      </c>
      <c r="AI33" s="140"/>
      <c r="AJ33" s="141">
        <f t="shared" si="104"/>
        <v>0</v>
      </c>
      <c r="AK33" s="140"/>
      <c r="AL33" s="141">
        <f t="shared" si="105"/>
        <v>0</v>
      </c>
      <c r="AM33" s="140"/>
      <c r="AN33" s="141">
        <f t="shared" si="106"/>
        <v>0</v>
      </c>
      <c r="AO33" s="140"/>
      <c r="AP33" s="141">
        <f t="shared" si="107"/>
        <v>0</v>
      </c>
      <c r="AQ33" s="140"/>
      <c r="AR33" s="141">
        <f t="shared" si="108"/>
        <v>0</v>
      </c>
      <c r="AS33" s="140"/>
      <c r="AT33" s="141">
        <f t="shared" si="109"/>
        <v>0</v>
      </c>
      <c r="AU33" s="140"/>
      <c r="AV33" s="141">
        <f t="shared" si="110"/>
        <v>0</v>
      </c>
      <c r="AW33" s="140"/>
      <c r="AX33" s="141">
        <f t="shared" si="111"/>
        <v>0</v>
      </c>
      <c r="AY33" s="140"/>
      <c r="AZ33" s="141">
        <f t="shared" si="112"/>
        <v>0</v>
      </c>
      <c r="BA33" s="140"/>
      <c r="BB33" s="141">
        <f t="shared" si="112"/>
        <v>0</v>
      </c>
      <c r="BC33" s="140"/>
      <c r="BD33" s="141">
        <f t="shared" si="112"/>
        <v>0</v>
      </c>
      <c r="BE33" s="140"/>
      <c r="BF33" s="141">
        <f t="shared" si="112"/>
        <v>0</v>
      </c>
      <c r="BG33" s="140"/>
      <c r="BH33" s="141">
        <f t="shared" si="112"/>
        <v>0</v>
      </c>
      <c r="BI33" s="140"/>
      <c r="BJ33" s="141">
        <f t="shared" si="112"/>
        <v>0</v>
      </c>
      <c r="BK33" s="140"/>
      <c r="BL33" s="141">
        <f t="shared" si="112"/>
        <v>0</v>
      </c>
      <c r="BM33" s="140"/>
      <c r="BN33" s="141">
        <f t="shared" si="167"/>
        <v>0</v>
      </c>
      <c r="BO33" s="140"/>
      <c r="BP33" s="141">
        <f t="shared" si="159"/>
        <v>0</v>
      </c>
      <c r="BQ33" s="140"/>
      <c r="BR33" s="141">
        <f t="shared" si="160"/>
        <v>0</v>
      </c>
      <c r="BS33" s="140"/>
      <c r="BT33" s="141">
        <f t="shared" si="161"/>
        <v>0</v>
      </c>
      <c r="BU33" s="140"/>
      <c r="BV33" s="141">
        <f t="shared" si="162"/>
        <v>0</v>
      </c>
      <c r="BW33" s="140"/>
      <c r="BX33" s="141">
        <f t="shared" si="163"/>
        <v>0</v>
      </c>
      <c r="BY33" s="140"/>
      <c r="BZ33" s="141">
        <f t="shared" si="164"/>
        <v>0</v>
      </c>
      <c r="CA33" s="140"/>
      <c r="CB33" s="141">
        <f t="shared" si="165"/>
        <v>0</v>
      </c>
      <c r="CC33" s="140"/>
      <c r="CD33" s="141">
        <f t="shared" si="166"/>
        <v>0</v>
      </c>
      <c r="CE33" s="119"/>
      <c r="CF33" s="119"/>
      <c r="CG33" s="119"/>
      <c r="CH33" s="119"/>
      <c r="CI33" s="119"/>
      <c r="CJ33" s="119"/>
      <c r="CM33">
        <f t="shared" si="113"/>
        <v>0</v>
      </c>
      <c r="CN33" t="str">
        <f ca="1">ELEMENT!AC31</f>
        <v/>
      </c>
      <c r="CO33">
        <f t="shared" ca="1" si="114"/>
        <v>0</v>
      </c>
      <c r="CP33" t="str">
        <f t="shared" ca="1" si="115"/>
        <v/>
      </c>
      <c r="CQ33" t="str">
        <f t="shared" ca="1" si="116"/>
        <v/>
      </c>
      <c r="CR33">
        <f t="shared" ca="1" si="117"/>
        <v>0</v>
      </c>
      <c r="CS33">
        <f t="shared" ca="1" si="118"/>
        <v>0</v>
      </c>
      <c r="CT33">
        <f t="shared" si="119"/>
        <v>0</v>
      </c>
      <c r="CU33" t="str">
        <f t="shared" ca="1" si="120"/>
        <v/>
      </c>
      <c r="CV33">
        <f t="shared" si="121"/>
        <v>0</v>
      </c>
      <c r="CW33">
        <f t="shared" si="122"/>
        <v>0</v>
      </c>
      <c r="CX33">
        <f t="shared" si="123"/>
        <v>0</v>
      </c>
      <c r="DC33" t="str">
        <f t="shared" si="124"/>
        <v/>
      </c>
      <c r="DE33">
        <f t="shared" si="125"/>
        <v>0</v>
      </c>
      <c r="DG33" t="str">
        <f t="shared" si="126"/>
        <v/>
      </c>
      <c r="DI33" t="str">
        <f t="shared" si="127"/>
        <v/>
      </c>
      <c r="DK33" t="str">
        <f t="shared" si="128"/>
        <v/>
      </c>
      <c r="DM33" t="str">
        <f t="shared" si="129"/>
        <v/>
      </c>
      <c r="DO33" t="str">
        <f t="shared" si="130"/>
        <v/>
      </c>
      <c r="DQ33" t="str">
        <f t="shared" si="131"/>
        <v/>
      </c>
      <c r="DS33" t="str">
        <f t="shared" si="132"/>
        <v/>
      </c>
      <c r="DU33" t="str">
        <f t="shared" si="133"/>
        <v/>
      </c>
      <c r="DW33" t="str">
        <f t="shared" si="134"/>
        <v/>
      </c>
      <c r="DY33" t="str">
        <f t="shared" si="135"/>
        <v/>
      </c>
      <c r="EA33" t="str">
        <f t="shared" si="136"/>
        <v/>
      </c>
      <c r="EC33" t="str">
        <f t="shared" si="137"/>
        <v/>
      </c>
      <c r="EE33" t="str">
        <f t="shared" si="138"/>
        <v/>
      </c>
      <c r="EG33" t="str">
        <f t="shared" si="138"/>
        <v/>
      </c>
      <c r="EI33" t="str">
        <f t="shared" si="138"/>
        <v/>
      </c>
      <c r="EK33" t="str">
        <f t="shared" si="138"/>
        <v/>
      </c>
      <c r="EM33" t="str">
        <f t="shared" si="138"/>
        <v/>
      </c>
      <c r="EO33" t="str">
        <f t="shared" si="138"/>
        <v/>
      </c>
      <c r="EQ33" t="str">
        <f t="shared" si="138"/>
        <v/>
      </c>
      <c r="ES33" t="str">
        <f t="shared" si="168"/>
        <v/>
      </c>
      <c r="EU33" t="str">
        <f t="shared" si="151"/>
        <v/>
      </c>
      <c r="EW33" t="str">
        <f t="shared" si="152"/>
        <v/>
      </c>
      <c r="EY33" t="str">
        <f t="shared" si="153"/>
        <v/>
      </c>
      <c r="FA33" t="str">
        <f t="shared" si="154"/>
        <v/>
      </c>
      <c r="FC33" t="str">
        <f t="shared" si="155"/>
        <v/>
      </c>
      <c r="FE33" t="str">
        <f t="shared" si="156"/>
        <v/>
      </c>
      <c r="FG33" t="str">
        <f t="shared" si="157"/>
        <v/>
      </c>
      <c r="FI33" t="str">
        <f t="shared" si="158"/>
        <v/>
      </c>
      <c r="FL33" t="str">
        <f t="shared" si="139"/>
        <v/>
      </c>
      <c r="FM33" t="e">
        <f t="shared" ca="1" si="140"/>
        <v>#VALUE!</v>
      </c>
      <c r="FN33">
        <v>130610</v>
      </c>
      <c r="FO33">
        <f>ROUND((ELEMENT!EH31*(1-$H$2)*(1+$E$4)),0)*C33</f>
        <v>0</v>
      </c>
      <c r="FP33">
        <f t="shared" si="141"/>
        <v>0</v>
      </c>
      <c r="FQ33">
        <f t="shared" si="142"/>
        <v>0</v>
      </c>
      <c r="FR33">
        <f t="shared" si="143"/>
        <v>0</v>
      </c>
      <c r="FS33" t="str">
        <f>IF(ELEMENT!AO31="","",H33*C33)</f>
        <v/>
      </c>
      <c r="FT33">
        <f t="shared" si="144"/>
        <v>0</v>
      </c>
      <c r="FU33">
        <f t="shared" si="145"/>
        <v>0</v>
      </c>
      <c r="FV33">
        <f t="shared" si="146"/>
        <v>2.5499999999999998</v>
      </c>
      <c r="FW33">
        <f t="shared" si="147"/>
        <v>4.66</v>
      </c>
      <c r="FX33">
        <f t="shared" si="148"/>
        <v>0.36</v>
      </c>
      <c r="FY33">
        <f>ELEMENT!AR31</f>
        <v>2</v>
      </c>
      <c r="FZ33">
        <f>ELEMENT!L31</f>
        <v>1</v>
      </c>
      <c r="GA33">
        <f>ELEMENT!M31</f>
        <v>1</v>
      </c>
      <c r="GB33">
        <f>ELEMENT!N31</f>
        <v>2</v>
      </c>
      <c r="GC33">
        <f>ELEMENT!O31</f>
        <v>0</v>
      </c>
      <c r="GD33">
        <f t="shared" si="149"/>
        <v>0</v>
      </c>
      <c r="GE33">
        <f>IF(GI33=ELEMENT!$CJ$59,$GW$8,
IF(GI33=ELEMENT!$CK$59,$GW$16,
IF(GI33=ELEMENT!$CL$59,$GW$24,)))</f>
        <v>4.0999999999999996</v>
      </c>
      <c r="GF33">
        <f>IF(GI33=ELEMENT!$CJ$59,$GW$9,
IF(GI33=ELEMENT!$CK$59,$GW$17,
IF(GI33=ELEMENT!$CL$59,$GW$25,)))</f>
        <v>1.2869999999999999</v>
      </c>
      <c r="GG33">
        <f>IF(GI33=ELEMENT!$CJ$59,$GW$10,
IF(GI33=ELEMENT!$CK$59,$GW$18,
IF(GI33=ELEMENT!$CL$59,$GW$26,)))</f>
        <v>3.032</v>
      </c>
      <c r="GH33">
        <f>IF(GI33=ELEMENT!$CJ$59,$GW$12,
IF(GI33=ELEMENT!$CK$59,$GW$20,
IF(GI33=ELEMENT!$CL$59,$GW$28,)))</f>
        <v>1.87</v>
      </c>
      <c r="GI33">
        <f>ELEMENT!G31</f>
        <v>0</v>
      </c>
      <c r="GJ33">
        <f>ELEMENT!BD31</f>
        <v>0</v>
      </c>
      <c r="GL33">
        <f>ELEMENT!R31</f>
        <v>0</v>
      </c>
      <c r="GM33">
        <f>ELEMENT!S31</f>
        <v>0</v>
      </c>
      <c r="GN33">
        <f>ELEMENT!T31</f>
        <v>0</v>
      </c>
      <c r="GP33">
        <f>ELEMENT!AU31</f>
        <v>0</v>
      </c>
      <c r="GQ33">
        <f>ELEMENT!AY31</f>
        <v>0</v>
      </c>
      <c r="GR33">
        <f t="shared" si="150"/>
        <v>0</v>
      </c>
      <c r="GS33">
        <f>ELEMENT!BE31</f>
        <v>0</v>
      </c>
      <c r="GV33">
        <f ca="1">ELEMENT!BF32</f>
        <v>0</v>
      </c>
      <c r="GW33">
        <f>ELEMENT!BO32</f>
        <v>0</v>
      </c>
      <c r="GX33">
        <f>ELEMENT!BQ47</f>
        <v>90</v>
      </c>
      <c r="GY33">
        <f>ELEMENT!BR47</f>
        <v>0</v>
      </c>
    </row>
    <row r="34" spans="1:207" x14ac:dyDescent="0.2">
      <c r="A34" s="142"/>
      <c r="B34" s="184">
        <f>(ELEMENT!B32)</f>
        <v>0</v>
      </c>
      <c r="C34" s="184">
        <f>SUM(ELEMENT!C32)</f>
        <v>0</v>
      </c>
      <c r="D34" s="184">
        <f>ELEMENT!D32</f>
        <v>0</v>
      </c>
      <c r="E34" s="184">
        <f>ELEMENT!E32</f>
        <v>0</v>
      </c>
      <c r="F34" s="184">
        <f t="shared" si="93"/>
        <v>0</v>
      </c>
      <c r="G34" s="135" t="str">
        <f>ELEMENT!AH32</f>
        <v/>
      </c>
      <c r="H34" s="191" t="str">
        <f>IF(ELEMENT!AO32="","",ELEMENT!AA32*ELEMENT!DQ32)</f>
        <v/>
      </c>
      <c r="I34" s="184">
        <f t="shared" si="94"/>
        <v>0</v>
      </c>
      <c r="J34" s="136">
        <f>ROUND(ELEMENT!DE32,1)</f>
        <v>0</v>
      </c>
      <c r="K34" s="198"/>
      <c r="L34" s="198">
        <f t="shared" si="91"/>
        <v>0</v>
      </c>
      <c r="M34" s="198"/>
      <c r="N34" s="198"/>
      <c r="O34" s="198"/>
      <c r="P34" s="137" t="e">
        <f ca="1">(ROUND((ELEMENT!AC32-ELEMENT!EG32)*$P$2*(1-$H$2)*(1+$E$4),0)+ROUND((ELEMENT!EG32)*$P$2*(1-$H$2)*(1+$E$4),0))</f>
        <v>#VALUE!</v>
      </c>
      <c r="Q34" s="137" t="e">
        <f t="shared" ca="1" si="95"/>
        <v>#VALUE!</v>
      </c>
      <c r="R34" s="138" t="e">
        <f t="shared" ca="1" si="96"/>
        <v>#VALUE!</v>
      </c>
      <c r="S34" s="139" t="e">
        <f t="shared" ca="1" si="97"/>
        <v>#VALUE!</v>
      </c>
      <c r="T34" s="132" t="str">
        <f ca="1">IF(ELEMENT!AC32="","",P34+S34)</f>
        <v/>
      </c>
      <c r="U34" s="132" t="str">
        <f ca="1">IF(ELEMENT!AC32="","",C34*T34)</f>
        <v/>
      </c>
      <c r="V34" s="132" t="str">
        <f>IF(ELEMENT!AW32="JA",ELEMENT!V32,IF(D34+E34=0,"",SUM(T34/ELEMENT!AA32)))</f>
        <v/>
      </c>
      <c r="W34" s="199">
        <f t="shared" si="92"/>
        <v>1</v>
      </c>
      <c r="X34" s="141">
        <f t="shared" si="98"/>
        <v>0</v>
      </c>
      <c r="Y34" s="199" t="s">
        <v>1276</v>
      </c>
      <c r="Z34" s="141">
        <f t="shared" si="99"/>
        <v>0</v>
      </c>
      <c r="AA34" s="199"/>
      <c r="AB34" s="141">
        <f t="shared" si="100"/>
        <v>0</v>
      </c>
      <c r="AC34" s="199"/>
      <c r="AD34" s="141">
        <f t="shared" si="101"/>
        <v>0</v>
      </c>
      <c r="AE34" s="199"/>
      <c r="AF34" s="141">
        <f t="shared" si="102"/>
        <v>0</v>
      </c>
      <c r="AG34" s="199"/>
      <c r="AH34" s="141">
        <f t="shared" si="103"/>
        <v>0</v>
      </c>
      <c r="AI34" s="140"/>
      <c r="AJ34" s="141">
        <f t="shared" si="104"/>
        <v>0</v>
      </c>
      <c r="AK34" s="140"/>
      <c r="AL34" s="141">
        <f t="shared" si="105"/>
        <v>0</v>
      </c>
      <c r="AM34" s="140"/>
      <c r="AN34" s="141">
        <f t="shared" si="106"/>
        <v>0</v>
      </c>
      <c r="AO34" s="140"/>
      <c r="AP34" s="141">
        <f t="shared" si="107"/>
        <v>0</v>
      </c>
      <c r="AQ34" s="140"/>
      <c r="AR34" s="141">
        <f t="shared" si="108"/>
        <v>0</v>
      </c>
      <c r="AS34" s="140"/>
      <c r="AT34" s="141">
        <f t="shared" si="109"/>
        <v>0</v>
      </c>
      <c r="AU34" s="140"/>
      <c r="AV34" s="141">
        <f t="shared" si="110"/>
        <v>0</v>
      </c>
      <c r="AW34" s="140"/>
      <c r="AX34" s="141">
        <f t="shared" si="111"/>
        <v>0</v>
      </c>
      <c r="AY34" s="140"/>
      <c r="AZ34" s="141">
        <f t="shared" si="112"/>
        <v>0</v>
      </c>
      <c r="BA34" s="140"/>
      <c r="BB34" s="141">
        <f t="shared" si="112"/>
        <v>0</v>
      </c>
      <c r="BC34" s="140"/>
      <c r="BD34" s="141">
        <f t="shared" si="112"/>
        <v>0</v>
      </c>
      <c r="BE34" s="140"/>
      <c r="BF34" s="141">
        <f t="shared" si="112"/>
        <v>0</v>
      </c>
      <c r="BG34" s="140"/>
      <c r="BH34" s="141">
        <f t="shared" si="112"/>
        <v>0</v>
      </c>
      <c r="BI34" s="140"/>
      <c r="BJ34" s="141">
        <f t="shared" si="112"/>
        <v>0</v>
      </c>
      <c r="BK34" s="140"/>
      <c r="BL34" s="141">
        <f t="shared" si="112"/>
        <v>0</v>
      </c>
      <c r="BM34" s="140"/>
      <c r="BN34" s="141">
        <f t="shared" si="167"/>
        <v>0</v>
      </c>
      <c r="BO34" s="140"/>
      <c r="BP34" s="141">
        <f t="shared" si="159"/>
        <v>0</v>
      </c>
      <c r="BQ34" s="140"/>
      <c r="BR34" s="141">
        <f t="shared" si="160"/>
        <v>0</v>
      </c>
      <c r="BS34" s="140"/>
      <c r="BT34" s="141">
        <f t="shared" si="161"/>
        <v>0</v>
      </c>
      <c r="BU34" s="140"/>
      <c r="BV34" s="141">
        <f t="shared" si="162"/>
        <v>0</v>
      </c>
      <c r="BW34" s="140"/>
      <c r="BX34" s="141">
        <f t="shared" si="163"/>
        <v>0</v>
      </c>
      <c r="BY34" s="140"/>
      <c r="BZ34" s="141">
        <f t="shared" si="164"/>
        <v>0</v>
      </c>
      <c r="CA34" s="140"/>
      <c r="CB34" s="141">
        <f t="shared" si="165"/>
        <v>0</v>
      </c>
      <c r="CC34" s="140"/>
      <c r="CD34" s="141">
        <f t="shared" si="166"/>
        <v>0</v>
      </c>
      <c r="CE34" s="119"/>
      <c r="CF34" s="119"/>
      <c r="CG34" s="119"/>
      <c r="CH34" s="119"/>
      <c r="CI34" s="119"/>
      <c r="CJ34" s="119"/>
      <c r="CM34">
        <f t="shared" si="113"/>
        <v>0</v>
      </c>
      <c r="CN34" t="str">
        <f ca="1">ELEMENT!AC32</f>
        <v/>
      </c>
      <c r="CO34">
        <f t="shared" ca="1" si="114"/>
        <v>0</v>
      </c>
      <c r="CP34" t="str">
        <f t="shared" ca="1" si="115"/>
        <v/>
      </c>
      <c r="CQ34" t="str">
        <f t="shared" ca="1" si="116"/>
        <v/>
      </c>
      <c r="CR34">
        <f t="shared" ca="1" si="117"/>
        <v>0</v>
      </c>
      <c r="CS34">
        <f t="shared" ca="1" si="118"/>
        <v>0</v>
      </c>
      <c r="CT34">
        <f t="shared" si="119"/>
        <v>0</v>
      </c>
      <c r="CU34" t="str">
        <f t="shared" ca="1" si="120"/>
        <v/>
      </c>
      <c r="CV34">
        <f t="shared" si="121"/>
        <v>0</v>
      </c>
      <c r="CW34">
        <f t="shared" si="122"/>
        <v>0</v>
      </c>
      <c r="CX34">
        <f t="shared" si="123"/>
        <v>0</v>
      </c>
      <c r="DC34" t="str">
        <f t="shared" si="124"/>
        <v/>
      </c>
      <c r="DE34">
        <f t="shared" si="125"/>
        <v>0</v>
      </c>
      <c r="DG34" t="str">
        <f t="shared" si="126"/>
        <v/>
      </c>
      <c r="DI34" t="str">
        <f t="shared" si="127"/>
        <v/>
      </c>
      <c r="DK34" t="str">
        <f t="shared" si="128"/>
        <v/>
      </c>
      <c r="DM34" t="str">
        <f t="shared" si="129"/>
        <v/>
      </c>
      <c r="DO34" t="str">
        <f t="shared" si="130"/>
        <v/>
      </c>
      <c r="DQ34" t="str">
        <f t="shared" si="131"/>
        <v/>
      </c>
      <c r="DS34" t="str">
        <f t="shared" si="132"/>
        <v/>
      </c>
      <c r="DU34" t="str">
        <f t="shared" si="133"/>
        <v/>
      </c>
      <c r="DW34" t="str">
        <f t="shared" si="134"/>
        <v/>
      </c>
      <c r="DY34" t="str">
        <f t="shared" si="135"/>
        <v/>
      </c>
      <c r="EA34" t="str">
        <f t="shared" si="136"/>
        <v/>
      </c>
      <c r="EC34" t="str">
        <f t="shared" si="137"/>
        <v/>
      </c>
      <c r="EE34" t="str">
        <f t="shared" si="138"/>
        <v/>
      </c>
      <c r="EG34" t="str">
        <f t="shared" si="138"/>
        <v/>
      </c>
      <c r="EI34" t="str">
        <f t="shared" si="138"/>
        <v/>
      </c>
      <c r="EK34" t="str">
        <f t="shared" si="138"/>
        <v/>
      </c>
      <c r="EM34" t="str">
        <f t="shared" si="138"/>
        <v/>
      </c>
      <c r="EO34" t="str">
        <f t="shared" si="138"/>
        <v/>
      </c>
      <c r="EQ34" t="str">
        <f t="shared" si="138"/>
        <v/>
      </c>
      <c r="ES34" t="str">
        <f t="shared" si="168"/>
        <v/>
      </c>
      <c r="EU34" t="str">
        <f t="shared" si="151"/>
        <v/>
      </c>
      <c r="EW34" t="str">
        <f t="shared" si="152"/>
        <v/>
      </c>
      <c r="EY34" t="str">
        <f t="shared" si="153"/>
        <v/>
      </c>
      <c r="FA34" t="str">
        <f t="shared" si="154"/>
        <v/>
      </c>
      <c r="FC34" t="str">
        <f t="shared" si="155"/>
        <v/>
      </c>
      <c r="FE34" t="str">
        <f t="shared" si="156"/>
        <v/>
      </c>
      <c r="FG34" t="str">
        <f t="shared" si="157"/>
        <v/>
      </c>
      <c r="FI34" t="str">
        <f t="shared" si="158"/>
        <v/>
      </c>
      <c r="FL34" t="str">
        <f t="shared" si="139"/>
        <v/>
      </c>
      <c r="FM34" t="e">
        <f t="shared" ca="1" si="140"/>
        <v>#VALUE!</v>
      </c>
      <c r="FN34">
        <v>130611</v>
      </c>
      <c r="FO34">
        <f>ROUND((ELEMENT!EH32*(1-$H$2)*(1+$E$4)),0)*C34</f>
        <v>0</v>
      </c>
      <c r="FP34">
        <f t="shared" si="141"/>
        <v>0</v>
      </c>
      <c r="FQ34">
        <f t="shared" si="142"/>
        <v>0</v>
      </c>
      <c r="FR34">
        <f t="shared" si="143"/>
        <v>0</v>
      </c>
      <c r="FS34" t="str">
        <f>IF(ELEMENT!AO32="","",H34*C34)</f>
        <v/>
      </c>
      <c r="FT34">
        <f t="shared" si="144"/>
        <v>0</v>
      </c>
      <c r="FU34">
        <f t="shared" si="145"/>
        <v>0</v>
      </c>
      <c r="FV34">
        <f t="shared" si="146"/>
        <v>2.5499999999999998</v>
      </c>
      <c r="FW34">
        <f t="shared" si="147"/>
        <v>4.66</v>
      </c>
      <c r="FX34">
        <f t="shared" si="148"/>
        <v>0.36</v>
      </c>
      <c r="FY34">
        <f>ELEMENT!AR32</f>
        <v>2</v>
      </c>
      <c r="FZ34">
        <f>ELEMENT!L32</f>
        <v>1</v>
      </c>
      <c r="GA34">
        <f>ELEMENT!M32</f>
        <v>1</v>
      </c>
      <c r="GB34">
        <f>ELEMENT!N32</f>
        <v>2</v>
      </c>
      <c r="GC34">
        <f>ELEMENT!O32</f>
        <v>0</v>
      </c>
      <c r="GD34">
        <f t="shared" si="149"/>
        <v>0</v>
      </c>
      <c r="GE34">
        <f>IF(GI34=ELEMENT!$CJ$59,$GW$8,
IF(GI34=ELEMENT!$CK$59,$GW$16,
IF(GI34=ELEMENT!$CL$59,$GW$24,)))</f>
        <v>4.0999999999999996</v>
      </c>
      <c r="GF34">
        <f>IF(GI34=ELEMENT!$CJ$59,$GW$9,
IF(GI34=ELEMENT!$CK$59,$GW$17,
IF(GI34=ELEMENT!$CL$59,$GW$25,)))</f>
        <v>1.2869999999999999</v>
      </c>
      <c r="GG34">
        <f>IF(GI34=ELEMENT!$CJ$59,$GW$10,
IF(GI34=ELEMENT!$CK$59,$GW$18,
IF(GI34=ELEMENT!$CL$59,$GW$26,)))</f>
        <v>3.032</v>
      </c>
      <c r="GH34">
        <f>IF(GI34=ELEMENT!$CJ$59,$GW$12,
IF(GI34=ELEMENT!$CK$59,$GW$20,
IF(GI34=ELEMENT!$CL$59,$GW$28,)))</f>
        <v>1.87</v>
      </c>
      <c r="GI34">
        <f>ELEMENT!G32</f>
        <v>0</v>
      </c>
      <c r="GJ34">
        <f>ELEMENT!BD32</f>
        <v>0</v>
      </c>
      <c r="GL34">
        <f>ELEMENT!R32</f>
        <v>0</v>
      </c>
      <c r="GM34">
        <f>ELEMENT!S32</f>
        <v>0</v>
      </c>
      <c r="GN34">
        <f>ELEMENT!T32</f>
        <v>0</v>
      </c>
      <c r="GP34">
        <f>ELEMENT!AU32</f>
        <v>0</v>
      </c>
      <c r="GQ34">
        <f>ELEMENT!AY32</f>
        <v>0</v>
      </c>
      <c r="GR34">
        <f t="shared" si="150"/>
        <v>0</v>
      </c>
      <c r="GS34">
        <f>ELEMENT!BE32</f>
        <v>0</v>
      </c>
      <c r="GV34">
        <f>ELEMENT!BF33</f>
        <v>0</v>
      </c>
      <c r="GW34">
        <f>ELEMENT!BO33</f>
        <v>0</v>
      </c>
      <c r="GX34">
        <f>ELEMENT!BQ48</f>
        <v>0</v>
      </c>
      <c r="GY34">
        <f>ELEMENT!BR48</f>
        <v>0</v>
      </c>
    </row>
    <row r="35" spans="1:207" x14ac:dyDescent="0.2">
      <c r="A35" s="142"/>
      <c r="B35" s="184">
        <f>(ELEMENT!B33)</f>
        <v>0</v>
      </c>
      <c r="C35" s="184">
        <f>SUM(ELEMENT!C33)</f>
        <v>0</v>
      </c>
      <c r="D35" s="184">
        <f>ELEMENT!D33</f>
        <v>0</v>
      </c>
      <c r="E35" s="184">
        <f>ELEMENT!E33</f>
        <v>0</v>
      </c>
      <c r="F35" s="184">
        <f t="shared" si="93"/>
        <v>0</v>
      </c>
      <c r="G35" s="135" t="str">
        <f>ELEMENT!AH33</f>
        <v/>
      </c>
      <c r="H35" s="191" t="str">
        <f>IF(ELEMENT!AO33="","",ELEMENT!AA33*ELEMENT!DQ33)</f>
        <v/>
      </c>
      <c r="I35" s="184">
        <f t="shared" si="94"/>
        <v>0</v>
      </c>
      <c r="J35" s="136">
        <f>ROUND(ELEMENT!DE33,1)</f>
        <v>0</v>
      </c>
      <c r="K35" s="198"/>
      <c r="L35" s="198">
        <f t="shared" si="91"/>
        <v>0</v>
      </c>
      <c r="M35" s="198"/>
      <c r="N35" s="198"/>
      <c r="O35" s="198"/>
      <c r="P35" s="137" t="e">
        <f ca="1">(ROUND((ELEMENT!AC33-ELEMENT!EG33)*$P$2*(1-$H$2)*(1+$E$4),0)+ROUND((ELEMENT!EG33)*$P$2*(1-$H$2)*(1+$E$4),0))</f>
        <v>#VALUE!</v>
      </c>
      <c r="Q35" s="137" t="e">
        <f t="shared" ca="1" si="95"/>
        <v>#VALUE!</v>
      </c>
      <c r="R35" s="138" t="e">
        <f t="shared" ca="1" si="96"/>
        <v>#VALUE!</v>
      </c>
      <c r="S35" s="139" t="e">
        <f t="shared" ca="1" si="97"/>
        <v>#VALUE!</v>
      </c>
      <c r="T35" s="132" t="str">
        <f ca="1">IF(ELEMENT!AC33="","",P35+S35)</f>
        <v/>
      </c>
      <c r="U35" s="132" t="str">
        <f ca="1">IF(ELEMENT!AC33="","",C35*T35)</f>
        <v/>
      </c>
      <c r="V35" s="132" t="str">
        <f>IF(ELEMENT!AW33="JA",ELEMENT!V33,IF(D35+E35=0,"",SUM(T35/ELEMENT!AA33)))</f>
        <v/>
      </c>
      <c r="W35" s="199">
        <f t="shared" si="92"/>
        <v>1</v>
      </c>
      <c r="X35" s="141">
        <f t="shared" si="98"/>
        <v>0</v>
      </c>
      <c r="Y35" s="199" t="s">
        <v>1276</v>
      </c>
      <c r="Z35" s="141">
        <f t="shared" si="99"/>
        <v>0</v>
      </c>
      <c r="AA35" s="199"/>
      <c r="AB35" s="141">
        <f t="shared" si="100"/>
        <v>0</v>
      </c>
      <c r="AC35" s="199"/>
      <c r="AD35" s="141">
        <f t="shared" si="101"/>
        <v>0</v>
      </c>
      <c r="AE35" s="199"/>
      <c r="AF35" s="141">
        <f t="shared" si="102"/>
        <v>0</v>
      </c>
      <c r="AG35" s="199"/>
      <c r="AH35" s="141">
        <f t="shared" si="103"/>
        <v>0</v>
      </c>
      <c r="AI35" s="140"/>
      <c r="AJ35" s="141">
        <f t="shared" si="104"/>
        <v>0</v>
      </c>
      <c r="AK35" s="140"/>
      <c r="AL35" s="141">
        <f t="shared" si="105"/>
        <v>0</v>
      </c>
      <c r="AM35" s="140"/>
      <c r="AN35" s="141">
        <f t="shared" si="106"/>
        <v>0</v>
      </c>
      <c r="AO35" s="140"/>
      <c r="AP35" s="141">
        <f t="shared" si="107"/>
        <v>0</v>
      </c>
      <c r="AQ35" s="140"/>
      <c r="AR35" s="141">
        <f t="shared" si="108"/>
        <v>0</v>
      </c>
      <c r="AS35" s="140"/>
      <c r="AT35" s="141">
        <f t="shared" si="109"/>
        <v>0</v>
      </c>
      <c r="AU35" s="140"/>
      <c r="AV35" s="141">
        <f t="shared" si="110"/>
        <v>0</v>
      </c>
      <c r="AW35" s="140"/>
      <c r="AX35" s="141">
        <f t="shared" si="111"/>
        <v>0</v>
      </c>
      <c r="AY35" s="140"/>
      <c r="AZ35" s="141">
        <f t="shared" si="112"/>
        <v>0</v>
      </c>
      <c r="BA35" s="140"/>
      <c r="BB35" s="141">
        <f t="shared" si="112"/>
        <v>0</v>
      </c>
      <c r="BC35" s="140"/>
      <c r="BD35" s="141">
        <f t="shared" si="112"/>
        <v>0</v>
      </c>
      <c r="BE35" s="140"/>
      <c r="BF35" s="141">
        <f t="shared" si="112"/>
        <v>0</v>
      </c>
      <c r="BG35" s="140"/>
      <c r="BH35" s="141">
        <f t="shared" si="112"/>
        <v>0</v>
      </c>
      <c r="BI35" s="140"/>
      <c r="BJ35" s="141">
        <f t="shared" si="112"/>
        <v>0</v>
      </c>
      <c r="BK35" s="140"/>
      <c r="BL35" s="141">
        <f t="shared" si="112"/>
        <v>0</v>
      </c>
      <c r="BM35" s="140"/>
      <c r="BN35" s="141">
        <f t="shared" si="167"/>
        <v>0</v>
      </c>
      <c r="BO35" s="140"/>
      <c r="BP35" s="141">
        <f t="shared" si="159"/>
        <v>0</v>
      </c>
      <c r="BQ35" s="140"/>
      <c r="BR35" s="141">
        <f t="shared" si="160"/>
        <v>0</v>
      </c>
      <c r="BS35" s="140"/>
      <c r="BT35" s="141">
        <f t="shared" si="161"/>
        <v>0</v>
      </c>
      <c r="BU35" s="140"/>
      <c r="BV35" s="141">
        <f t="shared" si="162"/>
        <v>0</v>
      </c>
      <c r="BW35" s="140"/>
      <c r="BX35" s="141">
        <f t="shared" si="163"/>
        <v>0</v>
      </c>
      <c r="BY35" s="140"/>
      <c r="BZ35" s="141">
        <f t="shared" si="164"/>
        <v>0</v>
      </c>
      <c r="CA35" s="140"/>
      <c r="CB35" s="141">
        <f t="shared" si="165"/>
        <v>0</v>
      </c>
      <c r="CC35" s="140"/>
      <c r="CD35" s="141">
        <f t="shared" si="166"/>
        <v>0</v>
      </c>
      <c r="CE35" s="119"/>
      <c r="CF35" s="119"/>
      <c r="CG35" s="119"/>
      <c r="CH35" s="119"/>
      <c r="CI35" s="119"/>
      <c r="CJ35" s="119"/>
      <c r="CM35">
        <f t="shared" si="113"/>
        <v>0</v>
      </c>
      <c r="CN35" t="str">
        <f ca="1">ELEMENT!AC33</f>
        <v/>
      </c>
      <c r="CO35">
        <f t="shared" ca="1" si="114"/>
        <v>0</v>
      </c>
      <c r="CP35" t="str">
        <f t="shared" ca="1" si="115"/>
        <v/>
      </c>
      <c r="CQ35" t="str">
        <f t="shared" ca="1" si="116"/>
        <v/>
      </c>
      <c r="CR35">
        <f t="shared" ca="1" si="117"/>
        <v>0</v>
      </c>
      <c r="CS35">
        <f t="shared" ca="1" si="118"/>
        <v>0</v>
      </c>
      <c r="CT35">
        <f t="shared" si="119"/>
        <v>0</v>
      </c>
      <c r="CU35" t="str">
        <f t="shared" ca="1" si="120"/>
        <v/>
      </c>
      <c r="CV35">
        <f t="shared" si="121"/>
        <v>0</v>
      </c>
      <c r="CW35">
        <f t="shared" si="122"/>
        <v>0</v>
      </c>
      <c r="CX35">
        <f t="shared" si="123"/>
        <v>0</v>
      </c>
      <c r="DC35" t="str">
        <f t="shared" si="124"/>
        <v/>
      </c>
      <c r="DE35">
        <f t="shared" si="125"/>
        <v>0</v>
      </c>
      <c r="DG35" t="str">
        <f t="shared" si="126"/>
        <v/>
      </c>
      <c r="DI35" t="str">
        <f t="shared" si="127"/>
        <v/>
      </c>
      <c r="DK35" t="str">
        <f t="shared" si="128"/>
        <v/>
      </c>
      <c r="DM35" t="str">
        <f t="shared" si="129"/>
        <v/>
      </c>
      <c r="DO35" t="str">
        <f t="shared" si="130"/>
        <v/>
      </c>
      <c r="DQ35" t="str">
        <f t="shared" si="131"/>
        <v/>
      </c>
      <c r="DS35" t="str">
        <f t="shared" si="132"/>
        <v/>
      </c>
      <c r="DU35" t="str">
        <f t="shared" si="133"/>
        <v/>
      </c>
      <c r="DW35" t="str">
        <f t="shared" si="134"/>
        <v/>
      </c>
      <c r="DY35" t="str">
        <f t="shared" si="135"/>
        <v/>
      </c>
      <c r="EA35" t="str">
        <f t="shared" si="136"/>
        <v/>
      </c>
      <c r="EC35" t="str">
        <f t="shared" si="137"/>
        <v/>
      </c>
      <c r="EE35" t="str">
        <f t="shared" si="138"/>
        <v/>
      </c>
      <c r="EG35" t="str">
        <f t="shared" si="138"/>
        <v/>
      </c>
      <c r="EI35" t="str">
        <f t="shared" si="138"/>
        <v/>
      </c>
      <c r="EK35" t="str">
        <f t="shared" si="138"/>
        <v/>
      </c>
      <c r="EM35" t="str">
        <f t="shared" si="138"/>
        <v/>
      </c>
      <c r="EO35" t="str">
        <f t="shared" si="138"/>
        <v/>
      </c>
      <c r="EQ35" t="str">
        <f t="shared" si="138"/>
        <v/>
      </c>
      <c r="ES35" t="str">
        <f t="shared" si="168"/>
        <v/>
      </c>
      <c r="EU35" t="str">
        <f t="shared" si="151"/>
        <v/>
      </c>
      <c r="EW35" t="str">
        <f t="shared" si="152"/>
        <v/>
      </c>
      <c r="EY35" t="str">
        <f t="shared" si="153"/>
        <v/>
      </c>
      <c r="FA35" t="str">
        <f t="shared" si="154"/>
        <v/>
      </c>
      <c r="FC35" t="str">
        <f t="shared" si="155"/>
        <v/>
      </c>
      <c r="FE35" t="str">
        <f t="shared" si="156"/>
        <v/>
      </c>
      <c r="FG35" t="str">
        <f t="shared" si="157"/>
        <v/>
      </c>
      <c r="FI35" t="str">
        <f t="shared" si="158"/>
        <v/>
      </c>
      <c r="FL35" t="str">
        <f t="shared" si="139"/>
        <v/>
      </c>
      <c r="FM35" t="e">
        <f t="shared" ca="1" si="140"/>
        <v>#VALUE!</v>
      </c>
      <c r="FN35">
        <v>130612</v>
      </c>
      <c r="FO35">
        <f>ROUND((ELEMENT!EH33*(1-$H$2)*(1+$E$4)),0)*C35</f>
        <v>0</v>
      </c>
      <c r="FP35">
        <f t="shared" si="141"/>
        <v>0</v>
      </c>
      <c r="FQ35">
        <f t="shared" si="142"/>
        <v>0</v>
      </c>
      <c r="FR35">
        <f t="shared" si="143"/>
        <v>0</v>
      </c>
      <c r="FS35" t="str">
        <f>IF(ELEMENT!AO33="","",H35*C35)</f>
        <v/>
      </c>
      <c r="FT35">
        <f t="shared" si="144"/>
        <v>0</v>
      </c>
      <c r="FU35">
        <f t="shared" si="145"/>
        <v>0</v>
      </c>
      <c r="FV35">
        <f t="shared" si="146"/>
        <v>2.5499999999999998</v>
      </c>
      <c r="FW35">
        <f t="shared" si="147"/>
        <v>4.66</v>
      </c>
      <c r="FX35">
        <f t="shared" si="148"/>
        <v>0.36</v>
      </c>
      <c r="FY35">
        <f>ELEMENT!AR33</f>
        <v>2</v>
      </c>
      <c r="FZ35">
        <f>ELEMENT!L33</f>
        <v>1</v>
      </c>
      <c r="GA35">
        <f>ELEMENT!M33</f>
        <v>1</v>
      </c>
      <c r="GB35">
        <f>ELEMENT!N33</f>
        <v>2</v>
      </c>
      <c r="GC35">
        <f>ELEMENT!O33</f>
        <v>0</v>
      </c>
      <c r="GD35">
        <f t="shared" si="149"/>
        <v>0</v>
      </c>
      <c r="GE35">
        <f>IF(GI35=ELEMENT!$CJ$59,$GW$8,
IF(GI35=ELEMENT!$CK$59,$GW$16,
IF(GI35=ELEMENT!$CL$59,$GW$24,)))</f>
        <v>4.0999999999999996</v>
      </c>
      <c r="GF35">
        <f>IF(GI35=ELEMENT!$CJ$59,$GW$9,
IF(GI35=ELEMENT!$CK$59,$GW$17,
IF(GI35=ELEMENT!$CL$59,$GW$25,)))</f>
        <v>1.2869999999999999</v>
      </c>
      <c r="GG35">
        <f>IF(GI35=ELEMENT!$CJ$59,$GW$10,
IF(GI35=ELEMENT!$CK$59,$GW$18,
IF(GI35=ELEMENT!$CL$59,$GW$26,)))</f>
        <v>3.032</v>
      </c>
      <c r="GH35">
        <f>IF(GI35=ELEMENT!$CJ$59,$GW$12,
IF(GI35=ELEMENT!$CK$59,$GW$20,
IF(GI35=ELEMENT!$CL$59,$GW$28,)))</f>
        <v>1.87</v>
      </c>
      <c r="GI35">
        <f>ELEMENT!G33</f>
        <v>0</v>
      </c>
      <c r="GJ35">
        <f>ELEMENT!BD33</f>
        <v>0</v>
      </c>
      <c r="GL35">
        <f>ELEMENT!R33</f>
        <v>0</v>
      </c>
      <c r="GM35">
        <f>ELEMENT!S33</f>
        <v>0</v>
      </c>
      <c r="GN35">
        <f>ELEMENT!T33</f>
        <v>0</v>
      </c>
      <c r="GP35">
        <f>ELEMENT!AU33</f>
        <v>0</v>
      </c>
      <c r="GQ35">
        <f>ELEMENT!AY33</f>
        <v>0</v>
      </c>
      <c r="GR35">
        <f t="shared" si="150"/>
        <v>0</v>
      </c>
      <c r="GS35">
        <f>ELEMENT!BE33</f>
        <v>0</v>
      </c>
      <c r="GV35">
        <f>ELEMENT!BF34</f>
        <v>45</v>
      </c>
      <c r="GW35">
        <f>ELEMENT!BO34</f>
        <v>0</v>
      </c>
      <c r="GX35">
        <f>ELEMENT!BP34</f>
        <v>0</v>
      </c>
      <c r="GY35">
        <f>ELEMENT!BQ49</f>
        <v>0</v>
      </c>
    </row>
    <row r="36" spans="1:207" x14ac:dyDescent="0.2">
      <c r="A36" s="142"/>
      <c r="B36" s="184">
        <f>(ELEMENT!B34)</f>
        <v>0</v>
      </c>
      <c r="C36" s="184">
        <f>SUM(ELEMENT!C34)</f>
        <v>0</v>
      </c>
      <c r="D36" s="184">
        <f>ELEMENT!D34</f>
        <v>0</v>
      </c>
      <c r="E36" s="184">
        <f>ELEMENT!E34</f>
        <v>0</v>
      </c>
      <c r="F36" s="184">
        <f t="shared" si="93"/>
        <v>0</v>
      </c>
      <c r="G36" s="135" t="str">
        <f>ELEMENT!AH34</f>
        <v/>
      </c>
      <c r="H36" s="191" t="str">
        <f>IF(ELEMENT!AO34="","",ELEMENT!AA34*ELEMENT!DQ34)</f>
        <v/>
      </c>
      <c r="I36" s="184">
        <f t="shared" si="94"/>
        <v>0</v>
      </c>
      <c r="J36" s="136">
        <f>ROUND(ELEMENT!DE34,1)</f>
        <v>0</v>
      </c>
      <c r="K36" s="198"/>
      <c r="L36" s="198">
        <f t="shared" si="91"/>
        <v>0</v>
      </c>
      <c r="M36" s="198"/>
      <c r="N36" s="198"/>
      <c r="O36" s="198"/>
      <c r="P36" s="137" t="e">
        <f ca="1">(ROUND((ELEMENT!AC34-ELEMENT!EG34)*$P$2*(1-$H$2)*(1+$E$4),0)+ROUND((ELEMENT!EG34)*$P$2*(1-$H$2)*(1+$E$4),0))</f>
        <v>#VALUE!</v>
      </c>
      <c r="Q36" s="137" t="e">
        <f t="shared" ca="1" si="95"/>
        <v>#VALUE!</v>
      </c>
      <c r="R36" s="138" t="e">
        <f t="shared" ca="1" si="96"/>
        <v>#VALUE!</v>
      </c>
      <c r="S36" s="139" t="e">
        <f t="shared" ca="1" si="97"/>
        <v>#VALUE!</v>
      </c>
      <c r="T36" s="132" t="str">
        <f ca="1">IF(ELEMENT!AC34="","",P36+S36)</f>
        <v/>
      </c>
      <c r="U36" s="132" t="str">
        <f ca="1">IF(ELEMENT!AC34="","",C36*T36)</f>
        <v/>
      </c>
      <c r="V36" s="132" t="str">
        <f>IF(ELEMENT!AW34="JA",ELEMENT!V34,IF(D36+E36=0,"",SUM(T36/ELEMENT!AA34)))</f>
        <v/>
      </c>
      <c r="W36" s="199">
        <f t="shared" si="92"/>
        <v>1</v>
      </c>
      <c r="X36" s="141">
        <f t="shared" si="98"/>
        <v>0</v>
      </c>
      <c r="Y36" s="199" t="s">
        <v>1276</v>
      </c>
      <c r="Z36" s="141">
        <f t="shared" si="99"/>
        <v>0</v>
      </c>
      <c r="AA36" s="199"/>
      <c r="AB36" s="141">
        <f t="shared" si="100"/>
        <v>0</v>
      </c>
      <c r="AC36" s="199"/>
      <c r="AD36" s="141">
        <f t="shared" si="101"/>
        <v>0</v>
      </c>
      <c r="AE36" s="199"/>
      <c r="AF36" s="141">
        <f t="shared" si="102"/>
        <v>0</v>
      </c>
      <c r="AG36" s="199"/>
      <c r="AH36" s="141">
        <f t="shared" si="103"/>
        <v>0</v>
      </c>
      <c r="AI36" s="140"/>
      <c r="AJ36" s="141">
        <f t="shared" si="104"/>
        <v>0</v>
      </c>
      <c r="AK36" s="140"/>
      <c r="AL36" s="141">
        <f t="shared" si="105"/>
        <v>0</v>
      </c>
      <c r="AM36" s="140"/>
      <c r="AN36" s="141">
        <f t="shared" si="106"/>
        <v>0</v>
      </c>
      <c r="AO36" s="140"/>
      <c r="AP36" s="141">
        <f t="shared" si="107"/>
        <v>0</v>
      </c>
      <c r="AQ36" s="140"/>
      <c r="AR36" s="141">
        <f t="shared" si="108"/>
        <v>0</v>
      </c>
      <c r="AS36" s="140"/>
      <c r="AT36" s="141">
        <f t="shared" si="109"/>
        <v>0</v>
      </c>
      <c r="AU36" s="140"/>
      <c r="AV36" s="141">
        <f t="shared" si="110"/>
        <v>0</v>
      </c>
      <c r="AW36" s="140"/>
      <c r="AX36" s="141">
        <f t="shared" si="111"/>
        <v>0</v>
      </c>
      <c r="AY36" s="140"/>
      <c r="AZ36" s="141">
        <f t="shared" si="112"/>
        <v>0</v>
      </c>
      <c r="BA36" s="140"/>
      <c r="BB36" s="141">
        <f t="shared" si="112"/>
        <v>0</v>
      </c>
      <c r="BC36" s="140"/>
      <c r="BD36" s="141">
        <f t="shared" si="112"/>
        <v>0</v>
      </c>
      <c r="BE36" s="140"/>
      <c r="BF36" s="141">
        <f t="shared" si="112"/>
        <v>0</v>
      </c>
      <c r="BG36" s="140"/>
      <c r="BH36" s="141">
        <f t="shared" si="112"/>
        <v>0</v>
      </c>
      <c r="BI36" s="140"/>
      <c r="BJ36" s="141">
        <f t="shared" si="112"/>
        <v>0</v>
      </c>
      <c r="BK36" s="140"/>
      <c r="BL36" s="141">
        <f t="shared" si="112"/>
        <v>0</v>
      </c>
      <c r="BM36" s="140"/>
      <c r="BN36" s="141">
        <f t="shared" si="167"/>
        <v>0</v>
      </c>
      <c r="BO36" s="140"/>
      <c r="BP36" s="141">
        <f t="shared" si="159"/>
        <v>0</v>
      </c>
      <c r="BQ36" s="140"/>
      <c r="BR36" s="141">
        <f t="shared" si="160"/>
        <v>0</v>
      </c>
      <c r="BS36" s="140"/>
      <c r="BT36" s="141">
        <f t="shared" si="161"/>
        <v>0</v>
      </c>
      <c r="BU36" s="140"/>
      <c r="BV36" s="141">
        <f t="shared" si="162"/>
        <v>0</v>
      </c>
      <c r="BW36" s="140"/>
      <c r="BX36" s="141">
        <f t="shared" si="163"/>
        <v>0</v>
      </c>
      <c r="BY36" s="140"/>
      <c r="BZ36" s="141">
        <f t="shared" si="164"/>
        <v>0</v>
      </c>
      <c r="CA36" s="140"/>
      <c r="CB36" s="141">
        <f t="shared" si="165"/>
        <v>0</v>
      </c>
      <c r="CC36" s="140"/>
      <c r="CD36" s="141">
        <f t="shared" si="166"/>
        <v>0</v>
      </c>
      <c r="CE36" s="119"/>
      <c r="CF36" s="119"/>
      <c r="CG36" s="119"/>
      <c r="CH36" s="119"/>
      <c r="CI36" s="119"/>
      <c r="CJ36" s="119"/>
      <c r="CM36">
        <f t="shared" si="113"/>
        <v>0</v>
      </c>
      <c r="CN36" t="str">
        <f ca="1">ELEMENT!AC34</f>
        <v/>
      </c>
      <c r="CO36">
        <f t="shared" ca="1" si="114"/>
        <v>0</v>
      </c>
      <c r="CP36" t="str">
        <f t="shared" ca="1" si="115"/>
        <v/>
      </c>
      <c r="CQ36" t="str">
        <f t="shared" ca="1" si="116"/>
        <v/>
      </c>
      <c r="CR36">
        <f t="shared" ca="1" si="117"/>
        <v>0</v>
      </c>
      <c r="CS36">
        <f t="shared" ca="1" si="118"/>
        <v>0</v>
      </c>
      <c r="CT36">
        <f t="shared" si="119"/>
        <v>0</v>
      </c>
      <c r="CU36" t="str">
        <f t="shared" ca="1" si="120"/>
        <v/>
      </c>
      <c r="CV36">
        <f t="shared" si="121"/>
        <v>0</v>
      </c>
      <c r="CW36">
        <f t="shared" si="122"/>
        <v>0</v>
      </c>
      <c r="CX36">
        <f t="shared" si="123"/>
        <v>0</v>
      </c>
      <c r="DC36" t="str">
        <f t="shared" si="124"/>
        <v/>
      </c>
      <c r="DE36">
        <f t="shared" si="125"/>
        <v>0</v>
      </c>
      <c r="DG36" t="str">
        <f t="shared" si="126"/>
        <v/>
      </c>
      <c r="DI36" t="str">
        <f t="shared" si="127"/>
        <v/>
      </c>
      <c r="DK36" t="str">
        <f t="shared" si="128"/>
        <v/>
      </c>
      <c r="DM36" t="str">
        <f t="shared" si="129"/>
        <v/>
      </c>
      <c r="DO36" t="str">
        <f t="shared" si="130"/>
        <v/>
      </c>
      <c r="DQ36" t="str">
        <f t="shared" si="131"/>
        <v/>
      </c>
      <c r="DS36" t="str">
        <f t="shared" si="132"/>
        <v/>
      </c>
      <c r="DU36" t="str">
        <f t="shared" si="133"/>
        <v/>
      </c>
      <c r="DW36" t="str">
        <f t="shared" si="134"/>
        <v/>
      </c>
      <c r="DY36" t="str">
        <f t="shared" si="135"/>
        <v/>
      </c>
      <c r="EA36" t="str">
        <f t="shared" si="136"/>
        <v/>
      </c>
      <c r="EC36" t="str">
        <f t="shared" si="137"/>
        <v/>
      </c>
      <c r="EE36" t="str">
        <f t="shared" si="138"/>
        <v/>
      </c>
      <c r="EG36" t="str">
        <f t="shared" si="138"/>
        <v/>
      </c>
      <c r="EI36" t="str">
        <f t="shared" si="138"/>
        <v/>
      </c>
      <c r="EK36" t="str">
        <f t="shared" si="138"/>
        <v/>
      </c>
      <c r="EM36" t="str">
        <f t="shared" si="138"/>
        <v/>
      </c>
      <c r="EO36" t="str">
        <f t="shared" si="138"/>
        <v/>
      </c>
      <c r="EQ36" t="str">
        <f t="shared" si="138"/>
        <v/>
      </c>
      <c r="ES36" t="str">
        <f t="shared" si="168"/>
        <v/>
      </c>
      <c r="EU36" t="str">
        <f t="shared" si="151"/>
        <v/>
      </c>
      <c r="EW36" t="str">
        <f t="shared" si="152"/>
        <v/>
      </c>
      <c r="EY36" t="str">
        <f t="shared" si="153"/>
        <v/>
      </c>
      <c r="FA36" t="str">
        <f t="shared" si="154"/>
        <v/>
      </c>
      <c r="FC36" t="str">
        <f t="shared" si="155"/>
        <v/>
      </c>
      <c r="FE36" t="str">
        <f t="shared" si="156"/>
        <v/>
      </c>
      <c r="FG36" t="str">
        <f t="shared" si="157"/>
        <v/>
      </c>
      <c r="FI36" t="str">
        <f t="shared" si="158"/>
        <v/>
      </c>
      <c r="FL36" t="str">
        <f t="shared" si="139"/>
        <v/>
      </c>
      <c r="FM36" t="e">
        <f t="shared" ca="1" si="140"/>
        <v>#VALUE!</v>
      </c>
      <c r="FN36">
        <v>130613</v>
      </c>
      <c r="FO36">
        <f>ROUND((ELEMENT!EH34*(1-$H$2)*(1+$E$4)),0)*C36</f>
        <v>0</v>
      </c>
      <c r="FP36">
        <f t="shared" si="141"/>
        <v>0</v>
      </c>
      <c r="FQ36">
        <f t="shared" si="142"/>
        <v>0</v>
      </c>
      <c r="FR36">
        <f t="shared" si="143"/>
        <v>0</v>
      </c>
      <c r="FS36" t="str">
        <f>IF(ELEMENT!AO34="","",H36*C36)</f>
        <v/>
      </c>
      <c r="FT36">
        <f t="shared" si="144"/>
        <v>0</v>
      </c>
      <c r="FU36">
        <f t="shared" si="145"/>
        <v>0</v>
      </c>
      <c r="FV36">
        <f t="shared" si="146"/>
        <v>2.5499999999999998</v>
      </c>
      <c r="FW36">
        <f t="shared" si="147"/>
        <v>4.66</v>
      </c>
      <c r="FX36">
        <f t="shared" si="148"/>
        <v>0.36</v>
      </c>
      <c r="FY36">
        <f>ELEMENT!AR34</f>
        <v>2</v>
      </c>
      <c r="FZ36">
        <f>ELEMENT!L34</f>
        <v>1</v>
      </c>
      <c r="GA36">
        <f>ELEMENT!M34</f>
        <v>1</v>
      </c>
      <c r="GB36">
        <f>ELEMENT!N34</f>
        <v>2</v>
      </c>
      <c r="GC36">
        <f>ELEMENT!O34</f>
        <v>0</v>
      </c>
      <c r="GD36">
        <f t="shared" si="149"/>
        <v>0</v>
      </c>
      <c r="GE36">
        <f>IF(GI36=ELEMENT!$CJ$59,$GW$8,
IF(GI36=ELEMENT!$CK$59,$GW$16,
IF(GI36=ELEMENT!$CL$59,$GW$24,)))</f>
        <v>4.0999999999999996</v>
      </c>
      <c r="GF36">
        <f>IF(GI36=ELEMENT!$CJ$59,$GW$9,
IF(GI36=ELEMENT!$CK$59,$GW$17,
IF(GI36=ELEMENT!$CL$59,$GW$25,)))</f>
        <v>1.2869999999999999</v>
      </c>
      <c r="GG36">
        <f>IF(GI36=ELEMENT!$CJ$59,$GW$10,
IF(GI36=ELEMENT!$CK$59,$GW$18,
IF(GI36=ELEMENT!$CL$59,$GW$26,)))</f>
        <v>3.032</v>
      </c>
      <c r="GH36">
        <f>IF(GI36=ELEMENT!$CJ$59,$GW$12,
IF(GI36=ELEMENT!$CK$59,$GW$20,
IF(GI36=ELEMENT!$CL$59,$GW$28,)))</f>
        <v>1.87</v>
      </c>
      <c r="GI36">
        <f>ELEMENT!G34</f>
        <v>0</v>
      </c>
      <c r="GJ36">
        <f>ELEMENT!BD34</f>
        <v>0</v>
      </c>
      <c r="GL36">
        <f>ELEMENT!R34</f>
        <v>0</v>
      </c>
      <c r="GM36">
        <f>ELEMENT!S34</f>
        <v>0</v>
      </c>
      <c r="GN36">
        <f>ELEMENT!T34</f>
        <v>0</v>
      </c>
      <c r="GP36">
        <f>ELEMENT!AU34</f>
        <v>0</v>
      </c>
      <c r="GQ36">
        <f>ELEMENT!AY34</f>
        <v>0</v>
      </c>
      <c r="GR36">
        <f t="shared" si="150"/>
        <v>0</v>
      </c>
      <c r="GS36">
        <f>ELEMENT!BE34</f>
        <v>0</v>
      </c>
      <c r="GV36">
        <f>ELEMENT!BF35</f>
        <v>95</v>
      </c>
      <c r="GW36">
        <f>ELEMENT!BO35</f>
        <v>0</v>
      </c>
      <c r="GX36">
        <f>ELEMENT!BP35</f>
        <v>0</v>
      </c>
      <c r="GY36">
        <f>ELEMENT!BQ50</f>
        <v>0</v>
      </c>
    </row>
    <row r="37" spans="1:207" x14ac:dyDescent="0.2">
      <c r="A37" s="142"/>
      <c r="B37" s="184">
        <f>(ELEMENT!B35)</f>
        <v>0</v>
      </c>
      <c r="C37" s="184">
        <f>SUM(ELEMENT!C35)</f>
        <v>0</v>
      </c>
      <c r="D37" s="184">
        <f>ELEMENT!D35</f>
        <v>0</v>
      </c>
      <c r="E37" s="184">
        <f>ELEMENT!E35</f>
        <v>0</v>
      </c>
      <c r="F37" s="184">
        <f t="shared" si="93"/>
        <v>0</v>
      </c>
      <c r="G37" s="135" t="str">
        <f>ELEMENT!AH35</f>
        <v/>
      </c>
      <c r="H37" s="191" t="str">
        <f>IF(ELEMENT!AO35="","",ELEMENT!AA35*ELEMENT!DQ35)</f>
        <v/>
      </c>
      <c r="I37" s="184">
        <f t="shared" si="94"/>
        <v>0</v>
      </c>
      <c r="J37" s="136">
        <f>ROUND(ELEMENT!DE35,1)</f>
        <v>0</v>
      </c>
      <c r="K37" s="198"/>
      <c r="L37" s="198">
        <f t="shared" si="91"/>
        <v>0</v>
      </c>
      <c r="M37" s="198"/>
      <c r="N37" s="198"/>
      <c r="O37" s="198"/>
      <c r="P37" s="137" t="e">
        <f ca="1">(ROUND((ELEMENT!AC35-ELEMENT!EG35)*$P$2*(1-$H$2)*(1+$E$4),0)+ROUND((ELEMENT!EG35)*$P$2*(1-$H$2)*(1+$E$4),0))</f>
        <v>#VALUE!</v>
      </c>
      <c r="Q37" s="137" t="e">
        <f t="shared" ca="1" si="95"/>
        <v>#VALUE!</v>
      </c>
      <c r="R37" s="138" t="e">
        <f t="shared" ca="1" si="96"/>
        <v>#VALUE!</v>
      </c>
      <c r="S37" s="139" t="e">
        <f t="shared" ca="1" si="97"/>
        <v>#VALUE!</v>
      </c>
      <c r="T37" s="132" t="str">
        <f ca="1">IF(ELEMENT!AC35="","",P37+S37)</f>
        <v/>
      </c>
      <c r="U37" s="132" t="str">
        <f ca="1">IF(ELEMENT!AC35="","",C37*T37)</f>
        <v/>
      </c>
      <c r="V37" s="132" t="str">
        <f>IF(ELEMENT!AW35="JA",ELEMENT!V35,IF(D37+E37=0,"",SUM(T37/ELEMENT!AA35)))</f>
        <v/>
      </c>
      <c r="W37" s="199">
        <f t="shared" si="92"/>
        <v>1</v>
      </c>
      <c r="X37" s="141">
        <f t="shared" si="98"/>
        <v>0</v>
      </c>
      <c r="Y37" s="199" t="s">
        <v>1276</v>
      </c>
      <c r="Z37" s="141">
        <f t="shared" si="99"/>
        <v>0</v>
      </c>
      <c r="AA37" s="199"/>
      <c r="AB37" s="141">
        <f t="shared" si="100"/>
        <v>0</v>
      </c>
      <c r="AC37" s="199"/>
      <c r="AD37" s="141">
        <f t="shared" si="101"/>
        <v>0</v>
      </c>
      <c r="AE37" s="199"/>
      <c r="AF37" s="141">
        <f t="shared" si="102"/>
        <v>0</v>
      </c>
      <c r="AG37" s="199"/>
      <c r="AH37" s="141">
        <f t="shared" si="103"/>
        <v>0</v>
      </c>
      <c r="AI37" s="140"/>
      <c r="AJ37" s="141">
        <f t="shared" si="104"/>
        <v>0</v>
      </c>
      <c r="AK37" s="140"/>
      <c r="AL37" s="141">
        <f t="shared" si="105"/>
        <v>0</v>
      </c>
      <c r="AM37" s="140"/>
      <c r="AN37" s="141">
        <f t="shared" si="106"/>
        <v>0</v>
      </c>
      <c r="AO37" s="140"/>
      <c r="AP37" s="141">
        <f t="shared" si="107"/>
        <v>0</v>
      </c>
      <c r="AQ37" s="140"/>
      <c r="AR37" s="141">
        <f t="shared" si="108"/>
        <v>0</v>
      </c>
      <c r="AS37" s="140"/>
      <c r="AT37" s="141">
        <f t="shared" si="109"/>
        <v>0</v>
      </c>
      <c r="AU37" s="140"/>
      <c r="AV37" s="141">
        <f t="shared" si="110"/>
        <v>0</v>
      </c>
      <c r="AW37" s="140"/>
      <c r="AX37" s="141">
        <f t="shared" si="111"/>
        <v>0</v>
      </c>
      <c r="AY37" s="140"/>
      <c r="AZ37" s="141">
        <f t="shared" si="112"/>
        <v>0</v>
      </c>
      <c r="BA37" s="140"/>
      <c r="BB37" s="141">
        <f t="shared" si="112"/>
        <v>0</v>
      </c>
      <c r="BC37" s="140"/>
      <c r="BD37" s="141">
        <f t="shared" si="112"/>
        <v>0</v>
      </c>
      <c r="BE37" s="140"/>
      <c r="BF37" s="141">
        <f t="shared" si="112"/>
        <v>0</v>
      </c>
      <c r="BG37" s="140"/>
      <c r="BH37" s="141">
        <f t="shared" si="112"/>
        <v>0</v>
      </c>
      <c r="BI37" s="140"/>
      <c r="BJ37" s="141">
        <f t="shared" si="112"/>
        <v>0</v>
      </c>
      <c r="BK37" s="140"/>
      <c r="BL37" s="141">
        <f t="shared" si="112"/>
        <v>0</v>
      </c>
      <c r="BM37" s="140"/>
      <c r="BN37" s="141">
        <f t="shared" si="167"/>
        <v>0</v>
      </c>
      <c r="BO37" s="140"/>
      <c r="BP37" s="141">
        <f t="shared" si="159"/>
        <v>0</v>
      </c>
      <c r="BQ37" s="140"/>
      <c r="BR37" s="141">
        <f t="shared" si="160"/>
        <v>0</v>
      </c>
      <c r="BS37" s="140"/>
      <c r="BT37" s="141">
        <f t="shared" si="161"/>
        <v>0</v>
      </c>
      <c r="BU37" s="140"/>
      <c r="BV37" s="141">
        <f t="shared" si="162"/>
        <v>0</v>
      </c>
      <c r="BW37" s="140"/>
      <c r="BX37" s="141">
        <f t="shared" si="163"/>
        <v>0</v>
      </c>
      <c r="BY37" s="140"/>
      <c r="BZ37" s="141">
        <f t="shared" si="164"/>
        <v>0</v>
      </c>
      <c r="CA37" s="140"/>
      <c r="CB37" s="141">
        <f t="shared" si="165"/>
        <v>0</v>
      </c>
      <c r="CC37" s="140"/>
      <c r="CD37" s="141">
        <f t="shared" si="166"/>
        <v>0</v>
      </c>
      <c r="CE37" s="119"/>
      <c r="CF37" s="119"/>
      <c r="CG37" s="119"/>
      <c r="CH37" s="119"/>
      <c r="CI37" s="119"/>
      <c r="CJ37" s="119"/>
      <c r="CM37">
        <f t="shared" si="113"/>
        <v>0</v>
      </c>
      <c r="CN37" t="str">
        <f ca="1">ELEMENT!AC35</f>
        <v/>
      </c>
      <c r="CO37">
        <f t="shared" ca="1" si="114"/>
        <v>0</v>
      </c>
      <c r="CP37" t="str">
        <f t="shared" ca="1" si="115"/>
        <v/>
      </c>
      <c r="CQ37" t="str">
        <f t="shared" ca="1" si="116"/>
        <v/>
      </c>
      <c r="CR37">
        <f t="shared" ca="1" si="117"/>
        <v>0</v>
      </c>
      <c r="CS37">
        <f t="shared" ca="1" si="118"/>
        <v>0</v>
      </c>
      <c r="CT37">
        <f t="shared" si="119"/>
        <v>0</v>
      </c>
      <c r="CU37" t="str">
        <f t="shared" ca="1" si="120"/>
        <v/>
      </c>
      <c r="CV37">
        <f t="shared" si="121"/>
        <v>0</v>
      </c>
      <c r="CW37">
        <f t="shared" si="122"/>
        <v>0</v>
      </c>
      <c r="CX37">
        <f t="shared" si="123"/>
        <v>0</v>
      </c>
      <c r="DC37" t="str">
        <f t="shared" si="124"/>
        <v/>
      </c>
      <c r="DE37">
        <f t="shared" si="125"/>
        <v>0</v>
      </c>
      <c r="DG37" t="str">
        <f t="shared" si="126"/>
        <v/>
      </c>
      <c r="DI37" t="str">
        <f t="shared" si="127"/>
        <v/>
      </c>
      <c r="DK37" t="str">
        <f t="shared" si="128"/>
        <v/>
      </c>
      <c r="DM37" t="str">
        <f t="shared" si="129"/>
        <v/>
      </c>
      <c r="DO37" t="str">
        <f t="shared" si="130"/>
        <v/>
      </c>
      <c r="DQ37" t="str">
        <f t="shared" si="131"/>
        <v/>
      </c>
      <c r="DS37" t="str">
        <f t="shared" si="132"/>
        <v/>
      </c>
      <c r="DU37" t="str">
        <f t="shared" si="133"/>
        <v/>
      </c>
      <c r="DW37" t="str">
        <f t="shared" si="134"/>
        <v/>
      </c>
      <c r="DY37" t="str">
        <f t="shared" si="135"/>
        <v/>
      </c>
      <c r="EA37" t="str">
        <f t="shared" si="136"/>
        <v/>
      </c>
      <c r="EC37" t="str">
        <f t="shared" si="137"/>
        <v/>
      </c>
      <c r="EE37" t="str">
        <f t="shared" si="138"/>
        <v/>
      </c>
      <c r="EG37" t="str">
        <f t="shared" si="138"/>
        <v/>
      </c>
      <c r="EI37" t="str">
        <f t="shared" si="138"/>
        <v/>
      </c>
      <c r="EK37" t="str">
        <f t="shared" si="138"/>
        <v/>
      </c>
      <c r="EM37" t="str">
        <f t="shared" si="138"/>
        <v/>
      </c>
      <c r="EO37" t="str">
        <f t="shared" si="138"/>
        <v/>
      </c>
      <c r="EQ37" t="str">
        <f t="shared" si="138"/>
        <v/>
      </c>
      <c r="ES37" t="str">
        <f t="shared" si="168"/>
        <v/>
      </c>
      <c r="EU37" t="str">
        <f t="shared" si="151"/>
        <v/>
      </c>
      <c r="EW37" t="str">
        <f t="shared" si="152"/>
        <v/>
      </c>
      <c r="EY37" t="str">
        <f t="shared" si="153"/>
        <v/>
      </c>
      <c r="FA37" t="str">
        <f t="shared" si="154"/>
        <v/>
      </c>
      <c r="FC37" t="str">
        <f t="shared" si="155"/>
        <v/>
      </c>
      <c r="FE37" t="str">
        <f t="shared" si="156"/>
        <v/>
      </c>
      <c r="FG37" t="str">
        <f t="shared" si="157"/>
        <v/>
      </c>
      <c r="FI37" t="str">
        <f t="shared" si="158"/>
        <v/>
      </c>
      <c r="FL37" t="str">
        <f t="shared" si="139"/>
        <v/>
      </c>
      <c r="FM37" t="e">
        <f t="shared" ca="1" si="140"/>
        <v>#VALUE!</v>
      </c>
      <c r="FN37">
        <v>130614</v>
      </c>
      <c r="FO37">
        <f>ROUND((ELEMENT!EH35*(1-$H$2)*(1+$E$4)),0)*C37</f>
        <v>0</v>
      </c>
      <c r="FP37">
        <f t="shared" si="141"/>
        <v>0</v>
      </c>
      <c r="FQ37">
        <f t="shared" si="142"/>
        <v>0</v>
      </c>
      <c r="FR37">
        <f t="shared" si="143"/>
        <v>0</v>
      </c>
      <c r="FS37" t="str">
        <f>IF(ELEMENT!AO35="","",H37*C37)</f>
        <v/>
      </c>
      <c r="FT37">
        <f t="shared" si="144"/>
        <v>0</v>
      </c>
      <c r="FU37">
        <f t="shared" si="145"/>
        <v>0</v>
      </c>
      <c r="FV37">
        <f t="shared" si="146"/>
        <v>2.5499999999999998</v>
      </c>
      <c r="FW37">
        <f t="shared" si="147"/>
        <v>4.66</v>
      </c>
      <c r="FX37">
        <f t="shared" si="148"/>
        <v>0.36</v>
      </c>
      <c r="FY37">
        <f>ELEMENT!AR35</f>
        <v>2</v>
      </c>
      <c r="FZ37">
        <f>ELEMENT!L35</f>
        <v>1</v>
      </c>
      <c r="GA37">
        <f>ELEMENT!M35</f>
        <v>1</v>
      </c>
      <c r="GB37">
        <f>ELEMENT!N35</f>
        <v>2</v>
      </c>
      <c r="GC37">
        <f>ELEMENT!O35</f>
        <v>0</v>
      </c>
      <c r="GD37">
        <f t="shared" si="149"/>
        <v>0</v>
      </c>
      <c r="GE37">
        <f>IF(GI37=ELEMENT!$CJ$59,$GW$8,
IF(GI37=ELEMENT!$CK$59,$GW$16,
IF(GI37=ELEMENT!$CL$59,$GW$24,)))</f>
        <v>4.0999999999999996</v>
      </c>
      <c r="GF37">
        <f>IF(GI37=ELEMENT!$CJ$59,$GW$9,
IF(GI37=ELEMENT!$CK$59,$GW$17,
IF(GI37=ELEMENT!$CL$59,$GW$25,)))</f>
        <v>1.2869999999999999</v>
      </c>
      <c r="GG37">
        <f>IF(GI37=ELEMENT!$CJ$59,$GW$10,
IF(GI37=ELEMENT!$CK$59,$GW$18,
IF(GI37=ELEMENT!$CL$59,$GW$26,)))</f>
        <v>3.032</v>
      </c>
      <c r="GH37">
        <f>IF(GI37=ELEMENT!$CJ$59,$GW$12,
IF(GI37=ELEMENT!$CK$59,$GW$20,
IF(GI37=ELEMENT!$CL$59,$GW$28,)))</f>
        <v>1.87</v>
      </c>
      <c r="GI37">
        <f>ELEMENT!G35</f>
        <v>0</v>
      </c>
      <c r="GJ37">
        <f>ELEMENT!BD35</f>
        <v>0</v>
      </c>
      <c r="GL37">
        <f>ELEMENT!R35</f>
        <v>0</v>
      </c>
      <c r="GM37">
        <f>ELEMENT!S35</f>
        <v>0</v>
      </c>
      <c r="GN37">
        <f>ELEMENT!T35</f>
        <v>0</v>
      </c>
      <c r="GP37">
        <f>ELEMENT!AU35</f>
        <v>0</v>
      </c>
      <c r="GQ37">
        <f>ELEMENT!AY35</f>
        <v>0</v>
      </c>
      <c r="GR37">
        <f t="shared" si="150"/>
        <v>0</v>
      </c>
      <c r="GS37">
        <f>ELEMENT!BE35</f>
        <v>0</v>
      </c>
      <c r="GV37">
        <f>ELEMENT!BF36</f>
        <v>0</v>
      </c>
      <c r="GW37">
        <f>ELEMENT!BO36</f>
        <v>0</v>
      </c>
      <c r="GX37">
        <f>ELEMENT!BP36</f>
        <v>0</v>
      </c>
      <c r="GY37">
        <f>ELEMENT!BQ51</f>
        <v>0</v>
      </c>
    </row>
    <row r="38" spans="1:207" x14ac:dyDescent="0.2">
      <c r="A38" s="142"/>
      <c r="B38" s="184">
        <f>(ELEMENT!B36)</f>
        <v>0</v>
      </c>
      <c r="C38" s="184">
        <f>SUM(ELEMENT!C36)</f>
        <v>0</v>
      </c>
      <c r="D38" s="184">
        <f>ELEMENT!D36</f>
        <v>0</v>
      </c>
      <c r="E38" s="184">
        <f>ELEMENT!E36</f>
        <v>0</v>
      </c>
      <c r="F38" s="184">
        <f t="shared" si="93"/>
        <v>0</v>
      </c>
      <c r="G38" s="135" t="str">
        <f>ELEMENT!AH36</f>
        <v/>
      </c>
      <c r="H38" s="191" t="str">
        <f>IF(ELEMENT!AO36="","",ELEMENT!AA36*ELEMENT!DQ36)</f>
        <v/>
      </c>
      <c r="I38" s="184">
        <f t="shared" si="94"/>
        <v>0</v>
      </c>
      <c r="J38" s="136">
        <f>ROUND(ELEMENT!DE36,1)</f>
        <v>0</v>
      </c>
      <c r="K38" s="198"/>
      <c r="L38" s="198">
        <f t="shared" si="91"/>
        <v>0</v>
      </c>
      <c r="M38" s="198"/>
      <c r="N38" s="198"/>
      <c r="O38" s="198"/>
      <c r="P38" s="137" t="e">
        <f ca="1">(ROUND((ELEMENT!AC36-ELEMENT!EG36)*$P$2*(1-$H$2)*(1+$E$4),0)+ROUND((ELEMENT!EG36)*$P$2*(1-$H$2)*(1+$E$4),0))</f>
        <v>#VALUE!</v>
      </c>
      <c r="Q38" s="137" t="e">
        <f t="shared" ca="1" si="95"/>
        <v>#VALUE!</v>
      </c>
      <c r="R38" s="138" t="e">
        <f t="shared" ca="1" si="96"/>
        <v>#VALUE!</v>
      </c>
      <c r="S38" s="139" t="e">
        <f t="shared" ca="1" si="97"/>
        <v>#VALUE!</v>
      </c>
      <c r="T38" s="132" t="str">
        <f ca="1">IF(ELEMENT!AC36="","",P38+S38)</f>
        <v/>
      </c>
      <c r="U38" s="132" t="str">
        <f ca="1">IF(ELEMENT!AC36="","",C38*T38)</f>
        <v/>
      </c>
      <c r="V38" s="132" t="str">
        <f>IF(ELEMENT!AW36="JA",ELEMENT!V36,IF(D38+E38=0,"",SUM(T38/ELEMENT!AA36)))</f>
        <v/>
      </c>
      <c r="W38" s="199">
        <f t="shared" si="92"/>
        <v>1</v>
      </c>
      <c r="X38" s="141">
        <f t="shared" si="98"/>
        <v>0</v>
      </c>
      <c r="Y38" s="199" t="s">
        <v>1276</v>
      </c>
      <c r="Z38" s="141">
        <f t="shared" si="99"/>
        <v>0</v>
      </c>
      <c r="AA38" s="199"/>
      <c r="AB38" s="141">
        <f t="shared" si="100"/>
        <v>0</v>
      </c>
      <c r="AC38" s="199"/>
      <c r="AD38" s="141">
        <f t="shared" si="101"/>
        <v>0</v>
      </c>
      <c r="AE38" s="199"/>
      <c r="AF38" s="141">
        <f t="shared" si="102"/>
        <v>0</v>
      </c>
      <c r="AG38" s="199"/>
      <c r="AH38" s="141">
        <f t="shared" si="103"/>
        <v>0</v>
      </c>
      <c r="AI38" s="140"/>
      <c r="AJ38" s="141">
        <f t="shared" si="104"/>
        <v>0</v>
      </c>
      <c r="AK38" s="140"/>
      <c r="AL38" s="141">
        <f t="shared" si="105"/>
        <v>0</v>
      </c>
      <c r="AM38" s="140"/>
      <c r="AN38" s="141">
        <f t="shared" si="106"/>
        <v>0</v>
      </c>
      <c r="AO38" s="140"/>
      <c r="AP38" s="141">
        <f t="shared" si="107"/>
        <v>0</v>
      </c>
      <c r="AQ38" s="140"/>
      <c r="AR38" s="141">
        <f t="shared" si="108"/>
        <v>0</v>
      </c>
      <c r="AS38" s="140"/>
      <c r="AT38" s="141">
        <f t="shared" si="109"/>
        <v>0</v>
      </c>
      <c r="AU38" s="140"/>
      <c r="AV38" s="141">
        <f t="shared" si="110"/>
        <v>0</v>
      </c>
      <c r="AW38" s="140"/>
      <c r="AX38" s="141">
        <f t="shared" si="111"/>
        <v>0</v>
      </c>
      <c r="AY38" s="140"/>
      <c r="AZ38" s="141">
        <f t="shared" si="112"/>
        <v>0</v>
      </c>
      <c r="BA38" s="140"/>
      <c r="BB38" s="141">
        <f t="shared" si="112"/>
        <v>0</v>
      </c>
      <c r="BC38" s="140"/>
      <c r="BD38" s="141">
        <f t="shared" si="112"/>
        <v>0</v>
      </c>
      <c r="BE38" s="140"/>
      <c r="BF38" s="141">
        <f t="shared" si="112"/>
        <v>0</v>
      </c>
      <c r="BG38" s="140"/>
      <c r="BH38" s="141">
        <f t="shared" si="112"/>
        <v>0</v>
      </c>
      <c r="BI38" s="140"/>
      <c r="BJ38" s="141">
        <f t="shared" si="112"/>
        <v>0</v>
      </c>
      <c r="BK38" s="140"/>
      <c r="BL38" s="141">
        <f t="shared" si="112"/>
        <v>0</v>
      </c>
      <c r="BM38" s="140"/>
      <c r="BN38" s="141">
        <f t="shared" si="167"/>
        <v>0</v>
      </c>
      <c r="BO38" s="140"/>
      <c r="BP38" s="141">
        <f t="shared" si="159"/>
        <v>0</v>
      </c>
      <c r="BQ38" s="140"/>
      <c r="BR38" s="141">
        <f t="shared" si="160"/>
        <v>0</v>
      </c>
      <c r="BS38" s="140"/>
      <c r="BT38" s="141">
        <f t="shared" si="161"/>
        <v>0</v>
      </c>
      <c r="BU38" s="140"/>
      <c r="BV38" s="141">
        <f t="shared" si="162"/>
        <v>0</v>
      </c>
      <c r="BW38" s="140"/>
      <c r="BX38" s="141">
        <f t="shared" si="163"/>
        <v>0</v>
      </c>
      <c r="BY38" s="140"/>
      <c r="BZ38" s="141">
        <f t="shared" si="164"/>
        <v>0</v>
      </c>
      <c r="CA38" s="140"/>
      <c r="CB38" s="141">
        <f t="shared" si="165"/>
        <v>0</v>
      </c>
      <c r="CC38" s="140"/>
      <c r="CD38" s="141">
        <f t="shared" si="166"/>
        <v>0</v>
      </c>
      <c r="CE38" s="119"/>
      <c r="CF38" s="119"/>
      <c r="CG38" s="119"/>
      <c r="CH38" s="119"/>
      <c r="CI38" s="119"/>
      <c r="CJ38" s="119"/>
      <c r="CM38">
        <f t="shared" si="113"/>
        <v>0</v>
      </c>
      <c r="CN38" t="str">
        <f ca="1">ELEMENT!AC36</f>
        <v/>
      </c>
      <c r="CO38">
        <f t="shared" ca="1" si="114"/>
        <v>0</v>
      </c>
      <c r="CP38" t="str">
        <f t="shared" ca="1" si="115"/>
        <v/>
      </c>
      <c r="CQ38" t="str">
        <f t="shared" ca="1" si="116"/>
        <v/>
      </c>
      <c r="CR38">
        <f t="shared" ca="1" si="117"/>
        <v>0</v>
      </c>
      <c r="CS38">
        <f t="shared" ca="1" si="118"/>
        <v>0</v>
      </c>
      <c r="CT38">
        <f t="shared" si="119"/>
        <v>0</v>
      </c>
      <c r="CU38" t="str">
        <f t="shared" ca="1" si="120"/>
        <v/>
      </c>
      <c r="CV38">
        <f t="shared" si="121"/>
        <v>0</v>
      </c>
      <c r="CW38">
        <f t="shared" si="122"/>
        <v>0</v>
      </c>
      <c r="CX38">
        <f t="shared" si="123"/>
        <v>0</v>
      </c>
      <c r="DC38" t="str">
        <f t="shared" si="124"/>
        <v/>
      </c>
      <c r="DE38">
        <f t="shared" si="125"/>
        <v>0</v>
      </c>
      <c r="DG38" t="str">
        <f t="shared" si="126"/>
        <v/>
      </c>
      <c r="DI38" t="str">
        <f t="shared" si="127"/>
        <v/>
      </c>
      <c r="DK38" t="str">
        <f t="shared" si="128"/>
        <v/>
      </c>
      <c r="DM38" t="str">
        <f t="shared" si="129"/>
        <v/>
      </c>
      <c r="DO38" t="str">
        <f t="shared" si="130"/>
        <v/>
      </c>
      <c r="DQ38" t="str">
        <f t="shared" si="131"/>
        <v/>
      </c>
      <c r="DS38" t="str">
        <f t="shared" si="132"/>
        <v/>
      </c>
      <c r="DU38" t="str">
        <f t="shared" si="133"/>
        <v/>
      </c>
      <c r="DW38" t="str">
        <f t="shared" si="134"/>
        <v/>
      </c>
      <c r="DY38" t="str">
        <f t="shared" si="135"/>
        <v/>
      </c>
      <c r="EA38" t="str">
        <f t="shared" si="136"/>
        <v/>
      </c>
      <c r="EC38" t="str">
        <f t="shared" si="137"/>
        <v/>
      </c>
      <c r="EE38" t="str">
        <f t="shared" si="138"/>
        <v/>
      </c>
      <c r="EG38" t="str">
        <f t="shared" si="138"/>
        <v/>
      </c>
      <c r="EI38" t="str">
        <f t="shared" si="138"/>
        <v/>
      </c>
      <c r="EK38" t="str">
        <f t="shared" si="138"/>
        <v/>
      </c>
      <c r="EM38" t="str">
        <f t="shared" si="138"/>
        <v/>
      </c>
      <c r="EO38" t="str">
        <f t="shared" si="138"/>
        <v/>
      </c>
      <c r="EQ38" t="str">
        <f t="shared" si="138"/>
        <v/>
      </c>
      <c r="ES38" t="str">
        <f t="shared" si="168"/>
        <v/>
      </c>
      <c r="EU38" t="str">
        <f t="shared" si="151"/>
        <v/>
      </c>
      <c r="EW38" t="str">
        <f t="shared" si="152"/>
        <v/>
      </c>
      <c r="EY38" t="str">
        <f t="shared" si="153"/>
        <v/>
      </c>
      <c r="FA38" t="str">
        <f t="shared" si="154"/>
        <v/>
      </c>
      <c r="FC38" t="str">
        <f t="shared" si="155"/>
        <v/>
      </c>
      <c r="FE38" t="str">
        <f t="shared" si="156"/>
        <v/>
      </c>
      <c r="FG38" t="str">
        <f t="shared" si="157"/>
        <v/>
      </c>
      <c r="FI38" t="str">
        <f t="shared" si="158"/>
        <v/>
      </c>
      <c r="FL38" t="str">
        <f t="shared" si="139"/>
        <v/>
      </c>
      <c r="FM38" t="e">
        <f t="shared" ca="1" si="140"/>
        <v>#VALUE!</v>
      </c>
      <c r="FN38">
        <v>130615</v>
      </c>
      <c r="FO38">
        <f>ROUND((ELEMENT!EH36*(1-$H$2)*(1+$E$4)),0)*C38</f>
        <v>0</v>
      </c>
      <c r="FP38">
        <f t="shared" si="141"/>
        <v>0</v>
      </c>
      <c r="FQ38">
        <f t="shared" si="142"/>
        <v>0</v>
      </c>
      <c r="FR38">
        <f t="shared" si="143"/>
        <v>0</v>
      </c>
      <c r="FS38" t="str">
        <f>IF(ELEMENT!AO36="","",H38*C38)</f>
        <v/>
      </c>
      <c r="FT38">
        <f t="shared" si="144"/>
        <v>0</v>
      </c>
      <c r="FU38">
        <f t="shared" si="145"/>
        <v>0</v>
      </c>
      <c r="FV38">
        <f t="shared" si="146"/>
        <v>2.5499999999999998</v>
      </c>
      <c r="FW38">
        <f t="shared" si="147"/>
        <v>4.66</v>
      </c>
      <c r="FX38">
        <f t="shared" si="148"/>
        <v>0.36</v>
      </c>
      <c r="FY38">
        <f>ELEMENT!AR36</f>
        <v>2</v>
      </c>
      <c r="FZ38">
        <f>ELEMENT!L36</f>
        <v>1</v>
      </c>
      <c r="GA38">
        <f>ELEMENT!M36</f>
        <v>1</v>
      </c>
      <c r="GB38">
        <f>ELEMENT!N36</f>
        <v>2</v>
      </c>
      <c r="GC38">
        <f>ELEMENT!O36</f>
        <v>0</v>
      </c>
      <c r="GD38">
        <f t="shared" si="149"/>
        <v>0</v>
      </c>
      <c r="GE38">
        <f>IF(GI38=ELEMENT!$CJ$59,$GW$8,
IF(GI38=ELEMENT!$CK$59,$GW$16,
IF(GI38=ELEMENT!$CL$59,$GW$24,)))</f>
        <v>4.0999999999999996</v>
      </c>
      <c r="GF38">
        <f>IF(GI38=ELEMENT!$CJ$59,$GW$9,
IF(GI38=ELEMENT!$CK$59,$GW$17,
IF(GI38=ELEMENT!$CL$59,$GW$25,)))</f>
        <v>1.2869999999999999</v>
      </c>
      <c r="GG38">
        <f>IF(GI38=ELEMENT!$CJ$59,$GW$10,
IF(GI38=ELEMENT!$CK$59,$GW$18,
IF(GI38=ELEMENT!$CL$59,$GW$26,)))</f>
        <v>3.032</v>
      </c>
      <c r="GH38">
        <f>IF(GI38=ELEMENT!$CJ$59,$GW$12,
IF(GI38=ELEMENT!$CK$59,$GW$20,
IF(GI38=ELEMENT!$CL$59,$GW$28,)))</f>
        <v>1.87</v>
      </c>
      <c r="GI38">
        <f>ELEMENT!G36</f>
        <v>0</v>
      </c>
      <c r="GJ38">
        <f>ELEMENT!BD36</f>
        <v>0</v>
      </c>
      <c r="GL38">
        <f>ELEMENT!R36</f>
        <v>0</v>
      </c>
      <c r="GM38">
        <f>ELEMENT!S36</f>
        <v>0</v>
      </c>
      <c r="GN38">
        <f>ELEMENT!T36</f>
        <v>0</v>
      </c>
      <c r="GP38">
        <f>ELEMENT!AU36</f>
        <v>0</v>
      </c>
      <c r="GQ38">
        <f>ELEMENT!AY36</f>
        <v>0</v>
      </c>
      <c r="GR38">
        <f t="shared" si="150"/>
        <v>0</v>
      </c>
      <c r="GS38">
        <f>ELEMENT!BE36</f>
        <v>0</v>
      </c>
      <c r="GV38">
        <f>ELEMENT!BF37</f>
        <v>0</v>
      </c>
      <c r="GW38">
        <f>ELEMENT!BO37</f>
        <v>0</v>
      </c>
      <c r="GX38">
        <f>ELEMENT!BP37</f>
        <v>290</v>
      </c>
      <c r="GY38">
        <f>ELEMENT!BQ52</f>
        <v>0</v>
      </c>
    </row>
    <row r="39" spans="1:207" x14ac:dyDescent="0.2">
      <c r="A39" s="142"/>
      <c r="B39" s="184">
        <f>(ELEMENT!B37)</f>
        <v>0</v>
      </c>
      <c r="C39" s="184">
        <f>SUM(ELEMENT!C37)</f>
        <v>0</v>
      </c>
      <c r="D39" s="184">
        <f>ELEMENT!D37</f>
        <v>0</v>
      </c>
      <c r="E39" s="184">
        <f>ELEMENT!E37</f>
        <v>0</v>
      </c>
      <c r="F39" s="184">
        <f t="shared" si="93"/>
        <v>0</v>
      </c>
      <c r="G39" s="135" t="str">
        <f>ELEMENT!AH37</f>
        <v/>
      </c>
      <c r="H39" s="191" t="str">
        <f>IF(ELEMENT!AO37="","",ELEMENT!AA37*ELEMENT!DQ37)</f>
        <v/>
      </c>
      <c r="I39" s="184">
        <f t="shared" si="94"/>
        <v>0</v>
      </c>
      <c r="J39" s="136">
        <f>ROUND(ELEMENT!DE37,1)</f>
        <v>0</v>
      </c>
      <c r="K39" s="198"/>
      <c r="L39" s="198">
        <f t="shared" si="91"/>
        <v>0</v>
      </c>
      <c r="M39" s="198"/>
      <c r="N39" s="198"/>
      <c r="O39" s="198"/>
      <c r="P39" s="137" t="e">
        <f ca="1">(ROUND((ELEMENT!AC37-ELEMENT!EG37)*$P$2*(1-$H$2)*(1+$E$4),0)+ROUND((ELEMENT!EG37)*$P$2*(1-$H$2)*(1+$E$4),0))</f>
        <v>#VALUE!</v>
      </c>
      <c r="Q39" s="137" t="e">
        <f t="shared" ca="1" si="95"/>
        <v>#VALUE!</v>
      </c>
      <c r="R39" s="138" t="e">
        <f t="shared" ca="1" si="96"/>
        <v>#VALUE!</v>
      </c>
      <c r="S39" s="139" t="e">
        <f t="shared" ca="1" si="97"/>
        <v>#VALUE!</v>
      </c>
      <c r="T39" s="132" t="str">
        <f ca="1">IF(ELEMENT!AC37="","",P39+S39)</f>
        <v/>
      </c>
      <c r="U39" s="132" t="str">
        <f ca="1">IF(ELEMENT!AC37="","",C39*T39)</f>
        <v/>
      </c>
      <c r="V39" s="132" t="str">
        <f>IF(ELEMENT!AW37="JA",ELEMENT!V37,IF(D39+E39=0,"",SUM(T39/ELEMENT!AA37)))</f>
        <v/>
      </c>
      <c r="W39" s="199">
        <f t="shared" si="92"/>
        <v>1</v>
      </c>
      <c r="X39" s="141">
        <f t="shared" si="98"/>
        <v>0</v>
      </c>
      <c r="Y39" s="199" t="s">
        <v>1276</v>
      </c>
      <c r="Z39" s="141">
        <f t="shared" si="99"/>
        <v>0</v>
      </c>
      <c r="AA39" s="199"/>
      <c r="AB39" s="141">
        <f t="shared" si="100"/>
        <v>0</v>
      </c>
      <c r="AC39" s="199"/>
      <c r="AD39" s="141">
        <f t="shared" si="101"/>
        <v>0</v>
      </c>
      <c r="AE39" s="199"/>
      <c r="AF39" s="141">
        <f t="shared" si="102"/>
        <v>0</v>
      </c>
      <c r="AG39" s="199"/>
      <c r="AH39" s="141">
        <f t="shared" si="103"/>
        <v>0</v>
      </c>
      <c r="AI39" s="140"/>
      <c r="AJ39" s="141">
        <f t="shared" si="104"/>
        <v>0</v>
      </c>
      <c r="AK39" s="140"/>
      <c r="AL39" s="141">
        <f t="shared" si="105"/>
        <v>0</v>
      </c>
      <c r="AM39" s="140"/>
      <c r="AN39" s="141">
        <f t="shared" si="106"/>
        <v>0</v>
      </c>
      <c r="AO39" s="140"/>
      <c r="AP39" s="141">
        <f t="shared" si="107"/>
        <v>0</v>
      </c>
      <c r="AQ39" s="140"/>
      <c r="AR39" s="141">
        <f t="shared" si="108"/>
        <v>0</v>
      </c>
      <c r="AS39" s="140"/>
      <c r="AT39" s="141">
        <f t="shared" si="109"/>
        <v>0</v>
      </c>
      <c r="AU39" s="140"/>
      <c r="AV39" s="141">
        <f t="shared" si="110"/>
        <v>0</v>
      </c>
      <c r="AW39" s="140"/>
      <c r="AX39" s="141">
        <f t="shared" si="111"/>
        <v>0</v>
      </c>
      <c r="AY39" s="140"/>
      <c r="AZ39" s="141">
        <f t="shared" si="112"/>
        <v>0</v>
      </c>
      <c r="BA39" s="140"/>
      <c r="BB39" s="141">
        <f t="shared" si="112"/>
        <v>0</v>
      </c>
      <c r="BC39" s="140"/>
      <c r="BD39" s="141">
        <f t="shared" si="112"/>
        <v>0</v>
      </c>
      <c r="BE39" s="140"/>
      <c r="BF39" s="141">
        <f t="shared" si="112"/>
        <v>0</v>
      </c>
      <c r="BG39" s="140"/>
      <c r="BH39" s="141">
        <f t="shared" si="112"/>
        <v>0</v>
      </c>
      <c r="BI39" s="140"/>
      <c r="BJ39" s="141">
        <f t="shared" si="112"/>
        <v>0</v>
      </c>
      <c r="BK39" s="140"/>
      <c r="BL39" s="141">
        <f t="shared" si="112"/>
        <v>0</v>
      </c>
      <c r="BM39" s="140"/>
      <c r="BN39" s="141">
        <f t="shared" si="167"/>
        <v>0</v>
      </c>
      <c r="BO39" s="140"/>
      <c r="BP39" s="141">
        <f t="shared" si="159"/>
        <v>0</v>
      </c>
      <c r="BQ39" s="140"/>
      <c r="BR39" s="141">
        <f t="shared" si="160"/>
        <v>0</v>
      </c>
      <c r="BS39" s="140"/>
      <c r="BT39" s="141">
        <f t="shared" si="161"/>
        <v>0</v>
      </c>
      <c r="BU39" s="140"/>
      <c r="BV39" s="141">
        <f t="shared" si="162"/>
        <v>0</v>
      </c>
      <c r="BW39" s="140"/>
      <c r="BX39" s="141">
        <f t="shared" si="163"/>
        <v>0</v>
      </c>
      <c r="BY39" s="140"/>
      <c r="BZ39" s="141">
        <f t="shared" si="164"/>
        <v>0</v>
      </c>
      <c r="CA39" s="140"/>
      <c r="CB39" s="141">
        <f t="shared" si="165"/>
        <v>0</v>
      </c>
      <c r="CC39" s="140"/>
      <c r="CD39" s="141">
        <f t="shared" si="166"/>
        <v>0</v>
      </c>
      <c r="CE39" s="119"/>
      <c r="CF39" s="119"/>
      <c r="CG39" s="119"/>
      <c r="CH39" s="119"/>
      <c r="CI39" s="119"/>
      <c r="CJ39" s="119"/>
      <c r="CM39">
        <f t="shared" si="113"/>
        <v>0</v>
      </c>
      <c r="CN39" t="str">
        <f ca="1">ELEMENT!AC37</f>
        <v/>
      </c>
      <c r="CO39">
        <f t="shared" ca="1" si="114"/>
        <v>0</v>
      </c>
      <c r="CP39" t="str">
        <f t="shared" ca="1" si="115"/>
        <v/>
      </c>
      <c r="CQ39" t="str">
        <f t="shared" ca="1" si="116"/>
        <v/>
      </c>
      <c r="CR39">
        <f t="shared" ca="1" si="117"/>
        <v>0</v>
      </c>
      <c r="CS39">
        <f t="shared" ca="1" si="118"/>
        <v>0</v>
      </c>
      <c r="CT39">
        <f t="shared" si="119"/>
        <v>0</v>
      </c>
      <c r="CU39" t="str">
        <f t="shared" ca="1" si="120"/>
        <v/>
      </c>
      <c r="CV39">
        <f t="shared" si="121"/>
        <v>0</v>
      </c>
      <c r="CW39">
        <f t="shared" si="122"/>
        <v>0</v>
      </c>
      <c r="CX39">
        <f t="shared" si="123"/>
        <v>0</v>
      </c>
      <c r="DC39" t="str">
        <f t="shared" si="124"/>
        <v/>
      </c>
      <c r="DE39">
        <f t="shared" si="125"/>
        <v>0</v>
      </c>
      <c r="DG39" t="str">
        <f t="shared" si="126"/>
        <v/>
      </c>
      <c r="DI39" t="str">
        <f t="shared" si="127"/>
        <v/>
      </c>
      <c r="DK39" t="str">
        <f t="shared" si="128"/>
        <v/>
      </c>
      <c r="DM39" t="str">
        <f t="shared" si="129"/>
        <v/>
      </c>
      <c r="DO39" t="str">
        <f t="shared" si="130"/>
        <v/>
      </c>
      <c r="DQ39" t="str">
        <f t="shared" si="131"/>
        <v/>
      </c>
      <c r="DS39" t="str">
        <f t="shared" si="132"/>
        <v/>
      </c>
      <c r="DU39" t="str">
        <f t="shared" si="133"/>
        <v/>
      </c>
      <c r="DW39" t="str">
        <f t="shared" si="134"/>
        <v/>
      </c>
      <c r="DY39" t="str">
        <f t="shared" si="135"/>
        <v/>
      </c>
      <c r="EA39" t="str">
        <f t="shared" si="136"/>
        <v/>
      </c>
      <c r="EC39" t="str">
        <f t="shared" si="137"/>
        <v/>
      </c>
      <c r="EE39" t="str">
        <f t="shared" si="138"/>
        <v/>
      </c>
      <c r="EG39" t="str">
        <f t="shared" si="138"/>
        <v/>
      </c>
      <c r="EI39" t="str">
        <f t="shared" si="138"/>
        <v/>
      </c>
      <c r="EK39" t="str">
        <f t="shared" si="138"/>
        <v/>
      </c>
      <c r="EM39" t="str">
        <f t="shared" si="138"/>
        <v/>
      </c>
      <c r="EO39" t="str">
        <f t="shared" si="138"/>
        <v/>
      </c>
      <c r="EQ39" t="str">
        <f t="shared" si="138"/>
        <v/>
      </c>
      <c r="ES39" t="str">
        <f t="shared" si="168"/>
        <v/>
      </c>
      <c r="EU39" t="str">
        <f t="shared" si="151"/>
        <v/>
      </c>
      <c r="EW39" t="str">
        <f t="shared" si="152"/>
        <v/>
      </c>
      <c r="EY39" t="str">
        <f t="shared" si="153"/>
        <v/>
      </c>
      <c r="FA39" t="str">
        <f t="shared" si="154"/>
        <v/>
      </c>
      <c r="FC39" t="str">
        <f t="shared" si="155"/>
        <v/>
      </c>
      <c r="FE39" t="str">
        <f t="shared" si="156"/>
        <v/>
      </c>
      <c r="FG39" t="str">
        <f t="shared" si="157"/>
        <v/>
      </c>
      <c r="FI39" t="str">
        <f t="shared" si="158"/>
        <v/>
      </c>
      <c r="FL39" t="str">
        <f t="shared" si="139"/>
        <v/>
      </c>
      <c r="FM39" t="e">
        <f t="shared" ca="1" si="140"/>
        <v>#VALUE!</v>
      </c>
      <c r="FN39">
        <v>130616</v>
      </c>
      <c r="FO39">
        <f>ROUND((ELEMENT!EH37*(1-$H$2)*(1+$E$4)),0)*C39</f>
        <v>0</v>
      </c>
      <c r="FP39">
        <f t="shared" si="141"/>
        <v>0</v>
      </c>
      <c r="FQ39">
        <f t="shared" si="142"/>
        <v>0</v>
      </c>
      <c r="FR39">
        <f t="shared" si="143"/>
        <v>0</v>
      </c>
      <c r="FS39" t="str">
        <f>IF(ELEMENT!AO37="","",H39*C39)</f>
        <v/>
      </c>
      <c r="FT39">
        <f t="shared" si="144"/>
        <v>0</v>
      </c>
      <c r="FU39">
        <f t="shared" si="145"/>
        <v>0</v>
      </c>
      <c r="FV39">
        <f t="shared" si="146"/>
        <v>2.5499999999999998</v>
      </c>
      <c r="FW39">
        <f t="shared" si="147"/>
        <v>4.66</v>
      </c>
      <c r="FX39">
        <f t="shared" si="148"/>
        <v>0.36</v>
      </c>
      <c r="FY39">
        <f>ELEMENT!AR37</f>
        <v>2</v>
      </c>
      <c r="FZ39">
        <f>ELEMENT!L37</f>
        <v>1</v>
      </c>
      <c r="GA39">
        <f>ELEMENT!M37</f>
        <v>1</v>
      </c>
      <c r="GB39">
        <f>ELEMENT!N37</f>
        <v>2</v>
      </c>
      <c r="GC39">
        <f>ELEMENT!O37</f>
        <v>0</v>
      </c>
      <c r="GD39">
        <f t="shared" si="149"/>
        <v>0</v>
      </c>
      <c r="GE39">
        <f>IF(GI39=ELEMENT!$CJ$59,$GW$8,
IF(GI39=ELEMENT!$CK$59,$GW$16,
IF(GI39=ELEMENT!$CL$59,$GW$24,)))</f>
        <v>4.0999999999999996</v>
      </c>
      <c r="GF39">
        <f>IF(GI39=ELEMENT!$CJ$59,$GW$9,
IF(GI39=ELEMENT!$CK$59,$GW$17,
IF(GI39=ELEMENT!$CL$59,$GW$25,)))</f>
        <v>1.2869999999999999</v>
      </c>
      <c r="GG39">
        <f>IF(GI39=ELEMENT!$CJ$59,$GW$10,
IF(GI39=ELEMENT!$CK$59,$GW$18,
IF(GI39=ELEMENT!$CL$59,$GW$26,)))</f>
        <v>3.032</v>
      </c>
      <c r="GH39">
        <f>IF(GI39=ELEMENT!$CJ$59,$GW$12,
IF(GI39=ELEMENT!$CK$59,$GW$20,
IF(GI39=ELEMENT!$CL$59,$GW$28,)))</f>
        <v>1.87</v>
      </c>
      <c r="GI39">
        <f>ELEMENT!G37</f>
        <v>0</v>
      </c>
      <c r="GJ39">
        <f>ELEMENT!BD37</f>
        <v>0</v>
      </c>
      <c r="GL39">
        <f>ELEMENT!R37</f>
        <v>0</v>
      </c>
      <c r="GM39">
        <f>ELEMENT!S37</f>
        <v>0</v>
      </c>
      <c r="GN39">
        <f>ELEMENT!T37</f>
        <v>0</v>
      </c>
      <c r="GP39">
        <f>ELEMENT!AU37</f>
        <v>0</v>
      </c>
      <c r="GQ39">
        <f>ELEMENT!AY37</f>
        <v>0</v>
      </c>
      <c r="GR39">
        <f t="shared" si="150"/>
        <v>0</v>
      </c>
      <c r="GS39">
        <f>ELEMENT!BE37</f>
        <v>0</v>
      </c>
      <c r="GV39">
        <f>ELEMENT!BF38</f>
        <v>0</v>
      </c>
      <c r="GW39">
        <f>ELEMENT!BO38</f>
        <v>0</v>
      </c>
      <c r="GX39">
        <f>ELEMENT!BP38</f>
        <v>0</v>
      </c>
      <c r="GY39">
        <f>ELEMENT!BQ53</f>
        <v>0</v>
      </c>
    </row>
    <row r="40" spans="1:207" x14ac:dyDescent="0.2">
      <c r="A40" s="142"/>
      <c r="B40" s="184">
        <f>(ELEMENT!B38)</f>
        <v>0</v>
      </c>
      <c r="C40" s="184">
        <f>SUM(ELEMENT!C38)</f>
        <v>0</v>
      </c>
      <c r="D40" s="184">
        <f>ELEMENT!D38</f>
        <v>0</v>
      </c>
      <c r="E40" s="184">
        <f>ELEMENT!E38</f>
        <v>0</v>
      </c>
      <c r="F40" s="184">
        <f t="shared" si="93"/>
        <v>0</v>
      </c>
      <c r="G40" s="135" t="str">
        <f>ELEMENT!AH38</f>
        <v/>
      </c>
      <c r="H40" s="191" t="str">
        <f>IF(ELEMENT!AO38="","",ELEMENT!AA38*ELEMENT!DQ38)</f>
        <v/>
      </c>
      <c r="I40" s="184">
        <f t="shared" si="94"/>
        <v>0</v>
      </c>
      <c r="J40" s="136">
        <f>ROUND(ELEMENT!DE38,1)</f>
        <v>0</v>
      </c>
      <c r="K40" s="198"/>
      <c r="L40" s="198">
        <f t="shared" si="91"/>
        <v>0</v>
      </c>
      <c r="M40" s="198"/>
      <c r="N40" s="198"/>
      <c r="O40" s="198"/>
      <c r="P40" s="137" t="e">
        <f ca="1">(ROUND((ELEMENT!AC38-ELEMENT!EG38)*$P$2*(1-$H$2)*(1+$E$4),0)+ROUND((ELEMENT!EG38)*$P$2*(1-$H$2)*(1+$E$4),0))</f>
        <v>#VALUE!</v>
      </c>
      <c r="Q40" s="137" t="e">
        <f t="shared" ca="1" si="95"/>
        <v>#VALUE!</v>
      </c>
      <c r="R40" s="138" t="e">
        <f t="shared" ca="1" si="96"/>
        <v>#VALUE!</v>
      </c>
      <c r="S40" s="139" t="e">
        <f t="shared" ca="1" si="97"/>
        <v>#VALUE!</v>
      </c>
      <c r="T40" s="132" t="str">
        <f ca="1">IF(ELEMENT!AC38="","",P40+S40)</f>
        <v/>
      </c>
      <c r="U40" s="132" t="str">
        <f ca="1">IF(ELEMENT!AC38="","",C40*T40)</f>
        <v/>
      </c>
      <c r="V40" s="132" t="str">
        <f>IF(ELEMENT!AW38="JA",ELEMENT!V38,IF(D40+E40=0,"",SUM(T40/ELEMENT!AA38)))</f>
        <v/>
      </c>
      <c r="W40" s="199">
        <f t="shared" si="92"/>
        <v>1</v>
      </c>
      <c r="X40" s="141">
        <f t="shared" si="98"/>
        <v>0</v>
      </c>
      <c r="Y40" s="199" t="s">
        <v>1276</v>
      </c>
      <c r="Z40" s="141">
        <f t="shared" si="99"/>
        <v>0</v>
      </c>
      <c r="AA40" s="199"/>
      <c r="AB40" s="141">
        <f t="shared" si="100"/>
        <v>0</v>
      </c>
      <c r="AC40" s="199"/>
      <c r="AD40" s="141">
        <f t="shared" si="101"/>
        <v>0</v>
      </c>
      <c r="AE40" s="199"/>
      <c r="AF40" s="141">
        <f t="shared" si="102"/>
        <v>0</v>
      </c>
      <c r="AG40" s="199"/>
      <c r="AH40" s="141">
        <f t="shared" si="103"/>
        <v>0</v>
      </c>
      <c r="AI40" s="140"/>
      <c r="AJ40" s="141">
        <f t="shared" si="104"/>
        <v>0</v>
      </c>
      <c r="AK40" s="140"/>
      <c r="AL40" s="141">
        <f t="shared" si="105"/>
        <v>0</v>
      </c>
      <c r="AM40" s="140"/>
      <c r="AN40" s="141">
        <f t="shared" si="106"/>
        <v>0</v>
      </c>
      <c r="AO40" s="140"/>
      <c r="AP40" s="141">
        <f t="shared" si="107"/>
        <v>0</v>
      </c>
      <c r="AQ40" s="140"/>
      <c r="AR40" s="141">
        <f t="shared" si="108"/>
        <v>0</v>
      </c>
      <c r="AS40" s="140"/>
      <c r="AT40" s="141">
        <f t="shared" si="109"/>
        <v>0</v>
      </c>
      <c r="AU40" s="140"/>
      <c r="AV40" s="141">
        <f t="shared" si="110"/>
        <v>0</v>
      </c>
      <c r="AW40" s="140"/>
      <c r="AX40" s="141">
        <f t="shared" si="111"/>
        <v>0</v>
      </c>
      <c r="AY40" s="140"/>
      <c r="AZ40" s="141">
        <f t="shared" si="112"/>
        <v>0</v>
      </c>
      <c r="BA40" s="140"/>
      <c r="BB40" s="141">
        <f t="shared" si="112"/>
        <v>0</v>
      </c>
      <c r="BC40" s="140"/>
      <c r="BD40" s="141">
        <f t="shared" si="112"/>
        <v>0</v>
      </c>
      <c r="BE40" s="140"/>
      <c r="BF40" s="141">
        <f t="shared" si="112"/>
        <v>0</v>
      </c>
      <c r="BG40" s="140"/>
      <c r="BH40" s="141">
        <f t="shared" si="112"/>
        <v>0</v>
      </c>
      <c r="BI40" s="140"/>
      <c r="BJ40" s="141">
        <f t="shared" si="112"/>
        <v>0</v>
      </c>
      <c r="BK40" s="140"/>
      <c r="BL40" s="141">
        <f t="shared" si="112"/>
        <v>0</v>
      </c>
      <c r="BM40" s="140"/>
      <c r="BN40" s="141">
        <f t="shared" si="167"/>
        <v>0</v>
      </c>
      <c r="BO40" s="140"/>
      <c r="BP40" s="141">
        <f t="shared" si="159"/>
        <v>0</v>
      </c>
      <c r="BQ40" s="140"/>
      <c r="BR40" s="141">
        <f t="shared" si="160"/>
        <v>0</v>
      </c>
      <c r="BS40" s="140"/>
      <c r="BT40" s="141">
        <f t="shared" si="161"/>
        <v>0</v>
      </c>
      <c r="BU40" s="140"/>
      <c r="BV40" s="141">
        <f t="shared" si="162"/>
        <v>0</v>
      </c>
      <c r="BW40" s="140"/>
      <c r="BX40" s="141">
        <f t="shared" si="163"/>
        <v>0</v>
      </c>
      <c r="BY40" s="140"/>
      <c r="BZ40" s="141">
        <f t="shared" si="164"/>
        <v>0</v>
      </c>
      <c r="CA40" s="140"/>
      <c r="CB40" s="141">
        <f t="shared" si="165"/>
        <v>0</v>
      </c>
      <c r="CC40" s="140"/>
      <c r="CD40" s="141">
        <f t="shared" si="166"/>
        <v>0</v>
      </c>
      <c r="CE40" s="119"/>
      <c r="CF40" s="119"/>
      <c r="CG40" s="119"/>
      <c r="CH40" s="119"/>
      <c r="CI40" s="119"/>
      <c r="CJ40" s="119"/>
      <c r="CM40">
        <f t="shared" si="113"/>
        <v>0</v>
      </c>
      <c r="CN40" t="str">
        <f ca="1">ELEMENT!AC38</f>
        <v/>
      </c>
      <c r="CO40">
        <f t="shared" ca="1" si="114"/>
        <v>0</v>
      </c>
      <c r="CP40" t="str">
        <f t="shared" ca="1" si="115"/>
        <v/>
      </c>
      <c r="CQ40" t="str">
        <f t="shared" ca="1" si="116"/>
        <v/>
      </c>
      <c r="CR40">
        <f t="shared" ca="1" si="117"/>
        <v>0</v>
      </c>
      <c r="CS40">
        <f t="shared" ca="1" si="118"/>
        <v>0</v>
      </c>
      <c r="CT40">
        <f t="shared" si="119"/>
        <v>0</v>
      </c>
      <c r="CU40" t="str">
        <f t="shared" ca="1" si="120"/>
        <v/>
      </c>
      <c r="CV40">
        <f t="shared" si="121"/>
        <v>0</v>
      </c>
      <c r="CW40">
        <f t="shared" si="122"/>
        <v>0</v>
      </c>
      <c r="CX40">
        <f t="shared" si="123"/>
        <v>0</v>
      </c>
      <c r="DC40" t="str">
        <f t="shared" si="124"/>
        <v/>
      </c>
      <c r="DE40">
        <f t="shared" si="125"/>
        <v>0</v>
      </c>
      <c r="DG40" t="str">
        <f t="shared" si="126"/>
        <v/>
      </c>
      <c r="DI40" t="str">
        <f t="shared" si="127"/>
        <v/>
      </c>
      <c r="DK40" t="str">
        <f t="shared" si="128"/>
        <v/>
      </c>
      <c r="DM40" t="str">
        <f t="shared" si="129"/>
        <v/>
      </c>
      <c r="DO40" t="str">
        <f t="shared" si="130"/>
        <v/>
      </c>
      <c r="DQ40" t="str">
        <f t="shared" si="131"/>
        <v/>
      </c>
      <c r="DS40" t="str">
        <f t="shared" si="132"/>
        <v/>
      </c>
      <c r="DU40" t="str">
        <f t="shared" si="133"/>
        <v/>
      </c>
      <c r="DW40" t="str">
        <f t="shared" si="134"/>
        <v/>
      </c>
      <c r="DY40" t="str">
        <f t="shared" si="135"/>
        <v/>
      </c>
      <c r="EA40" t="str">
        <f t="shared" si="136"/>
        <v/>
      </c>
      <c r="EC40" t="str">
        <f t="shared" si="137"/>
        <v/>
      </c>
      <c r="EE40" t="str">
        <f t="shared" si="138"/>
        <v/>
      </c>
      <c r="EG40" t="str">
        <f t="shared" si="138"/>
        <v/>
      </c>
      <c r="EI40" t="str">
        <f t="shared" si="138"/>
        <v/>
      </c>
      <c r="EK40" t="str">
        <f t="shared" si="138"/>
        <v/>
      </c>
      <c r="EM40" t="str">
        <f t="shared" si="138"/>
        <v/>
      </c>
      <c r="EO40" t="str">
        <f t="shared" si="138"/>
        <v/>
      </c>
      <c r="EQ40" t="str">
        <f t="shared" si="138"/>
        <v/>
      </c>
      <c r="ES40" t="str">
        <f t="shared" si="168"/>
        <v/>
      </c>
      <c r="EU40" t="str">
        <f t="shared" si="151"/>
        <v/>
      </c>
      <c r="EW40" t="str">
        <f t="shared" si="152"/>
        <v/>
      </c>
      <c r="EY40" t="str">
        <f t="shared" si="153"/>
        <v/>
      </c>
      <c r="FA40" t="str">
        <f t="shared" si="154"/>
        <v/>
      </c>
      <c r="FC40" t="str">
        <f t="shared" si="155"/>
        <v/>
      </c>
      <c r="FE40" t="str">
        <f t="shared" si="156"/>
        <v/>
      </c>
      <c r="FG40" t="str">
        <f t="shared" si="157"/>
        <v/>
      </c>
      <c r="FI40" t="str">
        <f t="shared" si="158"/>
        <v/>
      </c>
      <c r="FL40" t="str">
        <f t="shared" si="139"/>
        <v/>
      </c>
      <c r="FM40" t="e">
        <f t="shared" ca="1" si="140"/>
        <v>#VALUE!</v>
      </c>
      <c r="FN40">
        <v>130617</v>
      </c>
      <c r="FO40">
        <f>ROUND((ELEMENT!EH38*(1-$H$2)*(1+$E$4)),0)*C40</f>
        <v>0</v>
      </c>
      <c r="FP40">
        <f t="shared" si="141"/>
        <v>0</v>
      </c>
      <c r="FQ40">
        <f t="shared" si="142"/>
        <v>0</v>
      </c>
      <c r="FR40">
        <f t="shared" si="143"/>
        <v>0</v>
      </c>
      <c r="FS40" t="str">
        <f>IF(ELEMENT!AO38="","",H40*C40)</f>
        <v/>
      </c>
      <c r="FT40">
        <f t="shared" si="144"/>
        <v>0</v>
      </c>
      <c r="FU40">
        <f t="shared" si="145"/>
        <v>0</v>
      </c>
      <c r="FV40">
        <f t="shared" si="146"/>
        <v>2.5499999999999998</v>
      </c>
      <c r="FW40">
        <f t="shared" si="147"/>
        <v>4.66</v>
      </c>
      <c r="FX40">
        <f t="shared" si="148"/>
        <v>0.36</v>
      </c>
      <c r="FY40">
        <f>ELEMENT!AR38</f>
        <v>2</v>
      </c>
      <c r="FZ40">
        <f>ELEMENT!L38</f>
        <v>1</v>
      </c>
      <c r="GA40">
        <f>ELEMENT!M38</f>
        <v>1</v>
      </c>
      <c r="GB40">
        <f>ELEMENT!N38</f>
        <v>2</v>
      </c>
      <c r="GC40">
        <f>ELEMENT!O38</f>
        <v>0</v>
      </c>
      <c r="GD40">
        <f t="shared" si="149"/>
        <v>0</v>
      </c>
      <c r="GE40">
        <f>IF(GI40=ELEMENT!$CJ$59,$GW$8,
IF(GI40=ELEMENT!$CK$59,$GW$16,
IF(GI40=ELEMENT!$CL$59,$GW$24,)))</f>
        <v>4.0999999999999996</v>
      </c>
      <c r="GF40">
        <f>IF(GI40=ELEMENT!$CJ$59,$GW$9,
IF(GI40=ELEMENT!$CK$59,$GW$17,
IF(GI40=ELEMENT!$CL$59,$GW$25,)))</f>
        <v>1.2869999999999999</v>
      </c>
      <c r="GG40">
        <f>IF(GI40=ELEMENT!$CJ$59,$GW$10,
IF(GI40=ELEMENT!$CK$59,$GW$18,
IF(GI40=ELEMENT!$CL$59,$GW$26,)))</f>
        <v>3.032</v>
      </c>
      <c r="GH40">
        <f>IF(GI40=ELEMENT!$CJ$59,$GW$12,
IF(GI40=ELEMENT!$CK$59,$GW$20,
IF(GI40=ELEMENT!$CL$59,$GW$28,)))</f>
        <v>1.87</v>
      </c>
      <c r="GI40">
        <f>ELEMENT!G38</f>
        <v>0</v>
      </c>
      <c r="GJ40">
        <f>ELEMENT!BD38</f>
        <v>0</v>
      </c>
      <c r="GL40">
        <f>ELEMENT!R38</f>
        <v>0</v>
      </c>
      <c r="GM40">
        <f>ELEMENT!S38</f>
        <v>0</v>
      </c>
      <c r="GN40">
        <f>ELEMENT!T38</f>
        <v>0</v>
      </c>
      <c r="GP40">
        <f>ELEMENT!AU38</f>
        <v>0</v>
      </c>
      <c r="GQ40">
        <f>ELEMENT!AY38</f>
        <v>0</v>
      </c>
      <c r="GR40">
        <f t="shared" si="150"/>
        <v>0</v>
      </c>
      <c r="GS40">
        <f>ELEMENT!BE38</f>
        <v>0</v>
      </c>
      <c r="GV40">
        <f>ELEMENT!BF39</f>
        <v>0</v>
      </c>
      <c r="GW40">
        <f>ELEMENT!BO39</f>
        <v>0.86</v>
      </c>
      <c r="GX40">
        <f>ELEMENT!BP39</f>
        <v>0</v>
      </c>
      <c r="GY40">
        <f>ELEMENT!BQ54</f>
        <v>0</v>
      </c>
    </row>
    <row r="41" spans="1:207" x14ac:dyDescent="0.2">
      <c r="A41" s="142"/>
      <c r="B41" s="184">
        <f>(ELEMENT!B39)</f>
        <v>0</v>
      </c>
      <c r="C41" s="184">
        <f>SUM(ELEMENT!C39)</f>
        <v>0</v>
      </c>
      <c r="D41" s="184">
        <f>ELEMENT!D39</f>
        <v>0</v>
      </c>
      <c r="E41" s="184">
        <f>ELEMENT!E39</f>
        <v>0</v>
      </c>
      <c r="F41" s="184">
        <f t="shared" si="93"/>
        <v>0</v>
      </c>
      <c r="G41" s="135" t="str">
        <f>ELEMENT!AH39</f>
        <v/>
      </c>
      <c r="H41" s="191" t="str">
        <f>IF(ELEMENT!AO39="","",ELEMENT!AA39*ELEMENT!DQ39)</f>
        <v/>
      </c>
      <c r="I41" s="184">
        <f t="shared" si="94"/>
        <v>0</v>
      </c>
      <c r="J41" s="136">
        <f>ROUND(ELEMENT!DE39,1)</f>
        <v>0</v>
      </c>
      <c r="K41" s="198"/>
      <c r="L41" s="198">
        <f t="shared" si="91"/>
        <v>0</v>
      </c>
      <c r="M41" s="198"/>
      <c r="N41" s="198"/>
      <c r="O41" s="198"/>
      <c r="P41" s="137" t="e">
        <f ca="1">(ROUND((ELEMENT!AC39-ELEMENT!EG39)*$P$2*(1-$H$2)*(1+$E$4),0)+ROUND((ELEMENT!EG39)*$P$2*(1-$H$2)*(1+$E$4),0))</f>
        <v>#VALUE!</v>
      </c>
      <c r="Q41" s="137" t="e">
        <f t="shared" ca="1" si="95"/>
        <v>#VALUE!</v>
      </c>
      <c r="R41" s="138" t="e">
        <f t="shared" ca="1" si="96"/>
        <v>#VALUE!</v>
      </c>
      <c r="S41" s="139" t="e">
        <f t="shared" ca="1" si="97"/>
        <v>#VALUE!</v>
      </c>
      <c r="T41" s="132" t="str">
        <f ca="1">IF(ELEMENT!AC39="","",P41+S41)</f>
        <v/>
      </c>
      <c r="U41" s="132" t="str">
        <f ca="1">IF(ELEMENT!AC39="","",C41*T41)</f>
        <v/>
      </c>
      <c r="V41" s="132" t="str">
        <f>IF(ELEMENT!AW39="JA",ELEMENT!V39,IF(D41+E41=0,"",SUM(T41/ELEMENT!AA39)))</f>
        <v/>
      </c>
      <c r="W41" s="199">
        <f t="shared" si="92"/>
        <v>1</v>
      </c>
      <c r="X41" s="141">
        <f t="shared" si="98"/>
        <v>0</v>
      </c>
      <c r="Y41" s="199" t="s">
        <v>1276</v>
      </c>
      <c r="Z41" s="141">
        <f t="shared" si="99"/>
        <v>0</v>
      </c>
      <c r="AA41" s="199"/>
      <c r="AB41" s="141">
        <f t="shared" si="100"/>
        <v>0</v>
      </c>
      <c r="AC41" s="199"/>
      <c r="AD41" s="141">
        <f t="shared" si="101"/>
        <v>0</v>
      </c>
      <c r="AE41" s="199"/>
      <c r="AF41" s="141">
        <f t="shared" si="102"/>
        <v>0</v>
      </c>
      <c r="AG41" s="199"/>
      <c r="AH41" s="141">
        <f t="shared" si="103"/>
        <v>0</v>
      </c>
      <c r="AI41" s="140"/>
      <c r="AJ41" s="141">
        <f t="shared" si="104"/>
        <v>0</v>
      </c>
      <c r="AK41" s="140"/>
      <c r="AL41" s="141">
        <f t="shared" si="105"/>
        <v>0</v>
      </c>
      <c r="AM41" s="140"/>
      <c r="AN41" s="141">
        <f t="shared" si="106"/>
        <v>0</v>
      </c>
      <c r="AO41" s="140"/>
      <c r="AP41" s="141">
        <f t="shared" si="107"/>
        <v>0</v>
      </c>
      <c r="AQ41" s="140"/>
      <c r="AR41" s="141">
        <f t="shared" si="108"/>
        <v>0</v>
      </c>
      <c r="AS41" s="140"/>
      <c r="AT41" s="141">
        <f t="shared" si="109"/>
        <v>0</v>
      </c>
      <c r="AU41" s="140"/>
      <c r="AV41" s="141">
        <f t="shared" si="110"/>
        <v>0</v>
      </c>
      <c r="AW41" s="140"/>
      <c r="AX41" s="141">
        <f t="shared" si="111"/>
        <v>0</v>
      </c>
      <c r="AY41" s="140"/>
      <c r="AZ41" s="141">
        <f t="shared" si="112"/>
        <v>0</v>
      </c>
      <c r="BA41" s="140"/>
      <c r="BB41" s="141">
        <f t="shared" si="112"/>
        <v>0</v>
      </c>
      <c r="BC41" s="140"/>
      <c r="BD41" s="141">
        <f t="shared" si="112"/>
        <v>0</v>
      </c>
      <c r="BE41" s="140"/>
      <c r="BF41" s="141">
        <f t="shared" si="112"/>
        <v>0</v>
      </c>
      <c r="BG41" s="140"/>
      <c r="BH41" s="141">
        <f t="shared" si="112"/>
        <v>0</v>
      </c>
      <c r="BI41" s="140"/>
      <c r="BJ41" s="141">
        <f t="shared" si="112"/>
        <v>0</v>
      </c>
      <c r="BK41" s="140"/>
      <c r="BL41" s="141">
        <f t="shared" si="112"/>
        <v>0</v>
      </c>
      <c r="BM41" s="140"/>
      <c r="BN41" s="141">
        <f t="shared" si="167"/>
        <v>0</v>
      </c>
      <c r="BO41" s="140"/>
      <c r="BP41" s="141">
        <f t="shared" si="159"/>
        <v>0</v>
      </c>
      <c r="BQ41" s="140"/>
      <c r="BR41" s="141">
        <f t="shared" si="160"/>
        <v>0</v>
      </c>
      <c r="BS41" s="140"/>
      <c r="BT41" s="141">
        <f t="shared" si="161"/>
        <v>0</v>
      </c>
      <c r="BU41" s="140"/>
      <c r="BV41" s="141">
        <f t="shared" si="162"/>
        <v>0</v>
      </c>
      <c r="BW41" s="140"/>
      <c r="BX41" s="141">
        <f t="shared" si="163"/>
        <v>0</v>
      </c>
      <c r="BY41" s="140"/>
      <c r="BZ41" s="141">
        <f t="shared" si="164"/>
        <v>0</v>
      </c>
      <c r="CA41" s="140"/>
      <c r="CB41" s="141">
        <f t="shared" si="165"/>
        <v>0</v>
      </c>
      <c r="CC41" s="140"/>
      <c r="CD41" s="141">
        <f t="shared" si="166"/>
        <v>0</v>
      </c>
      <c r="CE41" s="119"/>
      <c r="CF41" s="119"/>
      <c r="CG41" s="119"/>
      <c r="CH41" s="119"/>
      <c r="CI41" s="119"/>
      <c r="CJ41" s="119"/>
      <c r="CM41">
        <f t="shared" si="113"/>
        <v>0</v>
      </c>
      <c r="CN41" t="str">
        <f ca="1">ELEMENT!AC39</f>
        <v/>
      </c>
      <c r="CO41">
        <f t="shared" ca="1" si="114"/>
        <v>0</v>
      </c>
      <c r="CP41" t="str">
        <f t="shared" ca="1" si="115"/>
        <v/>
      </c>
      <c r="CQ41" t="str">
        <f t="shared" ca="1" si="116"/>
        <v/>
      </c>
      <c r="CR41">
        <f t="shared" ca="1" si="117"/>
        <v>0</v>
      </c>
      <c r="CS41">
        <f t="shared" ca="1" si="118"/>
        <v>0</v>
      </c>
      <c r="CT41">
        <f t="shared" si="119"/>
        <v>0</v>
      </c>
      <c r="CU41" t="str">
        <f t="shared" ca="1" si="120"/>
        <v/>
      </c>
      <c r="CV41">
        <f t="shared" si="121"/>
        <v>0</v>
      </c>
      <c r="CW41">
        <f t="shared" si="122"/>
        <v>0</v>
      </c>
      <c r="CX41">
        <f t="shared" si="123"/>
        <v>0</v>
      </c>
      <c r="DC41" t="str">
        <f t="shared" si="124"/>
        <v/>
      </c>
      <c r="DE41">
        <f t="shared" si="125"/>
        <v>0</v>
      </c>
      <c r="DG41" t="str">
        <f t="shared" si="126"/>
        <v/>
      </c>
      <c r="DI41" t="str">
        <f t="shared" si="127"/>
        <v/>
      </c>
      <c r="DK41" t="str">
        <f t="shared" si="128"/>
        <v/>
      </c>
      <c r="DM41" t="str">
        <f t="shared" si="129"/>
        <v/>
      </c>
      <c r="DO41" t="str">
        <f t="shared" si="130"/>
        <v/>
      </c>
      <c r="DQ41" t="str">
        <f t="shared" si="131"/>
        <v/>
      </c>
      <c r="DS41" t="str">
        <f t="shared" si="132"/>
        <v/>
      </c>
      <c r="DU41" t="str">
        <f t="shared" si="133"/>
        <v/>
      </c>
      <c r="DW41" t="str">
        <f t="shared" si="134"/>
        <v/>
      </c>
      <c r="DY41" t="str">
        <f t="shared" si="135"/>
        <v/>
      </c>
      <c r="EA41" t="str">
        <f t="shared" si="136"/>
        <v/>
      </c>
      <c r="EC41" t="str">
        <f t="shared" si="137"/>
        <v/>
      </c>
      <c r="EE41" t="str">
        <f t="shared" si="138"/>
        <v/>
      </c>
      <c r="EG41" t="str">
        <f t="shared" si="138"/>
        <v/>
      </c>
      <c r="EI41" t="str">
        <f t="shared" si="138"/>
        <v/>
      </c>
      <c r="EK41" t="str">
        <f t="shared" si="138"/>
        <v/>
      </c>
      <c r="EM41" t="str">
        <f t="shared" si="138"/>
        <v/>
      </c>
      <c r="EO41" t="str">
        <f t="shared" si="138"/>
        <v/>
      </c>
      <c r="EQ41" t="str">
        <f t="shared" si="138"/>
        <v/>
      </c>
      <c r="ES41" t="str">
        <f t="shared" si="168"/>
        <v/>
      </c>
      <c r="EU41" t="str">
        <f t="shared" si="151"/>
        <v/>
      </c>
      <c r="EW41" t="str">
        <f t="shared" si="152"/>
        <v/>
      </c>
      <c r="EY41" t="str">
        <f t="shared" si="153"/>
        <v/>
      </c>
      <c r="FA41" t="str">
        <f t="shared" si="154"/>
        <v/>
      </c>
      <c r="FC41" t="str">
        <f t="shared" si="155"/>
        <v/>
      </c>
      <c r="FE41" t="str">
        <f t="shared" si="156"/>
        <v/>
      </c>
      <c r="FG41" t="str">
        <f t="shared" si="157"/>
        <v/>
      </c>
      <c r="FI41" t="str">
        <f t="shared" si="158"/>
        <v/>
      </c>
      <c r="FL41" t="str">
        <f t="shared" si="139"/>
        <v/>
      </c>
      <c r="FM41" t="e">
        <f t="shared" ca="1" si="140"/>
        <v>#VALUE!</v>
      </c>
      <c r="FN41">
        <v>130618</v>
      </c>
      <c r="FO41">
        <f>ROUND((ELEMENT!EH39*(1-$H$2)*(1+$E$4)),0)*C41</f>
        <v>0</v>
      </c>
      <c r="FP41">
        <f t="shared" si="141"/>
        <v>0</v>
      </c>
      <c r="FQ41">
        <f t="shared" si="142"/>
        <v>0</v>
      </c>
      <c r="FR41">
        <f t="shared" si="143"/>
        <v>0</v>
      </c>
      <c r="FS41" t="str">
        <f>IF(ELEMENT!AO39="","",H41*C41)</f>
        <v/>
      </c>
      <c r="FT41">
        <f t="shared" si="144"/>
        <v>0</v>
      </c>
      <c r="FU41">
        <f t="shared" si="145"/>
        <v>0</v>
      </c>
      <c r="FV41">
        <f t="shared" si="146"/>
        <v>2.5499999999999998</v>
      </c>
      <c r="FW41">
        <f t="shared" si="147"/>
        <v>4.66</v>
      </c>
      <c r="FX41">
        <f t="shared" si="148"/>
        <v>0.36</v>
      </c>
      <c r="FY41">
        <f>ELEMENT!AR39</f>
        <v>2</v>
      </c>
      <c r="FZ41">
        <f>ELEMENT!L39</f>
        <v>1</v>
      </c>
      <c r="GA41">
        <f>ELEMENT!M39</f>
        <v>1</v>
      </c>
      <c r="GB41">
        <f>ELEMENT!N39</f>
        <v>2</v>
      </c>
      <c r="GC41">
        <f>ELEMENT!O39</f>
        <v>0</v>
      </c>
      <c r="GD41">
        <f t="shared" si="149"/>
        <v>0</v>
      </c>
      <c r="GE41">
        <f>IF(GI41=ELEMENT!$CJ$59,$GW$8,
IF(GI41=ELEMENT!$CK$59,$GW$16,
IF(GI41=ELEMENT!$CL$59,$GW$24,)))</f>
        <v>4.0999999999999996</v>
      </c>
      <c r="GF41">
        <f>IF(GI41=ELEMENT!$CJ$59,$GW$9,
IF(GI41=ELEMENT!$CK$59,$GW$17,
IF(GI41=ELEMENT!$CL$59,$GW$25,)))</f>
        <v>1.2869999999999999</v>
      </c>
      <c r="GG41">
        <f>IF(GI41=ELEMENT!$CJ$59,$GW$10,
IF(GI41=ELEMENT!$CK$59,$GW$18,
IF(GI41=ELEMENT!$CL$59,$GW$26,)))</f>
        <v>3.032</v>
      </c>
      <c r="GH41">
        <f>IF(GI41=ELEMENT!$CJ$59,$GW$12,
IF(GI41=ELEMENT!$CK$59,$GW$20,
IF(GI41=ELEMENT!$CL$59,$GW$28,)))</f>
        <v>1.87</v>
      </c>
      <c r="GI41">
        <f>ELEMENT!G39</f>
        <v>0</v>
      </c>
      <c r="GJ41">
        <f>ELEMENT!BD39</f>
        <v>0</v>
      </c>
      <c r="GL41">
        <f>ELEMENT!R39</f>
        <v>0</v>
      </c>
      <c r="GM41">
        <f>ELEMENT!S39</f>
        <v>0</v>
      </c>
      <c r="GN41">
        <f>ELEMENT!T39</f>
        <v>0</v>
      </c>
      <c r="GP41">
        <f>ELEMENT!AU39</f>
        <v>0</v>
      </c>
      <c r="GQ41">
        <f>ELEMENT!AY39</f>
        <v>0</v>
      </c>
      <c r="GR41">
        <f t="shared" si="150"/>
        <v>0</v>
      </c>
      <c r="GS41">
        <f>ELEMENT!BE39</f>
        <v>0</v>
      </c>
      <c r="GV41">
        <f>ELEMENT!BF40</f>
        <v>0</v>
      </c>
      <c r="GW41">
        <f>ELEMENT!BO40</f>
        <v>5.44</v>
      </c>
      <c r="GX41">
        <f>ELEMENT!BP40</f>
        <v>230</v>
      </c>
      <c r="GY41">
        <f>ELEMENT!BQ55</f>
        <v>0</v>
      </c>
    </row>
    <row r="42" spans="1:207" x14ac:dyDescent="0.2">
      <c r="A42" s="142"/>
      <c r="B42" s="184">
        <f>(ELEMENT!B40)</f>
        <v>0</v>
      </c>
      <c r="C42" s="184">
        <f>SUM(ELEMENT!C40)</f>
        <v>0</v>
      </c>
      <c r="D42" s="184">
        <f>ELEMENT!D40</f>
        <v>0</v>
      </c>
      <c r="E42" s="184">
        <f>ELEMENT!E40</f>
        <v>0</v>
      </c>
      <c r="F42" s="184">
        <f t="shared" si="93"/>
        <v>0</v>
      </c>
      <c r="G42" s="135" t="str">
        <f>ELEMENT!AH40</f>
        <v/>
      </c>
      <c r="H42" s="191" t="str">
        <f>IF(ELEMENT!AO40="","",ELEMENT!AA40*ELEMENT!DQ40)</f>
        <v/>
      </c>
      <c r="I42" s="184">
        <f t="shared" si="94"/>
        <v>0</v>
      </c>
      <c r="J42" s="136">
        <f>ROUND(ELEMENT!DE40,1)</f>
        <v>0</v>
      </c>
      <c r="K42" s="198"/>
      <c r="L42" s="198">
        <f t="shared" si="91"/>
        <v>0</v>
      </c>
      <c r="M42" s="198"/>
      <c r="N42" s="198"/>
      <c r="O42" s="198"/>
      <c r="P42" s="137" t="e">
        <f ca="1">(ROUND((ELEMENT!AC40-ELEMENT!EG40)*$P$2*(1-$H$2)*(1+$E$4),0)+ROUND((ELEMENT!EG40)*$P$2*(1-$H$2)*(1+$E$4),0))</f>
        <v>#VALUE!</v>
      </c>
      <c r="Q42" s="137" t="e">
        <f t="shared" ca="1" si="95"/>
        <v>#VALUE!</v>
      </c>
      <c r="R42" s="138" t="e">
        <f t="shared" ca="1" si="96"/>
        <v>#VALUE!</v>
      </c>
      <c r="S42" s="139" t="e">
        <f t="shared" ca="1" si="97"/>
        <v>#VALUE!</v>
      </c>
      <c r="T42" s="132" t="str">
        <f ca="1">IF(ELEMENT!AC40="","",P42+S42)</f>
        <v/>
      </c>
      <c r="U42" s="132" t="str">
        <f ca="1">IF(ELEMENT!AC40="","",C42*T42)</f>
        <v/>
      </c>
      <c r="V42" s="132" t="str">
        <f>IF(ELEMENT!AW40="JA",ELEMENT!V40,IF(D42+E42=0,"",SUM(T42/ELEMENT!AA40)))</f>
        <v/>
      </c>
      <c r="W42" s="199">
        <f t="shared" si="92"/>
        <v>1</v>
      </c>
      <c r="X42" s="141">
        <f t="shared" si="98"/>
        <v>0</v>
      </c>
      <c r="Y42" s="199" t="s">
        <v>1276</v>
      </c>
      <c r="Z42" s="141">
        <f t="shared" si="99"/>
        <v>0</v>
      </c>
      <c r="AA42" s="199"/>
      <c r="AB42" s="141">
        <f t="shared" si="100"/>
        <v>0</v>
      </c>
      <c r="AC42" s="199"/>
      <c r="AD42" s="141">
        <f t="shared" si="101"/>
        <v>0</v>
      </c>
      <c r="AE42" s="199"/>
      <c r="AF42" s="141">
        <f t="shared" si="102"/>
        <v>0</v>
      </c>
      <c r="AG42" s="199"/>
      <c r="AH42" s="141">
        <f t="shared" si="103"/>
        <v>0</v>
      </c>
      <c r="AI42" s="140"/>
      <c r="AJ42" s="141">
        <f t="shared" si="104"/>
        <v>0</v>
      </c>
      <c r="AK42" s="140"/>
      <c r="AL42" s="141">
        <f t="shared" si="105"/>
        <v>0</v>
      </c>
      <c r="AM42" s="140"/>
      <c r="AN42" s="141">
        <f t="shared" si="106"/>
        <v>0</v>
      </c>
      <c r="AO42" s="140"/>
      <c r="AP42" s="141">
        <f t="shared" si="107"/>
        <v>0</v>
      </c>
      <c r="AQ42" s="140"/>
      <c r="AR42" s="141">
        <f t="shared" si="108"/>
        <v>0</v>
      </c>
      <c r="AS42" s="140"/>
      <c r="AT42" s="141">
        <f t="shared" si="109"/>
        <v>0</v>
      </c>
      <c r="AU42" s="140"/>
      <c r="AV42" s="141">
        <f t="shared" si="110"/>
        <v>0</v>
      </c>
      <c r="AW42" s="140"/>
      <c r="AX42" s="141">
        <f t="shared" si="111"/>
        <v>0</v>
      </c>
      <c r="AY42" s="140"/>
      <c r="AZ42" s="141">
        <f t="shared" si="112"/>
        <v>0</v>
      </c>
      <c r="BA42" s="140"/>
      <c r="BB42" s="141">
        <f t="shared" si="112"/>
        <v>0</v>
      </c>
      <c r="BC42" s="140"/>
      <c r="BD42" s="141">
        <f t="shared" si="112"/>
        <v>0</v>
      </c>
      <c r="BE42" s="140"/>
      <c r="BF42" s="141">
        <f t="shared" si="112"/>
        <v>0</v>
      </c>
      <c r="BG42" s="140"/>
      <c r="BH42" s="141">
        <f t="shared" si="112"/>
        <v>0</v>
      </c>
      <c r="BI42" s="140"/>
      <c r="BJ42" s="141">
        <f t="shared" si="112"/>
        <v>0</v>
      </c>
      <c r="BK42" s="140"/>
      <c r="BL42" s="141">
        <f t="shared" si="112"/>
        <v>0</v>
      </c>
      <c r="BM42" s="140"/>
      <c r="BN42" s="141">
        <f t="shared" si="167"/>
        <v>0</v>
      </c>
      <c r="BO42" s="140"/>
      <c r="BP42" s="141">
        <f t="shared" si="159"/>
        <v>0</v>
      </c>
      <c r="BQ42" s="140"/>
      <c r="BR42" s="141">
        <f t="shared" si="160"/>
        <v>0</v>
      </c>
      <c r="BS42" s="140"/>
      <c r="BT42" s="141">
        <f t="shared" si="161"/>
        <v>0</v>
      </c>
      <c r="BU42" s="140"/>
      <c r="BV42" s="141">
        <f t="shared" si="162"/>
        <v>0</v>
      </c>
      <c r="BW42" s="140"/>
      <c r="BX42" s="141">
        <f t="shared" si="163"/>
        <v>0</v>
      </c>
      <c r="BY42" s="140"/>
      <c r="BZ42" s="141">
        <f t="shared" si="164"/>
        <v>0</v>
      </c>
      <c r="CA42" s="140"/>
      <c r="CB42" s="141">
        <f t="shared" si="165"/>
        <v>0</v>
      </c>
      <c r="CC42" s="140"/>
      <c r="CD42" s="141">
        <f t="shared" si="166"/>
        <v>0</v>
      </c>
      <c r="CE42" s="119"/>
      <c r="CF42" s="119"/>
      <c r="CG42" s="119"/>
      <c r="CH42" s="119"/>
      <c r="CI42" s="119"/>
      <c r="CJ42" s="119"/>
      <c r="CM42">
        <f t="shared" si="113"/>
        <v>0</v>
      </c>
      <c r="CN42" t="str">
        <f ca="1">ELEMENT!AC40</f>
        <v/>
      </c>
      <c r="CO42">
        <f t="shared" ca="1" si="114"/>
        <v>0</v>
      </c>
      <c r="CP42" t="str">
        <f t="shared" ca="1" si="115"/>
        <v/>
      </c>
      <c r="CQ42" t="str">
        <f t="shared" ca="1" si="116"/>
        <v/>
      </c>
      <c r="CR42">
        <f t="shared" ca="1" si="117"/>
        <v>0</v>
      </c>
      <c r="CS42">
        <f t="shared" ca="1" si="118"/>
        <v>0</v>
      </c>
      <c r="CT42">
        <f t="shared" si="119"/>
        <v>0</v>
      </c>
      <c r="CU42" t="str">
        <f t="shared" ca="1" si="120"/>
        <v/>
      </c>
      <c r="CV42">
        <f t="shared" si="121"/>
        <v>0</v>
      </c>
      <c r="CW42">
        <f t="shared" si="122"/>
        <v>0</v>
      </c>
      <c r="CX42">
        <f t="shared" si="123"/>
        <v>0</v>
      </c>
      <c r="DC42" t="str">
        <f t="shared" si="124"/>
        <v/>
      </c>
      <c r="DE42">
        <f t="shared" si="125"/>
        <v>0</v>
      </c>
      <c r="DG42" t="str">
        <f t="shared" si="126"/>
        <v/>
      </c>
      <c r="DI42" t="str">
        <f t="shared" si="127"/>
        <v/>
      </c>
      <c r="DK42" t="str">
        <f t="shared" si="128"/>
        <v/>
      </c>
      <c r="DM42" t="str">
        <f t="shared" si="129"/>
        <v/>
      </c>
      <c r="DO42" t="str">
        <f t="shared" si="130"/>
        <v/>
      </c>
      <c r="DQ42" t="str">
        <f t="shared" si="131"/>
        <v/>
      </c>
      <c r="DS42" t="str">
        <f t="shared" si="132"/>
        <v/>
      </c>
      <c r="DU42" t="str">
        <f t="shared" si="133"/>
        <v/>
      </c>
      <c r="DW42" t="str">
        <f t="shared" si="134"/>
        <v/>
      </c>
      <c r="DY42" t="str">
        <f t="shared" si="135"/>
        <v/>
      </c>
      <c r="EA42" t="str">
        <f t="shared" si="136"/>
        <v/>
      </c>
      <c r="EC42" t="str">
        <f t="shared" si="137"/>
        <v/>
      </c>
      <c r="EE42" t="str">
        <f t="shared" si="138"/>
        <v/>
      </c>
      <c r="EG42" t="str">
        <f t="shared" si="138"/>
        <v/>
      </c>
      <c r="EI42" t="str">
        <f t="shared" si="138"/>
        <v/>
      </c>
      <c r="EK42" t="str">
        <f t="shared" si="138"/>
        <v/>
      </c>
      <c r="EM42" t="str">
        <f t="shared" si="138"/>
        <v/>
      </c>
      <c r="EO42" t="str">
        <f t="shared" si="138"/>
        <v/>
      </c>
      <c r="EQ42" t="str">
        <f t="shared" si="138"/>
        <v/>
      </c>
      <c r="ES42" t="str">
        <f t="shared" si="168"/>
        <v/>
      </c>
      <c r="EU42" t="str">
        <f t="shared" si="151"/>
        <v/>
      </c>
      <c r="EW42" t="str">
        <f t="shared" si="152"/>
        <v/>
      </c>
      <c r="EY42" t="str">
        <f t="shared" si="153"/>
        <v/>
      </c>
      <c r="FA42" t="str">
        <f t="shared" si="154"/>
        <v/>
      </c>
      <c r="FC42" t="str">
        <f t="shared" si="155"/>
        <v/>
      </c>
      <c r="FE42" t="str">
        <f t="shared" si="156"/>
        <v/>
      </c>
      <c r="FG42" t="str">
        <f t="shared" si="157"/>
        <v/>
      </c>
      <c r="FI42" t="str">
        <f t="shared" si="158"/>
        <v/>
      </c>
      <c r="FL42" t="str">
        <f t="shared" si="139"/>
        <v/>
      </c>
      <c r="FM42" t="e">
        <f t="shared" ca="1" si="140"/>
        <v>#VALUE!</v>
      </c>
      <c r="FN42">
        <v>130619</v>
      </c>
      <c r="FO42">
        <f>ROUND((ELEMENT!EH40*(1-$H$2)*(1+$E$4)),0)*C42</f>
        <v>0</v>
      </c>
      <c r="FP42">
        <f t="shared" si="141"/>
        <v>0</v>
      </c>
      <c r="FQ42">
        <f t="shared" si="142"/>
        <v>0</v>
      </c>
      <c r="FR42">
        <f t="shared" si="143"/>
        <v>0</v>
      </c>
      <c r="FS42" t="str">
        <f>IF(ELEMENT!AO40="","",H42*C42)</f>
        <v/>
      </c>
      <c r="FT42">
        <f t="shared" si="144"/>
        <v>0</v>
      </c>
      <c r="FU42">
        <f t="shared" si="145"/>
        <v>0</v>
      </c>
      <c r="FV42">
        <f t="shared" si="146"/>
        <v>2.5499999999999998</v>
      </c>
      <c r="FW42">
        <f t="shared" si="147"/>
        <v>4.66</v>
      </c>
      <c r="FX42">
        <f t="shared" si="148"/>
        <v>0.36</v>
      </c>
      <c r="FY42">
        <f>ELEMENT!AR40</f>
        <v>2</v>
      </c>
      <c r="FZ42">
        <f>ELEMENT!L40</f>
        <v>1</v>
      </c>
      <c r="GA42">
        <f>ELEMENT!M40</f>
        <v>1</v>
      </c>
      <c r="GB42">
        <f>ELEMENT!N40</f>
        <v>2</v>
      </c>
      <c r="GC42">
        <f>ELEMENT!O40</f>
        <v>0</v>
      </c>
      <c r="GD42">
        <f t="shared" si="149"/>
        <v>0</v>
      </c>
      <c r="GE42">
        <f>IF(GI42=ELEMENT!$CJ$59,$GW$8,
IF(GI42=ELEMENT!$CK$59,$GW$16,
IF(GI42=ELEMENT!$CL$59,$GW$24,)))</f>
        <v>4.0999999999999996</v>
      </c>
      <c r="GF42">
        <f>IF(GI42=ELEMENT!$CJ$59,$GW$9,
IF(GI42=ELEMENT!$CK$59,$GW$17,
IF(GI42=ELEMENT!$CL$59,$GW$25,)))</f>
        <v>1.2869999999999999</v>
      </c>
      <c r="GG42">
        <f>IF(GI42=ELEMENT!$CJ$59,$GW$10,
IF(GI42=ELEMENT!$CK$59,$GW$18,
IF(GI42=ELEMENT!$CL$59,$GW$26,)))</f>
        <v>3.032</v>
      </c>
      <c r="GH42">
        <f>IF(GI42=ELEMENT!$CJ$59,$GW$12,
IF(GI42=ELEMENT!$CK$59,$GW$20,
IF(GI42=ELEMENT!$CL$59,$GW$28,)))</f>
        <v>1.87</v>
      </c>
      <c r="GI42">
        <f>ELEMENT!G40</f>
        <v>0</v>
      </c>
      <c r="GJ42">
        <f>ELEMENT!BD40</f>
        <v>0</v>
      </c>
      <c r="GL42">
        <f>ELEMENT!R40</f>
        <v>0</v>
      </c>
      <c r="GM42">
        <f>ELEMENT!S40</f>
        <v>0</v>
      </c>
      <c r="GN42">
        <f>ELEMENT!T40</f>
        <v>0</v>
      </c>
      <c r="GP42">
        <f>ELEMENT!AU40</f>
        <v>0</v>
      </c>
      <c r="GQ42">
        <f>ELEMENT!AY40</f>
        <v>0</v>
      </c>
      <c r="GR42">
        <f t="shared" si="150"/>
        <v>0</v>
      </c>
      <c r="GS42">
        <f>ELEMENT!BE40</f>
        <v>0</v>
      </c>
      <c r="GV42">
        <f>ELEMENT!BF41</f>
        <v>0</v>
      </c>
      <c r="GW42">
        <f>ELEMENT!BO41</f>
        <v>9.1310000000000002</v>
      </c>
      <c r="GX42">
        <f>ELEMENT!BP41</f>
        <v>0</v>
      </c>
      <c r="GY42">
        <f>ELEMENT!BQ56</f>
        <v>0</v>
      </c>
    </row>
    <row r="43" spans="1:207" x14ac:dyDescent="0.2">
      <c r="A43" s="142"/>
      <c r="B43" s="184">
        <f>(ELEMENT!B41)</f>
        <v>0</v>
      </c>
      <c r="C43" s="184">
        <f>SUM(ELEMENT!C41)</f>
        <v>0</v>
      </c>
      <c r="D43" s="184">
        <f>ELEMENT!D41</f>
        <v>0</v>
      </c>
      <c r="E43" s="184">
        <f>ELEMENT!E41</f>
        <v>0</v>
      </c>
      <c r="F43" s="184">
        <f t="shared" si="93"/>
        <v>0</v>
      </c>
      <c r="G43" s="135" t="str">
        <f>ELEMENT!AH41</f>
        <v/>
      </c>
      <c r="H43" s="191" t="str">
        <f>IF(ELEMENT!AO41="","",ELEMENT!AA41*ELEMENT!DQ41)</f>
        <v/>
      </c>
      <c r="I43" s="184">
        <f t="shared" si="94"/>
        <v>0</v>
      </c>
      <c r="J43" s="136">
        <f>ROUND(ELEMENT!DE41,1)</f>
        <v>0</v>
      </c>
      <c r="K43" s="198"/>
      <c r="L43" s="198">
        <f t="shared" si="91"/>
        <v>0</v>
      </c>
      <c r="M43" s="198"/>
      <c r="N43" s="198"/>
      <c r="O43" s="198"/>
      <c r="P43" s="137" t="e">
        <f ca="1">(ROUND((ELEMENT!AC41-ELEMENT!EG41)*$P$2*(1-$H$2)*(1+$E$4),0)+ROUND((ELEMENT!EG41)*$P$2*(1-$H$2)*(1+$E$4),0))</f>
        <v>#VALUE!</v>
      </c>
      <c r="Q43" s="137" t="e">
        <f t="shared" ca="1" si="95"/>
        <v>#VALUE!</v>
      </c>
      <c r="R43" s="138" t="e">
        <f t="shared" ca="1" si="96"/>
        <v>#VALUE!</v>
      </c>
      <c r="S43" s="139" t="e">
        <f t="shared" ca="1" si="97"/>
        <v>#VALUE!</v>
      </c>
      <c r="T43" s="132" t="str">
        <f ca="1">IF(ELEMENT!AC41="","",P43+S43)</f>
        <v/>
      </c>
      <c r="U43" s="132" t="str">
        <f ca="1">IF(ELEMENT!AC41="","",C43*T43)</f>
        <v/>
      </c>
      <c r="V43" s="132" t="str">
        <f>IF(ELEMENT!AW41="JA",ELEMENT!V41,IF(D43+E43=0,"",SUM(T43/ELEMENT!AA41)))</f>
        <v/>
      </c>
      <c r="W43" s="199">
        <f t="shared" si="92"/>
        <v>1</v>
      </c>
      <c r="X43" s="141">
        <f t="shared" si="98"/>
        <v>0</v>
      </c>
      <c r="Y43" s="199" t="s">
        <v>1276</v>
      </c>
      <c r="Z43" s="141">
        <f t="shared" si="99"/>
        <v>0</v>
      </c>
      <c r="AA43" s="199"/>
      <c r="AB43" s="141">
        <f t="shared" si="100"/>
        <v>0</v>
      </c>
      <c r="AC43" s="199"/>
      <c r="AD43" s="141">
        <f t="shared" si="101"/>
        <v>0</v>
      </c>
      <c r="AE43" s="199"/>
      <c r="AF43" s="141">
        <f t="shared" si="102"/>
        <v>0</v>
      </c>
      <c r="AG43" s="199"/>
      <c r="AH43" s="141">
        <f t="shared" si="103"/>
        <v>0</v>
      </c>
      <c r="AI43" s="140"/>
      <c r="AJ43" s="141">
        <f t="shared" si="104"/>
        <v>0</v>
      </c>
      <c r="AK43" s="140"/>
      <c r="AL43" s="141">
        <f t="shared" si="105"/>
        <v>0</v>
      </c>
      <c r="AM43" s="140"/>
      <c r="AN43" s="141">
        <f t="shared" si="106"/>
        <v>0</v>
      </c>
      <c r="AO43" s="140"/>
      <c r="AP43" s="141">
        <f t="shared" si="107"/>
        <v>0</v>
      </c>
      <c r="AQ43" s="140"/>
      <c r="AR43" s="141">
        <f t="shared" si="108"/>
        <v>0</v>
      </c>
      <c r="AS43" s="140"/>
      <c r="AT43" s="141">
        <f t="shared" si="109"/>
        <v>0</v>
      </c>
      <c r="AU43" s="140"/>
      <c r="AV43" s="141">
        <f t="shared" si="110"/>
        <v>0</v>
      </c>
      <c r="AW43" s="140"/>
      <c r="AX43" s="141">
        <f t="shared" si="111"/>
        <v>0</v>
      </c>
      <c r="AY43" s="140"/>
      <c r="AZ43" s="141">
        <f t="shared" si="112"/>
        <v>0</v>
      </c>
      <c r="BA43" s="140"/>
      <c r="BB43" s="141">
        <f t="shared" si="112"/>
        <v>0</v>
      </c>
      <c r="BC43" s="140"/>
      <c r="BD43" s="141">
        <f t="shared" si="112"/>
        <v>0</v>
      </c>
      <c r="BE43" s="140"/>
      <c r="BF43" s="141">
        <f t="shared" si="112"/>
        <v>0</v>
      </c>
      <c r="BG43" s="140"/>
      <c r="BH43" s="141">
        <f t="shared" si="112"/>
        <v>0</v>
      </c>
      <c r="BI43" s="140"/>
      <c r="BJ43" s="141">
        <f t="shared" si="112"/>
        <v>0</v>
      </c>
      <c r="BK43" s="140"/>
      <c r="BL43" s="141">
        <f t="shared" si="112"/>
        <v>0</v>
      </c>
      <c r="BM43" s="140"/>
      <c r="BN43" s="141">
        <f t="shared" si="167"/>
        <v>0</v>
      </c>
      <c r="BO43" s="140"/>
      <c r="BP43" s="141">
        <f t="shared" si="159"/>
        <v>0</v>
      </c>
      <c r="BQ43" s="140"/>
      <c r="BR43" s="141">
        <f t="shared" si="160"/>
        <v>0</v>
      </c>
      <c r="BS43" s="140"/>
      <c r="BT43" s="141">
        <f t="shared" si="161"/>
        <v>0</v>
      </c>
      <c r="BU43" s="140"/>
      <c r="BV43" s="141">
        <f t="shared" si="162"/>
        <v>0</v>
      </c>
      <c r="BW43" s="140"/>
      <c r="BX43" s="141">
        <f t="shared" si="163"/>
        <v>0</v>
      </c>
      <c r="BY43" s="140"/>
      <c r="BZ43" s="141">
        <f t="shared" si="164"/>
        <v>0</v>
      </c>
      <c r="CA43" s="140"/>
      <c r="CB43" s="141">
        <f t="shared" si="165"/>
        <v>0</v>
      </c>
      <c r="CC43" s="140"/>
      <c r="CD43" s="141">
        <f t="shared" si="166"/>
        <v>0</v>
      </c>
      <c r="CE43" s="119"/>
      <c r="CF43" s="119"/>
      <c r="CG43" s="119"/>
      <c r="CH43" s="119"/>
      <c r="CI43" s="119"/>
      <c r="CJ43" s="119"/>
      <c r="CM43">
        <f t="shared" si="113"/>
        <v>0</v>
      </c>
      <c r="CN43" t="str">
        <f ca="1">ELEMENT!AC41</f>
        <v/>
      </c>
      <c r="CO43">
        <f t="shared" ca="1" si="114"/>
        <v>0</v>
      </c>
      <c r="CP43" t="str">
        <f t="shared" ca="1" si="115"/>
        <v/>
      </c>
      <c r="CQ43" t="str">
        <f t="shared" ca="1" si="116"/>
        <v/>
      </c>
      <c r="CR43">
        <f t="shared" ca="1" si="117"/>
        <v>0</v>
      </c>
      <c r="CS43">
        <f t="shared" ca="1" si="118"/>
        <v>0</v>
      </c>
      <c r="CT43">
        <f t="shared" si="119"/>
        <v>0</v>
      </c>
      <c r="CU43" t="str">
        <f t="shared" ca="1" si="120"/>
        <v/>
      </c>
      <c r="CV43">
        <f t="shared" si="121"/>
        <v>0</v>
      </c>
      <c r="CW43">
        <f t="shared" si="122"/>
        <v>0</v>
      </c>
      <c r="CX43">
        <f t="shared" si="123"/>
        <v>0</v>
      </c>
      <c r="DC43" t="str">
        <f t="shared" si="124"/>
        <v/>
      </c>
      <c r="DE43">
        <f t="shared" si="125"/>
        <v>0</v>
      </c>
      <c r="DG43" t="str">
        <f t="shared" si="126"/>
        <v/>
      </c>
      <c r="DI43" t="str">
        <f t="shared" si="127"/>
        <v/>
      </c>
      <c r="DK43" t="str">
        <f t="shared" si="128"/>
        <v/>
      </c>
      <c r="DM43" t="str">
        <f t="shared" si="129"/>
        <v/>
      </c>
      <c r="DO43" t="str">
        <f t="shared" si="130"/>
        <v/>
      </c>
      <c r="DQ43" t="str">
        <f t="shared" si="131"/>
        <v/>
      </c>
      <c r="DS43" t="str">
        <f t="shared" si="132"/>
        <v/>
      </c>
      <c r="DU43" t="str">
        <f t="shared" si="133"/>
        <v/>
      </c>
      <c r="DW43" t="str">
        <f t="shared" si="134"/>
        <v/>
      </c>
      <c r="DY43" t="str">
        <f t="shared" si="135"/>
        <v/>
      </c>
      <c r="EA43" t="str">
        <f t="shared" si="136"/>
        <v/>
      </c>
      <c r="EC43" t="str">
        <f t="shared" si="137"/>
        <v/>
      </c>
      <c r="EE43" t="str">
        <f t="shared" si="138"/>
        <v/>
      </c>
      <c r="EG43" t="str">
        <f t="shared" si="138"/>
        <v/>
      </c>
      <c r="EI43" t="str">
        <f t="shared" si="138"/>
        <v/>
      </c>
      <c r="EK43" t="str">
        <f t="shared" si="138"/>
        <v/>
      </c>
      <c r="EM43" t="str">
        <f t="shared" si="138"/>
        <v/>
      </c>
      <c r="EO43" t="str">
        <f t="shared" si="138"/>
        <v/>
      </c>
      <c r="EQ43" t="str">
        <f t="shared" si="138"/>
        <v/>
      </c>
      <c r="ES43" t="str">
        <f t="shared" si="168"/>
        <v/>
      </c>
      <c r="EU43" t="str">
        <f t="shared" si="151"/>
        <v/>
      </c>
      <c r="EW43" t="str">
        <f t="shared" si="152"/>
        <v/>
      </c>
      <c r="EY43" t="str">
        <f t="shared" si="153"/>
        <v/>
      </c>
      <c r="FA43" t="str">
        <f t="shared" si="154"/>
        <v/>
      </c>
      <c r="FC43" t="str">
        <f t="shared" si="155"/>
        <v/>
      </c>
      <c r="FE43" t="str">
        <f t="shared" si="156"/>
        <v/>
      </c>
      <c r="FG43" t="str">
        <f t="shared" si="157"/>
        <v/>
      </c>
      <c r="FI43" t="str">
        <f t="shared" si="158"/>
        <v/>
      </c>
      <c r="FL43" t="str">
        <f t="shared" si="139"/>
        <v/>
      </c>
      <c r="FM43" t="e">
        <f t="shared" ca="1" si="140"/>
        <v>#VALUE!</v>
      </c>
      <c r="FN43">
        <v>130620</v>
      </c>
      <c r="FO43">
        <f>ROUND((ELEMENT!EH41*(1-$H$2)*(1+$E$4)),0)*C43</f>
        <v>0</v>
      </c>
      <c r="FP43">
        <f t="shared" si="141"/>
        <v>0</v>
      </c>
      <c r="FQ43">
        <f t="shared" si="142"/>
        <v>0</v>
      </c>
      <c r="FR43">
        <f t="shared" si="143"/>
        <v>0</v>
      </c>
      <c r="FS43" t="str">
        <f>IF(ELEMENT!AO41="","",H43*C43)</f>
        <v/>
      </c>
      <c r="FT43">
        <f t="shared" si="144"/>
        <v>0</v>
      </c>
      <c r="FU43">
        <f t="shared" si="145"/>
        <v>0</v>
      </c>
      <c r="FV43">
        <f t="shared" si="146"/>
        <v>2.5499999999999998</v>
      </c>
      <c r="FW43">
        <f t="shared" si="147"/>
        <v>4.66</v>
      </c>
      <c r="FX43">
        <f t="shared" si="148"/>
        <v>0.36</v>
      </c>
      <c r="FY43">
        <f>ELEMENT!AR41</f>
        <v>2</v>
      </c>
      <c r="FZ43">
        <f>ELEMENT!L41</f>
        <v>1</v>
      </c>
      <c r="GA43">
        <f>ELEMENT!M41</f>
        <v>1</v>
      </c>
      <c r="GB43">
        <f>ELEMENT!N41</f>
        <v>2</v>
      </c>
      <c r="GC43">
        <f>ELEMENT!O41</f>
        <v>0</v>
      </c>
      <c r="GD43">
        <f t="shared" si="149"/>
        <v>0</v>
      </c>
      <c r="GE43">
        <f>IF(GI43=ELEMENT!$CJ$59,$GW$8,
IF(GI43=ELEMENT!$CK$59,$GW$16,
IF(GI43=ELEMENT!$CL$59,$GW$24,)))</f>
        <v>4.0999999999999996</v>
      </c>
      <c r="GF43">
        <f>IF(GI43=ELEMENT!$CJ$59,$GW$9,
IF(GI43=ELEMENT!$CK$59,$GW$17,
IF(GI43=ELEMENT!$CL$59,$GW$25,)))</f>
        <v>1.2869999999999999</v>
      </c>
      <c r="GG43">
        <f>IF(GI43=ELEMENT!$CJ$59,$GW$10,
IF(GI43=ELEMENT!$CK$59,$GW$18,
IF(GI43=ELEMENT!$CL$59,$GW$26,)))</f>
        <v>3.032</v>
      </c>
      <c r="GH43">
        <f>IF(GI43=ELEMENT!$CJ$59,$GW$12,
IF(GI43=ELEMENT!$CK$59,$GW$20,
IF(GI43=ELEMENT!$CL$59,$GW$28,)))</f>
        <v>1.87</v>
      </c>
      <c r="GI43">
        <f>ELEMENT!G41</f>
        <v>0</v>
      </c>
      <c r="GJ43">
        <f>ELEMENT!BD41</f>
        <v>0</v>
      </c>
      <c r="GL43">
        <f>ELEMENT!R41</f>
        <v>0</v>
      </c>
      <c r="GM43">
        <f>ELEMENT!S41</f>
        <v>0</v>
      </c>
      <c r="GN43">
        <f>ELEMENT!T41</f>
        <v>0</v>
      </c>
      <c r="GP43">
        <f>ELEMENT!AU41</f>
        <v>0</v>
      </c>
      <c r="GQ43">
        <f>ELEMENT!AY41</f>
        <v>0</v>
      </c>
      <c r="GR43">
        <f t="shared" si="150"/>
        <v>0</v>
      </c>
      <c r="GS43">
        <f>ELEMENT!BE41</f>
        <v>0</v>
      </c>
      <c r="GV43">
        <f>ELEMENT!BF42</f>
        <v>0</v>
      </c>
      <c r="GW43">
        <f>ELEMENT!BO42</f>
        <v>0.66</v>
      </c>
      <c r="GX43">
        <f>ELEMENT!BP42</f>
        <v>0</v>
      </c>
      <c r="GY43">
        <f>ELEMENT!BQ57</f>
        <v>0</v>
      </c>
    </row>
    <row r="44" spans="1:207" x14ac:dyDescent="0.2">
      <c r="A44" s="142"/>
      <c r="B44" s="184">
        <f>(ELEMENT!B42)</f>
        <v>0</v>
      </c>
      <c r="C44" s="184">
        <f>SUM(ELEMENT!C42)</f>
        <v>0</v>
      </c>
      <c r="D44" s="184">
        <f>ELEMENT!D42</f>
        <v>0</v>
      </c>
      <c r="E44" s="184">
        <f>ELEMENT!E42</f>
        <v>0</v>
      </c>
      <c r="F44" s="184">
        <f t="shared" si="93"/>
        <v>0</v>
      </c>
      <c r="G44" s="135" t="str">
        <f>ELEMENT!AH42</f>
        <v/>
      </c>
      <c r="H44" s="191" t="str">
        <f>IF(ELEMENT!AO42="","",ELEMENT!AA42*ELEMENT!DQ42)</f>
        <v/>
      </c>
      <c r="I44" s="184">
        <f t="shared" si="94"/>
        <v>0</v>
      </c>
      <c r="J44" s="136">
        <f>ROUND(ELEMENT!DE42,1)</f>
        <v>0</v>
      </c>
      <c r="K44" s="198"/>
      <c r="L44" s="198">
        <f t="shared" si="91"/>
        <v>0</v>
      </c>
      <c r="M44" s="198"/>
      <c r="N44" s="198"/>
      <c r="O44" s="198"/>
      <c r="P44" s="137" t="e">
        <f ca="1">(ROUND((ELEMENT!AC42-ELEMENT!EG42)*$P$2*(1-$H$2)*(1+$E$4),0)+ROUND((ELEMENT!EG42)*$P$2*(1-$H$2)*(1+$E$4),0))</f>
        <v>#VALUE!</v>
      </c>
      <c r="Q44" s="137" t="e">
        <f t="shared" ca="1" si="95"/>
        <v>#VALUE!</v>
      </c>
      <c r="R44" s="138" t="e">
        <f t="shared" ca="1" si="96"/>
        <v>#VALUE!</v>
      </c>
      <c r="S44" s="139" t="e">
        <f t="shared" ca="1" si="97"/>
        <v>#VALUE!</v>
      </c>
      <c r="T44" s="132" t="str">
        <f ca="1">IF(ELEMENT!AC42="","",P44+S44)</f>
        <v/>
      </c>
      <c r="U44" s="132" t="str">
        <f ca="1">IF(ELEMENT!AC42="","",C44*T44)</f>
        <v/>
      </c>
      <c r="V44" s="132" t="str">
        <f>IF(ELEMENT!AW42="JA",ELEMENT!V42,IF(D44+E44=0,"",SUM(T44/ELEMENT!AA42)))</f>
        <v/>
      </c>
      <c r="W44" s="199">
        <f t="shared" si="92"/>
        <v>1</v>
      </c>
      <c r="X44" s="141">
        <f t="shared" si="98"/>
        <v>0</v>
      </c>
      <c r="Y44" s="199" t="s">
        <v>1276</v>
      </c>
      <c r="Z44" s="141">
        <f t="shared" si="99"/>
        <v>0</v>
      </c>
      <c r="AA44" s="199"/>
      <c r="AB44" s="141">
        <f t="shared" si="100"/>
        <v>0</v>
      </c>
      <c r="AC44" s="199"/>
      <c r="AD44" s="141">
        <f t="shared" si="101"/>
        <v>0</v>
      </c>
      <c r="AE44" s="199"/>
      <c r="AF44" s="141">
        <f t="shared" si="102"/>
        <v>0</v>
      </c>
      <c r="AG44" s="199"/>
      <c r="AH44" s="141">
        <f t="shared" si="103"/>
        <v>0</v>
      </c>
      <c r="AI44" s="140"/>
      <c r="AJ44" s="141">
        <f t="shared" si="104"/>
        <v>0</v>
      </c>
      <c r="AK44" s="140"/>
      <c r="AL44" s="141">
        <f t="shared" si="105"/>
        <v>0</v>
      </c>
      <c r="AM44" s="140"/>
      <c r="AN44" s="141">
        <f t="shared" si="106"/>
        <v>0</v>
      </c>
      <c r="AO44" s="140"/>
      <c r="AP44" s="141">
        <f t="shared" si="107"/>
        <v>0</v>
      </c>
      <c r="AQ44" s="140"/>
      <c r="AR44" s="141">
        <f t="shared" si="108"/>
        <v>0</v>
      </c>
      <c r="AS44" s="140"/>
      <c r="AT44" s="141">
        <f t="shared" si="109"/>
        <v>0</v>
      </c>
      <c r="AU44" s="140"/>
      <c r="AV44" s="141">
        <f t="shared" si="110"/>
        <v>0</v>
      </c>
      <c r="AW44" s="140"/>
      <c r="AX44" s="141">
        <f t="shared" si="111"/>
        <v>0</v>
      </c>
      <c r="AY44" s="140"/>
      <c r="AZ44" s="141">
        <f t="shared" si="112"/>
        <v>0</v>
      </c>
      <c r="BA44" s="140"/>
      <c r="BB44" s="141">
        <f t="shared" si="112"/>
        <v>0</v>
      </c>
      <c r="BC44" s="140"/>
      <c r="BD44" s="141">
        <f t="shared" si="112"/>
        <v>0</v>
      </c>
      <c r="BE44" s="140"/>
      <c r="BF44" s="141">
        <f t="shared" si="112"/>
        <v>0</v>
      </c>
      <c r="BG44" s="140"/>
      <c r="BH44" s="141">
        <f t="shared" si="112"/>
        <v>0</v>
      </c>
      <c r="BI44" s="140"/>
      <c r="BJ44" s="141">
        <f t="shared" si="112"/>
        <v>0</v>
      </c>
      <c r="BK44" s="140"/>
      <c r="BL44" s="141">
        <f t="shared" si="112"/>
        <v>0</v>
      </c>
      <c r="BM44" s="140"/>
      <c r="BN44" s="141">
        <f t="shared" si="167"/>
        <v>0</v>
      </c>
      <c r="BO44" s="140"/>
      <c r="BP44" s="141">
        <f t="shared" si="159"/>
        <v>0</v>
      </c>
      <c r="BQ44" s="140"/>
      <c r="BR44" s="141">
        <f t="shared" si="160"/>
        <v>0</v>
      </c>
      <c r="BS44" s="140"/>
      <c r="BT44" s="141">
        <f t="shared" si="161"/>
        <v>0</v>
      </c>
      <c r="BU44" s="140"/>
      <c r="BV44" s="141">
        <f t="shared" si="162"/>
        <v>0</v>
      </c>
      <c r="BW44" s="140"/>
      <c r="BX44" s="141">
        <f t="shared" si="163"/>
        <v>0</v>
      </c>
      <c r="BY44" s="140"/>
      <c r="BZ44" s="141">
        <f t="shared" si="164"/>
        <v>0</v>
      </c>
      <c r="CA44" s="140"/>
      <c r="CB44" s="141">
        <f t="shared" si="165"/>
        <v>0</v>
      </c>
      <c r="CC44" s="140"/>
      <c r="CD44" s="141">
        <f t="shared" si="166"/>
        <v>0</v>
      </c>
      <c r="CE44" s="119"/>
      <c r="CF44" s="119"/>
      <c r="CG44" s="119"/>
      <c r="CH44" s="119"/>
      <c r="CI44" s="119"/>
      <c r="CJ44" s="119"/>
      <c r="CM44">
        <f t="shared" si="113"/>
        <v>0</v>
      </c>
      <c r="CN44" t="str">
        <f ca="1">ELEMENT!AC42</f>
        <v/>
      </c>
      <c r="CO44">
        <f t="shared" ca="1" si="114"/>
        <v>0</v>
      </c>
      <c r="CP44" t="str">
        <f t="shared" ca="1" si="115"/>
        <v/>
      </c>
      <c r="CQ44" t="str">
        <f t="shared" ca="1" si="116"/>
        <v/>
      </c>
      <c r="CR44">
        <f t="shared" ca="1" si="117"/>
        <v>0</v>
      </c>
      <c r="CS44">
        <f t="shared" ca="1" si="118"/>
        <v>0</v>
      </c>
      <c r="CT44">
        <f t="shared" si="119"/>
        <v>0</v>
      </c>
      <c r="CU44" t="str">
        <f t="shared" ca="1" si="120"/>
        <v/>
      </c>
      <c r="CV44">
        <f t="shared" si="121"/>
        <v>0</v>
      </c>
      <c r="CW44">
        <f t="shared" si="122"/>
        <v>0</v>
      </c>
      <c r="CX44">
        <f t="shared" si="123"/>
        <v>0</v>
      </c>
      <c r="DC44" t="str">
        <f t="shared" si="124"/>
        <v/>
      </c>
      <c r="DE44">
        <f t="shared" si="125"/>
        <v>0</v>
      </c>
      <c r="DG44" t="str">
        <f t="shared" si="126"/>
        <v/>
      </c>
      <c r="DI44" t="str">
        <f t="shared" si="127"/>
        <v/>
      </c>
      <c r="DK44" t="str">
        <f t="shared" si="128"/>
        <v/>
      </c>
      <c r="DM44" t="str">
        <f t="shared" si="129"/>
        <v/>
      </c>
      <c r="DO44" t="str">
        <f t="shared" si="130"/>
        <v/>
      </c>
      <c r="DQ44" t="str">
        <f t="shared" si="131"/>
        <v/>
      </c>
      <c r="DS44" t="str">
        <f t="shared" si="132"/>
        <v/>
      </c>
      <c r="DU44" t="str">
        <f t="shared" si="133"/>
        <v/>
      </c>
      <c r="DW44" t="str">
        <f t="shared" si="134"/>
        <v/>
      </c>
      <c r="DY44" t="str">
        <f t="shared" si="135"/>
        <v/>
      </c>
      <c r="EA44" t="str">
        <f t="shared" si="136"/>
        <v/>
      </c>
      <c r="EC44" t="str">
        <f t="shared" si="137"/>
        <v/>
      </c>
      <c r="EE44" t="str">
        <f t="shared" si="138"/>
        <v/>
      </c>
      <c r="EG44" t="str">
        <f t="shared" si="138"/>
        <v/>
      </c>
      <c r="EI44" t="str">
        <f t="shared" si="138"/>
        <v/>
      </c>
      <c r="EK44" t="str">
        <f t="shared" si="138"/>
        <v/>
      </c>
      <c r="EM44" t="str">
        <f t="shared" si="138"/>
        <v/>
      </c>
      <c r="EO44" t="str">
        <f t="shared" si="138"/>
        <v/>
      </c>
      <c r="EQ44" t="str">
        <f t="shared" si="138"/>
        <v/>
      </c>
      <c r="ES44" t="str">
        <f t="shared" si="168"/>
        <v/>
      </c>
      <c r="EU44" t="str">
        <f t="shared" si="151"/>
        <v/>
      </c>
      <c r="EW44" t="str">
        <f t="shared" si="152"/>
        <v/>
      </c>
      <c r="EY44" t="str">
        <f t="shared" si="153"/>
        <v/>
      </c>
      <c r="FA44" t="str">
        <f t="shared" si="154"/>
        <v/>
      </c>
      <c r="FC44" t="str">
        <f t="shared" si="155"/>
        <v/>
      </c>
      <c r="FE44" t="str">
        <f t="shared" si="156"/>
        <v/>
      </c>
      <c r="FG44" t="str">
        <f t="shared" si="157"/>
        <v/>
      </c>
      <c r="FI44" t="str">
        <f t="shared" si="158"/>
        <v/>
      </c>
      <c r="FL44" t="str">
        <f t="shared" si="139"/>
        <v/>
      </c>
      <c r="FM44" t="e">
        <f t="shared" ca="1" si="140"/>
        <v>#VALUE!</v>
      </c>
      <c r="FN44">
        <v>130621</v>
      </c>
      <c r="FO44">
        <f>ROUND((ELEMENT!EH42*(1-$H$2)*(1+$E$4)),0)*C44</f>
        <v>0</v>
      </c>
      <c r="FP44">
        <f t="shared" si="141"/>
        <v>0</v>
      </c>
      <c r="FQ44">
        <f t="shared" si="142"/>
        <v>0</v>
      </c>
      <c r="FR44">
        <f t="shared" si="143"/>
        <v>0</v>
      </c>
      <c r="FS44" t="str">
        <f>IF(ELEMENT!AO42="","",H44*C44)</f>
        <v/>
      </c>
      <c r="FT44">
        <f t="shared" si="144"/>
        <v>0</v>
      </c>
      <c r="FU44">
        <f t="shared" si="145"/>
        <v>0</v>
      </c>
      <c r="FV44">
        <f t="shared" si="146"/>
        <v>2.5499999999999998</v>
      </c>
      <c r="FW44">
        <f t="shared" si="147"/>
        <v>4.66</v>
      </c>
      <c r="FX44">
        <f t="shared" si="148"/>
        <v>0.36</v>
      </c>
      <c r="FY44">
        <f>ELEMENT!AR42</f>
        <v>2</v>
      </c>
      <c r="FZ44">
        <f>ELEMENT!L42</f>
        <v>1</v>
      </c>
      <c r="GA44">
        <f>ELEMENT!M42</f>
        <v>1</v>
      </c>
      <c r="GB44">
        <f>ELEMENT!N42</f>
        <v>2</v>
      </c>
      <c r="GC44">
        <f>ELEMENT!O42</f>
        <v>0</v>
      </c>
      <c r="GD44">
        <f t="shared" si="149"/>
        <v>0</v>
      </c>
      <c r="GE44">
        <f>IF(GI44=ELEMENT!$CJ$59,$GW$8,
IF(GI44=ELEMENT!$CK$59,$GW$16,
IF(GI44=ELEMENT!$CL$59,$GW$24,)))</f>
        <v>4.0999999999999996</v>
      </c>
      <c r="GF44">
        <f>IF(GI44=ELEMENT!$CJ$59,$GW$9,
IF(GI44=ELEMENT!$CK$59,$GW$17,
IF(GI44=ELEMENT!$CL$59,$GW$25,)))</f>
        <v>1.2869999999999999</v>
      </c>
      <c r="GG44">
        <f>IF(GI44=ELEMENT!$CJ$59,$GW$10,
IF(GI44=ELEMENT!$CK$59,$GW$18,
IF(GI44=ELEMENT!$CL$59,$GW$26,)))</f>
        <v>3.032</v>
      </c>
      <c r="GH44">
        <f>IF(GI44=ELEMENT!$CJ$59,$GW$12,
IF(GI44=ELEMENT!$CK$59,$GW$20,
IF(GI44=ELEMENT!$CL$59,$GW$28,)))</f>
        <v>1.87</v>
      </c>
      <c r="GI44">
        <f>ELEMENT!G42</f>
        <v>0</v>
      </c>
      <c r="GJ44">
        <f>ELEMENT!BD42</f>
        <v>0</v>
      </c>
      <c r="GL44">
        <f>ELEMENT!R42</f>
        <v>0</v>
      </c>
      <c r="GM44">
        <f>ELEMENT!S42</f>
        <v>0</v>
      </c>
      <c r="GN44">
        <f>ELEMENT!T42</f>
        <v>0</v>
      </c>
      <c r="GP44">
        <f>ELEMENT!AU42</f>
        <v>0</v>
      </c>
      <c r="GQ44">
        <f>ELEMENT!AY42</f>
        <v>0</v>
      </c>
      <c r="GR44">
        <f t="shared" si="150"/>
        <v>0</v>
      </c>
      <c r="GS44">
        <f>ELEMENT!BE42</f>
        <v>0</v>
      </c>
      <c r="GV44">
        <f>ELEMENT!BF43</f>
        <v>0</v>
      </c>
      <c r="GW44">
        <f>ELEMENT!BO43</f>
        <v>3.96</v>
      </c>
      <c r="GX44">
        <f>ELEMENT!BP43</f>
        <v>170</v>
      </c>
      <c r="GY44">
        <f>ELEMENT!BQ58</f>
        <v>0</v>
      </c>
    </row>
    <row r="45" spans="1:207" x14ac:dyDescent="0.2">
      <c r="A45" s="142"/>
      <c r="B45" s="184">
        <f>(ELEMENT!B43)</f>
        <v>0</v>
      </c>
      <c r="C45" s="184">
        <f>SUM(ELEMENT!C43)</f>
        <v>0</v>
      </c>
      <c r="D45" s="184">
        <f>ELEMENT!D43</f>
        <v>0</v>
      </c>
      <c r="E45" s="184">
        <f>ELEMENT!E43</f>
        <v>0</v>
      </c>
      <c r="F45" s="184">
        <f t="shared" si="93"/>
        <v>0</v>
      </c>
      <c r="G45" s="135" t="str">
        <f>ELEMENT!AH43</f>
        <v/>
      </c>
      <c r="H45" s="191" t="str">
        <f>IF(ELEMENT!AO43="","",ELEMENT!AA43*ELEMENT!DQ43)</f>
        <v/>
      </c>
      <c r="I45" s="184">
        <f t="shared" si="94"/>
        <v>0</v>
      </c>
      <c r="J45" s="136">
        <f>ROUND(ELEMENT!DE43,1)</f>
        <v>0</v>
      </c>
      <c r="K45" s="198"/>
      <c r="L45" s="198">
        <f t="shared" si="91"/>
        <v>0</v>
      </c>
      <c r="M45" s="198"/>
      <c r="N45" s="198"/>
      <c r="O45" s="198"/>
      <c r="P45" s="137" t="e">
        <f ca="1">(ROUND((ELEMENT!AC43-ELEMENT!EG43)*$P$2*(1-$H$2)*(1+$E$4),0)+ROUND((ELEMENT!EG43)*$P$2*(1-$H$2)*(1+$E$4),0))</f>
        <v>#VALUE!</v>
      </c>
      <c r="Q45" s="137" t="e">
        <f t="shared" ca="1" si="95"/>
        <v>#VALUE!</v>
      </c>
      <c r="R45" s="138" t="e">
        <f t="shared" ca="1" si="96"/>
        <v>#VALUE!</v>
      </c>
      <c r="S45" s="139" t="e">
        <f t="shared" ca="1" si="97"/>
        <v>#VALUE!</v>
      </c>
      <c r="T45" s="132" t="str">
        <f ca="1">IF(ELEMENT!AC43="","",P45+S45)</f>
        <v/>
      </c>
      <c r="U45" s="132" t="str">
        <f ca="1">IF(ELEMENT!AC43="","",C45*T45)</f>
        <v/>
      </c>
      <c r="V45" s="132" t="str">
        <f>IF(ELEMENT!AW43="JA",ELEMENT!V43,IF(D45+E45=0,"",SUM(T45/ELEMENT!AA43)))</f>
        <v/>
      </c>
      <c r="W45" s="199">
        <f t="shared" si="92"/>
        <v>1</v>
      </c>
      <c r="X45" s="141">
        <f t="shared" si="98"/>
        <v>0</v>
      </c>
      <c r="Y45" s="199" t="s">
        <v>1276</v>
      </c>
      <c r="Z45" s="141">
        <f t="shared" si="99"/>
        <v>0</v>
      </c>
      <c r="AA45" s="199"/>
      <c r="AB45" s="141">
        <f t="shared" si="100"/>
        <v>0</v>
      </c>
      <c r="AC45" s="199"/>
      <c r="AD45" s="141">
        <f t="shared" si="101"/>
        <v>0</v>
      </c>
      <c r="AE45" s="199"/>
      <c r="AF45" s="141">
        <f t="shared" si="102"/>
        <v>0</v>
      </c>
      <c r="AG45" s="199"/>
      <c r="AH45" s="141">
        <f t="shared" si="103"/>
        <v>0</v>
      </c>
      <c r="AI45" s="140"/>
      <c r="AJ45" s="141">
        <f t="shared" si="104"/>
        <v>0</v>
      </c>
      <c r="AK45" s="140"/>
      <c r="AL45" s="141">
        <f t="shared" si="105"/>
        <v>0</v>
      </c>
      <c r="AM45" s="140"/>
      <c r="AN45" s="141">
        <f t="shared" si="106"/>
        <v>0</v>
      </c>
      <c r="AO45" s="140"/>
      <c r="AP45" s="141">
        <f t="shared" si="107"/>
        <v>0</v>
      </c>
      <c r="AQ45" s="140"/>
      <c r="AR45" s="141">
        <f t="shared" si="108"/>
        <v>0</v>
      </c>
      <c r="AS45" s="140"/>
      <c r="AT45" s="141">
        <f t="shared" si="109"/>
        <v>0</v>
      </c>
      <c r="AU45" s="140"/>
      <c r="AV45" s="141">
        <f t="shared" si="110"/>
        <v>0</v>
      </c>
      <c r="AW45" s="140"/>
      <c r="AX45" s="141">
        <f t="shared" si="111"/>
        <v>0</v>
      </c>
      <c r="AY45" s="140"/>
      <c r="AZ45" s="141">
        <f t="shared" si="112"/>
        <v>0</v>
      </c>
      <c r="BA45" s="140"/>
      <c r="BB45" s="141">
        <f t="shared" si="112"/>
        <v>0</v>
      </c>
      <c r="BC45" s="140"/>
      <c r="BD45" s="141">
        <f t="shared" si="112"/>
        <v>0</v>
      </c>
      <c r="BE45" s="140"/>
      <c r="BF45" s="141">
        <f t="shared" si="112"/>
        <v>0</v>
      </c>
      <c r="BG45" s="140"/>
      <c r="BH45" s="141">
        <f t="shared" si="112"/>
        <v>0</v>
      </c>
      <c r="BI45" s="140"/>
      <c r="BJ45" s="141">
        <f t="shared" si="112"/>
        <v>0</v>
      </c>
      <c r="BK45" s="140"/>
      <c r="BL45" s="141">
        <f t="shared" si="112"/>
        <v>0</v>
      </c>
      <c r="BM45" s="140"/>
      <c r="BN45" s="141">
        <f t="shared" si="167"/>
        <v>0</v>
      </c>
      <c r="BO45" s="140"/>
      <c r="BP45" s="141">
        <f t="shared" si="159"/>
        <v>0</v>
      </c>
      <c r="BQ45" s="140"/>
      <c r="BR45" s="141">
        <f t="shared" si="160"/>
        <v>0</v>
      </c>
      <c r="BS45" s="140"/>
      <c r="BT45" s="141">
        <f t="shared" si="161"/>
        <v>0</v>
      </c>
      <c r="BU45" s="140"/>
      <c r="BV45" s="141">
        <f t="shared" si="162"/>
        <v>0</v>
      </c>
      <c r="BW45" s="140"/>
      <c r="BX45" s="141">
        <f t="shared" si="163"/>
        <v>0</v>
      </c>
      <c r="BY45" s="140"/>
      <c r="BZ45" s="141">
        <f t="shared" si="164"/>
        <v>0</v>
      </c>
      <c r="CA45" s="140"/>
      <c r="CB45" s="141">
        <f t="shared" si="165"/>
        <v>0</v>
      </c>
      <c r="CC45" s="140"/>
      <c r="CD45" s="141">
        <f t="shared" si="166"/>
        <v>0</v>
      </c>
      <c r="CE45" s="119"/>
      <c r="CF45" s="119"/>
      <c r="CG45" s="119"/>
      <c r="CH45" s="119"/>
      <c r="CI45" s="119"/>
      <c r="CJ45" s="119"/>
      <c r="CM45">
        <f t="shared" si="113"/>
        <v>0</v>
      </c>
      <c r="CN45" t="str">
        <f ca="1">ELEMENT!AC43</f>
        <v/>
      </c>
      <c r="CO45">
        <f t="shared" ca="1" si="114"/>
        <v>0</v>
      </c>
      <c r="CP45" t="str">
        <f t="shared" ca="1" si="115"/>
        <v/>
      </c>
      <c r="CQ45" t="str">
        <f t="shared" ca="1" si="116"/>
        <v/>
      </c>
      <c r="CR45">
        <f t="shared" ca="1" si="117"/>
        <v>0</v>
      </c>
      <c r="CS45">
        <f t="shared" ca="1" si="118"/>
        <v>0</v>
      </c>
      <c r="CT45">
        <f t="shared" si="119"/>
        <v>0</v>
      </c>
      <c r="CU45" t="str">
        <f t="shared" ca="1" si="120"/>
        <v/>
      </c>
      <c r="CV45">
        <f t="shared" si="121"/>
        <v>0</v>
      </c>
      <c r="CW45">
        <f t="shared" si="122"/>
        <v>0</v>
      </c>
      <c r="CX45">
        <f t="shared" si="123"/>
        <v>0</v>
      </c>
      <c r="DC45" t="str">
        <f t="shared" si="124"/>
        <v/>
      </c>
      <c r="DE45">
        <f t="shared" si="125"/>
        <v>0</v>
      </c>
      <c r="DG45" t="str">
        <f t="shared" si="126"/>
        <v/>
      </c>
      <c r="DI45" t="str">
        <f t="shared" si="127"/>
        <v/>
      </c>
      <c r="DK45" t="str">
        <f t="shared" si="128"/>
        <v/>
      </c>
      <c r="DM45" t="str">
        <f t="shared" si="129"/>
        <v/>
      </c>
      <c r="DO45" t="str">
        <f t="shared" si="130"/>
        <v/>
      </c>
      <c r="DQ45" t="str">
        <f t="shared" si="131"/>
        <v/>
      </c>
      <c r="DS45" t="str">
        <f t="shared" si="132"/>
        <v/>
      </c>
      <c r="DU45" t="str">
        <f t="shared" si="133"/>
        <v/>
      </c>
      <c r="DW45" t="str">
        <f t="shared" si="134"/>
        <v/>
      </c>
      <c r="DY45" t="str">
        <f t="shared" si="135"/>
        <v/>
      </c>
      <c r="EA45" t="str">
        <f t="shared" si="136"/>
        <v/>
      </c>
      <c r="EC45" t="str">
        <f t="shared" si="137"/>
        <v/>
      </c>
      <c r="EE45" t="str">
        <f t="shared" si="138"/>
        <v/>
      </c>
      <c r="EG45" t="str">
        <f t="shared" si="138"/>
        <v/>
      </c>
      <c r="EI45" t="str">
        <f t="shared" si="138"/>
        <v/>
      </c>
      <c r="EK45" t="str">
        <f t="shared" si="138"/>
        <v/>
      </c>
      <c r="EM45" t="str">
        <f t="shared" si="138"/>
        <v/>
      </c>
      <c r="EO45" t="str">
        <f t="shared" si="138"/>
        <v/>
      </c>
      <c r="EQ45" t="str">
        <f t="shared" si="138"/>
        <v/>
      </c>
      <c r="ES45" t="str">
        <f t="shared" si="168"/>
        <v/>
      </c>
      <c r="EU45" t="str">
        <f t="shared" si="151"/>
        <v/>
      </c>
      <c r="EW45" t="str">
        <f t="shared" si="152"/>
        <v/>
      </c>
      <c r="EY45" t="str">
        <f t="shared" si="153"/>
        <v/>
      </c>
      <c r="FA45" t="str">
        <f t="shared" si="154"/>
        <v/>
      </c>
      <c r="FC45" t="str">
        <f t="shared" si="155"/>
        <v/>
      </c>
      <c r="FE45" t="str">
        <f t="shared" si="156"/>
        <v/>
      </c>
      <c r="FG45" t="str">
        <f t="shared" si="157"/>
        <v/>
      </c>
      <c r="FI45" t="str">
        <f t="shared" si="158"/>
        <v/>
      </c>
      <c r="FL45" t="str">
        <f t="shared" si="139"/>
        <v/>
      </c>
      <c r="FM45" t="e">
        <f t="shared" ca="1" si="140"/>
        <v>#VALUE!</v>
      </c>
      <c r="FN45">
        <v>130622</v>
      </c>
      <c r="FO45">
        <f>ROUND((ELEMENT!EH43*(1-$H$2)*(1+$E$4)),0)*C45</f>
        <v>0</v>
      </c>
      <c r="FP45">
        <f t="shared" si="141"/>
        <v>0</v>
      </c>
      <c r="FQ45">
        <f t="shared" si="142"/>
        <v>0</v>
      </c>
      <c r="FR45">
        <f t="shared" si="143"/>
        <v>0</v>
      </c>
      <c r="FS45" t="str">
        <f>IF(ELEMENT!AO43="","",H45*C45)</f>
        <v/>
      </c>
      <c r="FT45">
        <f t="shared" si="144"/>
        <v>0</v>
      </c>
      <c r="FU45">
        <f t="shared" si="145"/>
        <v>0</v>
      </c>
      <c r="FV45">
        <f t="shared" si="146"/>
        <v>2.5499999999999998</v>
      </c>
      <c r="FW45">
        <f t="shared" si="147"/>
        <v>4.66</v>
      </c>
      <c r="FX45">
        <f t="shared" si="148"/>
        <v>0.36</v>
      </c>
      <c r="FY45">
        <f>ELEMENT!AR43</f>
        <v>2</v>
      </c>
      <c r="FZ45">
        <f>ELEMENT!L43</f>
        <v>1</v>
      </c>
      <c r="GA45">
        <f>ELEMENT!M43</f>
        <v>1</v>
      </c>
      <c r="GB45">
        <f>ELEMENT!N43</f>
        <v>2</v>
      </c>
      <c r="GC45">
        <f>ELEMENT!O43</f>
        <v>0</v>
      </c>
      <c r="GD45">
        <f t="shared" si="149"/>
        <v>0</v>
      </c>
      <c r="GE45">
        <f>IF(GI45=ELEMENT!$CJ$59,$GW$8,
IF(GI45=ELEMENT!$CK$59,$GW$16,
IF(GI45=ELEMENT!$CL$59,$GW$24,)))</f>
        <v>4.0999999999999996</v>
      </c>
      <c r="GF45">
        <f>IF(GI45=ELEMENT!$CJ$59,$GW$9,
IF(GI45=ELEMENT!$CK$59,$GW$17,
IF(GI45=ELEMENT!$CL$59,$GW$25,)))</f>
        <v>1.2869999999999999</v>
      </c>
      <c r="GG45">
        <f>IF(GI45=ELEMENT!$CJ$59,$GW$10,
IF(GI45=ELEMENT!$CK$59,$GW$18,
IF(GI45=ELEMENT!$CL$59,$GW$26,)))</f>
        <v>3.032</v>
      </c>
      <c r="GH45">
        <f>IF(GI45=ELEMENT!$CJ$59,$GW$12,
IF(GI45=ELEMENT!$CK$59,$GW$20,
IF(GI45=ELEMENT!$CL$59,$GW$28,)))</f>
        <v>1.87</v>
      </c>
      <c r="GI45">
        <f>ELEMENT!G43</f>
        <v>0</v>
      </c>
      <c r="GJ45">
        <f>ELEMENT!BD43</f>
        <v>0</v>
      </c>
      <c r="GL45">
        <f>ELEMENT!R43</f>
        <v>0</v>
      </c>
      <c r="GM45">
        <f>ELEMENT!S43</f>
        <v>0</v>
      </c>
      <c r="GN45">
        <f>ELEMENT!T43</f>
        <v>0</v>
      </c>
      <c r="GP45">
        <f>ELEMENT!AU43</f>
        <v>0</v>
      </c>
      <c r="GQ45">
        <f>ELEMENT!AY43</f>
        <v>0</v>
      </c>
      <c r="GR45">
        <f t="shared" si="150"/>
        <v>0</v>
      </c>
      <c r="GS45">
        <f>ELEMENT!BE43</f>
        <v>0</v>
      </c>
      <c r="GV45">
        <f>ELEMENT!BF44</f>
        <v>0</v>
      </c>
      <c r="GW45">
        <f>ELEMENT!BO44</f>
        <v>6.94</v>
      </c>
      <c r="GX45">
        <f>ELEMENT!BP44</f>
        <v>0</v>
      </c>
      <c r="GY45">
        <f>ELEMENT!BQ59</f>
        <v>0</v>
      </c>
    </row>
    <row r="46" spans="1:207" x14ac:dyDescent="0.2">
      <c r="A46" s="142"/>
      <c r="B46" s="184">
        <f>(ELEMENT!B44)</f>
        <v>0</v>
      </c>
      <c r="C46" s="184">
        <f>SUM(ELEMENT!C44)</f>
        <v>0</v>
      </c>
      <c r="D46" s="184">
        <f>ELEMENT!D44</f>
        <v>0</v>
      </c>
      <c r="E46" s="184">
        <f>ELEMENT!E44</f>
        <v>0</v>
      </c>
      <c r="F46" s="184">
        <f t="shared" si="93"/>
        <v>0</v>
      </c>
      <c r="G46" s="135" t="str">
        <f>ELEMENT!AH44</f>
        <v/>
      </c>
      <c r="H46" s="191" t="str">
        <f>IF(ELEMENT!AO44="","",ELEMENT!AA44*ELEMENT!DQ44)</f>
        <v/>
      </c>
      <c r="I46" s="184">
        <f t="shared" si="94"/>
        <v>0</v>
      </c>
      <c r="J46" s="136">
        <f>ROUND(ELEMENT!DE44,1)</f>
        <v>0</v>
      </c>
      <c r="K46" s="198"/>
      <c r="L46" s="198">
        <f t="shared" si="91"/>
        <v>0</v>
      </c>
      <c r="M46" s="198"/>
      <c r="N46" s="198"/>
      <c r="O46" s="198"/>
      <c r="P46" s="137" t="e">
        <f ca="1">(ROUND((ELEMENT!AC44-ELEMENT!EG44)*$P$2*(1-$H$2)*(1+$E$4),0)+ROUND((ELEMENT!EG44)*$P$2*(1-$H$2)*(1+$E$4),0))</f>
        <v>#VALUE!</v>
      </c>
      <c r="Q46" s="137" t="e">
        <f t="shared" ca="1" si="95"/>
        <v>#VALUE!</v>
      </c>
      <c r="R46" s="138" t="e">
        <f t="shared" ca="1" si="96"/>
        <v>#VALUE!</v>
      </c>
      <c r="S46" s="139" t="e">
        <f t="shared" ca="1" si="97"/>
        <v>#VALUE!</v>
      </c>
      <c r="T46" s="132" t="str">
        <f ca="1">IF(ELEMENT!AC44="","",P46+S46)</f>
        <v/>
      </c>
      <c r="U46" s="132" t="str">
        <f ca="1">IF(ELEMENT!AC44="","",C46*T46)</f>
        <v/>
      </c>
      <c r="V46" s="132" t="str">
        <f>IF(ELEMENT!AW44="JA",ELEMENT!V44,IF(D46+E46=0,"",SUM(T46/ELEMENT!AA44)))</f>
        <v/>
      </c>
      <c r="W46" s="199">
        <f t="shared" si="92"/>
        <v>1</v>
      </c>
      <c r="X46" s="141">
        <f t="shared" si="98"/>
        <v>0</v>
      </c>
      <c r="Y46" s="199" t="s">
        <v>1276</v>
      </c>
      <c r="Z46" s="141">
        <f t="shared" si="99"/>
        <v>0</v>
      </c>
      <c r="AA46" s="199"/>
      <c r="AB46" s="141">
        <f t="shared" si="100"/>
        <v>0</v>
      </c>
      <c r="AC46" s="199"/>
      <c r="AD46" s="141">
        <f t="shared" si="101"/>
        <v>0</v>
      </c>
      <c r="AE46" s="199"/>
      <c r="AF46" s="141">
        <f t="shared" si="102"/>
        <v>0</v>
      </c>
      <c r="AG46" s="199"/>
      <c r="AH46" s="141">
        <f t="shared" si="103"/>
        <v>0</v>
      </c>
      <c r="AI46" s="140"/>
      <c r="AJ46" s="141">
        <f t="shared" si="104"/>
        <v>0</v>
      </c>
      <c r="AK46" s="140"/>
      <c r="AL46" s="141">
        <f t="shared" si="105"/>
        <v>0</v>
      </c>
      <c r="AM46" s="140"/>
      <c r="AN46" s="141">
        <f t="shared" si="106"/>
        <v>0</v>
      </c>
      <c r="AO46" s="140"/>
      <c r="AP46" s="141">
        <f t="shared" si="107"/>
        <v>0</v>
      </c>
      <c r="AQ46" s="140"/>
      <c r="AR46" s="141">
        <f t="shared" si="108"/>
        <v>0</v>
      </c>
      <c r="AS46" s="140"/>
      <c r="AT46" s="141">
        <f t="shared" si="109"/>
        <v>0</v>
      </c>
      <c r="AU46" s="140"/>
      <c r="AV46" s="141">
        <f t="shared" si="110"/>
        <v>0</v>
      </c>
      <c r="AW46" s="140"/>
      <c r="AX46" s="141">
        <f t="shared" si="111"/>
        <v>0</v>
      </c>
      <c r="AY46" s="140"/>
      <c r="AZ46" s="141">
        <f t="shared" si="112"/>
        <v>0</v>
      </c>
      <c r="BA46" s="140"/>
      <c r="BB46" s="141">
        <f t="shared" si="112"/>
        <v>0</v>
      </c>
      <c r="BC46" s="140"/>
      <c r="BD46" s="141">
        <f t="shared" si="112"/>
        <v>0</v>
      </c>
      <c r="BE46" s="140"/>
      <c r="BF46" s="141">
        <f t="shared" si="112"/>
        <v>0</v>
      </c>
      <c r="BG46" s="140"/>
      <c r="BH46" s="141">
        <f t="shared" si="112"/>
        <v>0</v>
      </c>
      <c r="BI46" s="140"/>
      <c r="BJ46" s="141">
        <f t="shared" si="112"/>
        <v>0</v>
      </c>
      <c r="BK46" s="140"/>
      <c r="BL46" s="141">
        <f t="shared" si="112"/>
        <v>0</v>
      </c>
      <c r="BM46" s="140"/>
      <c r="BN46" s="141">
        <f t="shared" si="167"/>
        <v>0</v>
      </c>
      <c r="BO46" s="140"/>
      <c r="BP46" s="141">
        <f t="shared" si="159"/>
        <v>0</v>
      </c>
      <c r="BQ46" s="140"/>
      <c r="BR46" s="141">
        <f t="shared" si="160"/>
        <v>0</v>
      </c>
      <c r="BS46" s="140"/>
      <c r="BT46" s="141">
        <f t="shared" si="161"/>
        <v>0</v>
      </c>
      <c r="BU46" s="140"/>
      <c r="BV46" s="141">
        <f t="shared" si="162"/>
        <v>0</v>
      </c>
      <c r="BW46" s="140"/>
      <c r="BX46" s="141">
        <f t="shared" si="163"/>
        <v>0</v>
      </c>
      <c r="BY46" s="140"/>
      <c r="BZ46" s="141">
        <f t="shared" si="164"/>
        <v>0</v>
      </c>
      <c r="CA46" s="140"/>
      <c r="CB46" s="141">
        <f t="shared" si="165"/>
        <v>0</v>
      </c>
      <c r="CC46" s="140"/>
      <c r="CD46" s="141">
        <f t="shared" si="166"/>
        <v>0</v>
      </c>
      <c r="CE46" s="119"/>
      <c r="CF46" s="119"/>
      <c r="CG46" s="119"/>
      <c r="CH46" s="119"/>
      <c r="CI46" s="119"/>
      <c r="CJ46" s="119"/>
      <c r="CM46">
        <f t="shared" si="113"/>
        <v>0</v>
      </c>
      <c r="CN46" t="str">
        <f ca="1">ELEMENT!AC44</f>
        <v/>
      </c>
      <c r="CO46">
        <f t="shared" ca="1" si="114"/>
        <v>0</v>
      </c>
      <c r="CP46" t="str">
        <f t="shared" ca="1" si="115"/>
        <v/>
      </c>
      <c r="CQ46" t="str">
        <f t="shared" ca="1" si="116"/>
        <v/>
      </c>
      <c r="CR46">
        <f t="shared" ca="1" si="117"/>
        <v>0</v>
      </c>
      <c r="CS46">
        <f t="shared" ca="1" si="118"/>
        <v>0</v>
      </c>
      <c r="CT46">
        <f t="shared" si="119"/>
        <v>0</v>
      </c>
      <c r="CU46" t="str">
        <f t="shared" ca="1" si="120"/>
        <v/>
      </c>
      <c r="CV46">
        <f t="shared" si="121"/>
        <v>0</v>
      </c>
      <c r="CW46">
        <f t="shared" si="122"/>
        <v>0</v>
      </c>
      <c r="CX46">
        <f t="shared" si="123"/>
        <v>0</v>
      </c>
      <c r="DC46" t="str">
        <f t="shared" si="124"/>
        <v/>
      </c>
      <c r="DE46">
        <f t="shared" si="125"/>
        <v>0</v>
      </c>
      <c r="DG46" t="str">
        <f t="shared" si="126"/>
        <v/>
      </c>
      <c r="DI46" t="str">
        <f t="shared" si="127"/>
        <v/>
      </c>
      <c r="DK46" t="str">
        <f t="shared" si="128"/>
        <v/>
      </c>
      <c r="DM46" t="str">
        <f t="shared" si="129"/>
        <v/>
      </c>
      <c r="DO46" t="str">
        <f t="shared" si="130"/>
        <v/>
      </c>
      <c r="DQ46" t="str">
        <f t="shared" si="131"/>
        <v/>
      </c>
      <c r="DS46" t="str">
        <f t="shared" si="132"/>
        <v/>
      </c>
      <c r="DU46" t="str">
        <f t="shared" si="133"/>
        <v/>
      </c>
      <c r="DW46" t="str">
        <f t="shared" si="134"/>
        <v/>
      </c>
      <c r="DY46" t="str">
        <f t="shared" si="135"/>
        <v/>
      </c>
      <c r="EA46" t="str">
        <f t="shared" si="136"/>
        <v/>
      </c>
      <c r="EC46" t="str">
        <f t="shared" si="137"/>
        <v/>
      </c>
      <c r="EE46" t="str">
        <f t="shared" si="138"/>
        <v/>
      </c>
      <c r="EG46" t="str">
        <f t="shared" si="138"/>
        <v/>
      </c>
      <c r="EI46" t="str">
        <f t="shared" si="138"/>
        <v/>
      </c>
      <c r="EK46" t="str">
        <f t="shared" si="138"/>
        <v/>
      </c>
      <c r="EM46" t="str">
        <f t="shared" si="138"/>
        <v/>
      </c>
      <c r="EO46" t="str">
        <f t="shared" si="138"/>
        <v/>
      </c>
      <c r="EQ46" t="str">
        <f t="shared" si="138"/>
        <v/>
      </c>
      <c r="ES46" t="str">
        <f t="shared" si="168"/>
        <v/>
      </c>
      <c r="EU46" t="str">
        <f t="shared" si="151"/>
        <v/>
      </c>
      <c r="EW46" t="str">
        <f t="shared" si="152"/>
        <v/>
      </c>
      <c r="EY46" t="str">
        <f t="shared" si="153"/>
        <v/>
      </c>
      <c r="FA46" t="str">
        <f t="shared" si="154"/>
        <v/>
      </c>
      <c r="FC46" t="str">
        <f t="shared" si="155"/>
        <v/>
      </c>
      <c r="FE46" t="str">
        <f t="shared" si="156"/>
        <v/>
      </c>
      <c r="FG46" t="str">
        <f t="shared" si="157"/>
        <v/>
      </c>
      <c r="FI46" t="str">
        <f t="shared" si="158"/>
        <v/>
      </c>
      <c r="FL46" t="str">
        <f t="shared" si="139"/>
        <v/>
      </c>
      <c r="FM46" t="e">
        <f t="shared" ca="1" si="140"/>
        <v>#VALUE!</v>
      </c>
      <c r="FN46">
        <v>130623</v>
      </c>
      <c r="FO46">
        <f>ROUND((ELEMENT!EH44*(1-$H$2)*(1+$E$4)),0)*C46</f>
        <v>0</v>
      </c>
      <c r="FP46">
        <f t="shared" si="141"/>
        <v>0</v>
      </c>
      <c r="FQ46">
        <f t="shared" si="142"/>
        <v>0</v>
      </c>
      <c r="FR46">
        <f t="shared" si="143"/>
        <v>0</v>
      </c>
      <c r="FS46" t="str">
        <f>IF(ELEMENT!AO44="","",H46*C46)</f>
        <v/>
      </c>
      <c r="FT46">
        <f t="shared" si="144"/>
        <v>0</v>
      </c>
      <c r="FU46">
        <f t="shared" si="145"/>
        <v>0</v>
      </c>
      <c r="FV46">
        <f t="shared" si="146"/>
        <v>2.5499999999999998</v>
      </c>
      <c r="FW46">
        <f t="shared" si="147"/>
        <v>4.66</v>
      </c>
      <c r="FX46">
        <f t="shared" si="148"/>
        <v>0.36</v>
      </c>
      <c r="FY46">
        <f>ELEMENT!AR44</f>
        <v>2</v>
      </c>
      <c r="FZ46">
        <f>ELEMENT!L44</f>
        <v>1</v>
      </c>
      <c r="GA46">
        <f>ELEMENT!M44</f>
        <v>1</v>
      </c>
      <c r="GB46">
        <f>ELEMENT!N44</f>
        <v>2</v>
      </c>
      <c r="GC46">
        <f>ELEMENT!O44</f>
        <v>0</v>
      </c>
      <c r="GD46">
        <f t="shared" si="149"/>
        <v>0</v>
      </c>
      <c r="GE46">
        <f>IF(GI46=ELEMENT!$CJ$59,$GW$8,
IF(GI46=ELEMENT!$CK$59,$GW$16,
IF(GI46=ELEMENT!$CL$59,$GW$24,)))</f>
        <v>4.0999999999999996</v>
      </c>
      <c r="GF46">
        <f>IF(GI46=ELEMENT!$CJ$59,$GW$9,
IF(GI46=ELEMENT!$CK$59,$GW$17,
IF(GI46=ELEMENT!$CL$59,$GW$25,)))</f>
        <v>1.2869999999999999</v>
      </c>
      <c r="GG46">
        <f>IF(GI46=ELEMENT!$CJ$59,$GW$10,
IF(GI46=ELEMENT!$CK$59,$GW$18,
IF(GI46=ELEMENT!$CL$59,$GW$26,)))</f>
        <v>3.032</v>
      </c>
      <c r="GH46">
        <f>IF(GI46=ELEMENT!$CJ$59,$GW$12,
IF(GI46=ELEMENT!$CK$59,$GW$20,
IF(GI46=ELEMENT!$CL$59,$GW$28,)))</f>
        <v>1.87</v>
      </c>
      <c r="GI46">
        <f>ELEMENT!G44</f>
        <v>0</v>
      </c>
      <c r="GJ46">
        <f>ELEMENT!BD44</f>
        <v>0</v>
      </c>
      <c r="GL46">
        <f>ELEMENT!R44</f>
        <v>0</v>
      </c>
      <c r="GM46">
        <f>ELEMENT!S44</f>
        <v>0</v>
      </c>
      <c r="GN46">
        <f>ELEMENT!T44</f>
        <v>0</v>
      </c>
      <c r="GP46">
        <f>ELEMENT!AU44</f>
        <v>0</v>
      </c>
      <c r="GQ46">
        <f>ELEMENT!AY44</f>
        <v>0</v>
      </c>
      <c r="GR46">
        <f t="shared" si="150"/>
        <v>0</v>
      </c>
      <c r="GS46">
        <f>ELEMENT!BE44</f>
        <v>0</v>
      </c>
      <c r="GV46">
        <f>ELEMENT!BF45</f>
        <v>0</v>
      </c>
      <c r="GW46">
        <f>ELEMENT!BO45</f>
        <v>0.36</v>
      </c>
      <c r="GX46">
        <f>ELEMENT!BP45</f>
        <v>0</v>
      </c>
      <c r="GY46">
        <f>ELEMENT!BQ60</f>
        <v>0</v>
      </c>
    </row>
    <row r="47" spans="1:207" x14ac:dyDescent="0.2">
      <c r="A47" s="142"/>
      <c r="B47" s="184">
        <f>(ELEMENT!B45)</f>
        <v>0</v>
      </c>
      <c r="C47" s="184">
        <f>SUM(ELEMENT!C45)</f>
        <v>0</v>
      </c>
      <c r="D47" s="184">
        <f>ELEMENT!D45</f>
        <v>0</v>
      </c>
      <c r="E47" s="184">
        <f>ELEMENT!E45</f>
        <v>0</v>
      </c>
      <c r="F47" s="184">
        <f t="shared" si="93"/>
        <v>0</v>
      </c>
      <c r="G47" s="135" t="str">
        <f>ELEMENT!AH45</f>
        <v/>
      </c>
      <c r="H47" s="191" t="str">
        <f>IF(ELEMENT!AO45="","",ELEMENT!AA45*ELEMENT!DQ45)</f>
        <v/>
      </c>
      <c r="I47" s="184">
        <f t="shared" si="94"/>
        <v>0</v>
      </c>
      <c r="J47" s="136">
        <f>ROUND(ELEMENT!DE45,1)</f>
        <v>0</v>
      </c>
      <c r="K47" s="198"/>
      <c r="L47" s="198">
        <f t="shared" si="91"/>
        <v>0</v>
      </c>
      <c r="M47" s="198"/>
      <c r="N47" s="198"/>
      <c r="O47" s="198"/>
      <c r="P47" s="137" t="e">
        <f ca="1">(ROUND((ELEMENT!AC45-ELEMENT!EG45)*$P$2*(1-$H$2)*(1+$E$4),0)+ROUND((ELEMENT!EG45)*$P$2*(1-$H$2)*(1+$E$4),0))</f>
        <v>#VALUE!</v>
      </c>
      <c r="Q47" s="137" t="e">
        <f t="shared" ca="1" si="95"/>
        <v>#VALUE!</v>
      </c>
      <c r="R47" s="138" t="e">
        <f t="shared" ca="1" si="96"/>
        <v>#VALUE!</v>
      </c>
      <c r="S47" s="139" t="e">
        <f t="shared" ca="1" si="97"/>
        <v>#VALUE!</v>
      </c>
      <c r="T47" s="132" t="str">
        <f ca="1">IF(ELEMENT!AC45="","",P47+S47)</f>
        <v/>
      </c>
      <c r="U47" s="132" t="str">
        <f ca="1">IF(ELEMENT!AC45="","",C47*T47)</f>
        <v/>
      </c>
      <c r="V47" s="132" t="str">
        <f>IF(ELEMENT!AW45="JA",ELEMENT!V45,IF(D47+E47=0,"",SUM(T47/ELEMENT!AA45)))</f>
        <v/>
      </c>
      <c r="W47" s="199">
        <f t="shared" si="92"/>
        <v>1</v>
      </c>
      <c r="X47" s="141">
        <f t="shared" si="98"/>
        <v>0</v>
      </c>
      <c r="Y47" s="199" t="s">
        <v>1276</v>
      </c>
      <c r="Z47" s="141">
        <f t="shared" si="99"/>
        <v>0</v>
      </c>
      <c r="AA47" s="199"/>
      <c r="AB47" s="141">
        <f t="shared" si="100"/>
        <v>0</v>
      </c>
      <c r="AC47" s="199"/>
      <c r="AD47" s="141">
        <f t="shared" si="101"/>
        <v>0</v>
      </c>
      <c r="AE47" s="199"/>
      <c r="AF47" s="141">
        <f t="shared" si="102"/>
        <v>0</v>
      </c>
      <c r="AG47" s="199"/>
      <c r="AH47" s="141">
        <f t="shared" si="103"/>
        <v>0</v>
      </c>
      <c r="AI47" s="140"/>
      <c r="AJ47" s="141">
        <f t="shared" si="104"/>
        <v>0</v>
      </c>
      <c r="AK47" s="140"/>
      <c r="AL47" s="141">
        <f t="shared" si="105"/>
        <v>0</v>
      </c>
      <c r="AM47" s="140"/>
      <c r="AN47" s="141">
        <f t="shared" si="106"/>
        <v>0</v>
      </c>
      <c r="AO47" s="140"/>
      <c r="AP47" s="141">
        <f t="shared" si="107"/>
        <v>0</v>
      </c>
      <c r="AQ47" s="140"/>
      <c r="AR47" s="141">
        <f t="shared" si="108"/>
        <v>0</v>
      </c>
      <c r="AS47" s="140"/>
      <c r="AT47" s="141">
        <f t="shared" si="109"/>
        <v>0</v>
      </c>
      <c r="AU47" s="140"/>
      <c r="AV47" s="141">
        <f t="shared" si="110"/>
        <v>0</v>
      </c>
      <c r="AW47" s="140"/>
      <c r="AX47" s="141">
        <f t="shared" si="111"/>
        <v>0</v>
      </c>
      <c r="AY47" s="140"/>
      <c r="AZ47" s="141">
        <f t="shared" si="112"/>
        <v>0</v>
      </c>
      <c r="BA47" s="140"/>
      <c r="BB47" s="141">
        <f t="shared" si="112"/>
        <v>0</v>
      </c>
      <c r="BC47" s="140"/>
      <c r="BD47" s="141">
        <f t="shared" si="112"/>
        <v>0</v>
      </c>
      <c r="BE47" s="140"/>
      <c r="BF47" s="141">
        <f t="shared" si="112"/>
        <v>0</v>
      </c>
      <c r="BG47" s="140"/>
      <c r="BH47" s="141">
        <f t="shared" si="112"/>
        <v>0</v>
      </c>
      <c r="BI47" s="140"/>
      <c r="BJ47" s="141">
        <f t="shared" si="112"/>
        <v>0</v>
      </c>
      <c r="BK47" s="140"/>
      <c r="BL47" s="141">
        <f t="shared" si="112"/>
        <v>0</v>
      </c>
      <c r="BM47" s="140"/>
      <c r="BN47" s="141">
        <f t="shared" si="167"/>
        <v>0</v>
      </c>
      <c r="BO47" s="140"/>
      <c r="BP47" s="141">
        <f t="shared" si="159"/>
        <v>0</v>
      </c>
      <c r="BQ47" s="140"/>
      <c r="BR47" s="141">
        <f t="shared" si="160"/>
        <v>0</v>
      </c>
      <c r="BS47" s="140"/>
      <c r="BT47" s="141">
        <f t="shared" si="161"/>
        <v>0</v>
      </c>
      <c r="BU47" s="140"/>
      <c r="BV47" s="141">
        <f t="shared" si="162"/>
        <v>0</v>
      </c>
      <c r="BW47" s="140"/>
      <c r="BX47" s="141">
        <f t="shared" si="163"/>
        <v>0</v>
      </c>
      <c r="BY47" s="140"/>
      <c r="BZ47" s="141">
        <f t="shared" si="164"/>
        <v>0</v>
      </c>
      <c r="CA47" s="140"/>
      <c r="CB47" s="141">
        <f t="shared" si="165"/>
        <v>0</v>
      </c>
      <c r="CC47" s="140"/>
      <c r="CD47" s="141">
        <f t="shared" si="166"/>
        <v>0</v>
      </c>
      <c r="CE47" s="119"/>
      <c r="CF47" s="119"/>
      <c r="CG47" s="119"/>
      <c r="CH47" s="119"/>
      <c r="CI47" s="119"/>
      <c r="CJ47" s="119"/>
      <c r="CM47">
        <f t="shared" si="113"/>
        <v>0</v>
      </c>
      <c r="CN47" t="str">
        <f ca="1">ELEMENT!AC45</f>
        <v/>
      </c>
      <c r="CO47">
        <f t="shared" ca="1" si="114"/>
        <v>0</v>
      </c>
      <c r="CP47" t="str">
        <f t="shared" ca="1" si="115"/>
        <v/>
      </c>
      <c r="CQ47" t="str">
        <f t="shared" ca="1" si="116"/>
        <v/>
      </c>
      <c r="CR47">
        <f t="shared" ca="1" si="117"/>
        <v>0</v>
      </c>
      <c r="CS47">
        <f t="shared" ca="1" si="118"/>
        <v>0</v>
      </c>
      <c r="CT47">
        <f t="shared" si="119"/>
        <v>0</v>
      </c>
      <c r="CU47" t="str">
        <f t="shared" ca="1" si="120"/>
        <v/>
      </c>
      <c r="CV47">
        <f t="shared" si="121"/>
        <v>0</v>
      </c>
      <c r="CW47">
        <f t="shared" si="122"/>
        <v>0</v>
      </c>
      <c r="CX47">
        <f t="shared" si="123"/>
        <v>0</v>
      </c>
      <c r="DC47" t="str">
        <f t="shared" si="124"/>
        <v/>
      </c>
      <c r="DE47">
        <f t="shared" si="125"/>
        <v>0</v>
      </c>
      <c r="DG47" t="str">
        <f t="shared" si="126"/>
        <v/>
      </c>
      <c r="DI47" t="str">
        <f t="shared" si="127"/>
        <v/>
      </c>
      <c r="DK47" t="str">
        <f t="shared" si="128"/>
        <v/>
      </c>
      <c r="DM47" t="str">
        <f t="shared" si="129"/>
        <v/>
      </c>
      <c r="DO47" t="str">
        <f t="shared" si="130"/>
        <v/>
      </c>
      <c r="DQ47" t="str">
        <f t="shared" si="131"/>
        <v/>
      </c>
      <c r="DS47" t="str">
        <f t="shared" si="132"/>
        <v/>
      </c>
      <c r="DU47" t="str">
        <f t="shared" si="133"/>
        <v/>
      </c>
      <c r="DW47" t="str">
        <f t="shared" si="134"/>
        <v/>
      </c>
      <c r="DY47" t="str">
        <f t="shared" si="135"/>
        <v/>
      </c>
      <c r="EA47" t="str">
        <f t="shared" si="136"/>
        <v/>
      </c>
      <c r="EC47" t="str">
        <f t="shared" si="137"/>
        <v/>
      </c>
      <c r="EE47" t="str">
        <f t="shared" si="138"/>
        <v/>
      </c>
      <c r="EG47" t="str">
        <f t="shared" si="138"/>
        <v/>
      </c>
      <c r="EI47" t="str">
        <f t="shared" si="138"/>
        <v/>
      </c>
      <c r="EK47" t="str">
        <f t="shared" si="138"/>
        <v/>
      </c>
      <c r="EM47" t="str">
        <f t="shared" si="138"/>
        <v/>
      </c>
      <c r="EO47" t="str">
        <f t="shared" si="138"/>
        <v/>
      </c>
      <c r="EQ47" t="str">
        <f t="shared" si="138"/>
        <v/>
      </c>
      <c r="ES47" t="str">
        <f t="shared" si="168"/>
        <v/>
      </c>
      <c r="EU47" t="str">
        <f t="shared" si="151"/>
        <v/>
      </c>
      <c r="EW47" t="str">
        <f t="shared" si="152"/>
        <v/>
      </c>
      <c r="EY47" t="str">
        <f t="shared" si="153"/>
        <v/>
      </c>
      <c r="FA47" t="str">
        <f t="shared" si="154"/>
        <v/>
      </c>
      <c r="FC47" t="str">
        <f t="shared" si="155"/>
        <v/>
      </c>
      <c r="FE47" t="str">
        <f t="shared" si="156"/>
        <v/>
      </c>
      <c r="FG47" t="str">
        <f t="shared" si="157"/>
        <v/>
      </c>
      <c r="FI47" t="str">
        <f t="shared" si="158"/>
        <v/>
      </c>
      <c r="FL47" t="str">
        <f t="shared" si="139"/>
        <v/>
      </c>
      <c r="FM47" t="e">
        <f t="shared" ca="1" si="140"/>
        <v>#VALUE!</v>
      </c>
      <c r="FN47">
        <v>130624</v>
      </c>
      <c r="FO47">
        <f>ROUND((ELEMENT!EH45*(1-$H$2)*(1+$E$4)),0)*C47</f>
        <v>0</v>
      </c>
      <c r="FP47">
        <f t="shared" si="141"/>
        <v>0</v>
      </c>
      <c r="FQ47">
        <f t="shared" si="142"/>
        <v>0</v>
      </c>
      <c r="FR47">
        <f t="shared" si="143"/>
        <v>0</v>
      </c>
      <c r="FS47" t="str">
        <f>IF(ELEMENT!AO45="","",H47*C47)</f>
        <v/>
      </c>
      <c r="FT47">
        <f t="shared" si="144"/>
        <v>0</v>
      </c>
      <c r="FU47">
        <f t="shared" si="145"/>
        <v>0</v>
      </c>
      <c r="FV47">
        <f t="shared" si="146"/>
        <v>2.5499999999999998</v>
      </c>
      <c r="FW47">
        <f t="shared" si="147"/>
        <v>4.66</v>
      </c>
      <c r="FX47">
        <f t="shared" si="148"/>
        <v>0.36</v>
      </c>
      <c r="FY47">
        <f>ELEMENT!AR45</f>
        <v>2</v>
      </c>
      <c r="FZ47">
        <f>ELEMENT!L45</f>
        <v>1</v>
      </c>
      <c r="GA47">
        <f>ELEMENT!M45</f>
        <v>1</v>
      </c>
      <c r="GB47">
        <f>ELEMENT!N45</f>
        <v>2</v>
      </c>
      <c r="GC47">
        <f>ELEMENT!O45</f>
        <v>0</v>
      </c>
      <c r="GD47">
        <f t="shared" si="149"/>
        <v>0</v>
      </c>
      <c r="GE47">
        <f>IF(GI47=ELEMENT!$CJ$59,$GW$8,
IF(GI47=ELEMENT!$CK$59,$GW$16,
IF(GI47=ELEMENT!$CL$59,$GW$24,)))</f>
        <v>4.0999999999999996</v>
      </c>
      <c r="GF47">
        <f>IF(GI47=ELEMENT!$CJ$59,$GW$9,
IF(GI47=ELEMENT!$CK$59,$GW$17,
IF(GI47=ELEMENT!$CL$59,$GW$25,)))</f>
        <v>1.2869999999999999</v>
      </c>
      <c r="GG47">
        <f>IF(GI47=ELEMENT!$CJ$59,$GW$10,
IF(GI47=ELEMENT!$CK$59,$GW$18,
IF(GI47=ELEMENT!$CL$59,$GW$26,)))</f>
        <v>3.032</v>
      </c>
      <c r="GH47">
        <f>IF(GI47=ELEMENT!$CJ$59,$GW$12,
IF(GI47=ELEMENT!$CK$59,$GW$20,
IF(GI47=ELEMENT!$CL$59,$GW$28,)))</f>
        <v>1.87</v>
      </c>
      <c r="GI47">
        <f>ELEMENT!G45</f>
        <v>0</v>
      </c>
      <c r="GJ47">
        <f>ELEMENT!BD45</f>
        <v>0</v>
      </c>
      <c r="GL47">
        <f>ELEMENT!R45</f>
        <v>0</v>
      </c>
      <c r="GM47">
        <f>ELEMENT!S45</f>
        <v>0</v>
      </c>
      <c r="GN47">
        <f>ELEMENT!T45</f>
        <v>0</v>
      </c>
      <c r="GP47">
        <f>ELEMENT!AU45</f>
        <v>0</v>
      </c>
      <c r="GQ47">
        <f>ELEMENT!AY45</f>
        <v>0</v>
      </c>
      <c r="GR47">
        <f t="shared" si="150"/>
        <v>0</v>
      </c>
      <c r="GS47">
        <f>ELEMENT!BE45</f>
        <v>0</v>
      </c>
      <c r="GV47">
        <f>ELEMENT!BF46</f>
        <v>0</v>
      </c>
      <c r="GW47">
        <f>ELEMENT!BO46</f>
        <v>2.5499999999999998</v>
      </c>
      <c r="GX47">
        <f>ELEMENT!BP46</f>
        <v>110</v>
      </c>
      <c r="GY47">
        <f>ELEMENT!BQ61</f>
        <v>0</v>
      </c>
    </row>
    <row r="48" spans="1:207" x14ac:dyDescent="0.2">
      <c r="A48" s="142"/>
      <c r="B48" s="134" t="s">
        <v>16</v>
      </c>
      <c r="C48" s="130">
        <f>SUM(C7:C47)</f>
        <v>0</v>
      </c>
      <c r="D48" s="116"/>
      <c r="E48" s="116"/>
      <c r="F48" s="116"/>
      <c r="G48" s="116"/>
      <c r="H48" s="131">
        <f>SUM(FS7:FS47)</f>
        <v>0</v>
      </c>
      <c r="I48" s="131">
        <f>SUM(FR7:FR47)</f>
        <v>0</v>
      </c>
      <c r="J48" s="115" t="str">
        <f>IF(ELEMENT!H47="","",IF(ELEMENT!B47=ELEMENT!H47,"",CONCATENATE(Sprache!B94," ",AD51)))</f>
        <v xml:space="preserve">Additional charge for alternative surface of all active items: </v>
      </c>
      <c r="K48" s="279"/>
      <c r="L48" s="279"/>
      <c r="M48" s="280">
        <v>1</v>
      </c>
      <c r="N48" s="280">
        <v>1</v>
      </c>
      <c r="O48" s="279">
        <f>SUM(CX7:CX47)</f>
        <v>0</v>
      </c>
      <c r="P48" s="132" t="e">
        <f ca="1">SUM(P7:P47)</f>
        <v>#VALUE!</v>
      </c>
      <c r="Q48" s="132" t="e">
        <f ca="1">SUM(Q7:Q47)</f>
        <v>#VALUE!</v>
      </c>
      <c r="R48" s="132" t="e">
        <f ca="1">SUM(R7:R47)</f>
        <v>#VALUE!</v>
      </c>
      <c r="S48" s="139" t="e">
        <f>ROUND((#REF!+#REF!),0)</f>
        <v>#REF!</v>
      </c>
      <c r="T48" s="149">
        <f>IFERROR(
FO48*P2,)</f>
        <v>0</v>
      </c>
      <c r="U48" s="132">
        <f ca="1">SUM(U7:U47)</f>
        <v>0</v>
      </c>
      <c r="V48" s="188">
        <f ca="1">IFERROR(U48/ELEMENT!$AB$46,)</f>
        <v>0</v>
      </c>
      <c r="W48" s="454" t="str">
        <f>IF(W6="",ROUND(SUM(X7:X47),1),IF(SUM(X7:X47)=0,Sprache!$B$86,ROUND(SUM(X7:X47),1)))</f>
        <v>per</v>
      </c>
      <c r="X48" s="455"/>
      <c r="Y48" s="454" t="str">
        <f>IF(Y6="",ROUND(SUM(Z7:Z47),1),IF(SUM(Z7:Z47)=0,Sprache!$B$86,ROUND(SUM(Z7:Z47),1)))</f>
        <v>per</v>
      </c>
      <c r="Z48" s="455"/>
      <c r="AA48" s="454" t="str">
        <f>IF(AA6="",ROUND(SUM(AB7:AB47),1),IF(SUM(AB7:AB47)=0,Sprache!$B$86,ROUND(SUM(AB7:AB47),1)))</f>
        <v>per</v>
      </c>
      <c r="AB48" s="455"/>
      <c r="AC48" s="454" t="str">
        <f>IF(AC6="",ROUND(SUM(AD7:AD47),1),IF(SUM(AD7:AD47)=0,Sprache!$B$86,ROUND(SUM(AD7:AD47),1)))</f>
        <v>per</v>
      </c>
      <c r="AD48" s="455"/>
      <c r="AE48" s="454" t="str">
        <f>IF(AE6="",ROUND(SUM(AF7:AF47),1),IF(SUM(AF7:AF47)=0,Sprache!$B$86,ROUND(SUM(AF7:AF47),1)))</f>
        <v>per</v>
      </c>
      <c r="AF48" s="455"/>
      <c r="AG48" s="454">
        <f>IF(AG6="",ROUND(SUM(AH7:AH47),1),IF(SUM(AH7:AH47)=0,Sprache!$B$86,ROUND(SUM(AH7:AH47),1)))</f>
        <v>0</v>
      </c>
      <c r="AH48" s="455"/>
      <c r="AI48" s="454">
        <f>IF(AI6="",ROUND(SUM(AJ7:AJ47),1),IF(SUM(AJ7:AJ47)=0,Sprache!$B$86,ROUND(SUM(AJ7:AJ47),1)))</f>
        <v>0</v>
      </c>
      <c r="AJ48" s="455"/>
      <c r="AK48" s="454">
        <f>IF(AK6="",ROUND(SUM(AL7:AL47),1),IF(SUM(AL7:AL47)=0,Sprache!$B$86,ROUND(SUM(AL7:AL47),1)))</f>
        <v>0</v>
      </c>
      <c r="AL48" s="455"/>
      <c r="AM48" s="454">
        <f>IF(AM6="",ROUND(SUM(AN7:AN47),1),IF(SUM(AN7:AN47)=0,Sprache!$B$86,ROUND(SUM(AN7:AN47),1)))</f>
        <v>0</v>
      </c>
      <c r="AN48" s="455"/>
      <c r="AO48" s="454">
        <f>IF(AO6="",ROUND(SUM(AP7:AP47),1),IF(SUM(AP7:AP47)=0,Sprache!$B$86,ROUND(SUM(AP7:AP47),1)))</f>
        <v>0</v>
      </c>
      <c r="AP48" s="455"/>
      <c r="AQ48" s="454">
        <f>IF(AQ6="",ROUND(SUM(AR7:AR47),1),IF(SUM(AR7:AR47)=0,Sprache!$B$86,ROUND(SUM(AR7:AR47),1)))</f>
        <v>0</v>
      </c>
      <c r="AR48" s="455"/>
      <c r="AS48" s="454">
        <f>IF(AS6="",ROUND(SUM(AT7:AT47),1),IF(SUM(AT7:AT47)=0,Sprache!$B$86,ROUND(SUM(AT7:AT47),1)))</f>
        <v>0</v>
      </c>
      <c r="AT48" s="455"/>
      <c r="AU48" s="454">
        <f>IF(AU6="",ROUND(SUM(AV7:AV47),1),IF(SUM(AV7:AV47)=0,Sprache!$B$86,ROUND(SUM(AV7:AV47),1)))</f>
        <v>0</v>
      </c>
      <c r="AV48" s="455"/>
      <c r="AW48" s="454">
        <f>IF(AW6="",ROUND(SUM(AX7:AX47),1),IF(SUM(AX7:AX47)=0,Sprache!$B$86,ROUND(SUM(AX7:AX47),1)))</f>
        <v>0</v>
      </c>
      <c r="AX48" s="455"/>
      <c r="AY48" s="454">
        <f>IF(AY6="",ROUND(SUM(AZ7:AZ47),1),IF(SUM(AZ7:AZ47)=0,Sprache!$B$86,ROUND(SUM(AZ7:AZ47),1)))</f>
        <v>0</v>
      </c>
      <c r="AZ48" s="455"/>
      <c r="BA48" s="454">
        <f>IF(BA6="",ROUND(SUM(BB7:BB47),1),IF(SUM(BB7:BB47)=0,Sprache!$B$86,ROUND(SUM(BB7:BB47),1)))</f>
        <v>0</v>
      </c>
      <c r="BB48" s="455"/>
      <c r="BC48" s="454">
        <f>IF(BC6="",ROUND(SUM(BD7:BD47),1),IF(SUM(BD7:BD47)=0,Sprache!$B$86,ROUND(SUM(BD7:BD47),1)))</f>
        <v>0</v>
      </c>
      <c r="BD48" s="455"/>
      <c r="BE48" s="454">
        <f>IF(BE6="",ROUND(SUM(BF7:BF47),1),IF(SUM(BF7:BF47)=0,Sprache!$B$86,ROUND(SUM(BF7:BF47),1)))</f>
        <v>0</v>
      </c>
      <c r="BF48" s="455"/>
      <c r="BG48" s="454">
        <f>IF(BG6="",ROUND(SUM(BH7:BH47),1),IF(SUM(BH7:BH47)=0,Sprache!$B$86,ROUND(SUM(BH7:BH47),1)))</f>
        <v>0</v>
      </c>
      <c r="BH48" s="455"/>
      <c r="BI48" s="454">
        <f>IF(BI6="",ROUND(SUM(BJ7:BJ47),1),IF(SUM(BJ7:BJ47)=0,Sprache!$B$86,ROUND(SUM(BJ7:BJ47),1)))</f>
        <v>0</v>
      </c>
      <c r="BJ48" s="455"/>
      <c r="BK48" s="454">
        <f>IF(BK6="",ROUND(SUM(BL7:BL47),1),IF(SUM(BL7:BL47)=0,Sprache!$B$86,ROUND(SUM(BL7:BL47),1)))</f>
        <v>0</v>
      </c>
      <c r="BL48" s="455"/>
      <c r="BM48" s="454">
        <f>IF(BM6="",ROUND(SUM(BN7:BN47),1),IF(SUM(BN7:BN47)=0,Sprache!$B$86,ROUND(SUM(BN7:BN47),1)))</f>
        <v>0</v>
      </c>
      <c r="BN48" s="455"/>
      <c r="BO48" s="454">
        <f>IF(BO6="",ROUND(SUM(BP7:BP47),1),IF(SUM(BP7:BP47)=0,Sprache!$B$86,ROUND(SUM(BP7:BP47),1)))</f>
        <v>0</v>
      </c>
      <c r="BP48" s="455"/>
      <c r="BQ48" s="454">
        <f>IF(BQ6="",ROUND(SUM(BR7:BR47),1),IF(SUM(BR7:BR47)=0,Sprache!$B$86,ROUND(SUM(BR7:BR47),1)))</f>
        <v>0</v>
      </c>
      <c r="BR48" s="455"/>
      <c r="BS48" s="454">
        <f>IF(BS6="",ROUND(SUM(BT7:BT47),1),IF(SUM(BT7:BT47)=0,Sprache!$B$86,ROUND(SUM(BT7:BT47),1)))</f>
        <v>0</v>
      </c>
      <c r="BT48" s="455"/>
      <c r="BU48" s="454">
        <f>IF(BU6="",ROUND(SUM(BV7:BV47),1),IF(SUM(BV7:BV47)=0,Sprache!$B$86,ROUND(SUM(BV7:BV47),1)))</f>
        <v>0</v>
      </c>
      <c r="BV48" s="455"/>
      <c r="BW48" s="454">
        <f>IF(BW6="",ROUND(SUM(BX7:BX47),1),IF(SUM(BX7:BX47)=0,Sprache!$B$86,ROUND(SUM(BX7:BX47),1)))</f>
        <v>0</v>
      </c>
      <c r="BX48" s="455"/>
      <c r="BY48" s="454">
        <f>IF(BY6="",ROUND(SUM(BZ7:BZ47),1),IF(SUM(BZ7:BZ47)=0,Sprache!$B$86,ROUND(SUM(BZ7:BZ47),1)))</f>
        <v>0</v>
      </c>
      <c r="BZ48" s="455"/>
      <c r="CA48" s="454">
        <f>IF(CA6="",ROUND(SUM(CB7:CB47),1),IF(SUM(CB7:CB47)=0,Sprache!$B$86,ROUND(SUM(CB7:CB47),1)))</f>
        <v>0</v>
      </c>
      <c r="CB48" s="455"/>
      <c r="CC48" s="454">
        <f>IF(CC6="",ROUND(SUM(CD7:CD47),1),IF(SUM(CD7:CD47)=0,Sprache!$B$86,ROUND(SUM(CD7:CD47),1)))</f>
        <v>0</v>
      </c>
      <c r="CD48" s="455"/>
      <c r="CE48" s="119"/>
      <c r="CF48" s="119"/>
      <c r="CG48" s="119"/>
      <c r="CH48" s="119"/>
      <c r="CI48" s="119"/>
      <c r="CJ48" s="119"/>
      <c r="CM48" t="str">
        <f>B48</f>
        <v>Total</v>
      </c>
      <c r="CN48">
        <f ca="1">SUM(CO7:CO47)</f>
        <v>0</v>
      </c>
      <c r="CP48">
        <f ca="1">SUM(CQ7:CQ47)</f>
        <v>0</v>
      </c>
      <c r="CR48">
        <f ca="1">SUM(CS7:CS47)</f>
        <v>0</v>
      </c>
      <c r="CT48">
        <f ca="1">SUM(CU7:CU47)</f>
        <v>0</v>
      </c>
      <c r="CV48">
        <f>SUM(CW7:CW47)</f>
        <v>0</v>
      </c>
      <c r="FO48">
        <f>ROUND(SUM(FO7:FO47),0)</f>
        <v>0</v>
      </c>
      <c r="FP48">
        <f>SUM(FP7:FP47)</f>
        <v>0</v>
      </c>
      <c r="GV48">
        <f>ELEMENT!BF47</f>
        <v>0</v>
      </c>
      <c r="GW48">
        <f>ELEMENT!BO47</f>
        <v>4.66</v>
      </c>
      <c r="GX48">
        <f>ELEMENT!BP47</f>
        <v>0</v>
      </c>
      <c r="GY48">
        <f>ELEMENT!BQ62</f>
        <v>0</v>
      </c>
    </row>
    <row r="49" spans="1:252" x14ac:dyDescent="0.2">
      <c r="A49" s="142"/>
      <c r="B49" s="119"/>
      <c r="C49" s="119"/>
      <c r="D49" s="119"/>
      <c r="E49" s="119"/>
      <c r="F49" s="119"/>
      <c r="G49" s="119"/>
      <c r="H49" s="119"/>
      <c r="I49" s="119"/>
      <c r="J49" s="119"/>
      <c r="K49" s="119"/>
      <c r="L49" s="119"/>
      <c r="M49" s="119"/>
      <c r="N49" s="119"/>
      <c r="O49" s="119"/>
      <c r="P49" s="119"/>
      <c r="Q49" s="119"/>
      <c r="R49" s="119"/>
      <c r="S49" s="119"/>
      <c r="T49" s="119"/>
      <c r="U49" s="119"/>
      <c r="V49" s="119"/>
      <c r="W49" s="119"/>
      <c r="X49" s="119"/>
      <c r="Y49" s="119"/>
      <c r="Z49" s="119"/>
      <c r="AA49" s="119"/>
      <c r="AB49" s="119"/>
      <c r="AC49" s="119"/>
      <c r="AD49" s="119"/>
      <c r="AE49" s="119"/>
      <c r="AF49" s="119"/>
      <c r="AG49" s="119"/>
      <c r="AH49" s="119"/>
      <c r="AI49" s="119"/>
      <c r="AJ49" s="119"/>
      <c r="AK49" s="119"/>
      <c r="AL49" s="119"/>
      <c r="AM49" s="119"/>
      <c r="AN49" s="119"/>
      <c r="AO49" s="119"/>
      <c r="AP49" s="119"/>
      <c r="AQ49" s="119"/>
      <c r="AR49" s="119"/>
      <c r="AS49" s="119"/>
      <c r="AT49" s="119"/>
      <c r="AU49" s="119"/>
      <c r="AV49" s="119"/>
      <c r="AW49" s="119"/>
      <c r="AX49" s="119"/>
      <c r="AY49" s="119"/>
      <c r="AZ49" s="119"/>
      <c r="BA49" s="119"/>
      <c r="BB49" s="119"/>
      <c r="BC49" s="119"/>
      <c r="BD49" s="119"/>
      <c r="BE49" s="119"/>
      <c r="BF49" s="119"/>
      <c r="BG49" s="119"/>
      <c r="BH49" s="119"/>
      <c r="BI49" s="119"/>
      <c r="BJ49" s="119"/>
      <c r="BK49" s="119"/>
      <c r="BL49" s="119"/>
      <c r="BM49" s="119"/>
      <c r="BN49" s="119"/>
      <c r="BO49" s="119"/>
      <c r="BP49" s="119"/>
      <c r="BQ49" s="119"/>
      <c r="BR49" s="119"/>
      <c r="BS49" s="119"/>
      <c r="BT49" s="119"/>
      <c r="BU49" s="119"/>
      <c r="BV49" s="119"/>
      <c r="BW49" s="119"/>
      <c r="BX49" s="119"/>
      <c r="BY49" s="119"/>
      <c r="BZ49" s="119"/>
      <c r="CA49" s="119"/>
      <c r="CB49" s="119"/>
      <c r="CC49" s="119"/>
      <c r="CD49" s="119"/>
      <c r="CE49" s="119"/>
      <c r="CF49" s="119"/>
      <c r="CG49" s="119"/>
      <c r="CH49" s="119"/>
      <c r="CI49" s="119"/>
      <c r="CJ49" s="119"/>
      <c r="GY49">
        <f>ELEMENT!BQ63</f>
        <v>0</v>
      </c>
    </row>
    <row r="50" spans="1:252" x14ac:dyDescent="0.2">
      <c r="A50" s="142"/>
      <c r="B50" s="119"/>
      <c r="C50" s="119"/>
      <c r="D50" s="119"/>
      <c r="E50" s="119"/>
      <c r="F50" s="119"/>
      <c r="G50" s="119"/>
      <c r="H50" s="119"/>
      <c r="I50" s="119"/>
      <c r="J50" s="119"/>
      <c r="K50" s="119"/>
      <c r="L50" s="119"/>
      <c r="M50" s="119"/>
      <c r="N50" s="119"/>
      <c r="O50" s="119"/>
      <c r="P50" s="119"/>
      <c r="Q50" s="119"/>
      <c r="R50" s="119"/>
      <c r="S50" s="119"/>
      <c r="T50" s="119"/>
      <c r="U50" s="119"/>
      <c r="V50" s="119"/>
      <c r="W50" s="119"/>
      <c r="X50" s="119"/>
      <c r="Y50" s="119"/>
      <c r="Z50" s="119"/>
      <c r="AA50" s="119"/>
      <c r="AB50" s="119"/>
      <c r="AC50" s="119"/>
      <c r="AD50" s="119"/>
      <c r="AE50" s="119"/>
      <c r="AF50" s="119"/>
      <c r="AG50" s="119"/>
      <c r="AH50" s="119"/>
      <c r="AI50" s="119"/>
      <c r="AJ50" s="119"/>
      <c r="AK50" s="119"/>
      <c r="AL50" s="119"/>
      <c r="AM50" s="119"/>
      <c r="AN50" s="119"/>
      <c r="AO50" s="119"/>
      <c r="AP50" s="119"/>
      <c r="AQ50" s="119"/>
      <c r="AR50" s="119"/>
      <c r="AS50" s="119"/>
      <c r="AT50" s="119"/>
      <c r="AU50" s="119"/>
      <c r="AV50" s="119"/>
      <c r="AW50" s="119"/>
      <c r="AX50" s="119"/>
      <c r="AY50" s="119"/>
      <c r="AZ50" s="119"/>
      <c r="BA50" s="119"/>
      <c r="BB50" s="119"/>
      <c r="BC50" s="119"/>
      <c r="BD50" s="119"/>
      <c r="BE50" s="119"/>
      <c r="BF50" s="119"/>
      <c r="BG50" s="119"/>
      <c r="BH50" s="119"/>
      <c r="BI50" s="119"/>
      <c r="BJ50" s="119"/>
      <c r="BK50" s="119"/>
      <c r="BL50" s="119"/>
      <c r="BM50" s="119"/>
      <c r="BN50" s="119"/>
      <c r="BO50" s="119"/>
      <c r="BP50" s="119"/>
      <c r="BQ50" s="119"/>
      <c r="BR50" s="119"/>
      <c r="BS50" s="119"/>
      <c r="BT50" s="119"/>
      <c r="BU50" s="119"/>
      <c r="BV50" s="119"/>
      <c r="BW50" s="119"/>
      <c r="BX50" s="119"/>
      <c r="BY50" s="119"/>
      <c r="BZ50" s="119"/>
      <c r="CA50" s="119"/>
      <c r="CB50" s="119"/>
      <c r="CC50" s="119"/>
      <c r="CD50" s="119"/>
      <c r="CE50" s="119"/>
      <c r="CF50" s="119"/>
      <c r="CG50" s="119"/>
      <c r="CH50" s="119"/>
      <c r="CI50" s="119"/>
      <c r="CJ50" s="119"/>
      <c r="GY50">
        <f>ELEMENT!BQ64</f>
        <v>0</v>
      </c>
    </row>
    <row r="51" spans="1:252" x14ac:dyDescent="0.2">
      <c r="A51" s="142"/>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GY51">
        <f>ELEMENT!BQ65</f>
        <v>0</v>
      </c>
    </row>
    <row r="52" spans="1:252" ht="14.25" customHeight="1" x14ac:dyDescent="0.2">
      <c r="A52" s="142"/>
      <c r="B52" s="119"/>
      <c r="C52" s="119"/>
      <c r="D52" s="119"/>
      <c r="E52" s="119"/>
      <c r="F52" s="119"/>
      <c r="G52" s="119"/>
      <c r="H52" s="119"/>
      <c r="I52" s="119"/>
      <c r="J52" s="119"/>
      <c r="K52" s="119"/>
      <c r="L52" s="119"/>
      <c r="M52" s="119"/>
      <c r="N52" s="119"/>
      <c r="O52" s="119"/>
      <c r="P52" s="119"/>
      <c r="Q52" s="119"/>
      <c r="R52" s="119"/>
      <c r="S52" s="119"/>
      <c r="T52" s="119"/>
      <c r="U52" s="119"/>
      <c r="V52" s="119"/>
      <c r="W52" s="119"/>
      <c r="X52" s="119"/>
      <c r="Y52" s="119"/>
      <c r="Z52" s="119"/>
      <c r="AA52" s="119"/>
      <c r="AB52" s="119"/>
      <c r="AC52" s="119"/>
      <c r="AD52" s="119"/>
      <c r="AE52" s="119"/>
      <c r="AF52" s="119"/>
      <c r="AG52" s="119"/>
      <c r="AH52" s="119"/>
      <c r="AI52" s="119"/>
      <c r="AJ52" s="119"/>
      <c r="AK52" s="119"/>
      <c r="AL52" s="119"/>
      <c r="AM52" s="119"/>
      <c r="AN52" s="119"/>
      <c r="AO52" s="119"/>
      <c r="AP52" s="119"/>
      <c r="AQ52" s="119"/>
      <c r="AR52" s="119"/>
      <c r="AS52" s="119"/>
      <c r="AT52" s="119"/>
      <c r="AU52" s="119"/>
      <c r="AV52" s="119"/>
      <c r="AW52" s="119"/>
      <c r="AX52" s="119"/>
      <c r="AY52" s="119"/>
      <c r="AZ52" s="119"/>
      <c r="BA52" s="119"/>
      <c r="BB52" s="119"/>
      <c r="BC52" s="119"/>
      <c r="BD52" s="119"/>
      <c r="BE52" s="119"/>
      <c r="BF52" s="119"/>
      <c r="BG52" s="119"/>
      <c r="BH52" s="119"/>
      <c r="BI52" s="119"/>
      <c r="BJ52" s="119"/>
      <c r="BK52" s="119"/>
      <c r="BL52" s="119"/>
      <c r="BM52" s="119"/>
      <c r="BN52" s="119"/>
      <c r="BO52" s="119"/>
      <c r="BP52" s="119"/>
      <c r="BQ52" s="119"/>
      <c r="BR52" s="119"/>
      <c r="BS52" s="119"/>
      <c r="BT52" s="119"/>
      <c r="BU52" s="119"/>
      <c r="BV52" s="119"/>
      <c r="BW52" s="119"/>
      <c r="BX52" s="119"/>
      <c r="BY52" s="119"/>
      <c r="BZ52" s="119"/>
      <c r="CA52" s="119"/>
      <c r="CB52" s="119"/>
      <c r="CC52" s="119"/>
      <c r="CD52" s="119"/>
      <c r="CE52" s="119"/>
      <c r="CF52" s="119"/>
      <c r="CG52" s="119"/>
      <c r="CH52" s="119"/>
      <c r="CI52" s="119"/>
      <c r="CJ52" s="119"/>
      <c r="GY52">
        <f>ELEMENT!BQ66</f>
        <v>0</v>
      </c>
    </row>
    <row r="53" spans="1:252" x14ac:dyDescent="0.2">
      <c r="A53" s="142"/>
      <c r="B53" s="119"/>
      <c r="C53" s="119"/>
      <c r="D53" s="119"/>
      <c r="E53" s="119"/>
      <c r="F53" s="119"/>
      <c r="G53" s="119"/>
      <c r="H53" s="119"/>
      <c r="I53" s="119"/>
      <c r="J53" s="119"/>
      <c r="K53" s="119"/>
      <c r="L53" s="119"/>
      <c r="M53" s="119"/>
      <c r="N53" s="119"/>
      <c r="O53" s="119"/>
      <c r="P53" s="119"/>
      <c r="Q53" s="119"/>
      <c r="R53" s="119"/>
      <c r="S53" s="119"/>
      <c r="T53" s="119"/>
      <c r="U53" s="119"/>
      <c r="V53" s="119"/>
      <c r="W53" s="119"/>
      <c r="X53" s="119"/>
      <c r="Y53" s="119"/>
      <c r="Z53" s="119"/>
      <c r="AA53" s="119"/>
      <c r="AB53" s="119"/>
      <c r="AC53" s="119"/>
      <c r="AD53" s="119"/>
      <c r="AE53" s="119"/>
      <c r="AF53" s="119"/>
      <c r="AG53" s="119"/>
      <c r="AH53" s="119"/>
      <c r="AI53" s="119"/>
      <c r="AJ53" s="119"/>
      <c r="AK53" s="119"/>
      <c r="AL53" s="119"/>
      <c r="AM53" s="119"/>
      <c r="AN53" s="119"/>
      <c r="AO53" s="119"/>
      <c r="AP53" s="119"/>
      <c r="AQ53" s="119"/>
      <c r="AR53" s="119"/>
      <c r="AS53" s="119"/>
      <c r="AT53" s="119"/>
      <c r="AU53" s="119"/>
      <c r="AV53" s="119"/>
      <c r="AW53" s="119"/>
      <c r="AX53" s="119"/>
      <c r="AY53" s="119"/>
      <c r="AZ53" s="119"/>
      <c r="BA53" s="119"/>
      <c r="BB53" s="119"/>
      <c r="BC53" s="119"/>
      <c r="BD53" s="119"/>
      <c r="BE53" s="119"/>
      <c r="BF53" s="119"/>
      <c r="BG53" s="119"/>
      <c r="BH53" s="119"/>
      <c r="BI53" s="119"/>
      <c r="BJ53" s="119"/>
      <c r="BK53" s="119"/>
      <c r="BL53" s="119"/>
      <c r="BM53" s="119"/>
      <c r="BN53" s="119"/>
      <c r="BO53" s="119"/>
      <c r="BP53" s="119"/>
      <c r="BQ53" s="119"/>
      <c r="BR53" s="119"/>
      <c r="BS53" s="119"/>
      <c r="BT53" s="119"/>
      <c r="BU53" s="119"/>
      <c r="BV53" s="119"/>
      <c r="BW53" s="119"/>
      <c r="BX53" s="119"/>
      <c r="BY53" s="119"/>
      <c r="BZ53" s="119"/>
      <c r="CA53" s="119"/>
      <c r="CB53" s="119"/>
      <c r="CC53" s="119"/>
      <c r="CD53" s="119"/>
      <c r="CE53" s="119"/>
      <c r="CF53" s="119"/>
      <c r="CG53" s="119"/>
      <c r="CH53" s="119"/>
      <c r="CI53" s="119"/>
      <c r="CJ53" s="119"/>
      <c r="GY53">
        <f>ELEMENT!BQ67</f>
        <v>0</v>
      </c>
    </row>
    <row r="54" spans="1:252" x14ac:dyDescent="0.2">
      <c r="A54" s="114"/>
      <c r="B54" s="119"/>
      <c r="C54" s="119"/>
      <c r="D54" s="119"/>
      <c r="E54" s="119"/>
      <c r="F54" s="119"/>
      <c r="G54" s="119"/>
      <c r="H54" s="119"/>
      <c r="I54" s="119"/>
      <c r="J54" s="119"/>
      <c r="K54" s="119"/>
      <c r="L54" s="119"/>
      <c r="M54" s="119"/>
      <c r="N54" s="119"/>
      <c r="O54" s="119"/>
      <c r="P54" s="119"/>
      <c r="Q54" s="119"/>
      <c r="R54" s="119"/>
      <c r="S54" s="119"/>
      <c r="T54" s="119"/>
      <c r="U54" s="119"/>
      <c r="V54" s="119"/>
      <c r="W54" s="119"/>
      <c r="X54" s="119"/>
      <c r="Y54" s="119"/>
      <c r="Z54" s="119"/>
      <c r="AA54" s="119"/>
      <c r="AB54" s="119"/>
      <c r="AC54" s="119"/>
      <c r="AD54" s="119"/>
      <c r="AE54" s="119"/>
      <c r="AF54" s="119"/>
      <c r="AG54" s="119"/>
      <c r="AH54" s="119"/>
      <c r="AI54" s="119"/>
      <c r="AJ54" s="119"/>
      <c r="AK54" s="119"/>
      <c r="AL54" s="119"/>
      <c r="AM54" s="119"/>
      <c r="AN54" s="119"/>
      <c r="AO54" s="119"/>
      <c r="AP54" s="119"/>
      <c r="AQ54" s="119"/>
      <c r="AR54" s="119"/>
      <c r="AS54" s="119"/>
      <c r="AT54" s="119"/>
      <c r="AU54" s="119"/>
      <c r="AV54" s="119"/>
      <c r="AW54" s="119"/>
      <c r="AX54" s="119"/>
      <c r="AY54" s="119"/>
      <c r="AZ54" s="119"/>
      <c r="BA54" s="119"/>
      <c r="BB54" s="119"/>
      <c r="BC54" s="119"/>
      <c r="BD54" s="119"/>
      <c r="BE54" s="119"/>
      <c r="BF54" s="119"/>
      <c r="BG54" s="119"/>
      <c r="BH54" s="119"/>
      <c r="BI54" s="119"/>
      <c r="BJ54" s="119"/>
      <c r="BK54" s="119"/>
      <c r="BL54" s="119"/>
      <c r="BM54" s="119"/>
      <c r="BN54" s="119"/>
      <c r="BO54" s="119"/>
      <c r="BP54" s="119"/>
      <c r="BQ54" s="119"/>
      <c r="BR54" s="119"/>
      <c r="BS54" s="119"/>
      <c r="BT54" s="119"/>
      <c r="BU54" s="119"/>
      <c r="BV54" s="119"/>
      <c r="BW54" s="119"/>
      <c r="BX54" s="119"/>
      <c r="BY54" s="119"/>
      <c r="BZ54" s="119"/>
      <c r="CA54" s="119"/>
      <c r="CB54" s="119"/>
      <c r="CC54" s="119"/>
      <c r="CD54" s="119"/>
      <c r="CE54" s="119"/>
      <c r="CF54" s="119"/>
      <c r="CG54" s="119"/>
      <c r="CH54" s="119"/>
      <c r="CI54" s="119"/>
      <c r="CJ54" s="119"/>
      <c r="GY54">
        <f>ELEMENT!BQ68</f>
        <v>0</v>
      </c>
    </row>
    <row r="55" spans="1:252" x14ac:dyDescent="0.2">
      <c r="A55" s="114"/>
      <c r="B55" s="119"/>
      <c r="C55" s="119"/>
      <c r="D55" s="119"/>
      <c r="E55" s="119"/>
      <c r="F55" s="119"/>
      <c r="G55" s="119"/>
      <c r="H55" s="119"/>
      <c r="I55" s="119"/>
      <c r="J55" s="119"/>
      <c r="K55" s="119"/>
      <c r="L55" s="119"/>
      <c r="M55" s="119"/>
      <c r="N55" s="119"/>
      <c r="O55" s="119"/>
      <c r="P55" s="119"/>
      <c r="Q55" s="119"/>
      <c r="R55" s="119"/>
      <c r="S55" s="119"/>
      <c r="T55" s="119"/>
      <c r="U55" s="119"/>
      <c r="V55" s="119"/>
      <c r="W55" s="119"/>
      <c r="X55" s="119"/>
      <c r="Y55" s="119"/>
      <c r="Z55" s="119"/>
      <c r="AA55" s="119"/>
      <c r="AB55" s="119"/>
      <c r="AC55" s="119"/>
      <c r="AD55" s="119"/>
      <c r="AE55" s="119"/>
      <c r="AF55" s="119"/>
      <c r="AG55" s="119"/>
      <c r="AH55" s="119"/>
      <c r="AI55" s="119"/>
      <c r="AJ55" s="119"/>
      <c r="AK55" s="119"/>
      <c r="AL55" s="119"/>
      <c r="AM55" s="119"/>
      <c r="AN55" s="119"/>
      <c r="AO55" s="119"/>
      <c r="AP55" s="119"/>
      <c r="AQ55" s="119"/>
      <c r="AR55" s="119"/>
      <c r="AS55" s="119"/>
      <c r="AT55" s="119"/>
      <c r="AU55" s="119"/>
      <c r="AV55" s="119"/>
      <c r="AW55" s="119"/>
      <c r="AX55" s="119"/>
      <c r="AY55" s="119"/>
      <c r="AZ55" s="119"/>
      <c r="BA55" s="119"/>
      <c r="BB55" s="119"/>
      <c r="BC55" s="119"/>
      <c r="BD55" s="119"/>
      <c r="BE55" s="119"/>
      <c r="BF55" s="119"/>
      <c r="BG55" s="119"/>
      <c r="BH55" s="119"/>
      <c r="BI55" s="119"/>
      <c r="BJ55" s="119"/>
      <c r="BK55" s="119"/>
      <c r="BL55" s="119"/>
      <c r="BM55" s="119"/>
      <c r="BN55" s="119"/>
      <c r="BO55" s="119"/>
      <c r="BP55" s="119"/>
      <c r="BQ55" s="119"/>
      <c r="BR55" s="119"/>
      <c r="BS55" s="119"/>
      <c r="BT55" s="119"/>
      <c r="BU55" s="119"/>
      <c r="BV55" s="119"/>
      <c r="BW55" s="119"/>
      <c r="BX55" s="119"/>
      <c r="BY55" s="119"/>
      <c r="BZ55" s="119"/>
      <c r="CA55" s="119"/>
      <c r="CB55" s="119"/>
      <c r="CC55" s="119"/>
      <c r="CD55" s="119"/>
      <c r="CE55" s="119"/>
      <c r="CF55" s="119"/>
      <c r="CG55" s="119"/>
      <c r="CH55" s="119"/>
      <c r="CI55" s="119"/>
      <c r="CJ55" s="119"/>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row>
    <row r="56" spans="1:252" x14ac:dyDescent="0.2">
      <c r="A56" s="114"/>
      <c r="B56" s="119"/>
      <c r="C56" s="119"/>
      <c r="D56" s="119"/>
      <c r="E56" s="119"/>
      <c r="F56" s="119"/>
      <c r="G56" s="119"/>
      <c r="H56" s="119"/>
      <c r="I56" s="119"/>
      <c r="J56" s="119"/>
      <c r="K56" s="119"/>
      <c r="L56" s="119"/>
      <c r="M56" s="119"/>
      <c r="N56" s="119"/>
      <c r="O56" s="119"/>
      <c r="P56" s="119"/>
      <c r="Q56" s="119"/>
      <c r="R56" s="119"/>
      <c r="S56" s="119"/>
      <c r="T56" s="119"/>
      <c r="U56" s="119"/>
      <c r="V56" s="119"/>
      <c r="W56" s="119"/>
      <c r="X56" s="119"/>
      <c r="Y56" s="119"/>
      <c r="Z56" s="119"/>
      <c r="AA56" s="119"/>
      <c r="AB56" s="119"/>
      <c r="AC56" s="119"/>
      <c r="AD56" s="119"/>
      <c r="AE56" s="119"/>
      <c r="AF56" s="119"/>
      <c r="AG56" s="119"/>
      <c r="AH56" s="119"/>
      <c r="AI56" s="119"/>
      <c r="AJ56" s="119"/>
      <c r="AK56" s="119"/>
      <c r="AL56" s="119"/>
      <c r="AM56" s="119"/>
      <c r="AN56" s="119"/>
      <c r="AO56" s="119"/>
      <c r="AP56" s="119"/>
      <c r="AQ56" s="119"/>
      <c r="AR56" s="119"/>
      <c r="AS56" s="119"/>
      <c r="AT56" s="119"/>
      <c r="AU56" s="119"/>
      <c r="AV56" s="119"/>
      <c r="AW56" s="119"/>
      <c r="AX56" s="119"/>
      <c r="AY56" s="119"/>
      <c r="AZ56" s="119"/>
      <c r="BA56" s="119"/>
      <c r="BB56" s="119"/>
      <c r="BC56" s="119"/>
      <c r="BD56" s="119"/>
      <c r="BE56" s="119"/>
      <c r="BF56" s="119"/>
      <c r="BG56" s="119"/>
      <c r="BH56" s="119"/>
      <c r="BI56" s="119"/>
      <c r="BJ56" s="119"/>
      <c r="BK56" s="119"/>
      <c r="BL56" s="119"/>
      <c r="BM56" s="119"/>
      <c r="BN56" s="119"/>
      <c r="BO56" s="119"/>
      <c r="BP56" s="119"/>
      <c r="BQ56" s="119"/>
      <c r="BR56" s="119"/>
      <c r="BS56" s="119"/>
      <c r="BT56" s="119"/>
      <c r="BU56" s="119"/>
      <c r="BV56" s="119"/>
      <c r="BW56" s="119"/>
      <c r="BX56" s="119"/>
      <c r="BY56" s="119"/>
      <c r="BZ56" s="119"/>
      <c r="CA56" s="119"/>
      <c r="CB56" s="119"/>
      <c r="CC56" s="119"/>
      <c r="CD56" s="119"/>
      <c r="CE56" s="119"/>
      <c r="CF56" s="119"/>
      <c r="CG56" s="119"/>
      <c r="CH56" s="119"/>
      <c r="CI56" s="119"/>
      <c r="CJ56" s="119"/>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row>
    <row r="57" spans="1:252" x14ac:dyDescent="0.2">
      <c r="A57" s="114"/>
      <c r="B57" s="119"/>
      <c r="C57" s="119"/>
      <c r="D57" s="119"/>
      <c r="E57" s="119"/>
      <c r="F57" s="119"/>
      <c r="G57" s="119"/>
      <c r="H57" s="119"/>
      <c r="I57" s="119"/>
      <c r="J57" s="119"/>
      <c r="K57" s="119"/>
      <c r="L57" s="119"/>
      <c r="M57" s="119"/>
      <c r="N57" s="119"/>
      <c r="O57" s="119"/>
      <c r="P57" s="119"/>
      <c r="Q57" s="119"/>
      <c r="R57" s="119"/>
      <c r="S57" s="119"/>
      <c r="T57" s="119"/>
      <c r="U57" s="119"/>
      <c r="V57" s="119"/>
      <c r="W57" s="119"/>
      <c r="X57" s="119"/>
      <c r="Y57" s="119"/>
      <c r="Z57" s="119"/>
      <c r="AA57" s="119"/>
      <c r="AB57" s="119"/>
      <c r="AC57" s="119"/>
      <c r="AD57" s="119"/>
      <c r="AE57" s="119"/>
      <c r="AF57" s="119"/>
      <c r="AG57" s="119"/>
      <c r="AH57" s="119"/>
      <c r="AI57" s="119"/>
      <c r="AJ57" s="119"/>
      <c r="AK57" s="119"/>
      <c r="AL57" s="119"/>
      <c r="AM57" s="119"/>
      <c r="AN57" s="119"/>
      <c r="AO57" s="119"/>
      <c r="AP57" s="119"/>
      <c r="AQ57" s="119"/>
      <c r="AR57" s="119"/>
      <c r="AS57" s="119"/>
      <c r="AT57" s="119"/>
      <c r="AU57" s="119"/>
      <c r="AV57" s="119"/>
      <c r="AW57" s="119"/>
      <c r="AX57" s="119"/>
      <c r="AY57" s="119"/>
      <c r="AZ57" s="119"/>
      <c r="BA57" s="119"/>
      <c r="BB57" s="119"/>
      <c r="BC57" s="119"/>
      <c r="BD57" s="119"/>
      <c r="BE57" s="119"/>
      <c r="BF57" s="119"/>
      <c r="BG57" s="119"/>
      <c r="BH57" s="119"/>
      <c r="BI57" s="119"/>
      <c r="BJ57" s="119"/>
      <c r="BK57" s="119"/>
      <c r="BL57" s="119"/>
      <c r="BM57" s="119"/>
      <c r="BN57" s="119"/>
      <c r="BO57" s="119"/>
      <c r="BP57" s="119"/>
      <c r="BQ57" s="119"/>
      <c r="BR57" s="119"/>
      <c r="BS57" s="119"/>
      <c r="BT57" s="119"/>
      <c r="BU57" s="119"/>
      <c r="BV57" s="119"/>
      <c r="BW57" s="119"/>
      <c r="BX57" s="119"/>
      <c r="BY57" s="119"/>
      <c r="BZ57" s="119"/>
      <c r="CA57" s="119"/>
      <c r="CB57" s="119"/>
      <c r="CC57" s="119"/>
      <c r="CD57" s="119"/>
      <c r="CE57" s="119"/>
      <c r="CF57" s="119"/>
      <c r="CG57" s="119"/>
      <c r="CH57" s="119"/>
      <c r="CI57" s="119"/>
      <c r="CJ57" s="119"/>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row>
    <row r="58" spans="1:252" x14ac:dyDescent="0.2">
      <c r="A58" s="114"/>
      <c r="B58" s="119"/>
      <c r="C58" s="119"/>
      <c r="D58" s="119"/>
      <c r="E58" s="119"/>
      <c r="F58" s="119"/>
      <c r="G58" s="119"/>
      <c r="H58" s="119"/>
      <c r="I58" s="119"/>
      <c r="J58" s="119"/>
      <c r="K58" s="119"/>
      <c r="L58" s="119"/>
      <c r="M58" s="119"/>
      <c r="N58" s="119"/>
      <c r="O58" s="119"/>
      <c r="P58" s="119"/>
      <c r="Q58" s="119"/>
      <c r="R58" s="119"/>
      <c r="S58" s="119"/>
      <c r="T58" s="119"/>
      <c r="U58" s="119"/>
      <c r="V58" s="119"/>
      <c r="W58" s="119"/>
      <c r="X58" s="110"/>
      <c r="Y58" s="119"/>
      <c r="Z58" s="110"/>
      <c r="AA58" s="119"/>
      <c r="AB58" s="110"/>
      <c r="AC58" s="119"/>
      <c r="AD58" s="110"/>
      <c r="AE58" s="119"/>
      <c r="AF58" s="110"/>
      <c r="AG58" s="119"/>
      <c r="AH58" s="110"/>
      <c r="AI58" s="119"/>
      <c r="AJ58" s="110"/>
      <c r="AK58" s="110"/>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c r="BY58" s="110"/>
      <c r="BZ58" s="110"/>
      <c r="CA58" s="110"/>
      <c r="CB58" s="110"/>
      <c r="CC58" s="110"/>
      <c r="CD58" s="110"/>
      <c r="CE58" s="110"/>
      <c r="CF58" s="110"/>
      <c r="CG58" s="110"/>
      <c r="CH58" s="110"/>
      <c r="CI58" s="110"/>
      <c r="CJ58" s="110"/>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row>
    <row r="59" spans="1:252" x14ac:dyDescent="0.2">
      <c r="A59" s="114"/>
      <c r="B59" s="119"/>
      <c r="C59" s="119"/>
      <c r="D59" s="119"/>
      <c r="E59" s="119"/>
      <c r="F59" s="119"/>
      <c r="G59" s="119"/>
      <c r="H59" s="119"/>
      <c r="I59" s="119"/>
      <c r="J59" s="119"/>
      <c r="K59" s="119"/>
      <c r="L59" s="119"/>
      <c r="M59" s="119"/>
      <c r="N59" s="119"/>
      <c r="O59" s="119"/>
      <c r="P59" s="119"/>
      <c r="Q59" s="119"/>
      <c r="R59" s="119"/>
      <c r="S59" s="119"/>
      <c r="T59" s="119"/>
      <c r="U59" s="119"/>
      <c r="V59" s="119"/>
      <c r="W59" s="119"/>
      <c r="X59" s="110"/>
      <c r="Y59" s="119"/>
      <c r="Z59" s="110"/>
      <c r="AA59" s="119"/>
      <c r="AB59" s="110"/>
      <c r="AC59" s="119"/>
      <c r="AD59" s="110"/>
      <c r="AE59" s="119"/>
      <c r="AF59" s="110"/>
      <c r="AG59" s="119"/>
      <c r="AH59" s="110"/>
      <c r="AI59" s="119"/>
      <c r="AJ59" s="110"/>
      <c r="AK59" s="110"/>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c r="BY59" s="110"/>
      <c r="BZ59" s="110"/>
      <c r="CA59" s="110"/>
      <c r="CB59" s="110"/>
      <c r="CC59" s="110"/>
      <c r="CD59" s="110"/>
      <c r="CE59" s="110"/>
      <c r="CF59" s="110"/>
      <c r="CG59" s="110"/>
      <c r="CH59" s="110"/>
      <c r="CI59" s="110"/>
      <c r="CJ59" s="110"/>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row>
    <row r="60" spans="1:252" x14ac:dyDescent="0.2">
      <c r="A60" s="114"/>
      <c r="B60" s="119"/>
      <c r="C60" s="119"/>
      <c r="D60" s="119"/>
      <c r="E60" s="119"/>
      <c r="F60" s="119"/>
      <c r="G60" s="119"/>
      <c r="H60" s="119"/>
      <c r="I60" s="119"/>
      <c r="J60" s="119"/>
      <c r="K60" s="119"/>
      <c r="L60" s="119"/>
      <c r="M60" s="119"/>
      <c r="N60" s="119"/>
      <c r="O60" s="119"/>
      <c r="P60" s="119"/>
      <c r="Q60" s="119"/>
      <c r="R60" s="119"/>
      <c r="S60" s="119"/>
      <c r="T60" s="119"/>
      <c r="U60" s="119"/>
      <c r="V60" s="119"/>
      <c r="W60" s="119"/>
      <c r="X60" s="110"/>
      <c r="Y60" s="119"/>
      <c r="Z60" s="110"/>
      <c r="AA60" s="119"/>
      <c r="AB60" s="110"/>
      <c r="AC60" s="119"/>
      <c r="AD60" s="110"/>
      <c r="AE60" s="119"/>
      <c r="AF60" s="110"/>
      <c r="AG60" s="119"/>
      <c r="AH60" s="110"/>
      <c r="AI60" s="119"/>
      <c r="AJ60" s="110"/>
      <c r="AK60" s="110"/>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c r="BY60" s="110"/>
      <c r="BZ60" s="110"/>
      <c r="CA60" s="110"/>
      <c r="CB60" s="110"/>
      <c r="CC60" s="110"/>
      <c r="CD60" s="110"/>
      <c r="CE60" s="110"/>
      <c r="CF60" s="110"/>
      <c r="CG60" s="110"/>
      <c r="CH60" s="110"/>
      <c r="CI60" s="110"/>
      <c r="CJ60" s="11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row>
    <row r="61" spans="1:252" x14ac:dyDescent="0.2">
      <c r="A61" s="114"/>
      <c r="B61" s="119"/>
      <c r="C61" s="119"/>
      <c r="D61" s="119"/>
      <c r="E61" s="119"/>
      <c r="F61" s="119"/>
      <c r="G61" s="119"/>
      <c r="H61" s="119"/>
      <c r="I61" s="119"/>
      <c r="J61" s="119"/>
      <c r="K61" s="119"/>
      <c r="L61" s="119"/>
      <c r="M61" s="119"/>
      <c r="N61" s="119"/>
      <c r="O61" s="119"/>
      <c r="P61" s="119"/>
      <c r="Q61" s="119"/>
      <c r="R61" s="119"/>
      <c r="S61" s="119"/>
      <c r="T61" s="119"/>
      <c r="U61" s="119"/>
      <c r="V61" s="119"/>
      <c r="W61" s="119"/>
      <c r="X61" s="110"/>
      <c r="Y61" s="119"/>
      <c r="Z61" s="110"/>
      <c r="AA61" s="119"/>
      <c r="AB61" s="110"/>
      <c r="AC61" s="119"/>
      <c r="AD61" s="110"/>
      <c r="AE61" s="119"/>
      <c r="AF61" s="110"/>
      <c r="AG61" s="119"/>
      <c r="AH61" s="110"/>
      <c r="AI61" s="119"/>
      <c r="AJ61" s="110"/>
      <c r="AK61" s="110"/>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c r="BY61" s="110"/>
      <c r="BZ61" s="110"/>
      <c r="CA61" s="110"/>
      <c r="CB61" s="110"/>
      <c r="CC61" s="110"/>
      <c r="CD61" s="110"/>
      <c r="CE61" s="110"/>
      <c r="CF61" s="110"/>
      <c r="CG61" s="110"/>
      <c r="CH61" s="110"/>
      <c r="CI61" s="110"/>
      <c r="CJ61" s="110"/>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row>
    <row r="62" spans="1:252" x14ac:dyDescent="0.2">
      <c r="A62" s="114"/>
      <c r="B62" s="119"/>
      <c r="C62" s="119"/>
      <c r="D62" s="119"/>
      <c r="E62" s="119"/>
      <c r="F62" s="119"/>
      <c r="G62" s="119"/>
      <c r="H62" s="119"/>
      <c r="I62" s="119"/>
      <c r="J62" s="119"/>
      <c r="K62" s="119"/>
      <c r="L62" s="119"/>
      <c r="M62" s="119"/>
      <c r="N62" s="119"/>
      <c r="O62" s="119"/>
      <c r="P62" s="119"/>
      <c r="Q62" s="119"/>
      <c r="R62" s="119"/>
      <c r="S62" s="119"/>
      <c r="T62" s="119"/>
      <c r="U62" s="119"/>
      <c r="V62" s="119"/>
      <c r="W62" s="119"/>
      <c r="X62" s="110"/>
      <c r="Y62" s="119"/>
      <c r="Z62" s="110"/>
      <c r="AA62" s="119"/>
      <c r="AB62" s="110"/>
      <c r="AC62" s="119"/>
      <c r="AD62" s="110"/>
      <c r="AE62" s="119"/>
      <c r="AF62" s="110"/>
      <c r="AG62" s="119"/>
      <c r="AH62" s="110"/>
      <c r="AI62" s="119"/>
      <c r="AJ62" s="110"/>
      <c r="AK62" s="110"/>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c r="BY62" s="110"/>
      <c r="BZ62" s="110"/>
      <c r="CA62" s="110"/>
      <c r="CB62" s="110"/>
      <c r="CC62" s="110"/>
      <c r="CD62" s="110"/>
      <c r="CE62" s="110"/>
      <c r="CF62" s="110"/>
      <c r="CG62" s="110"/>
      <c r="CH62" s="110"/>
      <c r="CI62" s="110"/>
      <c r="CJ62" s="110"/>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row>
    <row r="63" spans="1:252" x14ac:dyDescent="0.2">
      <c r="B63" s="119"/>
      <c r="C63" s="119"/>
      <c r="D63" s="119"/>
      <c r="E63" s="119"/>
      <c r="F63" s="119"/>
      <c r="G63" s="119"/>
      <c r="H63" s="119"/>
      <c r="I63" s="119"/>
      <c r="J63" s="119"/>
      <c r="K63" s="119"/>
      <c r="L63" s="119"/>
      <c r="M63" s="119"/>
      <c r="N63" s="119"/>
      <c r="O63" s="119"/>
      <c r="P63" s="119"/>
      <c r="Q63" s="119"/>
      <c r="R63" s="119"/>
      <c r="S63" s="119"/>
      <c r="T63" s="119"/>
      <c r="U63" s="119"/>
      <c r="V63" s="119"/>
      <c r="W63" s="119"/>
      <c r="X63" s="110"/>
      <c r="Y63" s="119"/>
      <c r="Z63" s="110"/>
      <c r="AA63" s="119"/>
      <c r="AB63" s="110"/>
      <c r="AC63" s="119"/>
      <c r="AD63" s="110"/>
      <c r="AE63" s="119"/>
      <c r="AF63" s="110"/>
      <c r="AG63" s="119"/>
      <c r="AH63" s="110"/>
      <c r="AI63" s="119"/>
      <c r="AJ63" s="110"/>
      <c r="AK63" s="110"/>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c r="BY63" s="110"/>
      <c r="BZ63" s="110"/>
      <c r="CA63" s="110"/>
      <c r="CB63" s="110"/>
      <c r="CC63" s="110"/>
      <c r="CD63" s="110"/>
      <c r="CE63" s="110"/>
      <c r="CF63" s="110"/>
      <c r="CG63" s="110"/>
      <c r="CH63" s="110"/>
      <c r="CI63" s="110"/>
      <c r="CJ63" s="110"/>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row>
    <row r="64" spans="1:252" x14ac:dyDescent="0.2">
      <c r="B64" s="119"/>
      <c r="C64" s="119"/>
      <c r="D64" s="119"/>
      <c r="E64" s="119"/>
      <c r="F64" s="119"/>
      <c r="G64" s="119"/>
      <c r="H64" s="119"/>
      <c r="I64" s="119"/>
      <c r="J64" s="119"/>
      <c r="K64" s="119"/>
      <c r="L64" s="119"/>
      <c r="M64" s="119"/>
      <c r="N64" s="119"/>
      <c r="O64" s="119"/>
      <c r="P64" s="119"/>
      <c r="Q64" s="119"/>
      <c r="R64" s="119"/>
      <c r="S64" s="119"/>
      <c r="T64" s="119"/>
      <c r="U64" s="119"/>
      <c r="V64" s="119"/>
      <c r="W64" s="119"/>
      <c r="X64" s="110"/>
      <c r="Y64" s="119"/>
      <c r="Z64" s="110"/>
      <c r="AA64" s="119"/>
      <c r="AB64" s="110"/>
      <c r="AC64" s="119"/>
      <c r="AD64" s="110"/>
      <c r="AE64" s="119"/>
      <c r="AF64" s="110"/>
      <c r="AG64" s="119"/>
      <c r="AH64" s="110"/>
      <c r="AI64" s="119"/>
      <c r="AJ64" s="110"/>
      <c r="AK64" s="110"/>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c r="BY64" s="110"/>
      <c r="BZ64" s="110"/>
      <c r="CA64" s="110"/>
      <c r="CB64" s="110"/>
      <c r="CC64" s="110"/>
      <c r="CD64" s="110"/>
      <c r="CE64" s="110"/>
      <c r="CF64" s="110"/>
      <c r="CG64" s="110"/>
      <c r="CH64" s="110"/>
      <c r="CI64" s="110"/>
      <c r="CJ64" s="110"/>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row>
    <row r="65" spans="2:252" x14ac:dyDescent="0.2">
      <c r="B65" s="119"/>
      <c r="C65" s="119"/>
      <c r="D65" s="119"/>
      <c r="E65" s="119"/>
      <c r="F65" s="119"/>
      <c r="G65" s="119"/>
      <c r="H65" s="119"/>
      <c r="I65" s="119"/>
      <c r="J65" s="119"/>
      <c r="K65" s="119"/>
      <c r="L65" s="119"/>
      <c r="M65" s="119"/>
      <c r="N65" s="119"/>
      <c r="O65" s="119"/>
      <c r="P65" s="119"/>
      <c r="Q65" s="119"/>
      <c r="R65" s="119"/>
      <c r="S65" s="119"/>
      <c r="T65" s="119"/>
      <c r="U65" s="119"/>
      <c r="V65" s="119"/>
      <c r="W65" s="119"/>
      <c r="X65" s="110"/>
      <c r="Y65" s="119"/>
      <c r="Z65" s="110"/>
      <c r="AA65" s="119"/>
      <c r="AB65" s="110"/>
      <c r="AC65" s="119"/>
      <c r="AD65" s="110"/>
      <c r="AE65" s="119"/>
      <c r="AF65" s="110"/>
      <c r="AG65" s="119"/>
      <c r="AH65" s="110"/>
      <c r="AI65" s="119"/>
      <c r="AJ65" s="110"/>
      <c r="AK65" s="110"/>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c r="BY65" s="110"/>
      <c r="BZ65" s="110"/>
      <c r="CA65" s="110"/>
      <c r="CB65" s="110"/>
      <c r="CC65" s="110"/>
      <c r="CD65" s="110"/>
      <c r="CE65" s="110"/>
      <c r="CF65" s="110"/>
      <c r="CG65" s="110"/>
      <c r="CH65" s="110"/>
      <c r="CI65" s="110"/>
      <c r="CJ65" s="110"/>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row>
    <row r="66" spans="2:252" x14ac:dyDescent="0.2">
      <c r="B66" s="119"/>
      <c r="C66" s="119"/>
      <c r="D66" s="119"/>
      <c r="E66" s="119"/>
      <c r="F66" s="119"/>
      <c r="G66" s="119"/>
      <c r="H66" s="119"/>
      <c r="I66" s="119"/>
      <c r="J66" s="119"/>
      <c r="K66" s="119"/>
      <c r="L66" s="119"/>
      <c r="M66" s="119"/>
      <c r="N66" s="119"/>
      <c r="O66" s="119"/>
      <c r="P66" s="119"/>
      <c r="Q66" s="119"/>
      <c r="R66" s="119"/>
      <c r="S66" s="119"/>
      <c r="T66" s="119"/>
      <c r="U66" s="119"/>
      <c r="V66" s="119"/>
      <c r="W66" s="119"/>
      <c r="X66" s="110"/>
      <c r="Y66" s="119"/>
      <c r="Z66" s="110"/>
      <c r="AA66" s="119"/>
      <c r="AB66" s="110"/>
      <c r="AC66" s="119"/>
      <c r="AD66" s="110"/>
      <c r="AE66" s="119"/>
      <c r="AF66" s="110"/>
      <c r="AG66" s="119"/>
      <c r="AH66" s="110"/>
      <c r="AI66" s="119"/>
      <c r="AJ66" s="110"/>
      <c r="AK66" s="110"/>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row>
    <row r="67" spans="2:252" x14ac:dyDescent="0.2">
      <c r="B67" s="119"/>
      <c r="C67" s="119"/>
      <c r="D67" s="119"/>
      <c r="E67" s="119"/>
      <c r="F67" s="119"/>
      <c r="G67" s="119"/>
      <c r="H67" s="119"/>
      <c r="I67" s="119"/>
      <c r="J67" s="119"/>
      <c r="K67" s="119"/>
      <c r="L67" s="119"/>
      <c r="M67" s="119"/>
      <c r="N67" s="119"/>
      <c r="O67" s="119"/>
      <c r="P67" s="119"/>
      <c r="Q67" s="119"/>
      <c r="R67" s="119"/>
      <c r="S67" s="119"/>
      <c r="T67" s="119"/>
      <c r="U67" s="119"/>
      <c r="V67" s="119"/>
      <c r="W67" s="119"/>
      <c r="X67" s="110"/>
      <c r="Y67" s="119"/>
      <c r="Z67" s="110"/>
      <c r="AA67" s="119"/>
      <c r="AB67" s="110"/>
      <c r="AC67" s="119"/>
      <c r="AD67" s="110"/>
      <c r="AE67" s="119"/>
      <c r="AF67" s="110"/>
      <c r="AG67" s="119"/>
      <c r="AH67" s="110"/>
      <c r="AI67" s="119"/>
      <c r="AJ67" s="110"/>
      <c r="AK67" s="110"/>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c r="BY67" s="110"/>
      <c r="BZ67" s="110"/>
      <c r="CA67" s="110"/>
      <c r="CB67" s="110"/>
      <c r="CC67" s="110"/>
      <c r="CD67" s="110"/>
      <c r="CE67" s="110"/>
      <c r="CF67" s="110"/>
      <c r="CG67" s="110"/>
      <c r="CH67" s="110"/>
      <c r="CI67" s="110"/>
      <c r="CJ67" s="110"/>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row>
    <row r="68" spans="2:252" x14ac:dyDescent="0.2">
      <c r="B68" s="119"/>
      <c r="C68" s="119"/>
      <c r="D68" s="119"/>
      <c r="E68" s="119"/>
      <c r="F68" s="119"/>
      <c r="G68" s="119"/>
      <c r="H68" s="119"/>
      <c r="I68" s="119"/>
      <c r="J68" s="119"/>
      <c r="K68" s="119"/>
      <c r="L68" s="119"/>
      <c r="M68" s="119"/>
      <c r="N68" s="119"/>
      <c r="O68" s="119"/>
      <c r="P68" s="119"/>
      <c r="Q68" s="119"/>
      <c r="R68" s="119"/>
      <c r="S68" s="119"/>
      <c r="T68" s="119"/>
      <c r="U68" s="119"/>
      <c r="V68" s="119"/>
      <c r="W68" s="119"/>
      <c r="X68" s="110"/>
      <c r="Y68" s="119"/>
      <c r="Z68" s="110"/>
      <c r="AA68" s="119"/>
      <c r="AB68" s="110"/>
      <c r="AC68" s="119"/>
      <c r="AD68" s="110"/>
      <c r="AE68" s="119"/>
      <c r="AF68" s="110"/>
      <c r="AG68" s="119"/>
      <c r="AH68" s="110"/>
      <c r="AI68" s="119"/>
      <c r="AJ68" s="110"/>
      <c r="AK68" s="110"/>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c r="BY68" s="110"/>
      <c r="BZ68" s="110"/>
      <c r="CA68" s="110"/>
      <c r="CB68" s="110"/>
      <c r="CC68" s="110"/>
      <c r="CD68" s="110"/>
      <c r="CE68" s="110"/>
      <c r="CF68" s="110"/>
      <c r="CG68" s="110"/>
      <c r="CH68" s="110"/>
      <c r="CI68" s="110"/>
      <c r="CJ68" s="110"/>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row>
    <row r="69" spans="2:252" x14ac:dyDescent="0.2">
      <c r="B69" s="119"/>
      <c r="C69" s="119"/>
      <c r="D69" s="119"/>
      <c r="E69" s="119"/>
      <c r="F69" s="119"/>
      <c r="G69" s="119"/>
      <c r="H69" s="119"/>
      <c r="I69" s="119"/>
      <c r="J69" s="119"/>
      <c r="K69" s="119"/>
      <c r="L69" s="119"/>
      <c r="M69" s="119"/>
      <c r="N69" s="119"/>
      <c r="O69" s="119"/>
      <c r="P69" s="119"/>
      <c r="Q69" s="119"/>
      <c r="R69" s="119"/>
      <c r="S69" s="119"/>
      <c r="T69" s="119"/>
      <c r="U69" s="119"/>
      <c r="V69" s="119"/>
      <c r="W69" s="119"/>
      <c r="X69" s="110"/>
      <c r="Y69" s="119"/>
      <c r="Z69" s="110"/>
      <c r="AA69" s="119"/>
      <c r="AB69" s="110"/>
      <c r="AC69" s="119"/>
      <c r="AD69" s="110"/>
      <c r="AE69" s="119"/>
      <c r="AF69" s="110"/>
      <c r="AG69" s="119"/>
      <c r="AH69" s="110"/>
      <c r="AI69" s="119"/>
      <c r="AJ69" s="110"/>
      <c r="AK69" s="110"/>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c r="BY69" s="110"/>
      <c r="BZ69" s="110"/>
      <c r="CA69" s="110"/>
      <c r="CB69" s="110"/>
      <c r="CC69" s="110"/>
      <c r="CD69" s="110"/>
      <c r="CE69" s="110"/>
      <c r="CF69" s="110"/>
      <c r="CG69" s="110"/>
      <c r="CH69" s="110"/>
      <c r="CI69" s="110"/>
      <c r="CJ69" s="110"/>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row>
    <row r="70" spans="2:252" x14ac:dyDescent="0.2">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row>
    <row r="71" spans="2:252" x14ac:dyDescent="0.2">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row>
    <row r="72" spans="2:252" x14ac:dyDescent="0.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row>
    <row r="73" spans="2:252" x14ac:dyDescent="0.2">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row>
    <row r="74" spans="2:252" x14ac:dyDescent="0.2">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row>
    <row r="75" spans="2:252" x14ac:dyDescent="0.2">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row>
    <row r="76" spans="2:252" x14ac:dyDescent="0.2">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row>
    <row r="77" spans="2:252" x14ac:dyDescent="0.2">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row>
    <row r="78" spans="2:252" x14ac:dyDescent="0.2">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row>
    <row r="79" spans="2:252" x14ac:dyDescent="0.2">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row>
    <row r="80" spans="2:252" x14ac:dyDescent="0.2">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row>
    <row r="81" spans="2:252" x14ac:dyDescent="0.2">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row>
    <row r="82" spans="2:252" x14ac:dyDescent="0.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row>
    <row r="83" spans="2:252" x14ac:dyDescent="0.2">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row>
    <row r="84" spans="2:252" x14ac:dyDescent="0.2">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row>
    <row r="85" spans="2:252" x14ac:dyDescent="0.2">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row>
    <row r="86" spans="2:252" x14ac:dyDescent="0.2">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row>
    <row r="87" spans="2:252" x14ac:dyDescent="0.2">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row>
    <row r="88" spans="2:252" x14ac:dyDescent="0.2">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row>
    <row r="89" spans="2:252" x14ac:dyDescent="0.2">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row>
    <row r="90" spans="2:252" x14ac:dyDescent="0.2">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row>
    <row r="91" spans="2:252" x14ac:dyDescent="0.2">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row>
    <row r="92" spans="2:252" x14ac:dyDescent="0.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row>
    <row r="93" spans="2:252" x14ac:dyDescent="0.2">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row>
    <row r="94" spans="2:252" x14ac:dyDescent="0.2">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row>
    <row r="95" spans="2:252" x14ac:dyDescent="0.2">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row>
    <row r="96" spans="2:252" x14ac:dyDescent="0.2">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row>
    <row r="97" spans="2:252" x14ac:dyDescent="0.2">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row>
    <row r="98" spans="2:252" x14ac:dyDescent="0.2">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row>
    <row r="99" spans="2:252" x14ac:dyDescent="0.2">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row>
    <row r="100" spans="2:252" x14ac:dyDescent="0.2">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row>
    <row r="101" spans="2:252" x14ac:dyDescent="0.2">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row>
    <row r="102" spans="2:252" x14ac:dyDescent="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row>
    <row r="103" spans="2:252" x14ac:dyDescent="0.2">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row>
    <row r="104" spans="2:252" x14ac:dyDescent="0.2">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row>
    <row r="105" spans="2:252" x14ac:dyDescent="0.2">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row>
    <row r="106" spans="2:252" x14ac:dyDescent="0.2">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row>
    <row r="107" spans="2:252" x14ac:dyDescent="0.2">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row>
    <row r="108" spans="2:252" x14ac:dyDescent="0.2">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row>
    <row r="109" spans="2:252" x14ac:dyDescent="0.2">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row>
    <row r="110" spans="2:252" x14ac:dyDescent="0.2">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row>
    <row r="111" spans="2:252" x14ac:dyDescent="0.2">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row>
    <row r="112" spans="2:252" x14ac:dyDescent="0.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row>
    <row r="113" spans="2:252" x14ac:dyDescent="0.2">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row>
    <row r="114" spans="2:252" x14ac:dyDescent="0.2">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row>
    <row r="115" spans="2:252" x14ac:dyDescent="0.2">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row>
    <row r="116" spans="2:252" x14ac:dyDescent="0.2">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row>
    <row r="117" spans="2:252" x14ac:dyDescent="0.2">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row>
    <row r="118" spans="2:252" x14ac:dyDescent="0.2">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row>
    <row r="119" spans="2:252" x14ac:dyDescent="0.2">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row>
    <row r="120" spans="2:252" x14ac:dyDescent="0.2">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row>
    <row r="121" spans="2:252" x14ac:dyDescent="0.2">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row>
    <row r="122" spans="2:252" x14ac:dyDescent="0.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row>
    <row r="123" spans="2:252" x14ac:dyDescent="0.2">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row>
    <row r="124" spans="2:252" x14ac:dyDescent="0.2">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row>
    <row r="125" spans="2:252" x14ac:dyDescent="0.2">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row>
    <row r="126" spans="2:252" x14ac:dyDescent="0.2">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row>
    <row r="127" spans="2:252" x14ac:dyDescent="0.2">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row>
    <row r="128" spans="2:252" x14ac:dyDescent="0.2">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row>
    <row r="129" spans="2:252" x14ac:dyDescent="0.2">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row>
    <row r="130" spans="2:252" x14ac:dyDescent="0.2">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row>
    <row r="131" spans="2:252" x14ac:dyDescent="0.2">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row>
    <row r="132" spans="2:252" x14ac:dyDescent="0.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row>
    <row r="133" spans="2:252" x14ac:dyDescent="0.2">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row>
    <row r="134" spans="2:252" x14ac:dyDescent="0.2">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row>
    <row r="135" spans="2:252" x14ac:dyDescent="0.2">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row>
    <row r="136" spans="2:252" x14ac:dyDescent="0.2">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row>
    <row r="137" spans="2:252" x14ac:dyDescent="0.2">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row>
    <row r="138" spans="2:252" x14ac:dyDescent="0.2">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HD138"/>
      <c r="HE138"/>
      <c r="HF138"/>
      <c r="HG13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row>
    <row r="139" spans="2:252" x14ac:dyDescent="0.2">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row>
    <row r="140" spans="2:252" x14ac:dyDescent="0.2">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row>
    <row r="141" spans="2:252" x14ac:dyDescent="0.2">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row>
    <row r="142" spans="2:252" x14ac:dyDescent="0.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row>
    <row r="143" spans="2:252" x14ac:dyDescent="0.2">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HD143"/>
      <c r="HE143"/>
      <c r="HF143"/>
      <c r="HG143"/>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row>
    <row r="144" spans="2:252" x14ac:dyDescent="0.2">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row>
    <row r="145" spans="2:252" x14ac:dyDescent="0.2">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HD145"/>
      <c r="HE145"/>
      <c r="HF145"/>
      <c r="HG145"/>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row>
    <row r="146" spans="2:252" x14ac:dyDescent="0.2">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HD146"/>
      <c r="HE146"/>
      <c r="HF146"/>
      <c r="HG14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row>
    <row r="147" spans="2:252" x14ac:dyDescent="0.2">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HD147"/>
      <c r="HE147"/>
      <c r="HF147"/>
      <c r="HG147"/>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row>
    <row r="148" spans="2:252" x14ac:dyDescent="0.2">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row>
    <row r="149" spans="2:252" x14ac:dyDescent="0.2">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row>
    <row r="150" spans="2:252" x14ac:dyDescent="0.2">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row>
    <row r="151" spans="2:252" x14ac:dyDescent="0.2">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HD151"/>
      <c r="HE151"/>
      <c r="HF151"/>
      <c r="HG151"/>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row>
    <row r="152" spans="2:252" x14ac:dyDescent="0.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row>
    <row r="153" spans="2:252" x14ac:dyDescent="0.2">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row>
    <row r="154" spans="2:252" x14ac:dyDescent="0.2">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row>
    <row r="155" spans="2:252" x14ac:dyDescent="0.2">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row>
    <row r="156" spans="2:252" x14ac:dyDescent="0.2">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row>
    <row r="157" spans="2:252" x14ac:dyDescent="0.2">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row>
    <row r="158" spans="2:252" x14ac:dyDescent="0.2">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row>
    <row r="159" spans="2:252" x14ac:dyDescent="0.2">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row>
    <row r="160" spans="2:252" x14ac:dyDescent="0.2">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HD160"/>
      <c r="HE160"/>
      <c r="HF160"/>
      <c r="HG160"/>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row>
    <row r="161" spans="2:252" x14ac:dyDescent="0.2">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HD161"/>
      <c r="HE161"/>
      <c r="HF161"/>
      <c r="HG161"/>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row>
    <row r="162" spans="2:252" x14ac:dyDescent="0.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row>
    <row r="163" spans="2:252" x14ac:dyDescent="0.2">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row>
    <row r="164" spans="2:252" x14ac:dyDescent="0.2">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HD164"/>
      <c r="HE164"/>
      <c r="HF164"/>
      <c r="HG164"/>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row>
    <row r="165" spans="2:252" x14ac:dyDescent="0.2">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HD165"/>
      <c r="HE165"/>
      <c r="HF165"/>
      <c r="HG165"/>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row>
    <row r="166" spans="2:252" x14ac:dyDescent="0.2">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HD166"/>
      <c r="HE166"/>
      <c r="HF166"/>
      <c r="HG166"/>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row>
    <row r="167" spans="2:252" x14ac:dyDescent="0.2">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HD167"/>
      <c r="HE167"/>
      <c r="HF167"/>
      <c r="HG167"/>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row>
    <row r="168" spans="2:252" x14ac:dyDescent="0.2">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HD168"/>
      <c r="HE168"/>
      <c r="HF168"/>
      <c r="HG168"/>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row>
    <row r="169" spans="2:252" x14ac:dyDescent="0.2">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HD169"/>
      <c r="HE169"/>
      <c r="HF169"/>
      <c r="HG169"/>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row>
    <row r="170" spans="2:252" x14ac:dyDescent="0.2">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HD170"/>
      <c r="HE170"/>
      <c r="HF170"/>
      <c r="HG170"/>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row>
    <row r="171" spans="2:252" x14ac:dyDescent="0.2">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HD171"/>
      <c r="HE171"/>
      <c r="HF171"/>
      <c r="HG171"/>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row>
    <row r="172" spans="2:252" x14ac:dyDescent="0.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HD172"/>
      <c r="HE172"/>
      <c r="HF172"/>
      <c r="HG172"/>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row>
    <row r="173" spans="2:252" x14ac:dyDescent="0.2">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HD173"/>
      <c r="HE173"/>
      <c r="HF173"/>
      <c r="HG173"/>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row>
    <row r="174" spans="2:252" x14ac:dyDescent="0.2">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HD174"/>
      <c r="HE174"/>
      <c r="HF174"/>
      <c r="HG174"/>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row>
    <row r="175" spans="2:252" x14ac:dyDescent="0.2">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row>
    <row r="176" spans="2:252" x14ac:dyDescent="0.2">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row>
    <row r="177" spans="2:252" x14ac:dyDescent="0.2">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row>
    <row r="178" spans="2:252" x14ac:dyDescent="0.2">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row>
    <row r="179" spans="2:252" x14ac:dyDescent="0.2">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row>
    <row r="180" spans="2:252" x14ac:dyDescent="0.2">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row>
    <row r="181" spans="2:252" x14ac:dyDescent="0.2">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row>
    <row r="182" spans="2:252" x14ac:dyDescent="0.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HD182"/>
      <c r="HE182"/>
      <c r="HF182"/>
      <c r="HG182"/>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row>
    <row r="183" spans="2:252" x14ac:dyDescent="0.2">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row>
    <row r="184" spans="2:252" x14ac:dyDescent="0.2">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HD184"/>
      <c r="HE184"/>
      <c r="HF184"/>
      <c r="HG184"/>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row>
    <row r="185" spans="2:252" x14ac:dyDescent="0.2">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HD185"/>
      <c r="HE185"/>
      <c r="HF185"/>
      <c r="HG185"/>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row>
    <row r="186" spans="2:252" x14ac:dyDescent="0.2">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HD186"/>
      <c r="HE186"/>
      <c r="HF186"/>
      <c r="HG186"/>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row>
    <row r="187" spans="2:252" x14ac:dyDescent="0.2">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HD187"/>
      <c r="HE187"/>
      <c r="HF187"/>
      <c r="HG187"/>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row>
    <row r="188" spans="2:252" x14ac:dyDescent="0.2">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row>
    <row r="189" spans="2:252" x14ac:dyDescent="0.2">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row>
    <row r="190" spans="2:252" x14ac:dyDescent="0.2">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row>
    <row r="191" spans="2:252" x14ac:dyDescent="0.2">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row>
    <row r="192" spans="2:252" x14ac:dyDescent="0.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row>
    <row r="193" spans="2:88" x14ac:dyDescent="0.2">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row>
    <row r="194" spans="2:88" x14ac:dyDescent="0.2">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row>
    <row r="195" spans="2:88" x14ac:dyDescent="0.2">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row>
    <row r="196" spans="2:88" x14ac:dyDescent="0.2">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row>
    <row r="197" spans="2:88" x14ac:dyDescent="0.2">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row>
    <row r="198" spans="2:88" x14ac:dyDescent="0.2">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row>
    <row r="199" spans="2:88" x14ac:dyDescent="0.2">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row>
    <row r="200" spans="2:88" x14ac:dyDescent="0.2">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row>
    <row r="201" spans="2:88" x14ac:dyDescent="0.2">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row>
    <row r="202" spans="2:88" x14ac:dyDescent="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row>
  </sheetData>
  <sheetProtection password="D424" sheet="1"/>
  <mergeCells count="71">
    <mergeCell ref="BW48:BX48"/>
    <mergeCell ref="BY48:BZ48"/>
    <mergeCell ref="CA48:CB48"/>
    <mergeCell ref="CC48:CD48"/>
    <mergeCell ref="BW6:BX6"/>
    <mergeCell ref="BY6:BZ6"/>
    <mergeCell ref="CA6:CB6"/>
    <mergeCell ref="CC6:CD6"/>
    <mergeCell ref="BU48:BV48"/>
    <mergeCell ref="BK6:BL6"/>
    <mergeCell ref="BM6:BN6"/>
    <mergeCell ref="BO6:BP6"/>
    <mergeCell ref="BQ6:BR6"/>
    <mergeCell ref="BS6:BT6"/>
    <mergeCell ref="BU6:BV6"/>
    <mergeCell ref="BK48:BL48"/>
    <mergeCell ref="BM48:BN48"/>
    <mergeCell ref="BO48:BP48"/>
    <mergeCell ref="BQ48:BR48"/>
    <mergeCell ref="BS48:BT48"/>
    <mergeCell ref="BE48:BF48"/>
    <mergeCell ref="BG48:BH48"/>
    <mergeCell ref="BI48:BJ48"/>
    <mergeCell ref="BA6:BB6"/>
    <mergeCell ref="BC6:BD6"/>
    <mergeCell ref="BE6:BF6"/>
    <mergeCell ref="BG6:BH6"/>
    <mergeCell ref="BI6:BJ6"/>
    <mergeCell ref="AC3:AD3"/>
    <mergeCell ref="AC2:AD2"/>
    <mergeCell ref="BA48:BB48"/>
    <mergeCell ref="BC48:BD48"/>
    <mergeCell ref="AE1:AF5"/>
    <mergeCell ref="AQ48:AR48"/>
    <mergeCell ref="AQ6:AR6"/>
    <mergeCell ref="AY48:AZ48"/>
    <mergeCell ref="AY6:AZ6"/>
    <mergeCell ref="AS48:AT48"/>
    <mergeCell ref="AS6:AT6"/>
    <mergeCell ref="AU48:AV48"/>
    <mergeCell ref="AU6:AV6"/>
    <mergeCell ref="AW48:AX48"/>
    <mergeCell ref="AW6:AX6"/>
    <mergeCell ref="B4:D4"/>
    <mergeCell ref="AO48:AP48"/>
    <mergeCell ref="AO6:AP6"/>
    <mergeCell ref="AC48:AD48"/>
    <mergeCell ref="AC6:AD6"/>
    <mergeCell ref="Y6:Z6"/>
    <mergeCell ref="AG48:AH48"/>
    <mergeCell ref="AA6:AB6"/>
    <mergeCell ref="AM48:AN48"/>
    <mergeCell ref="AM6:AN6"/>
    <mergeCell ref="AI48:AJ48"/>
    <mergeCell ref="AC4:AD4"/>
    <mergeCell ref="Y1:Z1"/>
    <mergeCell ref="AA1:AB1"/>
    <mergeCell ref="AK48:AL48"/>
    <mergeCell ref="AK6:AL6"/>
    <mergeCell ref="B2:D2"/>
    <mergeCell ref="U1:V1"/>
    <mergeCell ref="W1:X1"/>
    <mergeCell ref="AE48:AF48"/>
    <mergeCell ref="AG6:AH6"/>
    <mergeCell ref="AE6:AF6"/>
    <mergeCell ref="B3:D3"/>
    <mergeCell ref="Y48:Z48"/>
    <mergeCell ref="AA48:AB48"/>
    <mergeCell ref="W48:X48"/>
    <mergeCell ref="AI6:AJ6"/>
    <mergeCell ref="W6:X6"/>
  </mergeCells>
  <phoneticPr fontId="0" type="noConversion"/>
  <conditionalFormatting sqref="H2">
    <cfRule type="cellIs" dxfId="14" priority="1" stopIfTrue="1" operator="greaterThan">
      <formula>0.07</formula>
    </cfRule>
  </conditionalFormatting>
  <dataValidations disablePrompts="1" count="3">
    <dataValidation type="decimal" showInputMessage="1" showErrorMessage="1" errorTitle="Möglich / Possible" error="0 - 30" sqref="H2" xr:uid="{00000000-0002-0000-0100-000000000000}">
      <formula1>-0.3</formula1>
      <formula2>0.3</formula2>
    </dataValidation>
    <dataValidation type="decimal" errorStyle="warning" showInputMessage="1" showErrorMessage="1" errorTitle="Warnung" error="Unüblicher Wert" sqref="E4" xr:uid="{00000000-0002-0000-0100-000001000000}">
      <formula1>0.05</formula1>
      <formula2>0.25</formula2>
    </dataValidation>
    <dataValidation type="decimal" operator="greaterThan" allowBlank="1" showInputMessage="1" showErrorMessage="1" sqref="O2" xr:uid="{00000000-0002-0000-0100-000002000000}">
      <formula1>0</formula1>
    </dataValidation>
  </dataValidations>
  <pageMargins left="0.35433070866141736" right="0.23622047244094491" top="0.78740157480314965" bottom="0.31496062992125984" header="0.39370078740157483" footer="0.27559055118110237"/>
  <pageSetup paperSize="9" scale="65" fitToHeight="0" orientation="landscape" horizontalDpi="4294967293" r:id="rId1"/>
  <headerFooter alignWithMargins="0">
    <oddFooter>&amp;L&amp;D&amp;C&amp;Z&amp;F&amp;RSeite &amp;P</oddFooter>
  </headerFooter>
  <ignoredErrors>
    <ignoredError sqref="Y3:Y4 AA2:AA4" formula="1"/>
  </ignoredError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5">
    <pageSetUpPr fitToPage="1"/>
  </sheetPr>
  <dimension ref="A1:AB134"/>
  <sheetViews>
    <sheetView topLeftCell="A19" zoomScale="85" zoomScaleNormal="85" workbookViewId="0">
      <selection activeCell="C14" sqref="C14"/>
    </sheetView>
  </sheetViews>
  <sheetFormatPr defaultColWidth="11.42578125" defaultRowHeight="12.75" x14ac:dyDescent="0.2"/>
  <cols>
    <col min="1" max="1" width="6.7109375" style="1" customWidth="1"/>
    <col min="2" max="2" width="26.7109375" style="1" customWidth="1"/>
    <col min="3" max="3" width="50.28515625" style="1" customWidth="1"/>
    <col min="4" max="4" width="7.28515625" style="1" customWidth="1"/>
    <col min="5" max="6" width="12.28515625" style="1" customWidth="1"/>
    <col min="7" max="7" width="10.7109375" style="1" customWidth="1"/>
    <col min="8" max="8" width="14.28515625" style="1" customWidth="1"/>
    <col min="9" max="9" width="12.42578125" style="1" customWidth="1"/>
    <col min="10" max="10" width="8.7109375" style="1" customWidth="1"/>
    <col min="11" max="14" width="11.42578125" style="1"/>
    <col min="15" max="16" width="0" hidden="1" customWidth="1"/>
    <col min="17" max="21" width="11.42578125" hidden="1" customWidth="1"/>
    <col min="22" max="28" width="0" hidden="1" customWidth="1"/>
    <col min="29" max="16384" width="11.42578125" style="1"/>
  </cols>
  <sheetData>
    <row r="1" spans="1:24" x14ac:dyDescent="0.2">
      <c r="A1" s="105">
        <f>ELEMENT!C2</f>
        <v>0</v>
      </c>
      <c r="B1" s="106"/>
      <c r="C1" s="106"/>
      <c r="D1" s="107"/>
      <c r="E1" s="175">
        <f>Q1</f>
        <v>0</v>
      </c>
      <c r="F1" s="108">
        <f>R1</f>
        <v>0</v>
      </c>
      <c r="G1" s="108">
        <f>S1</f>
        <v>0</v>
      </c>
      <c r="H1" s="108">
        <f>T1</f>
        <v>0</v>
      </c>
      <c r="I1" s="175">
        <f>U1</f>
        <v>0</v>
      </c>
      <c r="J1" s="189">
        <f>IFERROR(I1/ELEMENT!AB46,)</f>
        <v>0</v>
      </c>
      <c r="K1" s="110"/>
      <c r="L1" s="110"/>
      <c r="Q1">
        <f>SUM(Q3:Q17)</f>
        <v>0</v>
      </c>
      <c r="R1">
        <f>SUM(R3:R17)</f>
        <v>0</v>
      </c>
      <c r="S1">
        <f>SUM(S3:S17)</f>
        <v>0</v>
      </c>
      <c r="T1">
        <f>SUM(T3:T17)</f>
        <v>0</v>
      </c>
      <c r="U1">
        <f>SUM(U3:U17)</f>
        <v>0</v>
      </c>
      <c r="X1">
        <f>SUM(X3:X17)</f>
        <v>0</v>
      </c>
    </row>
    <row r="2" spans="1:24" x14ac:dyDescent="0.2">
      <c r="A2" s="111" t="s">
        <v>72</v>
      </c>
      <c r="B2" s="111" t="s">
        <v>200</v>
      </c>
      <c r="C2" s="111" t="s">
        <v>34</v>
      </c>
      <c r="D2" s="112" t="str">
        <f>Sprache!B12</f>
        <v>unit</v>
      </c>
      <c r="E2" s="111" t="str">
        <f>CONCATENATE(Sprache!B50," ",MONTAGE!$P$3)</f>
        <v>purchase price USD</v>
      </c>
      <c r="F2" s="111" t="str">
        <f>Sprache!B46</f>
        <v>h planning manhours</v>
      </c>
      <c r="G2" s="111" t="str">
        <f>Sprache!B45</f>
        <v>h production</v>
      </c>
      <c r="H2" s="111" t="str">
        <f>Sprache!B44</f>
        <v>h installation manhours</v>
      </c>
      <c r="I2" s="111" t="str">
        <f>CONCATENATE(Sprache!B40," ",MONTAGE!$P$3)</f>
        <v>price USD</v>
      </c>
      <c r="J2" s="112" t="s">
        <v>206</v>
      </c>
      <c r="K2" s="110"/>
      <c r="L2" s="110"/>
      <c r="Q2" t="str">
        <f>E2</f>
        <v>purchase price USD</v>
      </c>
      <c r="R2" t="str">
        <f>F2</f>
        <v>h planning manhours</v>
      </c>
      <c r="S2" t="str">
        <f>G2</f>
        <v>h production</v>
      </c>
      <c r="T2" t="str">
        <f>H2</f>
        <v>h installation manhours</v>
      </c>
      <c r="U2" t="str">
        <f>I2</f>
        <v>price USD</v>
      </c>
    </row>
    <row r="3" spans="1:24" x14ac:dyDescent="0.2">
      <c r="A3" s="193">
        <v>1</v>
      </c>
      <c r="B3" s="193" t="s">
        <v>1256</v>
      </c>
      <c r="C3" s="194" t="s">
        <v>1257</v>
      </c>
      <c r="D3" s="195" t="s">
        <v>307</v>
      </c>
      <c r="E3" s="196">
        <v>24.58</v>
      </c>
      <c r="F3" s="197"/>
      <c r="G3" s="197"/>
      <c r="H3" s="197"/>
      <c r="I3" s="174">
        <f>IF(AND(SUM($F$1:$H$1)&gt;0,SUM(MONTAGE!$E$2:$E$3)=0),$I$2&amp;"/h?",
ROUND((E3+F3*MONTAGE!$E$3+(G3+H3)*MONTAGE!$E$2)*(1+MONTAGE!$E$4),1))</f>
        <v>24.6</v>
      </c>
      <c r="J3" s="109">
        <f>MONTAGE!$DC$3</f>
        <v>0</v>
      </c>
      <c r="K3" s="110"/>
      <c r="L3" s="110"/>
      <c r="N3" s="113"/>
      <c r="Q3">
        <f>E3*$J3</f>
        <v>0</v>
      </c>
      <c r="R3">
        <f>F3*$J3</f>
        <v>0</v>
      </c>
      <c r="S3">
        <f>G3*$J3</f>
        <v>0</v>
      </c>
      <c r="T3">
        <f>H3*$J3</f>
        <v>0</v>
      </c>
      <c r="U3">
        <f>I3*$J3</f>
        <v>0</v>
      </c>
      <c r="W3">
        <f>ROUND((E3+F3*MONTAGE!$E$3+(G3+H3)*MONTAGE!$E$2),1)</f>
        <v>24.6</v>
      </c>
      <c r="X3">
        <f>W3*$J3</f>
        <v>0</v>
      </c>
    </row>
    <row r="4" spans="1:24" x14ac:dyDescent="0.2">
      <c r="A4" s="193">
        <v>2</v>
      </c>
      <c r="B4" s="193" t="s">
        <v>1258</v>
      </c>
      <c r="C4" s="194" t="s">
        <v>1259</v>
      </c>
      <c r="D4" s="195" t="s">
        <v>1260</v>
      </c>
      <c r="E4" s="196">
        <v>199</v>
      </c>
      <c r="F4" s="197"/>
      <c r="G4" s="197"/>
      <c r="H4" s="197"/>
      <c r="I4" s="174">
        <f>IF(AND(SUM($F$1:$H$1)&gt;0,SUM(MONTAGE!$E$2:$E$3)=0),$I$2&amp;"/h?",
ROUND((E4+F4*MONTAGE!$E$3+(G4+H4)*MONTAGE!$E$2)*(1+MONTAGE!$E$4),1))</f>
        <v>199</v>
      </c>
      <c r="J4" s="109">
        <f>MONTAGE!$DE$3</f>
        <v>0</v>
      </c>
      <c r="K4" s="110"/>
      <c r="L4" s="110"/>
      <c r="N4" s="113"/>
      <c r="Q4">
        <f t="shared" ref="Q4:Q14" si="0">E4*$J4</f>
        <v>0</v>
      </c>
      <c r="R4">
        <f t="shared" ref="R4:R14" si="1">F4*$J4</f>
        <v>0</v>
      </c>
      <c r="S4">
        <f t="shared" ref="S4:S14" si="2">G4*$J4</f>
        <v>0</v>
      </c>
      <c r="T4">
        <f t="shared" ref="T4:T14" si="3">H4*$J4</f>
        <v>0</v>
      </c>
      <c r="U4">
        <f t="shared" ref="R4:U17" si="4">I4*$J4</f>
        <v>0</v>
      </c>
      <c r="W4">
        <f>ROUND((E4+F4*MONTAGE!$E$3+(G4+H4)*MONTAGE!$E$2),1)</f>
        <v>199</v>
      </c>
      <c r="X4">
        <f t="shared" ref="X4:X17" si="5">W4*$J4</f>
        <v>0</v>
      </c>
    </row>
    <row r="5" spans="1:24" x14ac:dyDescent="0.2">
      <c r="A5" s="193">
        <v>3</v>
      </c>
      <c r="B5" s="193" t="s">
        <v>1261</v>
      </c>
      <c r="C5" s="194" t="s">
        <v>1262</v>
      </c>
      <c r="D5" s="195" t="s">
        <v>307</v>
      </c>
      <c r="E5" s="196">
        <v>3458</v>
      </c>
      <c r="F5" s="197"/>
      <c r="G5" s="197"/>
      <c r="H5" s="197"/>
      <c r="I5" s="174">
        <f>IF(AND(SUM($F$1:$H$1)&gt;0,SUM(MONTAGE!$E$2:$E$3)=0),$I$2&amp;"/h?",
ROUND((E5+F5*MONTAGE!$E$3+(G5+H5)*MONTAGE!$E$2)*(1+MONTAGE!$E$4),1))</f>
        <v>3458</v>
      </c>
      <c r="J5" s="109">
        <f>MONTAGE!$DG$3</f>
        <v>0</v>
      </c>
      <c r="K5" s="110"/>
      <c r="L5" s="110"/>
      <c r="N5" s="113"/>
      <c r="Q5">
        <f t="shared" si="0"/>
        <v>0</v>
      </c>
      <c r="R5">
        <f t="shared" si="1"/>
        <v>0</v>
      </c>
      <c r="S5">
        <f t="shared" si="2"/>
        <v>0</v>
      </c>
      <c r="T5">
        <f t="shared" si="3"/>
        <v>0</v>
      </c>
      <c r="U5">
        <f t="shared" si="4"/>
        <v>0</v>
      </c>
      <c r="W5">
        <f>ROUND((E5+F5*MONTAGE!$E$3+(G5+H5)*MONTAGE!$E$2),1)</f>
        <v>3458</v>
      </c>
      <c r="X5">
        <f t="shared" si="5"/>
        <v>0</v>
      </c>
    </row>
    <row r="6" spans="1:24" ht="25.5" x14ac:dyDescent="0.2">
      <c r="A6" s="193">
        <v>4</v>
      </c>
      <c r="B6" s="193" t="s">
        <v>1309</v>
      </c>
      <c r="C6" s="422" t="s">
        <v>1307</v>
      </c>
      <c r="D6" s="195" t="s">
        <v>1289</v>
      </c>
      <c r="E6" s="196">
        <v>138</v>
      </c>
      <c r="F6" s="197"/>
      <c r="G6" s="197"/>
      <c r="H6" s="197"/>
      <c r="I6" s="174">
        <f>IF(AND(SUM($F$1:$H$1)&gt;0,SUM(MONTAGE!$E$2:$E$3)=0),$I$2&amp;"/h?",
ROUND((E6+F6*MONTAGE!$E$3+(G6+H6)*MONTAGE!$E$2)*(1+MONTAGE!$E$4),1))</f>
        <v>138</v>
      </c>
      <c r="J6" s="109">
        <f>MONTAGE!$DI$3</f>
        <v>0</v>
      </c>
      <c r="K6" s="110"/>
      <c r="L6" s="110"/>
      <c r="N6" s="113"/>
      <c r="Q6">
        <f t="shared" si="0"/>
        <v>0</v>
      </c>
      <c r="R6">
        <f t="shared" si="1"/>
        <v>0</v>
      </c>
      <c r="S6">
        <f t="shared" si="2"/>
        <v>0</v>
      </c>
      <c r="T6">
        <f t="shared" si="3"/>
        <v>0</v>
      </c>
      <c r="U6">
        <f t="shared" si="4"/>
        <v>0</v>
      </c>
      <c r="W6">
        <f>ROUND((E6+F6*MONTAGE!$E$3+(G6+H6)*MONTAGE!$E$2),1)</f>
        <v>138</v>
      </c>
      <c r="X6">
        <f t="shared" si="5"/>
        <v>0</v>
      </c>
    </row>
    <row r="7" spans="1:24" ht="51" x14ac:dyDescent="0.2">
      <c r="A7" s="193">
        <v>5</v>
      </c>
      <c r="B7" s="193" t="s">
        <v>1310</v>
      </c>
      <c r="C7" s="194" t="s">
        <v>1317</v>
      </c>
      <c r="D7" s="195" t="s">
        <v>307</v>
      </c>
      <c r="E7" s="196">
        <v>5000</v>
      </c>
      <c r="F7" s="197"/>
      <c r="G7" s="197"/>
      <c r="H7" s="197"/>
      <c r="I7" s="174">
        <f>IF(AND(SUM($F$1:$H$1)&gt;0,SUM(MONTAGE!$E$2:$E$3)=0),$I$2&amp;"/h?",
ROUND((E7+F7*MONTAGE!$E$3+(G7+H7)*MONTAGE!$E$2)*(1+MONTAGE!$E$4),1))</f>
        <v>5000</v>
      </c>
      <c r="J7" s="109">
        <f>MONTAGE!$DK$3</f>
        <v>0</v>
      </c>
      <c r="K7" s="110"/>
      <c r="L7" s="110"/>
      <c r="N7" s="113"/>
      <c r="Q7">
        <f t="shared" si="0"/>
        <v>0</v>
      </c>
      <c r="R7">
        <f t="shared" si="1"/>
        <v>0</v>
      </c>
      <c r="S7">
        <f t="shared" si="2"/>
        <v>0</v>
      </c>
      <c r="T7">
        <f t="shared" si="3"/>
        <v>0</v>
      </c>
      <c r="U7">
        <f t="shared" si="4"/>
        <v>0</v>
      </c>
      <c r="W7">
        <f>ROUND((E7+F7*MONTAGE!$E$3+(G7+H7)*MONTAGE!$E$2),1)</f>
        <v>5000</v>
      </c>
      <c r="X7">
        <f t="shared" si="5"/>
        <v>0</v>
      </c>
    </row>
    <row r="8" spans="1:24" x14ac:dyDescent="0.2">
      <c r="A8" s="193"/>
      <c r="B8" s="193"/>
      <c r="C8" s="194"/>
      <c r="D8" s="195"/>
      <c r="E8" s="196"/>
      <c r="F8" s="197"/>
      <c r="G8" s="197"/>
      <c r="H8" s="197"/>
      <c r="I8" s="174">
        <f>IF(AND(SUM($F$1:$H$1)&gt;0,SUM(MONTAGE!$E$2:$E$3)=0),$I$2&amp;"/h?",
ROUND((E8+F8*MONTAGE!$E$3+(G8+H8)*MONTAGE!$E$2)*(1+MONTAGE!$E$4),1))</f>
        <v>0</v>
      </c>
      <c r="J8" s="109">
        <f>MONTAGE!$DM$3</f>
        <v>0</v>
      </c>
      <c r="K8" s="110"/>
      <c r="L8" s="110"/>
      <c r="N8" s="113"/>
      <c r="Q8">
        <f t="shared" si="0"/>
        <v>0</v>
      </c>
      <c r="R8">
        <f t="shared" si="1"/>
        <v>0</v>
      </c>
      <c r="S8">
        <f t="shared" si="2"/>
        <v>0</v>
      </c>
      <c r="T8">
        <f t="shared" si="3"/>
        <v>0</v>
      </c>
      <c r="U8">
        <f t="shared" si="4"/>
        <v>0</v>
      </c>
      <c r="W8">
        <f>ROUND((E8+F8*MONTAGE!$E$3+(G8+H8)*MONTAGE!$E$2),1)</f>
        <v>0</v>
      </c>
      <c r="X8">
        <f t="shared" si="5"/>
        <v>0</v>
      </c>
    </row>
    <row r="9" spans="1:24" x14ac:dyDescent="0.2">
      <c r="A9" s="193"/>
      <c r="B9" s="193"/>
      <c r="C9" s="194"/>
      <c r="D9" s="195"/>
      <c r="E9" s="196"/>
      <c r="F9" s="197"/>
      <c r="G9" s="197"/>
      <c r="H9" s="197"/>
      <c r="I9" s="174">
        <f>IF(AND(SUM($F$1:$H$1)&gt;0,SUM(MONTAGE!$E$2:$E$3)=0),$I$2&amp;"/h?",
ROUND((E9+F9*MONTAGE!$E$3+(G9+H9)*MONTAGE!$E$2)*(1+MONTAGE!$E$4),1))</f>
        <v>0</v>
      </c>
      <c r="J9" s="109">
        <f>MONTAGE!$DO$3</f>
        <v>0</v>
      </c>
      <c r="K9" s="110"/>
      <c r="L9" s="110"/>
      <c r="N9" s="113"/>
      <c r="Q9">
        <f t="shared" si="0"/>
        <v>0</v>
      </c>
      <c r="R9">
        <f t="shared" si="1"/>
        <v>0</v>
      </c>
      <c r="S9">
        <f t="shared" si="2"/>
        <v>0</v>
      </c>
      <c r="T9">
        <f t="shared" si="3"/>
        <v>0</v>
      </c>
      <c r="U9">
        <f t="shared" si="4"/>
        <v>0</v>
      </c>
      <c r="W9">
        <f>ROUND((E9+F9*MONTAGE!$E$3+(G9+H9)*MONTAGE!$E$2),1)</f>
        <v>0</v>
      </c>
      <c r="X9">
        <f t="shared" si="5"/>
        <v>0</v>
      </c>
    </row>
    <row r="10" spans="1:24" x14ac:dyDescent="0.2">
      <c r="A10" s="193"/>
      <c r="B10" s="193"/>
      <c r="C10" s="422"/>
      <c r="D10" s="195"/>
      <c r="E10" s="196"/>
      <c r="F10" s="197"/>
      <c r="G10" s="197"/>
      <c r="H10" s="197"/>
      <c r="I10" s="174">
        <f>IF(AND(SUM($F$1:$H$1)&gt;0,SUM(MONTAGE!$E$2:$E$3)=0),$I$2&amp;"/h?",
ROUND((E10+F10*MONTAGE!$E$3+(G10+H10)*MONTAGE!$E$2)*(1+MONTAGE!$E$4),1))</f>
        <v>0</v>
      </c>
      <c r="J10" s="109">
        <f>MONTAGE!$DQ$3</f>
        <v>0</v>
      </c>
      <c r="K10" s="110"/>
      <c r="L10" s="110"/>
      <c r="N10" s="113"/>
      <c r="Q10">
        <f t="shared" si="0"/>
        <v>0</v>
      </c>
      <c r="R10">
        <f t="shared" si="1"/>
        <v>0</v>
      </c>
      <c r="S10">
        <f t="shared" si="2"/>
        <v>0</v>
      </c>
      <c r="T10">
        <f t="shared" si="3"/>
        <v>0</v>
      </c>
      <c r="U10">
        <f t="shared" si="4"/>
        <v>0</v>
      </c>
      <c r="W10">
        <f>ROUND((E10+F10*MONTAGE!$E$3+(G10+H10)*MONTAGE!$E$2),1)</f>
        <v>0</v>
      </c>
      <c r="X10">
        <f t="shared" si="5"/>
        <v>0</v>
      </c>
    </row>
    <row r="11" spans="1:24" x14ac:dyDescent="0.2">
      <c r="A11" s="193"/>
      <c r="B11" s="193"/>
      <c r="C11" s="194"/>
      <c r="D11" s="195"/>
      <c r="E11" s="196"/>
      <c r="F11" s="197"/>
      <c r="G11" s="197"/>
      <c r="H11" s="197"/>
      <c r="I11" s="174">
        <f>IF(AND(SUM($F$1:$H$1)&gt;0,SUM(MONTAGE!$E$2:$E$3)=0),$I$2&amp;"/h?",
ROUND((E11+F11*MONTAGE!$E$3+(G11+H11)*MONTAGE!$E$2)*(1+MONTAGE!$E$4),1))</f>
        <v>0</v>
      </c>
      <c r="J11" s="109">
        <f>MONTAGE!$DS$3</f>
        <v>0</v>
      </c>
      <c r="K11" s="110"/>
      <c r="L11" s="110"/>
      <c r="N11" s="113"/>
      <c r="Q11">
        <f t="shared" si="0"/>
        <v>0</v>
      </c>
      <c r="R11">
        <f t="shared" si="1"/>
        <v>0</v>
      </c>
      <c r="S11">
        <f t="shared" si="2"/>
        <v>0</v>
      </c>
      <c r="T11">
        <f t="shared" si="3"/>
        <v>0</v>
      </c>
      <c r="U11">
        <f t="shared" si="4"/>
        <v>0</v>
      </c>
      <c r="W11">
        <f>ROUND((E11+F11*MONTAGE!$E$3+(G11+H11)*MONTAGE!$E$2),1)</f>
        <v>0</v>
      </c>
      <c r="X11">
        <f t="shared" si="5"/>
        <v>0</v>
      </c>
    </row>
    <row r="12" spans="1:24" x14ac:dyDescent="0.2">
      <c r="A12" s="193"/>
      <c r="B12" s="193"/>
      <c r="C12" s="194"/>
      <c r="D12" s="195"/>
      <c r="E12" s="196"/>
      <c r="F12" s="197"/>
      <c r="G12" s="197"/>
      <c r="H12" s="197"/>
      <c r="I12" s="174">
        <f>IF(AND(SUM($F$1:$H$1)&gt;0,SUM(MONTAGE!$E$2:$E$3)=0),$I$2&amp;"/h?",
ROUND((E12+F12*MONTAGE!$E$3+(G12+H12)*MONTAGE!$E$2)*(1+MONTAGE!$E$4),1))</f>
        <v>0</v>
      </c>
      <c r="J12" s="109">
        <f>MONTAGE!$DU$3</f>
        <v>0</v>
      </c>
      <c r="K12" s="110"/>
      <c r="L12" s="110"/>
      <c r="N12" s="113"/>
      <c r="Q12">
        <f t="shared" si="0"/>
        <v>0</v>
      </c>
      <c r="R12">
        <f t="shared" si="1"/>
        <v>0</v>
      </c>
      <c r="S12">
        <f t="shared" si="2"/>
        <v>0</v>
      </c>
      <c r="T12">
        <f t="shared" si="3"/>
        <v>0</v>
      </c>
      <c r="U12">
        <f t="shared" si="4"/>
        <v>0</v>
      </c>
      <c r="W12">
        <f>ROUND((E12+F12*MONTAGE!$E$3+(G12+H12)*MONTAGE!$E$2),1)</f>
        <v>0</v>
      </c>
      <c r="X12">
        <f t="shared" si="5"/>
        <v>0</v>
      </c>
    </row>
    <row r="13" spans="1:24" x14ac:dyDescent="0.2">
      <c r="A13" s="193"/>
      <c r="B13" s="193"/>
      <c r="C13" s="194"/>
      <c r="D13" s="195"/>
      <c r="E13" s="196"/>
      <c r="F13" s="197"/>
      <c r="G13" s="197"/>
      <c r="H13" s="197"/>
      <c r="I13" s="174">
        <f>IF(AND(SUM($F$1:$H$1)&gt;0,SUM(MONTAGE!$E$2:$E$3)=0),$I$2&amp;"/h?",
ROUND((E13+F13*MONTAGE!$E$3+(G13+H13)*MONTAGE!$E$2)*(1+MONTAGE!$E$4),1))</f>
        <v>0</v>
      </c>
      <c r="J13" s="109">
        <f>MONTAGE!$DW$3</f>
        <v>0</v>
      </c>
      <c r="K13" s="110"/>
      <c r="L13" s="110"/>
      <c r="N13" s="113"/>
      <c r="Q13">
        <f t="shared" si="0"/>
        <v>0</v>
      </c>
      <c r="R13">
        <f t="shared" si="1"/>
        <v>0</v>
      </c>
      <c r="S13">
        <f t="shared" si="2"/>
        <v>0</v>
      </c>
      <c r="T13">
        <f t="shared" si="3"/>
        <v>0</v>
      </c>
      <c r="U13">
        <f t="shared" si="4"/>
        <v>0</v>
      </c>
      <c r="W13">
        <f>ROUND((E13+F13*MONTAGE!$E$3+(G13+H13)*MONTAGE!$E$2),1)</f>
        <v>0</v>
      </c>
      <c r="X13">
        <f t="shared" si="5"/>
        <v>0</v>
      </c>
    </row>
    <row r="14" spans="1:24" x14ac:dyDescent="0.2">
      <c r="A14" s="193"/>
      <c r="B14" s="193"/>
      <c r="C14" s="194"/>
      <c r="D14" s="195"/>
      <c r="E14" s="196"/>
      <c r="F14" s="197"/>
      <c r="G14" s="197"/>
      <c r="H14" s="197"/>
      <c r="I14" s="174">
        <f>IF(AND(SUM($F$1:$H$1)&gt;0,SUM(MONTAGE!$E$2:$E$3)=0),$I$2&amp;"/h?",
ROUND((E14+F14*MONTAGE!$E$3+(G14+H14)*MONTAGE!$E$2)*(1+MONTAGE!$E$4),1))</f>
        <v>0</v>
      </c>
      <c r="J14" s="109">
        <f>MONTAGE!$DY$3</f>
        <v>0</v>
      </c>
      <c r="K14" s="110"/>
      <c r="L14" s="110"/>
      <c r="N14" s="113"/>
      <c r="Q14">
        <f t="shared" si="0"/>
        <v>0</v>
      </c>
      <c r="R14">
        <f t="shared" si="1"/>
        <v>0</v>
      </c>
      <c r="S14">
        <f t="shared" si="2"/>
        <v>0</v>
      </c>
      <c r="T14">
        <f t="shared" si="3"/>
        <v>0</v>
      </c>
      <c r="U14">
        <f t="shared" si="4"/>
        <v>0</v>
      </c>
      <c r="W14">
        <f>ROUND((E14+F14*MONTAGE!$E$3+(G14+H14)*MONTAGE!$E$2),1)</f>
        <v>0</v>
      </c>
      <c r="X14">
        <f t="shared" si="5"/>
        <v>0</v>
      </c>
    </row>
    <row r="15" spans="1:24" x14ac:dyDescent="0.2">
      <c r="A15" s="193"/>
      <c r="B15" s="193"/>
      <c r="C15" s="194"/>
      <c r="D15" s="195"/>
      <c r="E15" s="196"/>
      <c r="F15" s="197"/>
      <c r="G15" s="197"/>
      <c r="H15" s="197"/>
      <c r="I15" s="174">
        <f>IF(AND(SUM($F$1:$H$1)&gt;0,SUM(MONTAGE!$E$2:$E$3)=0),$I$2&amp;"/h?",
ROUND((E15+F15*MONTAGE!$E$3+(G15+H15)*MONTAGE!$E$2)*(1+MONTAGE!$E$4),1))</f>
        <v>0</v>
      </c>
      <c r="J15" s="109">
        <f>MONTAGE!$EA$3</f>
        <v>0</v>
      </c>
      <c r="K15" s="110"/>
      <c r="L15" s="110"/>
      <c r="N15" s="113"/>
      <c r="Q15">
        <f t="shared" ref="Q15:Q17" si="6">E15*$J15</f>
        <v>0</v>
      </c>
      <c r="R15">
        <f t="shared" si="4"/>
        <v>0</v>
      </c>
      <c r="S15">
        <f t="shared" si="4"/>
        <v>0</v>
      </c>
      <c r="T15">
        <f t="shared" si="4"/>
        <v>0</v>
      </c>
      <c r="U15">
        <f t="shared" si="4"/>
        <v>0</v>
      </c>
      <c r="W15">
        <f>ROUND((E15+F15*MONTAGE!$E$3+(G15+H15)*MONTAGE!$E$2),1)</f>
        <v>0</v>
      </c>
      <c r="X15">
        <f t="shared" si="5"/>
        <v>0</v>
      </c>
    </row>
    <row r="16" spans="1:24" x14ac:dyDescent="0.2">
      <c r="A16" s="193"/>
      <c r="B16" s="193"/>
      <c r="C16" s="194"/>
      <c r="D16" s="195"/>
      <c r="E16" s="196"/>
      <c r="F16" s="197"/>
      <c r="G16" s="197"/>
      <c r="H16" s="197"/>
      <c r="I16" s="174">
        <f>IF(AND(SUM($F$1:$H$1)&gt;0,SUM(MONTAGE!$E$2:$E$3)=0),$I$2&amp;"/h?",
ROUND((E16+F16*MONTAGE!$E$3+(G16+H16)*MONTAGE!$E$2)*(1+MONTAGE!$E$4),1))</f>
        <v>0</v>
      </c>
      <c r="J16" s="109">
        <f>MONTAGE!$EC$3</f>
        <v>0</v>
      </c>
      <c r="K16" s="110"/>
      <c r="L16" s="110"/>
      <c r="N16" s="113"/>
      <c r="Q16">
        <f t="shared" si="6"/>
        <v>0</v>
      </c>
      <c r="R16">
        <f t="shared" si="4"/>
        <v>0</v>
      </c>
      <c r="S16">
        <f t="shared" si="4"/>
        <v>0</v>
      </c>
      <c r="T16">
        <f t="shared" si="4"/>
        <v>0</v>
      </c>
      <c r="U16">
        <f t="shared" si="4"/>
        <v>0</v>
      </c>
      <c r="W16">
        <f>ROUND((E16+F16*MONTAGE!$E$3+(G16+H16)*MONTAGE!$E$2),1)</f>
        <v>0</v>
      </c>
      <c r="X16">
        <f t="shared" si="5"/>
        <v>0</v>
      </c>
    </row>
    <row r="17" spans="1:24" x14ac:dyDescent="0.2">
      <c r="A17" s="193"/>
      <c r="B17" s="193"/>
      <c r="C17" s="194"/>
      <c r="D17" s="195"/>
      <c r="E17" s="196"/>
      <c r="F17" s="197"/>
      <c r="G17" s="197"/>
      <c r="H17" s="197"/>
      <c r="I17" s="174">
        <f>IF(AND(SUM($F$1:$H$1)&gt;0,SUM(MONTAGE!$E$2:$E$3)=0),$I$2&amp;"/h?",
ROUND((E17+F17*MONTAGE!$E$3+(G17+H17)*MONTAGE!$E$2)*(1+MONTAGE!$E$4),1))</f>
        <v>0</v>
      </c>
      <c r="J17" s="109">
        <f>MONTAGE!$EE$3</f>
        <v>0</v>
      </c>
      <c r="K17" s="110"/>
      <c r="L17" s="110"/>
      <c r="N17" s="113"/>
      <c r="Q17">
        <f t="shared" si="6"/>
        <v>0</v>
      </c>
      <c r="R17">
        <f t="shared" si="4"/>
        <v>0</v>
      </c>
      <c r="S17">
        <f t="shared" si="4"/>
        <v>0</v>
      </c>
      <c r="T17">
        <f t="shared" si="4"/>
        <v>0</v>
      </c>
      <c r="U17">
        <f t="shared" si="4"/>
        <v>0</v>
      </c>
      <c r="W17">
        <f>ROUND((E17+F17*MONTAGE!$E$3+(G17+H17)*MONTAGE!$E$2),1)</f>
        <v>0</v>
      </c>
      <c r="X17">
        <f t="shared" si="5"/>
        <v>0</v>
      </c>
    </row>
    <row r="18" spans="1:24" x14ac:dyDescent="0.2">
      <c r="A18" s="193"/>
      <c r="B18" s="193"/>
      <c r="C18" s="193"/>
      <c r="D18" s="195"/>
      <c r="E18" s="196"/>
      <c r="F18" s="197"/>
      <c r="G18" s="197"/>
      <c r="H18" s="197"/>
      <c r="I18" s="174">
        <f>IF(AND(SUM($F$1:$H$1)&gt;0,SUM(MONTAGE!$E$2:$E$3)=0),$I$2&amp;"/h?",
ROUND((E18+F18*MONTAGE!$E$3+(G18+H18)*MONTAGE!$E$2)*(1+MONTAGE!$E$4),1))</f>
        <v>0</v>
      </c>
      <c r="J18" s="109">
        <f>MONTAGE!$EG$3</f>
        <v>0</v>
      </c>
      <c r="K18" s="110"/>
      <c r="L18" s="110"/>
      <c r="N18" s="113"/>
      <c r="Q18">
        <f t="shared" ref="Q18:Q27" si="7">E18*$J18</f>
        <v>0</v>
      </c>
      <c r="R18">
        <f t="shared" ref="R18:R27" si="8">F18*$J18</f>
        <v>0</v>
      </c>
      <c r="S18">
        <f t="shared" ref="S18:S27" si="9">G18*$J18</f>
        <v>0</v>
      </c>
      <c r="T18">
        <f t="shared" ref="T18:T27" si="10">H18*$J18</f>
        <v>0</v>
      </c>
      <c r="U18">
        <f t="shared" ref="U18:U27" si="11">I18*$J18</f>
        <v>0</v>
      </c>
      <c r="W18">
        <f>ROUND((E18+F18*MONTAGE!$E$3+(G18+H18)*MONTAGE!$E$2),1)</f>
        <v>0</v>
      </c>
      <c r="X18">
        <f t="shared" ref="X18:X27" si="12">W18*$J18</f>
        <v>0</v>
      </c>
    </row>
    <row r="19" spans="1:24" x14ac:dyDescent="0.2">
      <c r="A19" s="193"/>
      <c r="B19" s="193"/>
      <c r="C19" s="193"/>
      <c r="D19" s="195"/>
      <c r="E19" s="196"/>
      <c r="F19" s="197"/>
      <c r="G19" s="197"/>
      <c r="H19" s="197"/>
      <c r="I19" s="174">
        <f>IF(AND(SUM($F$1:$H$1)&gt;0,SUM(MONTAGE!$E$2:$E$3)=0),$I$2&amp;"/h?",
ROUND((E19+F19*MONTAGE!$E$3+(G19+H19)*MONTAGE!$E$2)*(1+MONTAGE!$E$4),1))</f>
        <v>0</v>
      </c>
      <c r="J19" s="109">
        <f>MONTAGE!$EI$3</f>
        <v>0</v>
      </c>
      <c r="K19" s="110"/>
      <c r="L19" s="110"/>
      <c r="N19" s="113"/>
      <c r="Q19">
        <f t="shared" si="7"/>
        <v>0</v>
      </c>
      <c r="R19">
        <f t="shared" si="8"/>
        <v>0</v>
      </c>
      <c r="S19">
        <f t="shared" si="9"/>
        <v>0</v>
      </c>
      <c r="T19">
        <f t="shared" si="10"/>
        <v>0</v>
      </c>
      <c r="U19">
        <f t="shared" si="11"/>
        <v>0</v>
      </c>
      <c r="W19">
        <f>ROUND((E19+F19*MONTAGE!$E$3+(G19+H19)*MONTAGE!$E$2),1)</f>
        <v>0</v>
      </c>
      <c r="X19">
        <f t="shared" si="12"/>
        <v>0</v>
      </c>
    </row>
    <row r="20" spans="1:24" x14ac:dyDescent="0.2">
      <c r="A20" s="193"/>
      <c r="B20" s="193"/>
      <c r="C20" s="193"/>
      <c r="D20" s="195"/>
      <c r="E20" s="196"/>
      <c r="F20" s="197"/>
      <c r="G20" s="197"/>
      <c r="H20" s="197"/>
      <c r="I20" s="174">
        <f>IF(AND(SUM($F$1:$H$1)&gt;0,SUM(MONTAGE!$E$2:$E$3)=0),$I$2&amp;"/h?",
ROUND((E20+F20*MONTAGE!$E$3+(G20+H20)*MONTAGE!$E$2)*(1+MONTAGE!$E$4),1))</f>
        <v>0</v>
      </c>
      <c r="J20" s="109">
        <f>MONTAGE!$EK$3</f>
        <v>0</v>
      </c>
      <c r="K20" s="110"/>
      <c r="L20" s="110"/>
      <c r="N20" s="113"/>
      <c r="Q20">
        <f t="shared" si="7"/>
        <v>0</v>
      </c>
      <c r="R20">
        <f t="shared" si="8"/>
        <v>0</v>
      </c>
      <c r="S20">
        <f t="shared" si="9"/>
        <v>0</v>
      </c>
      <c r="T20">
        <f t="shared" si="10"/>
        <v>0</v>
      </c>
      <c r="U20">
        <f t="shared" si="11"/>
        <v>0</v>
      </c>
      <c r="W20">
        <f>ROUND((E20+F20*MONTAGE!$E$3+(G20+H20)*MONTAGE!$E$2),1)</f>
        <v>0</v>
      </c>
      <c r="X20">
        <f t="shared" si="12"/>
        <v>0</v>
      </c>
    </row>
    <row r="21" spans="1:24" x14ac:dyDescent="0.2">
      <c r="A21" s="193"/>
      <c r="B21" s="193"/>
      <c r="C21" s="193"/>
      <c r="D21" s="195"/>
      <c r="E21" s="196"/>
      <c r="F21" s="197"/>
      <c r="G21" s="197"/>
      <c r="H21" s="197"/>
      <c r="I21" s="174">
        <f>IF(AND(SUM($F$1:$H$1)&gt;0,SUM(MONTAGE!$E$2:$E$3)=0),$I$2&amp;"/h?",
ROUND((E21+F21*MONTAGE!$E$3+(G21+H21)*MONTAGE!$E$2)*(1+MONTAGE!$E$4),1))</f>
        <v>0</v>
      </c>
      <c r="J21" s="109">
        <f>MONTAGE!$EM$3</f>
        <v>0</v>
      </c>
      <c r="K21" s="110"/>
      <c r="L21" s="110"/>
      <c r="N21" s="113"/>
      <c r="Q21">
        <f t="shared" si="7"/>
        <v>0</v>
      </c>
      <c r="R21">
        <f t="shared" si="8"/>
        <v>0</v>
      </c>
      <c r="S21">
        <f t="shared" si="9"/>
        <v>0</v>
      </c>
      <c r="T21">
        <f t="shared" si="10"/>
        <v>0</v>
      </c>
      <c r="U21">
        <f t="shared" si="11"/>
        <v>0</v>
      </c>
      <c r="W21">
        <f>ROUND((E21+F21*MONTAGE!$E$3+(G21+H21)*MONTAGE!$E$2),1)</f>
        <v>0</v>
      </c>
      <c r="X21">
        <f t="shared" si="12"/>
        <v>0</v>
      </c>
    </row>
    <row r="22" spans="1:24" x14ac:dyDescent="0.2">
      <c r="A22" s="193"/>
      <c r="B22" s="193"/>
      <c r="C22" s="193"/>
      <c r="D22" s="195"/>
      <c r="E22" s="196"/>
      <c r="F22" s="197"/>
      <c r="G22" s="197"/>
      <c r="H22" s="197"/>
      <c r="I22" s="174">
        <f>IF(AND(SUM($F$1:$H$1)&gt;0,SUM(MONTAGE!$E$2:$E$3)=0),$I$2&amp;"/h?",
ROUND((E22+F22*MONTAGE!$E$3+(G22+H22)*MONTAGE!$E$2)*(1+MONTAGE!$E$4),1))</f>
        <v>0</v>
      </c>
      <c r="J22" s="109">
        <f>MONTAGE!$EO$3</f>
        <v>0</v>
      </c>
      <c r="K22" s="110"/>
      <c r="L22" s="110"/>
      <c r="N22" s="113"/>
      <c r="Q22">
        <f t="shared" si="7"/>
        <v>0</v>
      </c>
      <c r="R22">
        <f t="shared" si="8"/>
        <v>0</v>
      </c>
      <c r="S22">
        <f t="shared" si="9"/>
        <v>0</v>
      </c>
      <c r="T22">
        <f t="shared" si="10"/>
        <v>0</v>
      </c>
      <c r="U22">
        <f t="shared" si="11"/>
        <v>0</v>
      </c>
      <c r="W22">
        <f>ROUND((E22+F22*MONTAGE!$E$3+(G22+H22)*MONTAGE!$E$2),1)</f>
        <v>0</v>
      </c>
      <c r="X22">
        <f t="shared" si="12"/>
        <v>0</v>
      </c>
    </row>
    <row r="23" spans="1:24" x14ac:dyDescent="0.2">
      <c r="A23" s="193"/>
      <c r="B23" s="193"/>
      <c r="C23" s="193"/>
      <c r="D23" s="195"/>
      <c r="E23" s="196"/>
      <c r="F23" s="197"/>
      <c r="G23" s="197"/>
      <c r="H23" s="197"/>
      <c r="I23" s="174">
        <f>IF(AND(SUM($F$1:$H$1)&gt;0,SUM(MONTAGE!$E$2:$E$3)=0),$I$2&amp;"/h?",
ROUND((E23+F23*MONTAGE!$E$3+(G23+H23)*MONTAGE!$E$2)*(1+MONTAGE!$E$4),1))</f>
        <v>0</v>
      </c>
      <c r="J23" s="109">
        <f>MONTAGE!$EQ$3</f>
        <v>0</v>
      </c>
      <c r="K23" s="110"/>
      <c r="L23" s="110"/>
      <c r="N23" s="113"/>
      <c r="Q23">
        <f t="shared" si="7"/>
        <v>0</v>
      </c>
      <c r="R23">
        <f t="shared" si="8"/>
        <v>0</v>
      </c>
      <c r="S23">
        <f t="shared" si="9"/>
        <v>0</v>
      </c>
      <c r="T23">
        <f t="shared" si="10"/>
        <v>0</v>
      </c>
      <c r="U23">
        <f t="shared" si="11"/>
        <v>0</v>
      </c>
      <c r="W23">
        <f>ROUND((E23+F23*MONTAGE!$E$3+(G23+H23)*MONTAGE!$E$2),1)</f>
        <v>0</v>
      </c>
      <c r="X23">
        <f t="shared" si="12"/>
        <v>0</v>
      </c>
    </row>
    <row r="24" spans="1:24" x14ac:dyDescent="0.2">
      <c r="A24" s="193"/>
      <c r="B24" s="193"/>
      <c r="C24" s="193"/>
      <c r="D24" s="195"/>
      <c r="E24" s="196"/>
      <c r="F24" s="197"/>
      <c r="G24" s="197"/>
      <c r="H24" s="197"/>
      <c r="I24" s="174">
        <f>IF(AND(SUM($F$1:$H$1)&gt;0,SUM(MONTAGE!$E$2:$E$3)=0),$I$2&amp;"/h?",
ROUND((E24+F24*MONTAGE!$E$3+(G24+H24)*MONTAGE!$E$2)*(1+MONTAGE!$E$4),1))</f>
        <v>0</v>
      </c>
      <c r="J24" s="109">
        <f>MONTAGE!$ES$3</f>
        <v>0</v>
      </c>
      <c r="K24" s="110"/>
      <c r="L24" s="110"/>
      <c r="N24" s="113"/>
      <c r="Q24">
        <f t="shared" si="7"/>
        <v>0</v>
      </c>
      <c r="R24">
        <f t="shared" si="8"/>
        <v>0</v>
      </c>
      <c r="S24">
        <f t="shared" si="9"/>
        <v>0</v>
      </c>
      <c r="T24">
        <f t="shared" si="10"/>
        <v>0</v>
      </c>
      <c r="U24">
        <f t="shared" si="11"/>
        <v>0</v>
      </c>
      <c r="W24">
        <f>ROUND((E24+F24*MONTAGE!$E$3+(G24+H24)*MONTAGE!$E$2),1)</f>
        <v>0</v>
      </c>
      <c r="X24">
        <f t="shared" si="12"/>
        <v>0</v>
      </c>
    </row>
    <row r="25" spans="1:24" x14ac:dyDescent="0.2">
      <c r="A25" s="193"/>
      <c r="B25" s="193"/>
      <c r="C25" s="193"/>
      <c r="D25" s="195"/>
      <c r="E25" s="196"/>
      <c r="F25" s="197"/>
      <c r="G25" s="197"/>
      <c r="H25" s="197"/>
      <c r="I25" s="174">
        <f>IF(AND(SUM($F$1:$H$1)&gt;0,SUM(MONTAGE!$E$2:$E$3)=0),$I$2&amp;"/h?",
ROUND((E25+F25*MONTAGE!$E$3+(G25+H25)*MONTAGE!$E$2)*(1+MONTAGE!$E$4),1))</f>
        <v>0</v>
      </c>
      <c r="J25" s="109">
        <f>MONTAGE!$EU$3</f>
        <v>0</v>
      </c>
      <c r="K25" s="110"/>
      <c r="L25" s="110"/>
      <c r="N25" s="113"/>
      <c r="Q25">
        <f t="shared" si="7"/>
        <v>0</v>
      </c>
      <c r="R25">
        <f t="shared" si="8"/>
        <v>0</v>
      </c>
      <c r="S25">
        <f t="shared" si="9"/>
        <v>0</v>
      </c>
      <c r="T25">
        <f t="shared" si="10"/>
        <v>0</v>
      </c>
      <c r="U25">
        <f t="shared" si="11"/>
        <v>0</v>
      </c>
      <c r="W25">
        <f>ROUND((E25+F25*MONTAGE!$E$3+(G25+H25)*MONTAGE!$E$2),1)</f>
        <v>0</v>
      </c>
      <c r="X25">
        <f t="shared" si="12"/>
        <v>0</v>
      </c>
    </row>
    <row r="26" spans="1:24" x14ac:dyDescent="0.2">
      <c r="A26" s="193"/>
      <c r="B26" s="193"/>
      <c r="C26" s="193"/>
      <c r="D26" s="195"/>
      <c r="E26" s="196"/>
      <c r="F26" s="197"/>
      <c r="G26" s="197"/>
      <c r="H26" s="197"/>
      <c r="I26" s="174">
        <f>IF(AND(SUM($F$1:$H$1)&gt;0,SUM(MONTAGE!$E$2:$E$3)=0),$I$2&amp;"/h?",
ROUND((E26+F26*MONTAGE!$E$3+(G26+H26)*MONTAGE!$E$2)*(1+MONTAGE!$E$4),1))</f>
        <v>0</v>
      </c>
      <c r="J26" s="109">
        <f>MONTAGE!$EW$3</f>
        <v>0</v>
      </c>
      <c r="K26" s="110"/>
      <c r="L26" s="110"/>
      <c r="N26" s="113"/>
      <c r="Q26">
        <f t="shared" si="7"/>
        <v>0</v>
      </c>
      <c r="R26">
        <f t="shared" si="8"/>
        <v>0</v>
      </c>
      <c r="S26">
        <f t="shared" si="9"/>
        <v>0</v>
      </c>
      <c r="T26">
        <f t="shared" si="10"/>
        <v>0</v>
      </c>
      <c r="U26">
        <f t="shared" si="11"/>
        <v>0</v>
      </c>
      <c r="W26">
        <f>ROUND((E26+F26*MONTAGE!$E$3+(G26+H26)*MONTAGE!$E$2),1)</f>
        <v>0</v>
      </c>
      <c r="X26">
        <f t="shared" si="12"/>
        <v>0</v>
      </c>
    </row>
    <row r="27" spans="1:24" x14ac:dyDescent="0.2">
      <c r="A27" s="193"/>
      <c r="B27" s="193"/>
      <c r="C27" s="193"/>
      <c r="D27" s="195"/>
      <c r="E27" s="196"/>
      <c r="F27" s="197"/>
      <c r="G27" s="197"/>
      <c r="H27" s="197"/>
      <c r="I27" s="174">
        <f>IF(AND(SUM($F$1:$H$1)&gt;0,SUM(MONTAGE!$E$2:$E$3)=0),$I$2&amp;"/h?",
ROUND((E27+F27*MONTAGE!$E$3+(G27+H27)*MONTAGE!$E$2)*(1+MONTAGE!$E$4),1))</f>
        <v>0</v>
      </c>
      <c r="J27" s="109">
        <f>MONTAGE!$EY$3</f>
        <v>0</v>
      </c>
      <c r="K27" s="110"/>
      <c r="L27" s="110"/>
      <c r="N27" s="113"/>
      <c r="Q27">
        <f t="shared" si="7"/>
        <v>0</v>
      </c>
      <c r="R27">
        <f t="shared" si="8"/>
        <v>0</v>
      </c>
      <c r="S27">
        <f t="shared" si="9"/>
        <v>0</v>
      </c>
      <c r="T27">
        <f t="shared" si="10"/>
        <v>0</v>
      </c>
      <c r="U27">
        <f t="shared" si="11"/>
        <v>0</v>
      </c>
      <c r="W27">
        <f>ROUND((E27+F27*MONTAGE!$E$3+(G27+H27)*MONTAGE!$E$2),1)</f>
        <v>0</v>
      </c>
      <c r="X27">
        <f t="shared" si="12"/>
        <v>0</v>
      </c>
    </row>
    <row r="28" spans="1:24" x14ac:dyDescent="0.2">
      <c r="A28" s="193"/>
      <c r="B28" s="193"/>
      <c r="C28" s="193"/>
      <c r="D28" s="195"/>
      <c r="E28" s="196"/>
      <c r="F28" s="197"/>
      <c r="G28" s="197"/>
      <c r="H28" s="197"/>
      <c r="I28" s="174">
        <f>IF(AND(SUM($F$1:$H$1)&gt;0,SUM(MONTAGE!$E$2:$E$3)=0),$I$2&amp;"/h?",
ROUND((E28+F28*MONTAGE!$E$3+(G28+H28)*MONTAGE!$E$2)*(1+MONTAGE!$E$4),1))</f>
        <v>0</v>
      </c>
      <c r="J28" s="109">
        <f>MONTAGE!$FA$3</f>
        <v>0</v>
      </c>
      <c r="K28" s="110"/>
      <c r="L28" s="110"/>
      <c r="N28" s="113"/>
      <c r="Q28">
        <f t="shared" ref="Q28:U32" si="13">E28*$J28</f>
        <v>0</v>
      </c>
      <c r="R28">
        <f t="shared" si="13"/>
        <v>0</v>
      </c>
      <c r="S28">
        <f t="shared" si="13"/>
        <v>0</v>
      </c>
      <c r="T28">
        <f t="shared" si="13"/>
        <v>0</v>
      </c>
      <c r="U28">
        <f t="shared" si="13"/>
        <v>0</v>
      </c>
      <c r="W28">
        <f>ROUND((E28+F28*MONTAGE!$E$3+(G28+H28)*MONTAGE!$E$2),1)</f>
        <v>0</v>
      </c>
      <c r="X28">
        <f>W28*$J28</f>
        <v>0</v>
      </c>
    </row>
    <row r="29" spans="1:24" x14ac:dyDescent="0.2">
      <c r="A29" s="193"/>
      <c r="B29" s="193"/>
      <c r="C29" s="193"/>
      <c r="D29" s="195"/>
      <c r="E29" s="196"/>
      <c r="F29" s="197"/>
      <c r="G29" s="197"/>
      <c r="H29" s="197"/>
      <c r="I29" s="174">
        <f>IF(AND(SUM($F$1:$H$1)&gt;0,SUM(MONTAGE!$E$2:$E$3)=0),$I$2&amp;"/h?",
ROUND((E29+F29*MONTAGE!$E$3+(G29+H29)*MONTAGE!$E$2)*(1+MONTAGE!$E$4),1))</f>
        <v>0</v>
      </c>
      <c r="J29" s="109">
        <f>MONTAGE!$FC$3</f>
        <v>0</v>
      </c>
      <c r="K29" s="110"/>
      <c r="L29" s="110"/>
      <c r="N29" s="113"/>
      <c r="Q29">
        <f t="shared" si="13"/>
        <v>0</v>
      </c>
      <c r="R29">
        <f t="shared" si="13"/>
        <v>0</v>
      </c>
      <c r="S29">
        <f t="shared" si="13"/>
        <v>0</v>
      </c>
      <c r="T29">
        <f t="shared" si="13"/>
        <v>0</v>
      </c>
      <c r="U29">
        <f t="shared" si="13"/>
        <v>0</v>
      </c>
      <c r="W29">
        <f>ROUND((E29+F29*MONTAGE!$E$3+(G29+H29)*MONTAGE!$E$2),1)</f>
        <v>0</v>
      </c>
      <c r="X29">
        <f>W29*$J29</f>
        <v>0</v>
      </c>
    </row>
    <row r="30" spans="1:24" x14ac:dyDescent="0.2">
      <c r="A30" s="193"/>
      <c r="B30" s="193"/>
      <c r="C30" s="193"/>
      <c r="D30" s="195"/>
      <c r="E30" s="196"/>
      <c r="F30" s="197"/>
      <c r="G30" s="197"/>
      <c r="H30" s="197"/>
      <c r="I30" s="174">
        <f>IF(AND(SUM($F$1:$H$1)&gt;0,SUM(MONTAGE!$E$2:$E$3)=0),$I$2&amp;"/h?",
ROUND((E30+F30*MONTAGE!$E$3+(G30+H30)*MONTAGE!$E$2)*(1+MONTAGE!$E$4),1))</f>
        <v>0</v>
      </c>
      <c r="J30" s="109">
        <f>MONTAGE!$FE$3</f>
        <v>0</v>
      </c>
      <c r="K30" s="110"/>
      <c r="L30" s="110"/>
      <c r="N30" s="113"/>
      <c r="Q30">
        <f t="shared" si="13"/>
        <v>0</v>
      </c>
      <c r="R30">
        <f t="shared" si="13"/>
        <v>0</v>
      </c>
      <c r="S30">
        <f t="shared" si="13"/>
        <v>0</v>
      </c>
      <c r="T30">
        <f t="shared" si="13"/>
        <v>0</v>
      </c>
      <c r="U30">
        <f t="shared" si="13"/>
        <v>0</v>
      </c>
      <c r="W30">
        <f>ROUND((E30+F30*MONTAGE!$E$3+(G30+H30)*MONTAGE!$E$2),1)</f>
        <v>0</v>
      </c>
      <c r="X30">
        <f>W30*$J30</f>
        <v>0</v>
      </c>
    </row>
    <row r="31" spans="1:24" x14ac:dyDescent="0.2">
      <c r="A31" s="193"/>
      <c r="B31" s="193"/>
      <c r="C31" s="193"/>
      <c r="D31" s="195"/>
      <c r="E31" s="196"/>
      <c r="F31" s="197"/>
      <c r="G31" s="197"/>
      <c r="H31" s="197"/>
      <c r="I31" s="174">
        <f>IF(AND(SUM($F$1:$H$1)&gt;0,SUM(MONTAGE!$E$2:$E$3)=0),$I$2&amp;"/h?",
ROUND((E31+F31*MONTAGE!$E$3+(G31+H31)*MONTAGE!$E$2)*(1+MONTAGE!$E$4),1))</f>
        <v>0</v>
      </c>
      <c r="J31" s="109">
        <f>MONTAGE!$FG$3</f>
        <v>0</v>
      </c>
      <c r="K31" s="110"/>
      <c r="L31" s="110"/>
      <c r="N31" s="113"/>
      <c r="Q31">
        <f t="shared" si="13"/>
        <v>0</v>
      </c>
      <c r="R31">
        <f t="shared" si="13"/>
        <v>0</v>
      </c>
      <c r="S31">
        <f t="shared" si="13"/>
        <v>0</v>
      </c>
      <c r="T31">
        <f t="shared" si="13"/>
        <v>0</v>
      </c>
      <c r="U31">
        <f t="shared" si="13"/>
        <v>0</v>
      </c>
      <c r="W31">
        <f>ROUND((E31+F31*MONTAGE!$E$3+(G31+H31)*MONTAGE!$E$2),1)</f>
        <v>0</v>
      </c>
      <c r="X31">
        <f>W31*$J31</f>
        <v>0</v>
      </c>
    </row>
    <row r="32" spans="1:24" x14ac:dyDescent="0.2">
      <c r="A32" s="193"/>
      <c r="B32" s="193"/>
      <c r="C32" s="193"/>
      <c r="D32" s="195"/>
      <c r="E32" s="196"/>
      <c r="F32" s="197"/>
      <c r="G32" s="197"/>
      <c r="H32" s="197"/>
      <c r="I32" s="174">
        <f>IF(AND(SUM($F$1:$H$1)&gt;0,SUM(MONTAGE!$E$2:$E$3)=0),$I$2&amp;"/h?",
ROUND((E32+F32*MONTAGE!$E$3+(G32+H32)*MONTAGE!$E$2)*(1+MONTAGE!$E$4),1))</f>
        <v>0</v>
      </c>
      <c r="J32" s="109">
        <f>MONTAGE!$FI$3</f>
        <v>0</v>
      </c>
      <c r="K32" s="110"/>
      <c r="L32" s="110"/>
      <c r="N32" s="113"/>
      <c r="Q32">
        <f t="shared" si="13"/>
        <v>0</v>
      </c>
      <c r="R32">
        <f t="shared" si="13"/>
        <v>0</v>
      </c>
      <c r="S32">
        <f t="shared" si="13"/>
        <v>0</v>
      </c>
      <c r="T32">
        <f t="shared" si="13"/>
        <v>0</v>
      </c>
      <c r="U32">
        <f t="shared" si="13"/>
        <v>0</v>
      </c>
      <c r="W32">
        <f>ROUND((E32+F32*MONTAGE!$E$3+(G32+H32)*MONTAGE!$E$2),1)</f>
        <v>0</v>
      </c>
      <c r="X32">
        <f>W32*$J32</f>
        <v>0</v>
      </c>
    </row>
    <row r="33" spans="1:14" x14ac:dyDescent="0.2">
      <c r="A33" s="110"/>
      <c r="B33" s="110"/>
      <c r="C33" s="110"/>
      <c r="D33" s="110"/>
      <c r="E33" s="110"/>
      <c r="F33" s="110"/>
      <c r="G33" s="110"/>
      <c r="H33" s="110"/>
      <c r="I33" s="110"/>
      <c r="J33" s="110"/>
      <c r="K33" s="110"/>
      <c r="L33" s="110"/>
      <c r="N33" s="113"/>
    </row>
    <row r="34" spans="1:14" x14ac:dyDescent="0.2">
      <c r="A34" s="110"/>
      <c r="B34" s="110"/>
      <c r="C34" s="110"/>
      <c r="D34" s="110"/>
      <c r="E34" s="110"/>
      <c r="F34" s="110"/>
      <c r="G34" s="110"/>
      <c r="H34" s="110"/>
      <c r="I34" s="110"/>
      <c r="J34" s="110"/>
      <c r="K34" s="110"/>
      <c r="L34" s="110"/>
      <c r="N34" s="113"/>
    </row>
    <row r="35" spans="1:14" ht="25.5" x14ac:dyDescent="0.2">
      <c r="A35" s="193"/>
      <c r="B35" s="193" t="s">
        <v>1263</v>
      </c>
      <c r="C35" s="194" t="s">
        <v>1264</v>
      </c>
      <c r="D35" s="195" t="s">
        <v>158</v>
      </c>
      <c r="E35" s="196">
        <v>226</v>
      </c>
      <c r="F35" s="197"/>
      <c r="G35" s="197"/>
      <c r="H35" s="197"/>
      <c r="I35" s="111">
        <f>ROUND((E35+F35*MONTAGE!$E$3+(G35+H35)*MONTAGE!$E$2)*(1+MONTAGE!$E$4),1)</f>
        <v>226</v>
      </c>
      <c r="J35" s="110"/>
      <c r="K35" s="110"/>
      <c r="L35" s="110"/>
      <c r="N35" s="113"/>
    </row>
    <row r="36" spans="1:14" x14ac:dyDescent="0.2">
      <c r="A36" s="193"/>
      <c r="B36" s="193" t="s">
        <v>1265</v>
      </c>
      <c r="C36" s="194" t="s">
        <v>1286</v>
      </c>
      <c r="D36" s="195" t="s">
        <v>307</v>
      </c>
      <c r="E36" s="196">
        <v>576</v>
      </c>
      <c r="F36" s="197"/>
      <c r="G36" s="197"/>
      <c r="H36" s="197"/>
      <c r="I36" s="111">
        <f>ROUND((E36+F36*MONTAGE!$E$3+(G36+H36)*MONTAGE!$E$2)*(1+MONTAGE!$E$4),1)</f>
        <v>576</v>
      </c>
      <c r="J36" s="110"/>
      <c r="K36" s="110"/>
      <c r="L36" s="110"/>
      <c r="N36" s="113"/>
    </row>
    <row r="37" spans="1:14" ht="25.5" x14ac:dyDescent="0.2">
      <c r="A37" s="193"/>
      <c r="B37" s="193" t="s">
        <v>1302</v>
      </c>
      <c r="C37" s="194" t="s">
        <v>1303</v>
      </c>
      <c r="D37" s="195" t="s">
        <v>158</v>
      </c>
      <c r="E37" s="196">
        <v>620</v>
      </c>
      <c r="F37" s="197"/>
      <c r="G37" s="197"/>
      <c r="H37" s="197"/>
      <c r="I37" s="111">
        <f>ROUND((E37+F37*MONTAGE!$E$3+(G37+H37)*MONTAGE!$E$2)*(1+MONTAGE!$E$4),1)</f>
        <v>620</v>
      </c>
      <c r="J37" s="110"/>
      <c r="K37" s="110"/>
      <c r="L37" s="110"/>
      <c r="N37" s="113"/>
    </row>
    <row r="38" spans="1:14" ht="25.5" x14ac:dyDescent="0.2">
      <c r="A38" s="193"/>
      <c r="B38" s="193" t="s">
        <v>1266</v>
      </c>
      <c r="C38" s="194" t="s">
        <v>1287</v>
      </c>
      <c r="D38" s="195" t="s">
        <v>307</v>
      </c>
      <c r="E38" s="196">
        <v>609</v>
      </c>
      <c r="F38" s="197"/>
      <c r="G38" s="197"/>
      <c r="H38" s="197"/>
      <c r="I38" s="111">
        <f>ROUND((E38+F38*MONTAGE!$E$3+(G38+H38)*MONTAGE!$E$2)*(1+MONTAGE!$E$4),1)</f>
        <v>609</v>
      </c>
      <c r="J38" s="110"/>
      <c r="K38" s="110"/>
      <c r="L38" s="110"/>
      <c r="N38" s="113"/>
    </row>
    <row r="39" spans="1:14" ht="25.5" x14ac:dyDescent="0.2">
      <c r="A39" s="193"/>
      <c r="B39" s="193" t="s">
        <v>1267</v>
      </c>
      <c r="C39" s="194" t="s">
        <v>1268</v>
      </c>
      <c r="D39" s="195" t="s">
        <v>158</v>
      </c>
      <c r="E39" s="196">
        <v>32</v>
      </c>
      <c r="F39" s="197"/>
      <c r="G39" s="197"/>
      <c r="H39" s="197"/>
      <c r="I39" s="111">
        <f>ROUND((E39+F39*MONTAGE!$E$3+(G39+H39)*MONTAGE!$E$2)*(1+MONTAGE!$E$4),1)</f>
        <v>32</v>
      </c>
      <c r="J39" s="110"/>
      <c r="K39" s="110"/>
      <c r="L39" s="110"/>
      <c r="N39" s="113"/>
    </row>
    <row r="40" spans="1:14" ht="25.5" x14ac:dyDescent="0.2">
      <c r="A40" s="193"/>
      <c r="B40" s="193" t="s">
        <v>1269</v>
      </c>
      <c r="C40" s="194" t="s">
        <v>1270</v>
      </c>
      <c r="D40" s="195" t="s">
        <v>158</v>
      </c>
      <c r="E40" s="196">
        <v>38.4</v>
      </c>
      <c r="F40" s="197"/>
      <c r="G40" s="197"/>
      <c r="H40" s="197"/>
      <c r="I40" s="111">
        <f>ROUND((E40+F40*MONTAGE!$E$3+(G40+H40)*MONTAGE!$E$2)*(1+MONTAGE!$E$4),1)</f>
        <v>38.4</v>
      </c>
      <c r="J40" s="110"/>
      <c r="K40" s="110"/>
      <c r="L40" s="110"/>
      <c r="N40" s="113"/>
    </row>
    <row r="41" spans="1:14" ht="25.5" x14ac:dyDescent="0.2">
      <c r="A41" s="193"/>
      <c r="B41" s="193" t="s">
        <v>1271</v>
      </c>
      <c r="C41" s="194" t="s">
        <v>1272</v>
      </c>
      <c r="D41" s="195" t="s">
        <v>307</v>
      </c>
      <c r="E41" s="196">
        <v>76</v>
      </c>
      <c r="F41" s="197"/>
      <c r="G41" s="197"/>
      <c r="H41" s="197"/>
      <c r="I41" s="111">
        <f>ROUND((E41+F41*MONTAGE!$E$3+(G41+H41)*MONTAGE!$E$2)*(1+MONTAGE!$E$4),1)</f>
        <v>76</v>
      </c>
      <c r="J41" s="110"/>
      <c r="K41" s="110"/>
      <c r="L41" s="110"/>
      <c r="N41" s="113"/>
    </row>
    <row r="42" spans="1:14" ht="25.5" x14ac:dyDescent="0.2">
      <c r="A42" s="193"/>
      <c r="B42" s="193" t="s">
        <v>1273</v>
      </c>
      <c r="C42" s="194" t="s">
        <v>1274</v>
      </c>
      <c r="D42" s="195" t="s">
        <v>307</v>
      </c>
      <c r="E42" s="196">
        <v>124</v>
      </c>
      <c r="F42" s="197"/>
      <c r="G42" s="197"/>
      <c r="H42" s="197"/>
      <c r="I42" s="111">
        <f>ROUND((E42+F42*MONTAGE!$E$3+(G42+H42)*MONTAGE!$E$2)*(1+MONTAGE!$E$4),1)</f>
        <v>124</v>
      </c>
      <c r="J42" s="110"/>
      <c r="K42" s="110"/>
      <c r="L42" s="110"/>
      <c r="N42" s="113"/>
    </row>
    <row r="43" spans="1:14" ht="25.5" x14ac:dyDescent="0.2">
      <c r="A43" s="193"/>
      <c r="B43" s="193" t="s">
        <v>1275</v>
      </c>
      <c r="C43" s="194" t="s">
        <v>1282</v>
      </c>
      <c r="D43" s="195" t="s">
        <v>158</v>
      </c>
      <c r="E43" s="196">
        <v>340</v>
      </c>
      <c r="F43" s="197"/>
      <c r="G43" s="197"/>
      <c r="H43" s="197"/>
      <c r="I43" s="111">
        <f>ROUND((E43+F43*MONTAGE!$E$3+(G43+H43)*MONTAGE!$E$2)*(1+MONTAGE!$E$4),1)</f>
        <v>340</v>
      </c>
      <c r="J43" s="110"/>
      <c r="K43" s="110"/>
      <c r="L43" s="110"/>
      <c r="N43" s="113"/>
    </row>
    <row r="44" spans="1:14" ht="38.25" x14ac:dyDescent="0.2">
      <c r="A44" s="193"/>
      <c r="B44" s="193" t="s">
        <v>1304</v>
      </c>
      <c r="C44" s="194" t="s">
        <v>1305</v>
      </c>
      <c r="D44" s="195" t="s">
        <v>158</v>
      </c>
      <c r="E44" s="196">
        <v>124.6</v>
      </c>
      <c r="F44" s="197"/>
      <c r="G44" s="197"/>
      <c r="H44" s="197"/>
      <c r="I44" s="111">
        <f>ROUND((E44+F44*MONTAGE!$E$3+(G44+H44)*MONTAGE!$E$2)*(1+MONTAGE!$E$4),1)</f>
        <v>124.6</v>
      </c>
      <c r="J44" s="110"/>
      <c r="K44" s="110"/>
      <c r="L44" s="110"/>
      <c r="N44" s="113"/>
    </row>
    <row r="45" spans="1:14" ht="38.25" x14ac:dyDescent="0.2">
      <c r="A45" s="193"/>
      <c r="B45" s="193" t="s">
        <v>1283</v>
      </c>
      <c r="C45" s="194" t="s">
        <v>1284</v>
      </c>
      <c r="D45" s="195" t="s">
        <v>158</v>
      </c>
      <c r="E45" s="196">
        <v>681</v>
      </c>
      <c r="F45" s="197"/>
      <c r="G45" s="197"/>
      <c r="H45" s="197"/>
      <c r="I45" s="111">
        <f>ROUND((E45+F45*MONTAGE!$E$3+(G45+H45)*MONTAGE!$E$2)*(1+MONTAGE!$E$4),1)</f>
        <v>681</v>
      </c>
      <c r="J45" s="110"/>
      <c r="K45" s="110"/>
      <c r="L45" s="110"/>
      <c r="N45" s="113"/>
    </row>
    <row r="46" spans="1:14" x14ac:dyDescent="0.2">
      <c r="A46" s="193"/>
      <c r="B46" s="193" t="s">
        <v>1288</v>
      </c>
      <c r="C46" s="194" t="s">
        <v>1285</v>
      </c>
      <c r="D46" s="195" t="s">
        <v>307</v>
      </c>
      <c r="E46" s="196">
        <v>805</v>
      </c>
      <c r="F46" s="197"/>
      <c r="G46" s="197"/>
      <c r="H46" s="197"/>
      <c r="I46" s="111">
        <f>ROUND((E46+F46*MONTAGE!$E$3+(G46+H46)*MONTAGE!$E$2)*(1+MONTAGE!$E$4),1)</f>
        <v>805</v>
      </c>
      <c r="J46" s="110"/>
      <c r="K46" s="110"/>
      <c r="L46" s="110"/>
      <c r="N46" s="113"/>
    </row>
    <row r="47" spans="1:14" x14ac:dyDescent="0.2">
      <c r="A47" s="193"/>
      <c r="B47" s="193" t="s">
        <v>1311</v>
      </c>
      <c r="C47" s="194" t="s">
        <v>1312</v>
      </c>
      <c r="D47" s="195" t="s">
        <v>1260</v>
      </c>
      <c r="E47" s="196">
        <v>46.5</v>
      </c>
      <c r="F47" s="197"/>
      <c r="G47" s="197"/>
      <c r="H47" s="197"/>
      <c r="I47" s="111">
        <f>ROUND((E47+F47*MONTAGE!$E$3+(G47+H47)*MONTAGE!$E$2)*(1+MONTAGE!$E$4),1)</f>
        <v>46.5</v>
      </c>
      <c r="J47" s="110"/>
      <c r="K47" s="110"/>
      <c r="L47" s="110"/>
      <c r="N47" s="113"/>
    </row>
    <row r="48" spans="1:14" x14ac:dyDescent="0.2">
      <c r="A48" s="193"/>
      <c r="B48" s="193"/>
      <c r="C48" s="194"/>
      <c r="D48" s="195"/>
      <c r="E48" s="196"/>
      <c r="F48" s="197"/>
      <c r="G48" s="197"/>
      <c r="H48" s="197"/>
      <c r="I48" s="111">
        <f>ROUND((E48+F48*MONTAGE!$E$3+(G48+H48)*MONTAGE!$E$2)*(1+MONTAGE!$E$4),1)</f>
        <v>0</v>
      </c>
      <c r="J48" s="110"/>
      <c r="K48" s="110"/>
      <c r="L48" s="110"/>
      <c r="N48" s="113"/>
    </row>
    <row r="49" spans="1:14" x14ac:dyDescent="0.2">
      <c r="A49" s="193"/>
      <c r="B49" s="193"/>
      <c r="C49" s="194"/>
      <c r="D49" s="195"/>
      <c r="E49" s="196"/>
      <c r="F49" s="197"/>
      <c r="G49" s="197"/>
      <c r="H49" s="197"/>
      <c r="I49" s="111">
        <f>ROUND((E49+F49*MONTAGE!$E$3+(G49+H49)*MONTAGE!$E$2)*(1+MONTAGE!$E$4),1)</f>
        <v>0</v>
      </c>
      <c r="J49" s="110"/>
      <c r="K49" s="110"/>
      <c r="L49" s="110"/>
      <c r="N49" s="113"/>
    </row>
    <row r="50" spans="1:14" x14ac:dyDescent="0.2">
      <c r="A50" s="193"/>
      <c r="B50" s="193"/>
      <c r="C50" s="194"/>
      <c r="D50" s="195"/>
      <c r="E50" s="196"/>
      <c r="F50" s="197"/>
      <c r="G50" s="197"/>
      <c r="H50" s="197"/>
      <c r="I50" s="111">
        <f>ROUND((E50+F50*MONTAGE!$E$3+(G50+H50)*MONTAGE!$E$2)*(1+MONTAGE!$E$4),1)</f>
        <v>0</v>
      </c>
      <c r="J50" s="110"/>
      <c r="K50" s="110"/>
      <c r="L50" s="110"/>
      <c r="N50" s="113"/>
    </row>
    <row r="51" spans="1:14" x14ac:dyDescent="0.2">
      <c r="A51" s="193"/>
      <c r="B51" s="193"/>
      <c r="C51" s="194"/>
      <c r="D51" s="195"/>
      <c r="E51" s="196"/>
      <c r="F51" s="197"/>
      <c r="G51" s="197"/>
      <c r="H51" s="197"/>
      <c r="I51" s="111">
        <f>ROUND((E51+F51*MONTAGE!$E$3+(G51+H51)*MONTAGE!$E$2)*(1+MONTAGE!$E$4),1)</f>
        <v>0</v>
      </c>
      <c r="J51" s="110"/>
      <c r="K51" s="110"/>
      <c r="L51" s="110"/>
      <c r="N51" s="113"/>
    </row>
    <row r="52" spans="1:14" x14ac:dyDescent="0.2">
      <c r="A52" s="193"/>
      <c r="B52" s="193"/>
      <c r="C52" s="194"/>
      <c r="D52" s="195"/>
      <c r="E52" s="196"/>
      <c r="F52" s="197"/>
      <c r="G52" s="197"/>
      <c r="H52" s="197"/>
      <c r="I52" s="111">
        <f>ROUND((E52+F52*MONTAGE!$E$3+(G52+H52)*MONTAGE!$E$2)*(1+MONTAGE!$E$4),1)</f>
        <v>0</v>
      </c>
      <c r="J52" s="110"/>
      <c r="K52" s="110"/>
      <c r="L52" s="110"/>
      <c r="N52" s="113"/>
    </row>
    <row r="53" spans="1:14" x14ac:dyDescent="0.2">
      <c r="A53" s="193"/>
      <c r="B53" s="193"/>
      <c r="C53" s="194"/>
      <c r="D53" s="195"/>
      <c r="E53" s="196"/>
      <c r="F53" s="197"/>
      <c r="G53" s="197"/>
      <c r="H53" s="197"/>
      <c r="I53" s="111">
        <f>ROUND((E53+F53*MONTAGE!$E$3+(G53+H53)*MONTAGE!$E$2)*(1+MONTAGE!$E$4),1)</f>
        <v>0</v>
      </c>
      <c r="J53" s="110"/>
      <c r="K53" s="110"/>
      <c r="L53" s="110"/>
      <c r="N53" s="113"/>
    </row>
    <row r="54" spans="1:14" x14ac:dyDescent="0.2">
      <c r="A54" s="193"/>
      <c r="B54" s="193"/>
      <c r="C54" s="194"/>
      <c r="D54" s="195"/>
      <c r="E54" s="196"/>
      <c r="F54" s="197"/>
      <c r="G54" s="197"/>
      <c r="H54" s="197"/>
      <c r="I54" s="111">
        <f>ROUND((E54+F54*MONTAGE!$E$3+(G54+H54)*MONTAGE!$E$2)*(1+MONTAGE!$E$4),1)</f>
        <v>0</v>
      </c>
      <c r="J54" s="110"/>
      <c r="K54" s="110"/>
      <c r="L54" s="110"/>
      <c r="N54" s="113"/>
    </row>
    <row r="55" spans="1:14" x14ac:dyDescent="0.2">
      <c r="A55" s="193"/>
      <c r="B55" s="193"/>
      <c r="C55" s="194"/>
      <c r="D55" s="195"/>
      <c r="E55" s="196"/>
      <c r="F55" s="197"/>
      <c r="G55" s="197"/>
      <c r="H55" s="197"/>
      <c r="I55" s="111">
        <f>ROUND((E55+F55*MONTAGE!$E$3+(G55+H55)*MONTAGE!$E$2)*(1+MONTAGE!$E$4),1)</f>
        <v>0</v>
      </c>
      <c r="J55" s="110"/>
      <c r="K55" s="110"/>
      <c r="L55" s="110"/>
      <c r="N55" s="113"/>
    </row>
    <row r="56" spans="1:14" x14ac:dyDescent="0.2">
      <c r="A56" s="193"/>
      <c r="B56" s="193"/>
      <c r="C56" s="194"/>
      <c r="D56" s="195"/>
      <c r="E56" s="196"/>
      <c r="F56" s="197"/>
      <c r="G56" s="197"/>
      <c r="H56" s="197"/>
      <c r="I56" s="111">
        <f>ROUND((E56+F56*MONTAGE!$E$3+(G56+H56)*MONTAGE!$E$2)*(1+MONTAGE!$E$4),1)</f>
        <v>0</v>
      </c>
      <c r="J56" s="110"/>
      <c r="K56" s="110"/>
      <c r="L56" s="110"/>
      <c r="N56" s="113"/>
    </row>
    <row r="57" spans="1:14" x14ac:dyDescent="0.2">
      <c r="A57" s="193"/>
      <c r="B57" s="193"/>
      <c r="C57" s="194"/>
      <c r="D57" s="195"/>
      <c r="E57" s="196"/>
      <c r="F57" s="197"/>
      <c r="G57" s="197"/>
      <c r="H57" s="197"/>
      <c r="I57" s="111">
        <f>ROUND((E57+F57*MONTAGE!$E$3+(G57+H57)*MONTAGE!$E$2)*(1+MONTAGE!$E$4),1)</f>
        <v>0</v>
      </c>
      <c r="J57" s="110"/>
      <c r="K57" s="110"/>
      <c r="L57" s="110"/>
      <c r="N57" s="113"/>
    </row>
    <row r="58" spans="1:14" x14ac:dyDescent="0.2">
      <c r="A58" s="193"/>
      <c r="B58" s="193"/>
      <c r="C58" s="194"/>
      <c r="D58" s="195"/>
      <c r="E58" s="196"/>
      <c r="F58" s="197"/>
      <c r="G58" s="197"/>
      <c r="H58" s="197"/>
      <c r="I58" s="111">
        <f>ROUND((E58+F58*MONTAGE!$E$3+(G58+H58)*MONTAGE!$E$2)*(1+MONTAGE!$E$4),1)</f>
        <v>0</v>
      </c>
      <c r="J58" s="110"/>
      <c r="K58" s="110"/>
      <c r="L58" s="110"/>
      <c r="N58" s="113"/>
    </row>
    <row r="59" spans="1:14" x14ac:dyDescent="0.2">
      <c r="A59" s="193"/>
      <c r="B59" s="193"/>
      <c r="C59" s="194"/>
      <c r="D59" s="195"/>
      <c r="E59" s="196"/>
      <c r="F59" s="197"/>
      <c r="G59" s="197"/>
      <c r="H59" s="197"/>
      <c r="I59" s="111">
        <f>ROUND((E59+F59*MONTAGE!$E$3+(G59+H59)*MONTAGE!$E$2)*(1+MONTAGE!$E$4),1)</f>
        <v>0</v>
      </c>
      <c r="J59" s="110"/>
      <c r="K59" s="110"/>
      <c r="L59" s="110"/>
    </row>
    <row r="60" spans="1:14" x14ac:dyDescent="0.2">
      <c r="A60" s="193"/>
      <c r="B60" s="193"/>
      <c r="C60" s="194"/>
      <c r="D60" s="195"/>
      <c r="E60" s="196"/>
      <c r="F60" s="197"/>
      <c r="G60" s="197"/>
      <c r="H60" s="197"/>
      <c r="I60" s="111">
        <f>ROUND((E60+F60*MONTAGE!$E$3+(G60+H60)*MONTAGE!$E$2)*(1+MONTAGE!$E$4),1)</f>
        <v>0</v>
      </c>
      <c r="J60" s="110"/>
      <c r="K60" s="110"/>
      <c r="L60" s="110"/>
    </row>
    <row r="61" spans="1:14" x14ac:dyDescent="0.2">
      <c r="A61" s="193"/>
      <c r="B61" s="193"/>
      <c r="C61" s="194"/>
      <c r="D61" s="195"/>
      <c r="E61" s="196"/>
      <c r="F61" s="197"/>
      <c r="G61" s="197"/>
      <c r="H61" s="197"/>
      <c r="I61" s="111">
        <f>ROUND((E61+F61*MONTAGE!$E$3+(G61+H61)*MONTAGE!$E$2)*(1+MONTAGE!$E$4),1)</f>
        <v>0</v>
      </c>
      <c r="J61" s="110"/>
      <c r="K61" s="110"/>
      <c r="L61" s="110"/>
    </row>
    <row r="62" spans="1:14" x14ac:dyDescent="0.2">
      <c r="A62" s="193"/>
      <c r="B62" s="193"/>
      <c r="C62" s="194"/>
      <c r="D62" s="195"/>
      <c r="E62" s="196"/>
      <c r="F62" s="197"/>
      <c r="G62" s="197"/>
      <c r="H62" s="197"/>
      <c r="I62" s="111">
        <f>ROUND((E62+F62*MONTAGE!$E$3+(G62+H62)*MONTAGE!$E$2)*(1+MONTAGE!$E$4),1)</f>
        <v>0</v>
      </c>
      <c r="J62" s="110"/>
      <c r="K62" s="110"/>
      <c r="L62" s="110"/>
    </row>
    <row r="63" spans="1:14" x14ac:dyDescent="0.2">
      <c r="A63" s="193"/>
      <c r="B63" s="193"/>
      <c r="C63" s="194"/>
      <c r="D63" s="195"/>
      <c r="E63" s="196"/>
      <c r="F63" s="197"/>
      <c r="G63" s="197"/>
      <c r="H63" s="197"/>
      <c r="I63" s="111">
        <f>ROUND((E63+F63*MONTAGE!$E$3+(G63+H63)*MONTAGE!$E$2)*(1+MONTAGE!$E$4),1)</f>
        <v>0</v>
      </c>
      <c r="J63" s="110"/>
      <c r="K63" s="110"/>
      <c r="L63" s="110"/>
    </row>
    <row r="64" spans="1:14" x14ac:dyDescent="0.2">
      <c r="A64" s="193"/>
      <c r="B64" s="193"/>
      <c r="C64" s="194"/>
      <c r="D64" s="195"/>
      <c r="E64" s="196"/>
      <c r="F64" s="197"/>
      <c r="G64" s="197"/>
      <c r="H64" s="197"/>
      <c r="I64" s="111">
        <f>ROUND((E64+F64*MONTAGE!$E$3+(G64+H64)*MONTAGE!$E$2)*(1+MONTAGE!$E$4),1)</f>
        <v>0</v>
      </c>
      <c r="J64" s="110"/>
      <c r="K64" s="110"/>
      <c r="L64" s="110"/>
    </row>
    <row r="65" spans="1:14" x14ac:dyDescent="0.2">
      <c r="A65" s="193"/>
      <c r="B65" s="193"/>
      <c r="C65" s="194"/>
      <c r="D65" s="195"/>
      <c r="E65" s="196"/>
      <c r="F65" s="197"/>
      <c r="G65" s="197"/>
      <c r="H65" s="197"/>
      <c r="I65" s="111">
        <f>ROUND((E65+F65*MONTAGE!$E$3+(G65+H65)*MONTAGE!$E$2)*(1+MONTAGE!$E$4),1)</f>
        <v>0</v>
      </c>
      <c r="J65" s="110"/>
      <c r="K65" s="110"/>
      <c r="L65" s="110"/>
    </row>
    <row r="66" spans="1:14" x14ac:dyDescent="0.2">
      <c r="A66" s="193"/>
      <c r="B66" s="193"/>
      <c r="C66" s="194"/>
      <c r="D66" s="195"/>
      <c r="E66" s="196"/>
      <c r="F66" s="197"/>
      <c r="G66" s="197"/>
      <c r="H66" s="197"/>
      <c r="I66" s="111">
        <f>ROUND((E66+F66*MONTAGE!$E$3+(G66+H66)*MONTAGE!$E$2)*(1+MONTAGE!$E$4),1)</f>
        <v>0</v>
      </c>
      <c r="J66" s="110"/>
      <c r="K66" s="110"/>
      <c r="L66" s="110"/>
      <c r="N66" s="113"/>
    </row>
    <row r="67" spans="1:14" x14ac:dyDescent="0.2">
      <c r="A67" s="193"/>
      <c r="B67" s="193"/>
      <c r="C67" s="194"/>
      <c r="D67" s="195"/>
      <c r="E67" s="196"/>
      <c r="F67" s="197"/>
      <c r="G67" s="197"/>
      <c r="H67" s="197"/>
      <c r="I67" s="111">
        <f>ROUND((E67+F67*MONTAGE!$E$3+(G67+H67)*MONTAGE!$E$2)*(1+MONTAGE!$E$4),1)</f>
        <v>0</v>
      </c>
      <c r="J67" s="110"/>
      <c r="K67" s="110"/>
      <c r="L67" s="110"/>
      <c r="N67" s="113"/>
    </row>
    <row r="68" spans="1:14" x14ac:dyDescent="0.2">
      <c r="A68" s="193"/>
      <c r="B68" s="193"/>
      <c r="C68" s="194"/>
      <c r="D68" s="195"/>
      <c r="E68" s="196"/>
      <c r="F68" s="197"/>
      <c r="G68" s="197"/>
      <c r="H68" s="197"/>
      <c r="I68" s="111">
        <f>ROUND((E68+F68*MONTAGE!$E$3+(G68+H68)*MONTAGE!$E$2)*(1+MONTAGE!$E$4),1)</f>
        <v>0</v>
      </c>
      <c r="J68" s="110"/>
      <c r="K68" s="110"/>
      <c r="L68" s="110"/>
      <c r="N68" s="113"/>
    </row>
    <row r="69" spans="1:14" x14ac:dyDescent="0.2">
      <c r="A69" s="193"/>
      <c r="B69" s="193"/>
      <c r="C69" s="194"/>
      <c r="D69" s="195"/>
      <c r="E69" s="196"/>
      <c r="F69" s="197"/>
      <c r="G69" s="197"/>
      <c r="H69" s="197"/>
      <c r="I69" s="111">
        <f>ROUND((E69+F69*MONTAGE!$E$3+(G69+H69)*MONTAGE!$E$2)*(1+MONTAGE!$E$4),1)</f>
        <v>0</v>
      </c>
      <c r="J69" s="110"/>
      <c r="K69" s="110"/>
      <c r="L69" s="110"/>
      <c r="N69" s="113"/>
    </row>
    <row r="70" spans="1:14" x14ac:dyDescent="0.2">
      <c r="A70" s="193"/>
      <c r="B70" s="193"/>
      <c r="C70" s="194"/>
      <c r="D70" s="195"/>
      <c r="E70" s="196"/>
      <c r="F70" s="197"/>
      <c r="G70" s="197"/>
      <c r="H70" s="197"/>
      <c r="I70" s="111">
        <f>ROUND((E70+F70*MONTAGE!$E$3+(G70+H70)*MONTAGE!$E$2)*(1+MONTAGE!$E$4),1)</f>
        <v>0</v>
      </c>
      <c r="J70" s="110"/>
      <c r="K70" s="110"/>
      <c r="L70" s="110"/>
      <c r="N70" s="113"/>
    </row>
    <row r="71" spans="1:14" x14ac:dyDescent="0.2">
      <c r="A71" s="193"/>
      <c r="B71" s="193"/>
      <c r="C71" s="194"/>
      <c r="D71" s="195"/>
      <c r="E71" s="196"/>
      <c r="F71" s="197"/>
      <c r="G71" s="197"/>
      <c r="H71" s="197"/>
      <c r="I71" s="111">
        <f>ROUND((E71+F71*MONTAGE!$E$3+(G71+H71)*MONTAGE!$E$2)*(1+MONTAGE!$E$4),1)</f>
        <v>0</v>
      </c>
      <c r="J71" s="110"/>
      <c r="K71" s="110"/>
      <c r="L71" s="110"/>
      <c r="N71" s="113"/>
    </row>
    <row r="72" spans="1:14" x14ac:dyDescent="0.2">
      <c r="A72" s="193"/>
      <c r="B72" s="193"/>
      <c r="C72" s="194"/>
      <c r="D72" s="195"/>
      <c r="E72" s="196"/>
      <c r="F72" s="197"/>
      <c r="G72" s="197"/>
      <c r="H72" s="197"/>
      <c r="I72" s="111">
        <f>ROUND((E72+F72*MONTAGE!$E$3+(G72+H72)*MONTAGE!$E$2)*(1+MONTAGE!$E$4),1)</f>
        <v>0</v>
      </c>
      <c r="J72" s="110"/>
      <c r="K72" s="110"/>
      <c r="L72" s="110"/>
      <c r="N72" s="113"/>
    </row>
    <row r="73" spans="1:14" x14ac:dyDescent="0.2">
      <c r="A73" s="193"/>
      <c r="B73" s="193"/>
      <c r="C73" s="194"/>
      <c r="D73" s="195"/>
      <c r="E73" s="196"/>
      <c r="F73" s="197"/>
      <c r="G73" s="197"/>
      <c r="H73" s="197"/>
      <c r="I73" s="111">
        <f>ROUND((E73+F73*MONTAGE!$E$3+(G73+H73)*MONTAGE!$E$2)*(1+MONTAGE!$E$4),1)</f>
        <v>0</v>
      </c>
      <c r="J73" s="110"/>
      <c r="K73" s="110"/>
      <c r="L73" s="110"/>
      <c r="N73" s="113"/>
    </row>
    <row r="74" spans="1:14" x14ac:dyDescent="0.2">
      <c r="A74" s="193"/>
      <c r="B74" s="193"/>
      <c r="C74" s="194"/>
      <c r="D74" s="195"/>
      <c r="E74" s="196"/>
      <c r="F74" s="197"/>
      <c r="G74" s="197"/>
      <c r="H74" s="197"/>
      <c r="I74" s="111">
        <f>ROUND((E74+F74*MONTAGE!$E$3+(G74+H74)*MONTAGE!$E$2)*(1+MONTAGE!$E$4),1)</f>
        <v>0</v>
      </c>
      <c r="J74" s="110"/>
      <c r="K74" s="110"/>
      <c r="L74" s="110"/>
      <c r="N74" s="113"/>
    </row>
    <row r="75" spans="1:14" x14ac:dyDescent="0.2">
      <c r="A75" s="193"/>
      <c r="B75" s="193"/>
      <c r="C75" s="194"/>
      <c r="D75" s="195"/>
      <c r="E75" s="196"/>
      <c r="F75" s="197"/>
      <c r="G75" s="197"/>
      <c r="H75" s="197"/>
      <c r="I75" s="111">
        <f>ROUND((E75+F75*MONTAGE!$E$3+(G75+H75)*MONTAGE!$E$2)*(1+MONTAGE!$E$4),1)</f>
        <v>0</v>
      </c>
      <c r="J75" s="110"/>
      <c r="K75" s="110"/>
      <c r="L75" s="110"/>
      <c r="N75" s="113"/>
    </row>
    <row r="76" spans="1:14" x14ac:dyDescent="0.2">
      <c r="A76" s="193"/>
      <c r="B76" s="193"/>
      <c r="C76" s="194"/>
      <c r="D76" s="195"/>
      <c r="E76" s="196"/>
      <c r="F76" s="197"/>
      <c r="G76" s="197"/>
      <c r="H76" s="197"/>
      <c r="I76" s="111">
        <f>ROUND((E76+F76*MONTAGE!$E$3+(G76+H76)*MONTAGE!$E$2)*(1+MONTAGE!$E$4),1)</f>
        <v>0</v>
      </c>
      <c r="J76" s="110"/>
      <c r="K76" s="110"/>
      <c r="L76" s="110"/>
      <c r="N76" s="113"/>
    </row>
    <row r="77" spans="1:14" x14ac:dyDescent="0.2">
      <c r="A77" s="193"/>
      <c r="B77" s="193"/>
      <c r="C77" s="194"/>
      <c r="D77" s="195"/>
      <c r="E77" s="196"/>
      <c r="F77" s="197"/>
      <c r="G77" s="197"/>
      <c r="H77" s="197"/>
      <c r="I77" s="111">
        <f>ROUND((E77+F77*MONTAGE!$E$3+(G77+H77)*MONTAGE!$E$2)*(1+MONTAGE!$E$4),1)</f>
        <v>0</v>
      </c>
      <c r="J77" s="110"/>
      <c r="K77" s="110"/>
      <c r="L77" s="110"/>
      <c r="N77" s="113"/>
    </row>
    <row r="78" spans="1:14" x14ac:dyDescent="0.2">
      <c r="A78" s="193"/>
      <c r="B78" s="193"/>
      <c r="C78" s="194"/>
      <c r="D78" s="195"/>
      <c r="E78" s="196"/>
      <c r="F78" s="197"/>
      <c r="G78" s="197"/>
      <c r="H78" s="197"/>
      <c r="I78" s="111">
        <f>ROUND((E78+F78*MONTAGE!$E$3+(G78+H78)*MONTAGE!$E$2)*(1+MONTAGE!$E$4),1)</f>
        <v>0</v>
      </c>
      <c r="J78" s="110"/>
      <c r="K78" s="110"/>
      <c r="L78" s="110"/>
      <c r="N78" s="113"/>
    </row>
    <row r="79" spans="1:14" x14ac:dyDescent="0.2">
      <c r="A79" s="193"/>
      <c r="B79" s="193"/>
      <c r="C79" s="194"/>
      <c r="D79" s="195"/>
      <c r="E79" s="196"/>
      <c r="F79" s="197"/>
      <c r="G79" s="197"/>
      <c r="H79" s="197"/>
      <c r="I79" s="111">
        <f>ROUND((E79+F79*MONTAGE!$E$3+(G79+H79)*MONTAGE!$E$2)*(1+MONTAGE!$E$4),1)</f>
        <v>0</v>
      </c>
      <c r="J79" s="110"/>
      <c r="K79" s="110"/>
      <c r="L79" s="110"/>
      <c r="N79" s="113"/>
    </row>
    <row r="80" spans="1:14" x14ac:dyDescent="0.2">
      <c r="A80" s="193"/>
      <c r="B80" s="193"/>
      <c r="C80" s="194"/>
      <c r="D80" s="195"/>
      <c r="E80" s="196"/>
      <c r="F80" s="197"/>
      <c r="G80" s="197"/>
      <c r="H80" s="197"/>
      <c r="I80" s="111">
        <f>ROUND((E80+F80*MONTAGE!$E$3+(G80+H80)*MONTAGE!$E$2)*(1+MONTAGE!$E$4),1)</f>
        <v>0</v>
      </c>
      <c r="J80" s="110"/>
      <c r="K80" s="110"/>
      <c r="L80" s="110"/>
      <c r="N80" s="113"/>
    </row>
    <row r="81" spans="1:14" x14ac:dyDescent="0.2">
      <c r="A81" s="193"/>
      <c r="B81" s="193"/>
      <c r="C81" s="194"/>
      <c r="D81" s="195"/>
      <c r="E81" s="196"/>
      <c r="F81" s="197"/>
      <c r="G81" s="197"/>
      <c r="H81" s="197"/>
      <c r="I81" s="111">
        <f>ROUND((E81+F81*MONTAGE!$E$3+(G81+H81)*MONTAGE!$E$2)*(1+MONTAGE!$E$4),1)</f>
        <v>0</v>
      </c>
      <c r="J81" s="110"/>
      <c r="K81" s="110"/>
      <c r="L81" s="110"/>
      <c r="N81" s="113"/>
    </row>
    <row r="82" spans="1:14" x14ac:dyDescent="0.2">
      <c r="A82" s="193"/>
      <c r="B82" s="193"/>
      <c r="C82" s="194"/>
      <c r="D82" s="195"/>
      <c r="E82" s="196"/>
      <c r="F82" s="197"/>
      <c r="G82" s="197"/>
      <c r="H82" s="197"/>
      <c r="I82" s="111">
        <f>ROUND((E82+F82*MONTAGE!$E$3+(G82+H82)*MONTAGE!$E$2)*(1+MONTAGE!$E$4),1)</f>
        <v>0</v>
      </c>
      <c r="J82" s="110"/>
      <c r="K82" s="110"/>
      <c r="L82" s="110"/>
      <c r="N82" s="113"/>
    </row>
    <row r="83" spans="1:14" x14ac:dyDescent="0.2">
      <c r="A83" s="193"/>
      <c r="B83" s="193"/>
      <c r="C83" s="194"/>
      <c r="D83" s="195"/>
      <c r="E83" s="196"/>
      <c r="F83" s="197"/>
      <c r="G83" s="197"/>
      <c r="H83" s="197"/>
      <c r="I83" s="111">
        <f>ROUND((E83+F83*MONTAGE!$E$3+(G83+H83)*MONTAGE!$E$2)*(1+MONTAGE!$E$4),1)</f>
        <v>0</v>
      </c>
      <c r="J83" s="110"/>
      <c r="K83" s="110"/>
      <c r="L83" s="110"/>
      <c r="N83" s="113"/>
    </row>
    <row r="84" spans="1:14" x14ac:dyDescent="0.2">
      <c r="A84" s="193"/>
      <c r="B84" s="193"/>
      <c r="C84" s="194"/>
      <c r="D84" s="195"/>
      <c r="E84" s="196"/>
      <c r="F84" s="197"/>
      <c r="G84" s="197"/>
      <c r="H84" s="197"/>
      <c r="I84" s="111">
        <f>ROUND((E84+F84*MONTAGE!$E$3+(G84+H84)*MONTAGE!$E$2)*(1+MONTAGE!$E$4),1)</f>
        <v>0</v>
      </c>
      <c r="J84" s="110"/>
      <c r="K84" s="110"/>
      <c r="L84" s="110"/>
      <c r="N84" s="113"/>
    </row>
    <row r="85" spans="1:14" x14ac:dyDescent="0.2">
      <c r="A85" s="193"/>
      <c r="B85" s="193"/>
      <c r="C85" s="194"/>
      <c r="D85" s="195"/>
      <c r="E85" s="196"/>
      <c r="F85" s="197"/>
      <c r="G85" s="197"/>
      <c r="H85" s="197"/>
      <c r="I85" s="111">
        <f>ROUND((E85+F85*MONTAGE!$E$3+(G85+H85)*MONTAGE!$E$2)*(1+MONTAGE!$E$4),1)</f>
        <v>0</v>
      </c>
      <c r="J85" s="110"/>
      <c r="K85" s="110"/>
      <c r="L85" s="110"/>
      <c r="N85" s="113"/>
    </row>
    <row r="86" spans="1:14" x14ac:dyDescent="0.2">
      <c r="A86" s="193"/>
      <c r="B86" s="193"/>
      <c r="C86" s="194"/>
      <c r="D86" s="195"/>
      <c r="E86" s="196"/>
      <c r="F86" s="197"/>
      <c r="G86" s="197"/>
      <c r="H86" s="197"/>
      <c r="I86" s="111">
        <f>ROUND((E86+F86*MONTAGE!$E$3+(G86+H86)*MONTAGE!$E$2)*(1+MONTAGE!$E$4),1)</f>
        <v>0</v>
      </c>
      <c r="J86" s="110"/>
      <c r="K86" s="110"/>
      <c r="L86" s="110"/>
    </row>
    <row r="87" spans="1:14" x14ac:dyDescent="0.2">
      <c r="A87" s="193"/>
      <c r="B87" s="193"/>
      <c r="C87" s="194"/>
      <c r="D87" s="195"/>
      <c r="E87" s="196"/>
      <c r="F87" s="197"/>
      <c r="G87" s="197"/>
      <c r="H87" s="197"/>
      <c r="I87" s="111">
        <f>ROUND((E87+F87*MONTAGE!$E$3+(G87+H87)*MONTAGE!$E$2)*(1+MONTAGE!$E$4),1)</f>
        <v>0</v>
      </c>
      <c r="J87" s="110"/>
      <c r="K87" s="110"/>
      <c r="L87" s="110"/>
    </row>
    <row r="88" spans="1:14" x14ac:dyDescent="0.2">
      <c r="A88" s="193"/>
      <c r="B88" s="193"/>
      <c r="C88" s="194"/>
      <c r="D88" s="195"/>
      <c r="E88" s="196"/>
      <c r="F88" s="197"/>
      <c r="G88" s="197"/>
      <c r="H88" s="197"/>
      <c r="I88" s="111">
        <f>ROUND((E88+F88*MONTAGE!$E$3+(G88+H88)*MONTAGE!$E$2)*(1+MONTAGE!$E$4),1)</f>
        <v>0</v>
      </c>
      <c r="J88" s="110"/>
      <c r="K88" s="110"/>
      <c r="L88" s="110"/>
    </row>
    <row r="89" spans="1:14" x14ac:dyDescent="0.2">
      <c r="A89" s="193"/>
      <c r="B89" s="193"/>
      <c r="C89" s="194"/>
      <c r="D89" s="195"/>
      <c r="E89" s="196"/>
      <c r="F89" s="197"/>
      <c r="G89" s="197"/>
      <c r="H89" s="197"/>
      <c r="I89" s="111">
        <f>ROUND((E89+F89*MONTAGE!$E$3+(G89+H89)*MONTAGE!$E$2)*(1+MONTAGE!$E$4),1)</f>
        <v>0</v>
      </c>
      <c r="J89" s="110"/>
      <c r="K89" s="110"/>
      <c r="L89" s="110"/>
    </row>
    <row r="90" spans="1:14" x14ac:dyDescent="0.2">
      <c r="A90" s="193"/>
      <c r="B90" s="193"/>
      <c r="C90" s="194"/>
      <c r="D90" s="195"/>
      <c r="E90" s="196"/>
      <c r="F90" s="197"/>
      <c r="G90" s="197"/>
      <c r="H90" s="197"/>
      <c r="I90" s="111">
        <f>ROUND((E90+F90*MONTAGE!$E$3+(G90+H90)*MONTAGE!$E$2)*(1+MONTAGE!$E$4),1)</f>
        <v>0</v>
      </c>
      <c r="J90" s="110"/>
      <c r="K90" s="110"/>
      <c r="L90" s="110"/>
    </row>
    <row r="91" spans="1:14" x14ac:dyDescent="0.2">
      <c r="A91" s="193"/>
      <c r="B91" s="193"/>
      <c r="C91" s="194"/>
      <c r="D91" s="195"/>
      <c r="E91" s="196"/>
      <c r="F91" s="197"/>
      <c r="G91" s="197"/>
      <c r="H91" s="197"/>
      <c r="I91" s="111">
        <f>ROUND((E91+F91*MONTAGE!$E$3+(G91+H91)*MONTAGE!$E$2)*(1+MONTAGE!$E$4),1)</f>
        <v>0</v>
      </c>
      <c r="J91" s="110"/>
      <c r="K91" s="110"/>
      <c r="L91" s="110"/>
    </row>
    <row r="92" spans="1:14" x14ac:dyDescent="0.2">
      <c r="A92" s="193"/>
      <c r="B92" s="193"/>
      <c r="C92" s="194"/>
      <c r="D92" s="195"/>
      <c r="E92" s="196"/>
      <c r="F92" s="197"/>
      <c r="G92" s="197"/>
      <c r="H92" s="197"/>
      <c r="I92" s="111">
        <f>ROUND((E92+F92*MONTAGE!$E$3+(G92+H92)*MONTAGE!$E$2)*(1+MONTAGE!$E$4),1)</f>
        <v>0</v>
      </c>
      <c r="J92" s="110"/>
      <c r="K92" s="110"/>
      <c r="L92" s="110"/>
    </row>
    <row r="93" spans="1:14" x14ac:dyDescent="0.2">
      <c r="A93" s="193"/>
      <c r="B93" s="193"/>
      <c r="C93" s="194"/>
      <c r="D93" s="195"/>
      <c r="E93" s="196"/>
      <c r="F93" s="197"/>
      <c r="G93" s="197"/>
      <c r="H93" s="197"/>
      <c r="I93" s="111">
        <f>ROUND((E93+F93*MONTAGE!$E$3+(G93+H93)*MONTAGE!$E$2)*(1+MONTAGE!$E$4),1)</f>
        <v>0</v>
      </c>
      <c r="J93" s="110"/>
      <c r="K93" s="110"/>
      <c r="L93" s="110"/>
      <c r="N93" s="113"/>
    </row>
    <row r="94" spans="1:14" x14ac:dyDescent="0.2">
      <c r="A94" s="193"/>
      <c r="B94" s="193"/>
      <c r="C94" s="194"/>
      <c r="D94" s="195"/>
      <c r="E94" s="196"/>
      <c r="F94" s="197"/>
      <c r="G94" s="197"/>
      <c r="H94" s="197"/>
      <c r="I94" s="111">
        <f>ROUND((E94+F94*MONTAGE!$E$3+(G94+H94)*MONTAGE!$E$2)*(1+MONTAGE!$E$4),1)</f>
        <v>0</v>
      </c>
      <c r="J94" s="110"/>
      <c r="K94" s="110"/>
      <c r="L94" s="110"/>
      <c r="N94" s="113"/>
    </row>
    <row r="95" spans="1:14" x14ac:dyDescent="0.2">
      <c r="A95" s="193"/>
      <c r="B95" s="193"/>
      <c r="C95" s="194"/>
      <c r="D95" s="195"/>
      <c r="E95" s="196"/>
      <c r="F95" s="197"/>
      <c r="G95" s="197"/>
      <c r="H95" s="197"/>
      <c r="I95" s="111">
        <f>ROUND((E95+F95*MONTAGE!$E$3+(G95+H95)*MONTAGE!$E$2)*(1+MONTAGE!$E$4),1)</f>
        <v>0</v>
      </c>
      <c r="J95" s="110"/>
      <c r="K95" s="110"/>
      <c r="L95" s="110"/>
      <c r="N95" s="113"/>
    </row>
    <row r="96" spans="1:14" x14ac:dyDescent="0.2">
      <c r="A96" s="193"/>
      <c r="B96" s="193"/>
      <c r="C96" s="194"/>
      <c r="D96" s="195"/>
      <c r="E96" s="196"/>
      <c r="F96" s="197"/>
      <c r="G96" s="197"/>
      <c r="H96" s="197"/>
      <c r="I96" s="111">
        <f>ROUND((E96+F96*MONTAGE!$E$3+(G96+H96)*MONTAGE!$E$2)*(1+MONTAGE!$E$4),1)</f>
        <v>0</v>
      </c>
      <c r="J96" s="110"/>
      <c r="K96" s="110"/>
      <c r="L96" s="110"/>
      <c r="N96" s="113"/>
    </row>
    <row r="97" spans="1:14" x14ac:dyDescent="0.2">
      <c r="A97" s="193"/>
      <c r="B97" s="193"/>
      <c r="C97" s="194"/>
      <c r="D97" s="195"/>
      <c r="E97" s="196"/>
      <c r="F97" s="197"/>
      <c r="G97" s="197"/>
      <c r="H97" s="197"/>
      <c r="I97" s="111">
        <f>ROUND((E97+F97*MONTAGE!$E$3+(G97+H97)*MONTAGE!$E$2)*(1+MONTAGE!$E$4),1)</f>
        <v>0</v>
      </c>
      <c r="J97" s="110"/>
      <c r="K97" s="110"/>
      <c r="L97" s="110"/>
      <c r="N97" s="113"/>
    </row>
    <row r="98" spans="1:14" x14ac:dyDescent="0.2">
      <c r="A98" s="193"/>
      <c r="B98" s="193"/>
      <c r="C98" s="194"/>
      <c r="D98" s="195"/>
      <c r="E98" s="196"/>
      <c r="F98" s="197"/>
      <c r="G98" s="197"/>
      <c r="H98" s="197"/>
      <c r="I98" s="111">
        <f>ROUND((E98+F98*MONTAGE!$E$3+(G98+H98)*MONTAGE!$E$2)*(1+MONTAGE!$E$4),1)</f>
        <v>0</v>
      </c>
      <c r="J98" s="110"/>
      <c r="K98" s="110"/>
      <c r="L98" s="110"/>
      <c r="N98" s="113"/>
    </row>
    <row r="99" spans="1:14" x14ac:dyDescent="0.2">
      <c r="A99" s="193"/>
      <c r="B99" s="193"/>
      <c r="C99" s="194"/>
      <c r="D99" s="195"/>
      <c r="E99" s="196"/>
      <c r="F99" s="197"/>
      <c r="G99" s="197"/>
      <c r="H99" s="197"/>
      <c r="I99" s="111">
        <f>ROUND((E99+F99*MONTAGE!$E$3+(G99+H99)*MONTAGE!$E$2)*(1+MONTAGE!$E$4),1)</f>
        <v>0</v>
      </c>
      <c r="J99" s="110"/>
      <c r="K99" s="110"/>
      <c r="L99" s="110"/>
      <c r="N99" s="113"/>
    </row>
    <row r="100" spans="1:14" x14ac:dyDescent="0.2">
      <c r="A100" s="193"/>
      <c r="B100" s="193"/>
      <c r="C100" s="194"/>
      <c r="D100" s="195"/>
      <c r="E100" s="196"/>
      <c r="F100" s="197"/>
      <c r="G100" s="197"/>
      <c r="H100" s="197"/>
      <c r="I100" s="111">
        <f>ROUND((E100+F100*MONTAGE!$E$3+(G100+H100)*MONTAGE!$E$2)*(1+MONTAGE!$E$4),1)</f>
        <v>0</v>
      </c>
      <c r="J100" s="110"/>
      <c r="K100" s="110"/>
      <c r="L100" s="110"/>
      <c r="N100" s="113"/>
    </row>
    <row r="101" spans="1:14" x14ac:dyDescent="0.2">
      <c r="A101" s="193"/>
      <c r="B101" s="193"/>
      <c r="C101" s="194"/>
      <c r="D101" s="195"/>
      <c r="E101" s="196"/>
      <c r="F101" s="197"/>
      <c r="G101" s="197"/>
      <c r="H101" s="197"/>
      <c r="I101" s="111">
        <f>ROUND((E101+F101*MONTAGE!$E$3+(G101+H101)*MONTAGE!$E$2)*(1+MONTAGE!$E$4),1)</f>
        <v>0</v>
      </c>
      <c r="J101" s="110"/>
      <c r="K101" s="110"/>
      <c r="L101" s="110"/>
      <c r="N101" s="113"/>
    </row>
    <row r="102" spans="1:14" x14ac:dyDescent="0.2">
      <c r="A102" s="193"/>
      <c r="B102" s="193"/>
      <c r="C102" s="194"/>
      <c r="D102" s="195"/>
      <c r="E102" s="196"/>
      <c r="F102" s="197"/>
      <c r="G102" s="197"/>
      <c r="H102" s="197"/>
      <c r="I102" s="111">
        <f>ROUND((E102+F102*MONTAGE!$E$3+(G102+H102)*MONTAGE!$E$2)*(1+MONTAGE!$E$4),1)</f>
        <v>0</v>
      </c>
      <c r="J102" s="110"/>
      <c r="K102" s="110"/>
      <c r="L102" s="110"/>
      <c r="N102" s="113"/>
    </row>
    <row r="103" spans="1:14" x14ac:dyDescent="0.2">
      <c r="A103" s="193"/>
      <c r="B103" s="193"/>
      <c r="C103" s="194"/>
      <c r="D103" s="195"/>
      <c r="E103" s="196"/>
      <c r="F103" s="197"/>
      <c r="G103" s="197"/>
      <c r="H103" s="197"/>
      <c r="I103" s="111">
        <f>ROUND((E103+F103*MONTAGE!$E$3+(G103+H103)*MONTAGE!$E$2)*(1+MONTAGE!$E$4),1)</f>
        <v>0</v>
      </c>
      <c r="J103" s="110"/>
      <c r="K103" s="110"/>
      <c r="L103" s="110"/>
      <c r="N103" s="113"/>
    </row>
    <row r="104" spans="1:14" x14ac:dyDescent="0.2">
      <c r="A104" s="193"/>
      <c r="B104" s="193"/>
      <c r="C104" s="194"/>
      <c r="D104" s="195"/>
      <c r="E104" s="196"/>
      <c r="F104" s="197"/>
      <c r="G104" s="197"/>
      <c r="H104" s="197"/>
      <c r="I104" s="111">
        <f>ROUND((E104+F104*MONTAGE!$E$3+(G104+H104)*MONTAGE!$E$2)*(1+MONTAGE!$E$4),1)</f>
        <v>0</v>
      </c>
      <c r="J104" s="110"/>
      <c r="K104" s="110"/>
      <c r="L104" s="110"/>
    </row>
    <row r="105" spans="1:14" x14ac:dyDescent="0.2">
      <c r="A105" s="193"/>
      <c r="B105" s="193"/>
      <c r="C105" s="194"/>
      <c r="D105" s="195"/>
      <c r="E105" s="196"/>
      <c r="F105" s="197"/>
      <c r="G105" s="197"/>
      <c r="H105" s="197"/>
      <c r="I105" s="111">
        <f>ROUND((E105+F105*MONTAGE!$E$3+(G105+H105)*MONTAGE!$E$2)*(1+MONTAGE!$E$4),1)</f>
        <v>0</v>
      </c>
      <c r="J105" s="110"/>
      <c r="K105" s="110"/>
      <c r="L105" s="110"/>
    </row>
    <row r="106" spans="1:14" x14ac:dyDescent="0.2">
      <c r="A106" s="193"/>
      <c r="B106" s="193"/>
      <c r="C106" s="194"/>
      <c r="D106" s="195"/>
      <c r="E106" s="196"/>
      <c r="F106" s="197"/>
      <c r="G106" s="197"/>
      <c r="H106" s="197"/>
      <c r="I106" s="111">
        <f>ROUND((E106+F106*MONTAGE!$E$3+(G106+H106)*MONTAGE!$E$2)*(1+MONTAGE!$E$4),1)</f>
        <v>0</v>
      </c>
      <c r="J106" s="110"/>
      <c r="K106" s="110"/>
      <c r="L106" s="110"/>
    </row>
    <row r="107" spans="1:14" x14ac:dyDescent="0.2">
      <c r="A107" s="193"/>
      <c r="B107" s="193"/>
      <c r="C107" s="194"/>
      <c r="D107" s="195"/>
      <c r="E107" s="196"/>
      <c r="F107" s="197"/>
      <c r="G107" s="197"/>
      <c r="H107" s="197"/>
      <c r="I107" s="111">
        <f>ROUND((E107+F107*MONTAGE!$E$3+(G107+H107)*MONTAGE!$E$2)*(1+MONTAGE!$E$4),1)</f>
        <v>0</v>
      </c>
      <c r="J107" s="110"/>
      <c r="K107" s="110"/>
      <c r="L107" s="110"/>
    </row>
    <row r="108" spans="1:14" x14ac:dyDescent="0.2">
      <c r="A108" s="193"/>
      <c r="B108" s="193"/>
      <c r="C108" s="194"/>
      <c r="D108" s="195"/>
      <c r="E108" s="196"/>
      <c r="F108" s="197"/>
      <c r="G108" s="197"/>
      <c r="H108" s="197"/>
      <c r="I108" s="111">
        <f>ROUND((E108+F108*MONTAGE!$E$3+(G108+H108)*MONTAGE!$E$2)*(1+MONTAGE!$E$4),1)</f>
        <v>0</v>
      </c>
      <c r="J108" s="110"/>
      <c r="K108" s="110"/>
      <c r="L108" s="110"/>
    </row>
    <row r="109" spans="1:14" x14ac:dyDescent="0.2">
      <c r="A109" s="193"/>
      <c r="B109" s="193"/>
      <c r="C109" s="194"/>
      <c r="D109" s="195"/>
      <c r="E109" s="196"/>
      <c r="F109" s="197"/>
      <c r="G109" s="197"/>
      <c r="H109" s="197"/>
      <c r="I109" s="111">
        <f>ROUND((E109+F109*MONTAGE!$E$3+(G109+H109)*MONTAGE!$E$2)*(1+MONTAGE!$E$4),1)</f>
        <v>0</v>
      </c>
      <c r="J109" s="110"/>
      <c r="K109" s="110"/>
      <c r="L109" s="110"/>
    </row>
    <row r="110" spans="1:14" x14ac:dyDescent="0.2">
      <c r="A110" s="193"/>
      <c r="B110" s="193"/>
      <c r="C110" s="194"/>
      <c r="D110" s="195"/>
      <c r="E110" s="196"/>
      <c r="F110" s="197"/>
      <c r="G110" s="197"/>
      <c r="H110" s="197"/>
      <c r="I110" s="111">
        <f>ROUND((E110+F110*MONTAGE!$E$3+(G110+H110)*MONTAGE!$E$2)*(1+MONTAGE!$E$4),1)</f>
        <v>0</v>
      </c>
      <c r="J110" s="110"/>
      <c r="K110" s="110"/>
      <c r="L110" s="110"/>
    </row>
    <row r="111" spans="1:14" x14ac:dyDescent="0.2">
      <c r="A111" s="193"/>
      <c r="B111" s="193"/>
      <c r="C111" s="194"/>
      <c r="D111" s="195"/>
      <c r="E111" s="196"/>
      <c r="F111" s="197"/>
      <c r="G111" s="197"/>
      <c r="H111" s="197"/>
      <c r="I111" s="111">
        <f>ROUND((E111+F111*MONTAGE!$E$3+(G111+H111)*MONTAGE!$E$2)*(1+MONTAGE!$E$4),1)</f>
        <v>0</v>
      </c>
      <c r="J111" s="110"/>
      <c r="K111" s="110"/>
      <c r="L111" s="110"/>
    </row>
    <row r="112" spans="1:14" x14ac:dyDescent="0.2">
      <c r="A112" s="193"/>
      <c r="B112" s="193"/>
      <c r="C112" s="194"/>
      <c r="D112" s="195"/>
      <c r="E112" s="196"/>
      <c r="F112" s="197"/>
      <c r="G112" s="197"/>
      <c r="H112" s="197"/>
      <c r="I112" s="111">
        <f>ROUND((E112+F112*MONTAGE!$E$3+(G112+H112)*MONTAGE!$E$2)*(1+MONTAGE!$E$4),1)</f>
        <v>0</v>
      </c>
      <c r="J112" s="110"/>
      <c r="K112" s="110"/>
      <c r="L112" s="110"/>
    </row>
    <row r="113" spans="1:14" x14ac:dyDescent="0.2">
      <c r="A113" s="193"/>
      <c r="B113" s="193"/>
      <c r="C113" s="194"/>
      <c r="D113" s="195"/>
      <c r="E113" s="196"/>
      <c r="F113" s="197"/>
      <c r="G113" s="197"/>
      <c r="H113" s="197"/>
      <c r="I113" s="111">
        <f>ROUND((E113+F113*MONTAGE!$E$3+(G113+H113)*MONTAGE!$E$2)*(1+MONTAGE!$E$4),1)</f>
        <v>0</v>
      </c>
      <c r="J113" s="110"/>
      <c r="K113" s="110"/>
      <c r="L113" s="110"/>
    </row>
    <row r="114" spans="1:14" x14ac:dyDescent="0.2">
      <c r="A114" s="193"/>
      <c r="B114" s="193"/>
      <c r="C114" s="194"/>
      <c r="D114" s="195"/>
      <c r="E114" s="196"/>
      <c r="F114" s="197"/>
      <c r="G114" s="197"/>
      <c r="H114" s="197"/>
      <c r="I114" s="111">
        <f>ROUND((E114+F114*MONTAGE!$E$3+(G114+H114)*MONTAGE!$E$2)*(1+MONTAGE!$E$4),1)</f>
        <v>0</v>
      </c>
      <c r="J114" s="110"/>
      <c r="K114" s="110"/>
      <c r="L114" s="110"/>
      <c r="N114" s="113"/>
    </row>
    <row r="115" spans="1:14" x14ac:dyDescent="0.2">
      <c r="A115" s="193"/>
      <c r="B115" s="193"/>
      <c r="C115" s="194"/>
      <c r="D115" s="195"/>
      <c r="E115" s="196"/>
      <c r="F115" s="197"/>
      <c r="G115" s="197"/>
      <c r="H115" s="197"/>
      <c r="I115" s="111">
        <f>ROUND((E115+F115*MONTAGE!$E$3+(G115+H115)*MONTAGE!$E$2)*(1+MONTAGE!$E$4),1)</f>
        <v>0</v>
      </c>
      <c r="J115" s="110"/>
      <c r="K115" s="110"/>
      <c r="L115" s="110"/>
      <c r="N115" s="113"/>
    </row>
    <row r="116" spans="1:14" x14ac:dyDescent="0.2">
      <c r="A116" s="193"/>
      <c r="B116" s="193"/>
      <c r="C116" s="194"/>
      <c r="D116" s="195"/>
      <c r="E116" s="196"/>
      <c r="F116" s="197"/>
      <c r="G116" s="197"/>
      <c r="H116" s="197"/>
      <c r="I116" s="111">
        <f>ROUND((E116+F116*MONTAGE!$E$3+(G116+H116)*MONTAGE!$E$2)*(1+MONTAGE!$E$4),1)</f>
        <v>0</v>
      </c>
      <c r="J116" s="110"/>
      <c r="K116" s="110"/>
      <c r="L116" s="110"/>
      <c r="N116" s="113"/>
    </row>
    <row r="117" spans="1:14" x14ac:dyDescent="0.2">
      <c r="A117" s="193"/>
      <c r="B117" s="193"/>
      <c r="C117" s="194"/>
      <c r="D117" s="195"/>
      <c r="E117" s="196"/>
      <c r="F117" s="197"/>
      <c r="G117" s="197"/>
      <c r="H117" s="197"/>
      <c r="I117" s="111">
        <f>ROUND((E117+F117*MONTAGE!$E$3+(G117+H117)*MONTAGE!$E$2)*(1+MONTAGE!$E$4),1)</f>
        <v>0</v>
      </c>
      <c r="J117" s="110"/>
      <c r="K117" s="110"/>
      <c r="L117" s="110"/>
      <c r="N117" s="113"/>
    </row>
    <row r="118" spans="1:14" x14ac:dyDescent="0.2">
      <c r="A118" s="193"/>
      <c r="B118" s="193"/>
      <c r="C118" s="194"/>
      <c r="D118" s="195"/>
      <c r="E118" s="196"/>
      <c r="F118" s="197"/>
      <c r="G118" s="197"/>
      <c r="H118" s="197"/>
      <c r="I118" s="111">
        <f>ROUND((E118+F118*MONTAGE!$E$3+(G118+H118)*MONTAGE!$E$2)*(1+MONTAGE!$E$4),1)</f>
        <v>0</v>
      </c>
      <c r="J118" s="110"/>
      <c r="K118" s="110"/>
      <c r="L118" s="110"/>
      <c r="N118" s="113"/>
    </row>
    <row r="119" spans="1:14" x14ac:dyDescent="0.2">
      <c r="A119" s="193"/>
      <c r="B119" s="193"/>
      <c r="C119" s="194"/>
      <c r="D119" s="195"/>
      <c r="E119" s="196"/>
      <c r="F119" s="197"/>
      <c r="G119" s="197"/>
      <c r="H119" s="197"/>
      <c r="I119" s="111">
        <f>ROUND((E119+F119*MONTAGE!$E$3+(G119+H119)*MONTAGE!$E$2)*(1+MONTAGE!$E$4),1)</f>
        <v>0</v>
      </c>
      <c r="J119" s="110"/>
      <c r="K119" s="110"/>
      <c r="L119" s="110"/>
      <c r="N119" s="113"/>
    </row>
    <row r="120" spans="1:14" x14ac:dyDescent="0.2">
      <c r="A120" s="193"/>
      <c r="B120" s="193"/>
      <c r="C120" s="194"/>
      <c r="D120" s="195"/>
      <c r="E120" s="196"/>
      <c r="F120" s="197"/>
      <c r="G120" s="197"/>
      <c r="H120" s="197"/>
      <c r="I120" s="111">
        <f>ROUND((E120+F120*MONTAGE!$E$3+(G120+H120)*MONTAGE!$E$2)*(1+MONTAGE!$E$4),1)</f>
        <v>0</v>
      </c>
      <c r="J120" s="110"/>
      <c r="K120" s="110"/>
      <c r="L120" s="110"/>
      <c r="N120" s="113"/>
    </row>
    <row r="121" spans="1:14" x14ac:dyDescent="0.2">
      <c r="A121" s="193"/>
      <c r="B121" s="193"/>
      <c r="C121" s="194"/>
      <c r="D121" s="195"/>
      <c r="E121" s="196"/>
      <c r="F121" s="197"/>
      <c r="G121" s="197"/>
      <c r="H121" s="197"/>
      <c r="I121" s="111">
        <f>ROUND((E121+F121*MONTAGE!$E$3+(G121+H121)*MONTAGE!$E$2)*(1+MONTAGE!$E$4),1)</f>
        <v>0</v>
      </c>
      <c r="J121" s="110"/>
      <c r="K121" s="110"/>
      <c r="L121" s="110"/>
      <c r="N121" s="113"/>
    </row>
    <row r="122" spans="1:14" x14ac:dyDescent="0.2">
      <c r="A122" s="193"/>
      <c r="B122" s="193"/>
      <c r="C122" s="194"/>
      <c r="D122" s="195"/>
      <c r="E122" s="196"/>
      <c r="F122" s="197"/>
      <c r="G122" s="197"/>
      <c r="H122" s="197"/>
      <c r="I122" s="111">
        <f>ROUND((E122+F122*MONTAGE!$E$3+(G122+H122)*MONTAGE!$E$2)*(1+MONTAGE!$E$4),1)</f>
        <v>0</v>
      </c>
      <c r="J122" s="110"/>
      <c r="K122" s="110"/>
      <c r="L122" s="110"/>
      <c r="N122" s="113"/>
    </row>
    <row r="123" spans="1:14" x14ac:dyDescent="0.2">
      <c r="A123" s="193"/>
      <c r="B123" s="193"/>
      <c r="C123" s="194"/>
      <c r="D123" s="195"/>
      <c r="E123" s="196"/>
      <c r="F123" s="197"/>
      <c r="G123" s="197"/>
      <c r="H123" s="197"/>
      <c r="I123" s="111">
        <f>ROUND((E123+F123*MONTAGE!$E$3+(G123+H123)*MONTAGE!$E$2)*(1+MONTAGE!$E$4),1)</f>
        <v>0</v>
      </c>
      <c r="J123" s="110"/>
      <c r="K123" s="110"/>
      <c r="L123" s="110"/>
      <c r="N123" s="113"/>
    </row>
    <row r="124" spans="1:14" x14ac:dyDescent="0.2">
      <c r="A124" s="193"/>
      <c r="B124" s="193"/>
      <c r="C124" s="194"/>
      <c r="D124" s="195"/>
      <c r="E124" s="196"/>
      <c r="F124" s="197"/>
      <c r="G124" s="197"/>
      <c r="H124" s="197"/>
      <c r="I124" s="111">
        <f>ROUND((E124+F124*MONTAGE!$E$3+(G124+H124)*MONTAGE!$E$2)*(1+MONTAGE!$E$4),1)</f>
        <v>0</v>
      </c>
      <c r="J124" s="110"/>
      <c r="K124" s="110"/>
      <c r="L124" s="110"/>
      <c r="N124" s="113"/>
    </row>
    <row r="125" spans="1:14" x14ac:dyDescent="0.2">
      <c r="A125" s="193"/>
      <c r="B125" s="193"/>
      <c r="C125" s="194"/>
      <c r="D125" s="195"/>
      <c r="E125" s="196"/>
      <c r="F125" s="197"/>
      <c r="G125" s="197"/>
      <c r="H125" s="197"/>
      <c r="I125" s="111">
        <f>ROUND((E125+F125*MONTAGE!$E$3+(G125+H125)*MONTAGE!$E$2)*(1+MONTAGE!$E$4),1)</f>
        <v>0</v>
      </c>
      <c r="J125" s="110"/>
      <c r="K125" s="110"/>
      <c r="L125" s="110"/>
    </row>
    <row r="126" spans="1:14" x14ac:dyDescent="0.2">
      <c r="A126" s="193"/>
      <c r="B126" s="193"/>
      <c r="C126" s="194"/>
      <c r="D126" s="195"/>
      <c r="E126" s="196"/>
      <c r="F126" s="197"/>
      <c r="G126" s="197"/>
      <c r="H126" s="197"/>
      <c r="I126" s="111">
        <f>ROUND((E126+F126*MONTAGE!$E$3+(G126+H126)*MONTAGE!$E$2)*(1+MONTAGE!$E$4),1)</f>
        <v>0</v>
      </c>
      <c r="J126" s="110"/>
      <c r="K126" s="110"/>
      <c r="L126" s="110"/>
    </row>
    <row r="127" spans="1:14" x14ac:dyDescent="0.2">
      <c r="A127" s="193"/>
      <c r="B127" s="193"/>
      <c r="C127" s="194"/>
      <c r="D127" s="195"/>
      <c r="E127" s="196"/>
      <c r="F127" s="197"/>
      <c r="G127" s="197"/>
      <c r="H127" s="197"/>
      <c r="I127" s="111">
        <f>ROUND((E127+F127*MONTAGE!$E$3+(G127+H127)*MONTAGE!$E$2)*(1+MONTAGE!$E$4),1)</f>
        <v>0</v>
      </c>
      <c r="J127" s="110"/>
      <c r="K127" s="110"/>
      <c r="L127" s="110"/>
    </row>
    <row r="128" spans="1:14" x14ac:dyDescent="0.2">
      <c r="A128" s="193"/>
      <c r="B128" s="193"/>
      <c r="C128" s="194"/>
      <c r="D128" s="195"/>
      <c r="E128" s="196"/>
      <c r="F128" s="197"/>
      <c r="G128" s="197"/>
      <c r="H128" s="197"/>
      <c r="I128" s="111">
        <f>ROUND((E128+F128*MONTAGE!$E$3+(G128+H128)*MONTAGE!$E$2)*(1+MONTAGE!$E$4),1)</f>
        <v>0</v>
      </c>
      <c r="J128" s="110"/>
      <c r="K128" s="110"/>
      <c r="L128" s="110"/>
    </row>
    <row r="129" spans="1:12" x14ac:dyDescent="0.2">
      <c r="A129" s="193"/>
      <c r="B129" s="193"/>
      <c r="C129" s="194"/>
      <c r="D129" s="195"/>
      <c r="E129" s="196"/>
      <c r="F129" s="197"/>
      <c r="G129" s="197"/>
      <c r="H129" s="197"/>
      <c r="I129" s="111">
        <f>ROUND((E129+F129*MONTAGE!$E$3+(G129+H129)*MONTAGE!$E$2)*(1+MONTAGE!$E$4),1)</f>
        <v>0</v>
      </c>
      <c r="J129" s="110"/>
      <c r="K129" s="110"/>
      <c r="L129" s="110"/>
    </row>
    <row r="130" spans="1:12" x14ac:dyDescent="0.2">
      <c r="A130" s="193"/>
      <c r="B130" s="193"/>
      <c r="C130" s="194"/>
      <c r="D130" s="195"/>
      <c r="E130" s="196"/>
      <c r="F130" s="197"/>
      <c r="G130" s="197"/>
      <c r="H130" s="197"/>
      <c r="I130" s="111">
        <f>ROUND((E130+F130*MONTAGE!$E$3+(G130+H130)*MONTAGE!$E$2)*(1+MONTAGE!$E$4),1)</f>
        <v>0</v>
      </c>
      <c r="J130" s="110"/>
      <c r="K130" s="110"/>
      <c r="L130" s="110"/>
    </row>
    <row r="131" spans="1:12" x14ac:dyDescent="0.2">
      <c r="A131" s="193"/>
      <c r="B131" s="193"/>
      <c r="C131" s="194"/>
      <c r="D131" s="195"/>
      <c r="E131" s="196"/>
      <c r="F131" s="197"/>
      <c r="G131" s="197"/>
      <c r="H131" s="197"/>
      <c r="I131" s="111">
        <f>ROUND((E131+F131*MONTAGE!$E$3+(G131+H131)*MONTAGE!$E$2)*(1+MONTAGE!$E$4),1)</f>
        <v>0</v>
      </c>
      <c r="J131" s="110"/>
      <c r="K131" s="110"/>
      <c r="L131" s="110"/>
    </row>
    <row r="132" spans="1:12" x14ac:dyDescent="0.2">
      <c r="A132" s="193"/>
      <c r="B132" s="193"/>
      <c r="C132" s="194"/>
      <c r="D132" s="195"/>
      <c r="E132" s="196"/>
      <c r="F132" s="197"/>
      <c r="G132" s="197"/>
      <c r="H132" s="197"/>
      <c r="I132" s="111">
        <f>ROUND((E132+F132*MONTAGE!$E$3+(G132+H132)*MONTAGE!$E$2)*(1+MONTAGE!$E$4),1)</f>
        <v>0</v>
      </c>
      <c r="J132" s="110"/>
      <c r="K132" s="110"/>
      <c r="L132" s="110"/>
    </row>
    <row r="133" spans="1:12" x14ac:dyDescent="0.2">
      <c r="A133" s="193"/>
      <c r="B133" s="193"/>
      <c r="C133" s="194"/>
      <c r="D133" s="195"/>
      <c r="E133" s="196"/>
      <c r="F133" s="197"/>
      <c r="G133" s="197"/>
      <c r="H133" s="197"/>
      <c r="I133" s="111">
        <f>ROUND((E133+F133*MONTAGE!$E$3+(G133+H133)*MONTAGE!$E$2)*(1+MONTAGE!$E$4),1)</f>
        <v>0</v>
      </c>
      <c r="J133" s="110"/>
      <c r="K133" s="110"/>
      <c r="L133" s="110"/>
    </row>
    <row r="134" spans="1:12" x14ac:dyDescent="0.2">
      <c r="A134" s="193"/>
      <c r="B134" s="193"/>
      <c r="C134" s="194"/>
      <c r="D134" s="195"/>
      <c r="E134" s="196"/>
      <c r="F134" s="197"/>
      <c r="G134" s="197"/>
      <c r="H134" s="197"/>
      <c r="I134" s="111">
        <f>ROUND((E134+F134*MONTAGE!$E$3+(G134+H134)*MONTAGE!$E$2)*(1+MONTAGE!$E$4),1)</f>
        <v>0</v>
      </c>
      <c r="J134" s="110"/>
      <c r="K134" s="110"/>
      <c r="L134" s="110"/>
    </row>
  </sheetData>
  <sheetProtection password="D424" sheet="1" formatRows="0"/>
  <phoneticPr fontId="0" type="noConversion"/>
  <pageMargins left="0.70866141732283472" right="0.70866141732283472" top="0.78740157480314965" bottom="0.78740157480314965" header="0.31496062992125984" footer="0.31496062992125984"/>
  <pageSetup paperSize="9" scale="82" orientation="landscape" r:id="rId1"/>
  <headerFooter>
    <oddFooter>&amp;L&amp;D&amp;C&amp;Z&amp;F&amp;RSeite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2:H97"/>
  <sheetViews>
    <sheetView showZeros="0" zoomScaleNormal="100" workbookViewId="0"/>
  </sheetViews>
  <sheetFormatPr defaultColWidth="11.42578125" defaultRowHeight="12.75" x14ac:dyDescent="0.2"/>
  <cols>
    <col min="1" max="1" width="3.7109375" style="57" customWidth="1"/>
    <col min="2" max="2" width="5.42578125" style="1" customWidth="1"/>
    <col min="3" max="3" width="52" style="1" customWidth="1"/>
    <col min="4" max="4" width="8" style="1" customWidth="1"/>
    <col min="5" max="5" width="14.7109375" style="1" customWidth="1"/>
    <col min="6" max="6" width="13.28515625" style="1" customWidth="1"/>
    <col min="7" max="16384" width="11.42578125" style="1"/>
  </cols>
  <sheetData>
    <row r="2" spans="1:6" x14ac:dyDescent="0.2">
      <c r="B2" s="167"/>
    </row>
    <row r="3" spans="1:6" s="101" customFormat="1" x14ac:dyDescent="0.2">
      <c r="A3" s="81"/>
      <c r="B3" s="2" t="str">
        <f>Sprache!D1</f>
        <v>Company… (please adapt in Sprache D1)</v>
      </c>
      <c r="C3" s="168"/>
      <c r="D3" s="168"/>
      <c r="E3" s="168"/>
      <c r="F3" s="168"/>
    </row>
    <row r="6" spans="1:6" x14ac:dyDescent="0.2">
      <c r="B6" s="468" t="str">
        <f>VZ!B6:F6</f>
        <v/>
      </c>
      <c r="C6" s="468"/>
      <c r="D6" s="468"/>
      <c r="E6" s="468"/>
      <c r="F6" s="468"/>
    </row>
    <row r="7" spans="1:6" s="103" customFormat="1" ht="280.5" x14ac:dyDescent="0.2">
      <c r="A7" s="102"/>
      <c r="B7" s="7"/>
      <c r="C7" s="190" t="str">
        <f>IF(ELEMENT!AG47&gt;0,CONCATENATE("
",IF(ELEMENT!AH4=1,Sprache!B5,
IF(ELEMENT!AH4=2,Sprache!B6,
Sprache!B7)),"
"),"")</f>
        <v xml:space="preserve">
Description for Sky-Frame 2:
“frameless insulated sliding windows" 
Thermally insulated circumferential aluminium profile with a profile depth of 110/170mm (2/3 track). 
Elevation width of frame 45mm, staggered on 29/16mm (vertical and top), 95mm, staggered 29/66mm (bottom). Sliding windows recessed in frame with insulating glass, thickness 30mm. 
Visible mullion width: from 20mm
Middle openings: 34mm or 80mm depending on version.
Seal: brush seals with membran between frame and door.
Fittings: system lock with multi-point locking mechanism.
Finish: standard version: standard plain anodized
The element items include the window with surrounding connecting joint, but exclude the substructure and the connecting plates. Otherwise these are shown in the separate items.
</v>
      </c>
      <c r="D7" s="7"/>
    </row>
    <row r="8" spans="1:6" x14ac:dyDescent="0.2">
      <c r="B8" s="69" t="str">
        <f>VZ!$B$8</f>
        <v>item</v>
      </c>
      <c r="C8" s="70" t="str">
        <f>VZ!$C$8</f>
        <v>text</v>
      </c>
      <c r="D8" s="70" t="str">
        <f>VZ!$D$8</f>
        <v>unit</v>
      </c>
      <c r="E8" s="71" t="str">
        <f>VZ!$E$8</f>
        <v xml:space="preserve">USD/unit </v>
      </c>
      <c r="F8" s="71" t="str">
        <f>VZ!$F$8</f>
        <v>total USD</v>
      </c>
    </row>
    <row r="9" spans="1:6" s="5" customFormat="1" hidden="1" x14ac:dyDescent="0.2">
      <c r="A9" s="471"/>
      <c r="B9" s="72">
        <f>VZ!B9</f>
        <v>0</v>
      </c>
      <c r="C9" s="73" t="str">
        <f>ELEMENT!AH5</f>
        <v/>
      </c>
      <c r="D9" s="74"/>
      <c r="E9" s="75"/>
      <c r="F9" s="75"/>
    </row>
    <row r="10" spans="1:6" s="5" customFormat="1" ht="51" hidden="1" x14ac:dyDescent="0.2">
      <c r="A10" s="471"/>
      <c r="B10" s="76"/>
      <c r="C10" s="77" t="str">
        <f ca="1">VZ!C9</f>
        <v>o/a frame size: 0 x 0mm  
(0' 0" x 0' 0")
2-tracks double glazed,  0 # of panel
0</v>
      </c>
      <c r="D10" s="78" t="str">
        <f ca="1">IF(E10=0,"",VZ!D9)</f>
        <v/>
      </c>
      <c r="E10" s="79">
        <f ca="1">VZ!E9</f>
        <v>0</v>
      </c>
      <c r="F10" s="79">
        <f ca="1">VZ!F9</f>
        <v>0</v>
      </c>
    </row>
    <row r="11" spans="1:6" s="5" customFormat="1" hidden="1" x14ac:dyDescent="0.2">
      <c r="A11" s="471"/>
      <c r="B11" s="72">
        <f>VZ!B10</f>
        <v>0</v>
      </c>
      <c r="C11" s="73" t="str">
        <f>ELEMENT!AH6</f>
        <v/>
      </c>
      <c r="D11" s="75"/>
      <c r="E11" s="75"/>
      <c r="F11" s="75"/>
    </row>
    <row r="12" spans="1:6" s="5" customFormat="1" ht="51" hidden="1" x14ac:dyDescent="0.2">
      <c r="A12" s="471"/>
      <c r="B12" s="80" t="s">
        <v>150</v>
      </c>
      <c r="C12" s="77" t="str">
        <f ca="1">VZ!C10</f>
        <v>o/a frame size: 0 x 0mm  
(0' 0" x 0' 0")
2-tracks double glazed,  0 # of panel
0</v>
      </c>
      <c r="D12" s="78" t="str">
        <f ca="1">IF(E12=0,"",VZ!D10)</f>
        <v/>
      </c>
      <c r="E12" s="79">
        <f ca="1">VZ!E10</f>
        <v>0</v>
      </c>
      <c r="F12" s="79">
        <f ca="1">VZ!F10</f>
        <v>0</v>
      </c>
    </row>
    <row r="13" spans="1:6" s="5" customFormat="1" hidden="1" x14ac:dyDescent="0.2">
      <c r="A13" s="470"/>
      <c r="B13" s="72">
        <f>VZ!B11</f>
        <v>0</v>
      </c>
      <c r="C13" s="73" t="str">
        <f>ELEMENT!AH7</f>
        <v/>
      </c>
      <c r="D13" s="75"/>
      <c r="E13" s="75"/>
      <c r="F13" s="75"/>
    </row>
    <row r="14" spans="1:6" s="5" customFormat="1" ht="51" hidden="1" x14ac:dyDescent="0.2">
      <c r="A14" s="470"/>
      <c r="B14" s="80" t="s">
        <v>150</v>
      </c>
      <c r="C14" s="77" t="str">
        <f ca="1">VZ!C11</f>
        <v>o/a frame size: 0 x 0mm  
(0' 0" x 0' 0")
2-tracks double glazed,  0 # of panel
0</v>
      </c>
      <c r="D14" s="78" t="str">
        <f ca="1">IF(E14=0,"",VZ!D11)</f>
        <v/>
      </c>
      <c r="E14" s="79">
        <f ca="1">VZ!E11</f>
        <v>0</v>
      </c>
      <c r="F14" s="79">
        <f ca="1">VZ!F11</f>
        <v>0</v>
      </c>
    </row>
    <row r="15" spans="1:6" s="5" customFormat="1" hidden="1" x14ac:dyDescent="0.2">
      <c r="A15" s="470"/>
      <c r="B15" s="72">
        <f>VZ!B12</f>
        <v>0</v>
      </c>
      <c r="C15" s="73" t="str">
        <f>ELEMENT!AH8</f>
        <v/>
      </c>
      <c r="D15" s="75"/>
      <c r="E15" s="75"/>
      <c r="F15" s="75"/>
    </row>
    <row r="16" spans="1:6" s="5" customFormat="1" ht="51" hidden="1" x14ac:dyDescent="0.2">
      <c r="A16" s="470"/>
      <c r="B16" s="80" t="s">
        <v>150</v>
      </c>
      <c r="C16" s="77" t="str">
        <f ca="1">VZ!C12</f>
        <v>o/a frame size: 0 x 0mm  
(0' 0" x 0' 0")
2-tracks double glazed,  0 # of panel
0</v>
      </c>
      <c r="D16" s="78" t="str">
        <f ca="1">IF(E16=0,"",VZ!D12)</f>
        <v/>
      </c>
      <c r="E16" s="79">
        <f ca="1">VZ!E12</f>
        <v>0</v>
      </c>
      <c r="F16" s="79">
        <f ca="1">VZ!F12</f>
        <v>0</v>
      </c>
    </row>
    <row r="17" spans="1:6" s="5" customFormat="1" hidden="1" x14ac:dyDescent="0.2">
      <c r="A17" s="469"/>
      <c r="B17" s="72">
        <f>VZ!B13</f>
        <v>0</v>
      </c>
      <c r="C17" s="73" t="str">
        <f>ELEMENT!AH9</f>
        <v/>
      </c>
      <c r="D17" s="75"/>
      <c r="E17" s="75"/>
      <c r="F17" s="75"/>
    </row>
    <row r="18" spans="1:6" s="5" customFormat="1" ht="51" hidden="1" x14ac:dyDescent="0.2">
      <c r="A18" s="469"/>
      <c r="B18" s="80"/>
      <c r="C18" s="77" t="str">
        <f ca="1">VZ!C13</f>
        <v>o/a frame size: 0 x 0mm  
(0' 0" x 0' 0")
2-tracks double glazed,  0 # of panel
0</v>
      </c>
      <c r="D18" s="78" t="str">
        <f ca="1">IF(E18=0,"",VZ!D13)</f>
        <v/>
      </c>
      <c r="E18" s="79">
        <f ca="1">VZ!E13</f>
        <v>0</v>
      </c>
      <c r="F18" s="79">
        <f ca="1">VZ!F13</f>
        <v>0</v>
      </c>
    </row>
    <row r="19" spans="1:6" s="5" customFormat="1" hidden="1" x14ac:dyDescent="0.2">
      <c r="A19" s="471"/>
      <c r="B19" s="72">
        <f>VZ!B14</f>
        <v>0</v>
      </c>
      <c r="C19" s="73" t="str">
        <f>ELEMENT!AH10</f>
        <v/>
      </c>
      <c r="D19" s="75"/>
      <c r="E19" s="75"/>
      <c r="F19" s="75"/>
    </row>
    <row r="20" spans="1:6" s="5" customFormat="1" ht="51" hidden="1" x14ac:dyDescent="0.2">
      <c r="A20" s="471"/>
      <c r="B20" s="80"/>
      <c r="C20" s="77" t="str">
        <f ca="1">VZ!C14</f>
        <v>o/a frame size: 0 x 0mm  
(0' 0" x 0' 0")
2-tracks double glazed,  0 # of panel
0</v>
      </c>
      <c r="D20" s="78" t="str">
        <f ca="1">IF(E20=0,"",VZ!D14)</f>
        <v/>
      </c>
      <c r="E20" s="79">
        <f ca="1">VZ!E14</f>
        <v>0</v>
      </c>
      <c r="F20" s="79">
        <f ca="1">VZ!F14</f>
        <v>0</v>
      </c>
    </row>
    <row r="21" spans="1:6" s="5" customFormat="1" hidden="1" x14ac:dyDescent="0.2">
      <c r="A21" s="471"/>
      <c r="B21" s="72">
        <f>VZ!B15</f>
        <v>0</v>
      </c>
      <c r="C21" s="73" t="str">
        <f>ELEMENT!AH11</f>
        <v/>
      </c>
      <c r="D21" s="75"/>
      <c r="E21" s="75"/>
      <c r="F21" s="75"/>
    </row>
    <row r="22" spans="1:6" s="5" customFormat="1" ht="51" hidden="1" x14ac:dyDescent="0.2">
      <c r="A22" s="471"/>
      <c r="B22" s="80"/>
      <c r="C22" s="77" t="str">
        <f ca="1">VZ!C15</f>
        <v>o/a frame size: 0 x 0mm  
(0' 0" x 0' 0")
2-tracks double glazed,  0 # of panel
0</v>
      </c>
      <c r="D22" s="78" t="str">
        <f ca="1">IF(E22=0,"",VZ!D15)</f>
        <v/>
      </c>
      <c r="E22" s="79">
        <f ca="1">VZ!E15</f>
        <v>0</v>
      </c>
      <c r="F22" s="79">
        <f ca="1">VZ!F15</f>
        <v>0</v>
      </c>
    </row>
    <row r="23" spans="1:6" s="5" customFormat="1" hidden="1" x14ac:dyDescent="0.2">
      <c r="A23" s="471"/>
      <c r="B23" s="72">
        <f>VZ!B16</f>
        <v>0</v>
      </c>
      <c r="C23" s="73" t="str">
        <f>ELEMENT!AH12</f>
        <v/>
      </c>
      <c r="D23" s="75"/>
      <c r="E23" s="75"/>
      <c r="F23" s="75"/>
    </row>
    <row r="24" spans="1:6" s="5" customFormat="1" ht="51" hidden="1" x14ac:dyDescent="0.2">
      <c r="A24" s="471"/>
      <c r="B24" s="80"/>
      <c r="C24" s="77" t="str">
        <f ca="1">VZ!C16</f>
        <v>o/a frame size: 0 x 0mm  
(0' 0" x 0' 0")
2-tracks double glazed,  0 # of panel
0</v>
      </c>
      <c r="D24" s="78" t="str">
        <f ca="1">IF(E24=0,"",VZ!D16)</f>
        <v/>
      </c>
      <c r="E24" s="79">
        <f ca="1">VZ!E16</f>
        <v>0</v>
      </c>
      <c r="F24" s="79">
        <f ca="1">VZ!F16</f>
        <v>0</v>
      </c>
    </row>
    <row r="25" spans="1:6" s="5" customFormat="1" hidden="1" x14ac:dyDescent="0.2">
      <c r="A25" s="471"/>
      <c r="B25" s="72">
        <f>VZ!B17</f>
        <v>0</v>
      </c>
      <c r="C25" s="73" t="str">
        <f>ELEMENT!AH13</f>
        <v/>
      </c>
      <c r="D25" s="75"/>
      <c r="E25" s="75"/>
      <c r="F25" s="75"/>
    </row>
    <row r="26" spans="1:6" s="5" customFormat="1" ht="51" hidden="1" x14ac:dyDescent="0.2">
      <c r="A26" s="471"/>
      <c r="B26" s="80"/>
      <c r="C26" s="77" t="str">
        <f ca="1">VZ!C17</f>
        <v>o/a frame size: 0 x 0mm  
(0' 0" x 0' 0")
2-tracks double glazed,  0 # of panel
0</v>
      </c>
      <c r="D26" s="78" t="str">
        <f ca="1">IF(E26=0,"",VZ!D17)</f>
        <v/>
      </c>
      <c r="E26" s="79">
        <f ca="1">VZ!E17</f>
        <v>0</v>
      </c>
      <c r="F26" s="79">
        <f ca="1">VZ!F17</f>
        <v>0</v>
      </c>
    </row>
    <row r="27" spans="1:6" s="5" customFormat="1" hidden="1" x14ac:dyDescent="0.2">
      <c r="A27" s="471"/>
      <c r="B27" s="72">
        <f>VZ!B18</f>
        <v>0</v>
      </c>
      <c r="C27" s="73" t="str">
        <f>ELEMENT!AH14</f>
        <v/>
      </c>
      <c r="D27" s="75"/>
      <c r="E27" s="75"/>
      <c r="F27" s="75"/>
    </row>
    <row r="28" spans="1:6" s="5" customFormat="1" ht="51" hidden="1" x14ac:dyDescent="0.2">
      <c r="A28" s="471"/>
      <c r="B28" s="80"/>
      <c r="C28" s="77" t="str">
        <f ca="1">VZ!C18</f>
        <v>o/a frame size: 0 x 0mm  
(0' 0" x 0' 0")
2-tracks double glazed,  0 # of panel
0</v>
      </c>
      <c r="D28" s="78" t="str">
        <f ca="1">IF(E28=0,"",VZ!D18)</f>
        <v/>
      </c>
      <c r="E28" s="79">
        <f ca="1">VZ!E18</f>
        <v>0</v>
      </c>
      <c r="F28" s="79">
        <f ca="1">VZ!F18</f>
        <v>0</v>
      </c>
    </row>
    <row r="29" spans="1:6" s="5" customFormat="1" hidden="1" x14ac:dyDescent="0.2">
      <c r="A29" s="471"/>
      <c r="B29" s="72">
        <f>VZ!B19</f>
        <v>0</v>
      </c>
      <c r="C29" s="73" t="str">
        <f>ELEMENT!AH15</f>
        <v/>
      </c>
      <c r="D29" s="75"/>
      <c r="E29" s="75"/>
      <c r="F29" s="75"/>
    </row>
    <row r="30" spans="1:6" s="5" customFormat="1" ht="51" hidden="1" x14ac:dyDescent="0.2">
      <c r="A30" s="471"/>
      <c r="B30" s="80"/>
      <c r="C30" s="77" t="str">
        <f ca="1">VZ!C19</f>
        <v>o/a frame size: 0 x 0mm  
(0' 0" x 0' 0")
2-tracks double glazed,  0 # of panel
0</v>
      </c>
      <c r="D30" s="78" t="str">
        <f ca="1">IF(E30=0,"",VZ!D19)</f>
        <v/>
      </c>
      <c r="E30" s="79">
        <f ca="1">VZ!E19</f>
        <v>0</v>
      </c>
      <c r="F30" s="79">
        <f ca="1">VZ!F19</f>
        <v>0</v>
      </c>
    </row>
    <row r="31" spans="1:6" s="5" customFormat="1" hidden="1" x14ac:dyDescent="0.2">
      <c r="A31" s="471"/>
      <c r="B31" s="72">
        <f>VZ!B20</f>
        <v>0</v>
      </c>
      <c r="C31" s="73" t="str">
        <f>ELEMENT!AH16</f>
        <v/>
      </c>
      <c r="D31" s="75"/>
      <c r="E31" s="75"/>
      <c r="F31" s="75"/>
    </row>
    <row r="32" spans="1:6" s="5" customFormat="1" ht="51" hidden="1" x14ac:dyDescent="0.2">
      <c r="A32" s="471"/>
      <c r="B32" s="80"/>
      <c r="C32" s="77" t="str">
        <f ca="1">VZ!C20</f>
        <v>o/a frame size: 0 x 0mm  
(0' 0" x 0' 0")
2-tracks double glazed,  0 # of panel
0</v>
      </c>
      <c r="D32" s="78" t="str">
        <f ca="1">IF(E32=0,"",VZ!D20)</f>
        <v/>
      </c>
      <c r="E32" s="79">
        <f ca="1">VZ!E20</f>
        <v>0</v>
      </c>
      <c r="F32" s="79">
        <f ca="1">VZ!F20</f>
        <v>0</v>
      </c>
    </row>
    <row r="33" spans="1:6" s="5" customFormat="1" hidden="1" x14ac:dyDescent="0.2">
      <c r="A33" s="471"/>
      <c r="B33" s="72">
        <f>VZ!B21</f>
        <v>0</v>
      </c>
      <c r="C33" s="73" t="str">
        <f>ELEMENT!AH17</f>
        <v/>
      </c>
      <c r="D33" s="75"/>
      <c r="E33" s="75"/>
      <c r="F33" s="75"/>
    </row>
    <row r="34" spans="1:6" s="5" customFormat="1" ht="51" hidden="1" x14ac:dyDescent="0.2">
      <c r="A34" s="471"/>
      <c r="B34" s="80"/>
      <c r="C34" s="77" t="str">
        <f ca="1">VZ!C21</f>
        <v>o/a frame size: 0 x 0mm  
(0' 0" x 0' 0")
2-tracks double glazed,  0 # of panel
0</v>
      </c>
      <c r="D34" s="78" t="str">
        <f ca="1">IF(E34=0,"",VZ!D21)</f>
        <v/>
      </c>
      <c r="E34" s="79">
        <f ca="1">VZ!E21</f>
        <v>0</v>
      </c>
      <c r="F34" s="79">
        <f ca="1">VZ!F21</f>
        <v>0</v>
      </c>
    </row>
    <row r="35" spans="1:6" s="5" customFormat="1" hidden="1" x14ac:dyDescent="0.2">
      <c r="A35" s="471"/>
      <c r="B35" s="72">
        <f>VZ!B22</f>
        <v>0</v>
      </c>
      <c r="C35" s="73" t="str">
        <f>ELEMENT!AH18</f>
        <v/>
      </c>
      <c r="D35" s="75"/>
      <c r="E35" s="75"/>
      <c r="F35" s="75"/>
    </row>
    <row r="36" spans="1:6" s="5" customFormat="1" ht="51" hidden="1" x14ac:dyDescent="0.2">
      <c r="A36" s="471"/>
      <c r="B36" s="80"/>
      <c r="C36" s="77" t="str">
        <f ca="1">VZ!C22</f>
        <v>o/a frame size: 0 x 0mm  
(0' 0" x 0' 0")
2-tracks double glazed,  0 # of panel
0</v>
      </c>
      <c r="D36" s="78" t="str">
        <f ca="1">IF(E36=0,"",VZ!D22)</f>
        <v/>
      </c>
      <c r="E36" s="79">
        <f ca="1">VZ!E22</f>
        <v>0</v>
      </c>
      <c r="F36" s="79">
        <f ca="1">VZ!F22</f>
        <v>0</v>
      </c>
    </row>
    <row r="37" spans="1:6" s="5" customFormat="1" hidden="1" x14ac:dyDescent="0.2">
      <c r="A37" s="471"/>
      <c r="B37" s="72">
        <f>VZ!B23</f>
        <v>0</v>
      </c>
      <c r="C37" s="73" t="str">
        <f>ELEMENT!AH19</f>
        <v/>
      </c>
      <c r="D37" s="75"/>
      <c r="E37" s="75"/>
      <c r="F37" s="75"/>
    </row>
    <row r="38" spans="1:6" s="5" customFormat="1" ht="51" hidden="1" x14ac:dyDescent="0.2">
      <c r="A38" s="471"/>
      <c r="B38" s="80"/>
      <c r="C38" s="77" t="str">
        <f ca="1">VZ!C23</f>
        <v>o/a frame size: 0 x 0mm  
(0' 0" x 0' 0")
2-tracks double glazed,  0 # of panel
0</v>
      </c>
      <c r="D38" s="78" t="str">
        <f ca="1">IF(E38=0,"",VZ!D23)</f>
        <v/>
      </c>
      <c r="E38" s="79">
        <f ca="1">VZ!E23</f>
        <v>0</v>
      </c>
      <c r="F38" s="79">
        <f ca="1">VZ!F23</f>
        <v>0</v>
      </c>
    </row>
    <row r="39" spans="1:6" s="5" customFormat="1" hidden="1" x14ac:dyDescent="0.2">
      <c r="A39" s="471"/>
      <c r="B39" s="72">
        <f>VZ!B24</f>
        <v>0</v>
      </c>
      <c r="C39" s="73" t="str">
        <f>ELEMENT!AH20</f>
        <v/>
      </c>
      <c r="D39" s="75"/>
      <c r="E39" s="75"/>
      <c r="F39" s="75"/>
    </row>
    <row r="40" spans="1:6" s="5" customFormat="1" ht="51" hidden="1" x14ac:dyDescent="0.2">
      <c r="A40" s="471"/>
      <c r="B40" s="80"/>
      <c r="C40" s="77" t="str">
        <f ca="1">VZ!C24</f>
        <v>o/a frame size: 0 x 0mm  
(0' 0" x 0' 0")
2-tracks double glazed,  0 # of panel
0</v>
      </c>
      <c r="D40" s="78" t="str">
        <f ca="1">IF(E40=0,"",VZ!D24)</f>
        <v/>
      </c>
      <c r="E40" s="79">
        <f ca="1">VZ!E24</f>
        <v>0</v>
      </c>
      <c r="F40" s="79">
        <f ca="1">VZ!F24</f>
        <v>0</v>
      </c>
    </row>
    <row r="41" spans="1:6" s="5" customFormat="1" hidden="1" x14ac:dyDescent="0.2">
      <c r="A41" s="471"/>
      <c r="B41" s="72">
        <f>VZ!B25</f>
        <v>0</v>
      </c>
      <c r="C41" s="73" t="str">
        <f>ELEMENT!AH21</f>
        <v/>
      </c>
      <c r="D41" s="75"/>
      <c r="E41" s="75"/>
      <c r="F41" s="75"/>
    </row>
    <row r="42" spans="1:6" s="5" customFormat="1" ht="51" hidden="1" x14ac:dyDescent="0.2">
      <c r="A42" s="471"/>
      <c r="B42" s="80"/>
      <c r="C42" s="77" t="str">
        <f ca="1">VZ!C25</f>
        <v>o/a frame size: 0 x 0mm  
(0' 0" x 0' 0")
2-tracks double glazed,  0 # of panel
0</v>
      </c>
      <c r="D42" s="78" t="str">
        <f ca="1">IF(E42=0,"",VZ!D25)</f>
        <v/>
      </c>
      <c r="E42" s="79">
        <f ca="1">VZ!E25</f>
        <v>0</v>
      </c>
      <c r="F42" s="79">
        <f ca="1">VZ!F25</f>
        <v>0</v>
      </c>
    </row>
    <row r="43" spans="1:6" s="5" customFormat="1" hidden="1" x14ac:dyDescent="0.2">
      <c r="A43" s="471"/>
      <c r="B43" s="72">
        <f>VZ!B26</f>
        <v>0</v>
      </c>
      <c r="C43" s="73" t="str">
        <f>ELEMENT!AH22</f>
        <v/>
      </c>
      <c r="D43" s="75"/>
      <c r="E43" s="75"/>
      <c r="F43" s="75"/>
    </row>
    <row r="44" spans="1:6" s="5" customFormat="1" ht="51" hidden="1" x14ac:dyDescent="0.2">
      <c r="A44" s="471"/>
      <c r="B44" s="80"/>
      <c r="C44" s="77" t="str">
        <f ca="1">VZ!C26</f>
        <v>o/a frame size: 0 x 0mm  
(0' 0" x 0' 0")
2-tracks double glazed,  0 # of panel
0</v>
      </c>
      <c r="D44" s="78" t="str">
        <f ca="1">IF(E44=0,"",VZ!D26)</f>
        <v/>
      </c>
      <c r="E44" s="79">
        <f ca="1">VZ!E26</f>
        <v>0</v>
      </c>
      <c r="F44" s="79">
        <f ca="1">VZ!F26</f>
        <v>0</v>
      </c>
    </row>
    <row r="45" spans="1:6" s="5" customFormat="1" hidden="1" x14ac:dyDescent="0.2">
      <c r="A45" s="471"/>
      <c r="B45" s="72">
        <f>VZ!B27</f>
        <v>0</v>
      </c>
      <c r="C45" s="73" t="str">
        <f>ELEMENT!AH23</f>
        <v/>
      </c>
      <c r="D45" s="75"/>
      <c r="E45" s="75"/>
      <c r="F45" s="75"/>
    </row>
    <row r="46" spans="1:6" s="5" customFormat="1" ht="51" hidden="1" x14ac:dyDescent="0.2">
      <c r="A46" s="471"/>
      <c r="B46" s="80"/>
      <c r="C46" s="77" t="str">
        <f ca="1">VZ!C27</f>
        <v>o/a frame size: 0 x 0mm  
(0' 0" x 0' 0")
2-tracks double glazed,  0 # of panel
0</v>
      </c>
      <c r="D46" s="78" t="str">
        <f ca="1">IF(E46=0,"",VZ!D27)</f>
        <v/>
      </c>
      <c r="E46" s="79">
        <f ca="1">VZ!E27</f>
        <v>0</v>
      </c>
      <c r="F46" s="79">
        <f ca="1">VZ!F27</f>
        <v>0</v>
      </c>
    </row>
    <row r="47" spans="1:6" s="5" customFormat="1" hidden="1" x14ac:dyDescent="0.2">
      <c r="A47" s="471"/>
      <c r="B47" s="72">
        <f>VZ!B28</f>
        <v>0</v>
      </c>
      <c r="C47" s="73" t="str">
        <f>ELEMENT!AH24</f>
        <v/>
      </c>
      <c r="D47" s="75"/>
      <c r="E47" s="75"/>
      <c r="F47" s="75"/>
    </row>
    <row r="48" spans="1:6" s="5" customFormat="1" ht="51" hidden="1" x14ac:dyDescent="0.2">
      <c r="A48" s="471"/>
      <c r="B48" s="80"/>
      <c r="C48" s="77" t="str">
        <f ca="1">VZ!C28</f>
        <v>o/a frame size: 0 x 0mm  
(0' 0" x 0' 0")
2-tracks double glazed,  0 # of panel
0</v>
      </c>
      <c r="D48" s="78" t="str">
        <f ca="1">IF(E48=0,"",VZ!D28)</f>
        <v/>
      </c>
      <c r="E48" s="79">
        <f ca="1">VZ!E28</f>
        <v>0</v>
      </c>
      <c r="F48" s="79">
        <f ca="1">VZ!F28</f>
        <v>0</v>
      </c>
    </row>
    <row r="49" spans="1:6" s="5" customFormat="1" hidden="1" x14ac:dyDescent="0.2">
      <c r="A49" s="471"/>
      <c r="B49" s="72">
        <f>VZ!B29</f>
        <v>0</v>
      </c>
      <c r="C49" s="73" t="str">
        <f>ELEMENT!AH25</f>
        <v/>
      </c>
      <c r="D49" s="75"/>
      <c r="E49" s="75"/>
      <c r="F49" s="75"/>
    </row>
    <row r="50" spans="1:6" s="5" customFormat="1" ht="51" hidden="1" x14ac:dyDescent="0.2">
      <c r="A50" s="471"/>
      <c r="B50" s="80"/>
      <c r="C50" s="77" t="str">
        <f ca="1">VZ!C29</f>
        <v>o/a frame size: 0 x 0mm  
(0' 0" x 0' 0")
2-tracks double glazed,  0 # of panel
0</v>
      </c>
      <c r="D50" s="78" t="str">
        <f ca="1">IF(E50=0,"",VZ!D29)</f>
        <v/>
      </c>
      <c r="E50" s="79">
        <f ca="1">VZ!E29</f>
        <v>0</v>
      </c>
      <c r="F50" s="79">
        <f ca="1">VZ!F29</f>
        <v>0</v>
      </c>
    </row>
    <row r="51" spans="1:6" s="5" customFormat="1" hidden="1" x14ac:dyDescent="0.2">
      <c r="A51" s="471"/>
      <c r="B51" s="72">
        <f>VZ!B30</f>
        <v>0</v>
      </c>
      <c r="C51" s="73" t="str">
        <f>ELEMENT!AH26</f>
        <v/>
      </c>
      <c r="D51" s="75"/>
      <c r="E51" s="75"/>
      <c r="F51" s="75"/>
    </row>
    <row r="52" spans="1:6" s="5" customFormat="1" ht="51" hidden="1" x14ac:dyDescent="0.2">
      <c r="A52" s="471"/>
      <c r="B52" s="80"/>
      <c r="C52" s="77" t="str">
        <f ca="1">VZ!C30</f>
        <v>o/a frame size: 0 x 0mm  
(0' 0" x 0' 0")
2-tracks double glazed,  0 # of panel
0</v>
      </c>
      <c r="D52" s="78" t="str">
        <f ca="1">IF(E52=0,"",VZ!D30)</f>
        <v/>
      </c>
      <c r="E52" s="79">
        <f ca="1">VZ!E30</f>
        <v>0</v>
      </c>
      <c r="F52" s="79">
        <f ca="1">VZ!F30</f>
        <v>0</v>
      </c>
    </row>
    <row r="53" spans="1:6" s="5" customFormat="1" hidden="1" x14ac:dyDescent="0.2">
      <c r="A53" s="471"/>
      <c r="B53" s="72">
        <f>VZ!B31</f>
        <v>0</v>
      </c>
      <c r="C53" s="73" t="str">
        <f>ELEMENT!AH27</f>
        <v/>
      </c>
      <c r="D53" s="75"/>
      <c r="E53" s="75"/>
      <c r="F53" s="75"/>
    </row>
    <row r="54" spans="1:6" s="5" customFormat="1" ht="51" hidden="1" x14ac:dyDescent="0.2">
      <c r="A54" s="471"/>
      <c r="B54" s="80"/>
      <c r="C54" s="77" t="str">
        <f ca="1">VZ!C31</f>
        <v>o/a frame size: 0 x 0mm  
(0' 0" x 0' 0")
2-tracks double glazed,  0 # of panel
0</v>
      </c>
      <c r="D54" s="78" t="str">
        <f ca="1">IF(E54=0,"",VZ!D31)</f>
        <v/>
      </c>
      <c r="E54" s="79">
        <f ca="1">VZ!E31</f>
        <v>0</v>
      </c>
      <c r="F54" s="79">
        <f ca="1">VZ!F31</f>
        <v>0</v>
      </c>
    </row>
    <row r="55" spans="1:6" s="5" customFormat="1" hidden="1" x14ac:dyDescent="0.2">
      <c r="A55" s="471"/>
      <c r="B55" s="72">
        <f>VZ!B32</f>
        <v>0</v>
      </c>
      <c r="C55" s="73" t="str">
        <f>ELEMENT!AH28</f>
        <v/>
      </c>
      <c r="D55" s="75"/>
      <c r="E55" s="75"/>
      <c r="F55" s="75"/>
    </row>
    <row r="56" spans="1:6" s="5" customFormat="1" ht="51" hidden="1" x14ac:dyDescent="0.2">
      <c r="A56" s="471"/>
      <c r="B56" s="80"/>
      <c r="C56" s="77" t="str">
        <f ca="1">VZ!C32</f>
        <v>o/a frame size: 0 x 0mm  
(0' 0" x 0' 0")
2-tracks double glazed,  0 # of panel
0</v>
      </c>
      <c r="D56" s="78" t="str">
        <f ca="1">IF(E56=0,"",VZ!D32)</f>
        <v/>
      </c>
      <c r="E56" s="79">
        <f ca="1">VZ!E32</f>
        <v>0</v>
      </c>
      <c r="F56" s="79">
        <f ca="1">VZ!F32</f>
        <v>0</v>
      </c>
    </row>
    <row r="57" spans="1:6" s="5" customFormat="1" hidden="1" x14ac:dyDescent="0.2">
      <c r="A57" s="471"/>
      <c r="B57" s="72">
        <f>VZ!B33</f>
        <v>0</v>
      </c>
      <c r="C57" s="73" t="str">
        <f>ELEMENT!AH29</f>
        <v/>
      </c>
      <c r="D57" s="75"/>
      <c r="E57" s="75"/>
      <c r="F57" s="75"/>
    </row>
    <row r="58" spans="1:6" s="5" customFormat="1" ht="51" hidden="1" x14ac:dyDescent="0.2">
      <c r="A58" s="471"/>
      <c r="B58" s="80"/>
      <c r="C58" s="77" t="str">
        <f ca="1">VZ!C33</f>
        <v>o/a frame size: 0 x 0mm  
(0' 0" x 0' 0")
2-tracks double glazed,  0 # of panel
0</v>
      </c>
      <c r="D58" s="78" t="str">
        <f ca="1">IF(E58=0,"",VZ!D33)</f>
        <v/>
      </c>
      <c r="E58" s="79">
        <f ca="1">VZ!E33</f>
        <v>0</v>
      </c>
      <c r="F58" s="79">
        <f ca="1">VZ!F33</f>
        <v>0</v>
      </c>
    </row>
    <row r="59" spans="1:6" s="5" customFormat="1" hidden="1" x14ac:dyDescent="0.2">
      <c r="A59" s="472"/>
      <c r="B59" s="72">
        <f>VZ!B34</f>
        <v>0</v>
      </c>
      <c r="C59" s="73" t="str">
        <f>ELEMENT!AH30</f>
        <v/>
      </c>
      <c r="D59" s="75"/>
      <c r="E59" s="75"/>
      <c r="F59" s="75"/>
    </row>
    <row r="60" spans="1:6" s="5" customFormat="1" ht="51" hidden="1" x14ac:dyDescent="0.2">
      <c r="A60" s="472"/>
      <c r="B60" s="80"/>
      <c r="C60" s="77" t="str">
        <f ca="1">VZ!C34</f>
        <v>o/a frame size: 0 x 0mm  
(0' 0" x 0' 0")
2-tracks double glazed,  0 # of panel
0</v>
      </c>
      <c r="D60" s="78" t="str">
        <f ca="1">IF(E60=0,"",VZ!D34)</f>
        <v/>
      </c>
      <c r="E60" s="79">
        <f ca="1">VZ!E34</f>
        <v>0</v>
      </c>
      <c r="F60" s="79">
        <f ca="1">VZ!F34</f>
        <v>0</v>
      </c>
    </row>
    <row r="61" spans="1:6" s="5" customFormat="1" hidden="1" x14ac:dyDescent="0.2">
      <c r="A61" s="471"/>
      <c r="B61" s="72">
        <f>VZ!B35</f>
        <v>0</v>
      </c>
      <c r="C61" s="73" t="str">
        <f>ELEMENT!AH31</f>
        <v/>
      </c>
      <c r="D61" s="75"/>
      <c r="E61" s="75"/>
      <c r="F61" s="75"/>
    </row>
    <row r="62" spans="1:6" s="5" customFormat="1" ht="51" hidden="1" x14ac:dyDescent="0.2">
      <c r="A62" s="471"/>
      <c r="B62" s="80"/>
      <c r="C62" s="77" t="str">
        <f ca="1">VZ!C35</f>
        <v>o/a frame size: 0 x 0mm  
(0' 0" x 0' 0")
2-tracks double glazed,  0 # of panel
0</v>
      </c>
      <c r="D62" s="78" t="str">
        <f ca="1">IF(E62=0,"",VZ!D35)</f>
        <v/>
      </c>
      <c r="E62" s="79">
        <f ca="1">VZ!E35</f>
        <v>0</v>
      </c>
      <c r="F62" s="79">
        <f ca="1">VZ!F35</f>
        <v>0</v>
      </c>
    </row>
    <row r="63" spans="1:6" s="5" customFormat="1" hidden="1" x14ac:dyDescent="0.2">
      <c r="A63" s="471"/>
      <c r="B63" s="72">
        <f>VZ!B36</f>
        <v>0</v>
      </c>
      <c r="C63" s="73" t="str">
        <f>ELEMENT!AH32</f>
        <v/>
      </c>
      <c r="D63" s="75"/>
      <c r="E63" s="75"/>
      <c r="F63" s="75"/>
    </row>
    <row r="64" spans="1:6" s="5" customFormat="1" ht="51" hidden="1" x14ac:dyDescent="0.2">
      <c r="A64" s="471"/>
      <c r="B64" s="80"/>
      <c r="C64" s="77" t="str">
        <f ca="1">VZ!C36</f>
        <v>o/a frame size: 0 x 0mm  
(0' 0" x 0' 0")
2-tracks double glazed,  0 # of panel
0</v>
      </c>
      <c r="D64" s="78" t="str">
        <f ca="1">IF(E64=0,"",VZ!D36)</f>
        <v/>
      </c>
      <c r="E64" s="79">
        <f ca="1">VZ!E36</f>
        <v>0</v>
      </c>
      <c r="F64" s="79">
        <f ca="1">VZ!F36</f>
        <v>0</v>
      </c>
    </row>
    <row r="65" spans="1:6" s="5" customFormat="1" hidden="1" x14ac:dyDescent="0.2">
      <c r="A65" s="471"/>
      <c r="B65" s="72">
        <f>VZ!B37</f>
        <v>0</v>
      </c>
      <c r="C65" s="73" t="str">
        <f>ELEMENT!AH33</f>
        <v/>
      </c>
      <c r="D65" s="75"/>
      <c r="E65" s="75"/>
      <c r="F65" s="75"/>
    </row>
    <row r="66" spans="1:6" s="5" customFormat="1" ht="51" hidden="1" x14ac:dyDescent="0.2">
      <c r="A66" s="471"/>
      <c r="B66" s="80"/>
      <c r="C66" s="77" t="str">
        <f ca="1">VZ!C37</f>
        <v>o/a frame size: 0 x 0mm  
(0' 0" x 0' 0")
2-tracks double glazed,  0 # of panel
0</v>
      </c>
      <c r="D66" s="78" t="str">
        <f ca="1">IF(E66=0,"",VZ!D37)</f>
        <v/>
      </c>
      <c r="E66" s="79">
        <f ca="1">VZ!E37</f>
        <v>0</v>
      </c>
      <c r="F66" s="79">
        <f ca="1">VZ!F37</f>
        <v>0</v>
      </c>
    </row>
    <row r="67" spans="1:6" s="5" customFormat="1" hidden="1" x14ac:dyDescent="0.2">
      <c r="A67" s="471"/>
      <c r="B67" s="72">
        <f>VZ!B38</f>
        <v>0</v>
      </c>
      <c r="C67" s="73" t="str">
        <f>ELEMENT!AH34</f>
        <v/>
      </c>
      <c r="D67" s="75"/>
      <c r="E67" s="75"/>
      <c r="F67" s="75"/>
    </row>
    <row r="68" spans="1:6" s="5" customFormat="1" ht="51" hidden="1" x14ac:dyDescent="0.2">
      <c r="A68" s="471"/>
      <c r="B68" s="80"/>
      <c r="C68" s="77" t="str">
        <f ca="1">VZ!C38</f>
        <v>o/a frame size: 0 x 0mm  
(0' 0" x 0' 0")
2-tracks double glazed,  0 # of panel
0</v>
      </c>
      <c r="D68" s="78" t="str">
        <f ca="1">IF(E68=0,"",VZ!D38)</f>
        <v/>
      </c>
      <c r="E68" s="79">
        <f ca="1">VZ!E38</f>
        <v>0</v>
      </c>
      <c r="F68" s="79">
        <f ca="1">VZ!F38</f>
        <v>0</v>
      </c>
    </row>
    <row r="69" spans="1:6" s="5" customFormat="1" hidden="1" x14ac:dyDescent="0.2">
      <c r="A69" s="471"/>
      <c r="B69" s="72">
        <f>VZ!B39</f>
        <v>0</v>
      </c>
      <c r="C69" s="73" t="str">
        <f>ELEMENT!AH35</f>
        <v/>
      </c>
      <c r="D69" s="75"/>
      <c r="E69" s="75"/>
      <c r="F69" s="75"/>
    </row>
    <row r="70" spans="1:6" s="5" customFormat="1" ht="51" hidden="1" x14ac:dyDescent="0.2">
      <c r="A70" s="471"/>
      <c r="B70" s="80"/>
      <c r="C70" s="77" t="str">
        <f ca="1">VZ!C39</f>
        <v>o/a frame size: 0 x 0mm  
(0' 0" x 0' 0")
2-tracks double glazed,  0 # of panel
0</v>
      </c>
      <c r="D70" s="78" t="str">
        <f ca="1">IF(E70=0,"",VZ!D39)</f>
        <v/>
      </c>
      <c r="E70" s="79">
        <f ca="1">VZ!E39</f>
        <v>0</v>
      </c>
      <c r="F70" s="79">
        <f ca="1">VZ!F39</f>
        <v>0</v>
      </c>
    </row>
    <row r="71" spans="1:6" s="5" customFormat="1" hidden="1" x14ac:dyDescent="0.2">
      <c r="A71" s="471"/>
      <c r="B71" s="72">
        <f>VZ!B40</f>
        <v>0</v>
      </c>
      <c r="C71" s="73" t="str">
        <f>ELEMENT!AH36</f>
        <v/>
      </c>
      <c r="D71" s="75"/>
      <c r="E71" s="75"/>
      <c r="F71" s="75"/>
    </row>
    <row r="72" spans="1:6" s="5" customFormat="1" ht="51" hidden="1" x14ac:dyDescent="0.2">
      <c r="A72" s="471"/>
      <c r="B72" s="80"/>
      <c r="C72" s="77" t="str">
        <f ca="1">VZ!C40</f>
        <v>o/a frame size: 0 x 0mm  
(0' 0" x 0' 0")
2-tracks double glazed,  0 # of panel
0</v>
      </c>
      <c r="D72" s="78" t="str">
        <f ca="1">IF(E72=0,"",VZ!D40)</f>
        <v/>
      </c>
      <c r="E72" s="79">
        <f ca="1">VZ!E40</f>
        <v>0</v>
      </c>
      <c r="F72" s="79">
        <f ca="1">VZ!F40</f>
        <v>0</v>
      </c>
    </row>
    <row r="73" spans="1:6" s="5" customFormat="1" hidden="1" x14ac:dyDescent="0.2">
      <c r="A73" s="471"/>
      <c r="B73" s="72">
        <f>VZ!B41</f>
        <v>0</v>
      </c>
      <c r="C73" s="73" t="str">
        <f>ELEMENT!AH37</f>
        <v/>
      </c>
      <c r="D73" s="75"/>
      <c r="E73" s="75"/>
      <c r="F73" s="75"/>
    </row>
    <row r="74" spans="1:6" s="5" customFormat="1" ht="51" hidden="1" x14ac:dyDescent="0.2">
      <c r="A74" s="471"/>
      <c r="B74" s="80"/>
      <c r="C74" s="77" t="str">
        <f ca="1">VZ!C41</f>
        <v>o/a frame size: 0 x 0mm  
(0' 0" x 0' 0")
2-tracks double glazed,  0 # of panel
0</v>
      </c>
      <c r="D74" s="78" t="str">
        <f ca="1">IF(E74=0,"",VZ!D41)</f>
        <v/>
      </c>
      <c r="E74" s="79">
        <f ca="1">VZ!E41</f>
        <v>0</v>
      </c>
      <c r="F74" s="79">
        <f ca="1">VZ!F41</f>
        <v>0</v>
      </c>
    </row>
    <row r="75" spans="1:6" s="5" customFormat="1" hidden="1" x14ac:dyDescent="0.2">
      <c r="A75" s="471"/>
      <c r="B75" s="72">
        <f>VZ!B42</f>
        <v>0</v>
      </c>
      <c r="C75" s="73" t="str">
        <f>ELEMENT!AH38</f>
        <v/>
      </c>
      <c r="D75" s="75"/>
      <c r="E75" s="75"/>
      <c r="F75" s="75"/>
    </row>
    <row r="76" spans="1:6" s="5" customFormat="1" ht="51" hidden="1" x14ac:dyDescent="0.2">
      <c r="A76" s="471"/>
      <c r="B76" s="80"/>
      <c r="C76" s="77" t="str">
        <f ca="1">VZ!C42</f>
        <v>o/a frame size: 0 x 0mm  
(0' 0" x 0' 0")
2-tracks double glazed,  0 # of panel
0</v>
      </c>
      <c r="D76" s="78" t="str">
        <f ca="1">IF(E76=0,"",VZ!D42)</f>
        <v/>
      </c>
      <c r="E76" s="79">
        <f ca="1">VZ!E42</f>
        <v>0</v>
      </c>
      <c r="F76" s="79">
        <f ca="1">VZ!F42</f>
        <v>0</v>
      </c>
    </row>
    <row r="77" spans="1:6" s="5" customFormat="1" hidden="1" x14ac:dyDescent="0.2">
      <c r="A77" s="471"/>
      <c r="B77" s="72">
        <f>VZ!B43</f>
        <v>0</v>
      </c>
      <c r="C77" s="73" t="str">
        <f>ELEMENT!AH39</f>
        <v/>
      </c>
      <c r="D77" s="75"/>
      <c r="E77" s="75"/>
      <c r="F77" s="75"/>
    </row>
    <row r="78" spans="1:6" s="5" customFormat="1" ht="51" hidden="1" x14ac:dyDescent="0.2">
      <c r="A78" s="471"/>
      <c r="B78" s="80"/>
      <c r="C78" s="77" t="str">
        <f ca="1">VZ!C43</f>
        <v>o/a frame size: 0 x 0mm  
(0' 0" x 0' 0")
2-tracks double glazed,  0 # of panel
0</v>
      </c>
      <c r="D78" s="78" t="str">
        <f ca="1">IF(E78=0,"",VZ!D43)</f>
        <v/>
      </c>
      <c r="E78" s="79">
        <f ca="1">VZ!E43</f>
        <v>0</v>
      </c>
      <c r="F78" s="79">
        <f ca="1">VZ!F43</f>
        <v>0</v>
      </c>
    </row>
    <row r="79" spans="1:6" s="5" customFormat="1" hidden="1" x14ac:dyDescent="0.2">
      <c r="A79" s="471"/>
      <c r="B79" s="72">
        <f>VZ!B44</f>
        <v>0</v>
      </c>
      <c r="C79" s="73" t="str">
        <f>ELEMENT!AH40</f>
        <v/>
      </c>
      <c r="D79" s="75"/>
      <c r="E79" s="75"/>
      <c r="F79" s="75"/>
    </row>
    <row r="80" spans="1:6" s="5" customFormat="1" ht="51" hidden="1" x14ac:dyDescent="0.2">
      <c r="A80" s="471"/>
      <c r="B80" s="80"/>
      <c r="C80" s="77" t="str">
        <f ca="1">VZ!C44</f>
        <v>o/a frame size: 0 x 0mm  
(0' 0" x 0' 0")
2-tracks double glazed,  0 # of panel
0</v>
      </c>
      <c r="D80" s="78" t="str">
        <f ca="1">IF(E80=0,"",VZ!D44)</f>
        <v/>
      </c>
      <c r="E80" s="79">
        <f ca="1">VZ!E44</f>
        <v>0</v>
      </c>
      <c r="F80" s="79">
        <f ca="1">VZ!F44</f>
        <v>0</v>
      </c>
    </row>
    <row r="81" spans="1:8" s="5" customFormat="1" hidden="1" x14ac:dyDescent="0.2">
      <c r="A81" s="471"/>
      <c r="B81" s="72">
        <f>VZ!B45</f>
        <v>0</v>
      </c>
      <c r="C81" s="73" t="str">
        <f>ELEMENT!AH41</f>
        <v/>
      </c>
      <c r="D81" s="75"/>
      <c r="E81" s="75"/>
      <c r="F81" s="75"/>
    </row>
    <row r="82" spans="1:8" s="5" customFormat="1" ht="51" hidden="1" x14ac:dyDescent="0.2">
      <c r="A82" s="471"/>
      <c r="B82" s="80"/>
      <c r="C82" s="77" t="str">
        <f ca="1">VZ!C45</f>
        <v>o/a frame size: 0 x 0mm  
(0' 0" x 0' 0")
2-tracks double glazed,  0 # of panel
0</v>
      </c>
      <c r="D82" s="78" t="str">
        <f ca="1">IF(E82=0,"",VZ!D45)</f>
        <v/>
      </c>
      <c r="E82" s="79">
        <f ca="1">VZ!E45</f>
        <v>0</v>
      </c>
      <c r="F82" s="79">
        <f ca="1">VZ!F45</f>
        <v>0</v>
      </c>
    </row>
    <row r="83" spans="1:8" s="5" customFormat="1" hidden="1" x14ac:dyDescent="0.2">
      <c r="A83" s="471"/>
      <c r="B83" s="72">
        <f>VZ!B46</f>
        <v>0</v>
      </c>
      <c r="C83" s="73" t="str">
        <f>ELEMENT!AH42</f>
        <v/>
      </c>
      <c r="D83" s="75"/>
      <c r="E83" s="75"/>
      <c r="F83" s="75"/>
    </row>
    <row r="84" spans="1:8" s="5" customFormat="1" ht="51" hidden="1" x14ac:dyDescent="0.2">
      <c r="A84" s="471"/>
      <c r="B84" s="80"/>
      <c r="C84" s="77" t="str">
        <f ca="1">VZ!C46</f>
        <v>o/a frame size: 0 x 0mm  
(0' 0" x 0' 0")
2-tracks double glazed,  0 # of panel
0</v>
      </c>
      <c r="D84" s="78" t="str">
        <f ca="1">IF(E84=0,"",VZ!D46)</f>
        <v/>
      </c>
      <c r="E84" s="79">
        <f ca="1">VZ!E46</f>
        <v>0</v>
      </c>
      <c r="F84" s="79">
        <f ca="1">VZ!F46</f>
        <v>0</v>
      </c>
    </row>
    <row r="85" spans="1:8" s="5" customFormat="1" hidden="1" x14ac:dyDescent="0.2">
      <c r="A85" s="471"/>
      <c r="B85" s="72">
        <f>VZ!B47</f>
        <v>0</v>
      </c>
      <c r="C85" s="73" t="str">
        <f>ELEMENT!AH43</f>
        <v/>
      </c>
      <c r="D85" s="75"/>
      <c r="E85" s="75"/>
      <c r="F85" s="75"/>
    </row>
    <row r="86" spans="1:8" s="5" customFormat="1" ht="51" hidden="1" x14ac:dyDescent="0.2">
      <c r="A86" s="471"/>
      <c r="B86" s="80"/>
      <c r="C86" s="77" t="str">
        <f ca="1">VZ!C47</f>
        <v>o/a frame size: 0 x 0mm  
(0' 0" x 0' 0")
2-tracks double glazed,  0 # of panel
0</v>
      </c>
      <c r="D86" s="78" t="str">
        <f ca="1">IF(E86=0,"",VZ!D47)</f>
        <v/>
      </c>
      <c r="E86" s="79">
        <f ca="1">VZ!E47</f>
        <v>0</v>
      </c>
      <c r="F86" s="79">
        <f ca="1">VZ!F47</f>
        <v>0</v>
      </c>
    </row>
    <row r="87" spans="1:8" s="5" customFormat="1" hidden="1" x14ac:dyDescent="0.2">
      <c r="A87" s="471"/>
      <c r="B87" s="72">
        <f>VZ!B48</f>
        <v>0</v>
      </c>
      <c r="C87" s="73" t="str">
        <f>ELEMENT!AH44</f>
        <v/>
      </c>
      <c r="D87" s="75"/>
      <c r="E87" s="75"/>
      <c r="F87" s="75"/>
    </row>
    <row r="88" spans="1:8" s="5" customFormat="1" ht="51" hidden="1" x14ac:dyDescent="0.2">
      <c r="A88" s="471"/>
      <c r="B88" s="80"/>
      <c r="C88" s="77" t="str">
        <f ca="1">VZ!C48</f>
        <v>o/a frame size: 0 x 0mm  
(0' 0" x 0' 0")
2-tracks double glazed,  0 # of panel
0</v>
      </c>
      <c r="D88" s="78" t="str">
        <f ca="1">IF(E88=0,"",VZ!D48)</f>
        <v/>
      </c>
      <c r="E88" s="79">
        <f ca="1">VZ!E48</f>
        <v>0</v>
      </c>
      <c r="F88" s="79">
        <f ca="1">VZ!F48</f>
        <v>0</v>
      </c>
    </row>
    <row r="89" spans="1:8" s="5" customFormat="1" hidden="1" x14ac:dyDescent="0.2">
      <c r="A89" s="471"/>
      <c r="B89" s="72">
        <f>VZ!B49</f>
        <v>0</v>
      </c>
      <c r="C89" s="73" t="str">
        <f>ELEMENT!AH45</f>
        <v/>
      </c>
      <c r="D89" s="75"/>
      <c r="E89" s="75"/>
      <c r="F89" s="75"/>
    </row>
    <row r="90" spans="1:8" s="5" customFormat="1" ht="51" hidden="1" x14ac:dyDescent="0.2">
      <c r="A90" s="471"/>
      <c r="B90" s="80"/>
      <c r="C90" s="77" t="str">
        <f ca="1">VZ!C49</f>
        <v>o/a frame size: 0 x 0mm  
(0' 0" x 0' 0")
2-tracks double glazed,  0 # of panel
0</v>
      </c>
      <c r="D90" s="78" t="str">
        <f ca="1">IF(E90=0,"",VZ!D49)</f>
        <v/>
      </c>
      <c r="E90" s="79">
        <f ca="1">VZ!E49</f>
        <v>0</v>
      </c>
      <c r="F90" s="79">
        <f ca="1">VZ!F49</f>
        <v>0</v>
      </c>
    </row>
    <row r="91" spans="1:8" s="5" customFormat="1" hidden="1" x14ac:dyDescent="0.2">
      <c r="A91" s="472"/>
      <c r="B91" s="72">
        <f>VZ!B50</f>
        <v>0</v>
      </c>
      <c r="C91" s="73"/>
      <c r="D91" s="75"/>
      <c r="E91" s="75"/>
      <c r="F91" s="75"/>
    </row>
    <row r="92" spans="1:8" s="5" customFormat="1" hidden="1" x14ac:dyDescent="0.2">
      <c r="A92" s="472"/>
      <c r="B92" s="80"/>
      <c r="C92" s="77"/>
      <c r="D92" s="78"/>
      <c r="E92" s="79"/>
      <c r="F92" s="79"/>
    </row>
    <row r="93" spans="1:8" ht="38.25" x14ac:dyDescent="0.2">
      <c r="B93" s="204" t="s">
        <v>218</v>
      </c>
      <c r="C93" s="205" t="str">
        <f>VZ!C51</f>
        <v xml:space="preserve"> 
Additional charge for alternative surface of all active items: E6 EV1 (25my)</v>
      </c>
      <c r="D93" s="206" t="str">
        <f>VZ!D51</f>
        <v>total</v>
      </c>
      <c r="E93" s="206">
        <f>VZ!E51</f>
        <v>0</v>
      </c>
      <c r="F93" s="207"/>
    </row>
    <row r="94" spans="1:8" ht="13.5" thickBot="1" x14ac:dyDescent="0.25">
      <c r="B94" s="200"/>
      <c r="C94" s="200"/>
      <c r="D94" s="201"/>
      <c r="E94" s="202"/>
      <c r="F94" s="203"/>
    </row>
    <row r="95" spans="1:8" ht="13.5" thickBot="1" x14ac:dyDescent="0.25">
      <c r="B95" s="82" t="str">
        <f>Sprache!B153</f>
        <v>Total Sky-Frame elements</v>
      </c>
      <c r="C95" s="82"/>
      <c r="D95" s="83"/>
      <c r="E95" s="84" t="str">
        <f>CONCATENATE(Sprache!$B$31," ",UPPER(MONTAGE!$P$3)," ",Sprache!B95)</f>
        <v>total USD excluding TAX</v>
      </c>
      <c r="F95" s="85">
        <f ca="1">SUM(F9:F93)</f>
        <v>0</v>
      </c>
      <c r="H95" s="104"/>
    </row>
    <row r="96" spans="1:8" x14ac:dyDescent="0.2">
      <c r="H96" s="104"/>
    </row>
    <row r="97" spans="8:8" x14ac:dyDescent="0.2">
      <c r="H97" s="104"/>
    </row>
  </sheetData>
  <sheetProtection formatRows="0" selectLockedCells="1"/>
  <mergeCells count="43">
    <mergeCell ref="A91:A92"/>
    <mergeCell ref="A49:A50"/>
    <mergeCell ref="A53:A54"/>
    <mergeCell ref="A55:A56"/>
    <mergeCell ref="A57:A58"/>
    <mergeCell ref="A59:A60"/>
    <mergeCell ref="A75:A76"/>
    <mergeCell ref="A77:A78"/>
    <mergeCell ref="A79:A80"/>
    <mergeCell ref="A71:A72"/>
    <mergeCell ref="A73:A74"/>
    <mergeCell ref="A89:A90"/>
    <mergeCell ref="A85:A86"/>
    <mergeCell ref="A83:A84"/>
    <mergeCell ref="A87:A88"/>
    <mergeCell ref="A81:A82"/>
    <mergeCell ref="A37:A38"/>
    <mergeCell ref="A41:A42"/>
    <mergeCell ref="A43:A44"/>
    <mergeCell ref="A45:A46"/>
    <mergeCell ref="A47:A48"/>
    <mergeCell ref="A19:A20"/>
    <mergeCell ref="A63:A64"/>
    <mergeCell ref="A65:A66"/>
    <mergeCell ref="A67:A68"/>
    <mergeCell ref="A69:A70"/>
    <mergeCell ref="A21:A22"/>
    <mergeCell ref="A23:A24"/>
    <mergeCell ref="A25:A26"/>
    <mergeCell ref="A27:A28"/>
    <mergeCell ref="A61:A62"/>
    <mergeCell ref="A51:A52"/>
    <mergeCell ref="A39:A40"/>
    <mergeCell ref="A29:A30"/>
    <mergeCell ref="A31:A32"/>
    <mergeCell ref="A33:A34"/>
    <mergeCell ref="A35:A36"/>
    <mergeCell ref="B6:F6"/>
    <mergeCell ref="A17:A18"/>
    <mergeCell ref="A15:A16"/>
    <mergeCell ref="A13:A14"/>
    <mergeCell ref="A11:A12"/>
    <mergeCell ref="A9:A10"/>
  </mergeCells>
  <phoneticPr fontId="0" type="noConversion"/>
  <pageMargins left="0.62992125984251968" right="0.43307086614173229" top="0.47244094488188981" bottom="0.47244094488188981" header="0.31496062992125984" footer="0.19685039370078741"/>
  <pageSetup paperSize="9" orientation="portrait" horizontalDpi="4294967295" verticalDpi="4294967295" r:id="rId1"/>
  <headerFooter>
    <oddHeader>&amp;L&amp;G</oddHeader>
    <oddFooter>&amp;LSeite &amp;P von &amp;N&amp;R&amp;D</oddFoot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0"/>
  <dimension ref="A3:G71"/>
  <sheetViews>
    <sheetView showZeros="0" zoomScaleNormal="100" workbookViewId="0"/>
  </sheetViews>
  <sheetFormatPr defaultColWidth="11.42578125" defaultRowHeight="12.75" x14ac:dyDescent="0.2"/>
  <cols>
    <col min="1" max="1" width="3.7109375" style="57" customWidth="1"/>
    <col min="2" max="2" width="5.42578125" style="1" customWidth="1"/>
    <col min="3" max="3" width="50.42578125" style="1" customWidth="1"/>
    <col min="4" max="4" width="6.28515625" style="1" customWidth="1"/>
    <col min="5" max="5" width="7.5703125" style="1" customWidth="1"/>
    <col min="6" max="6" width="11.42578125" style="1" customWidth="1"/>
    <col min="7" max="7" width="13.28515625" style="1" customWidth="1"/>
    <col min="8" max="16384" width="11.42578125" style="1"/>
  </cols>
  <sheetData>
    <row r="3" spans="2:7" x14ac:dyDescent="0.2">
      <c r="B3" s="2" t="str">
        <f>Sprache!D1</f>
        <v>Company… (please adapt in Sprache D1)</v>
      </c>
      <c r="C3" s="2"/>
      <c r="D3" s="2"/>
      <c r="E3" s="2"/>
      <c r="F3" s="2"/>
      <c r="G3" s="2"/>
    </row>
    <row r="6" spans="2:7" x14ac:dyDescent="0.2">
      <c r="B6" s="473" t="str">
        <f>VZ!B6:F6</f>
        <v/>
      </c>
      <c r="C6" s="473"/>
      <c r="D6" s="473"/>
      <c r="E6" s="473"/>
      <c r="F6" s="473"/>
      <c r="G6" s="473"/>
    </row>
    <row r="7" spans="2:7" x14ac:dyDescent="0.2">
      <c r="B7" s="68"/>
      <c r="C7" s="68"/>
      <c r="D7" s="68"/>
      <c r="E7" s="68"/>
    </row>
    <row r="8" spans="2:7" ht="13.5" thickBot="1" x14ac:dyDescent="0.25">
      <c r="B8" s="2" t="str">
        <f>Sprache!B156</f>
        <v>substructure and equipment</v>
      </c>
      <c r="D8" s="3" t="str">
        <f>VZ!$D$8</f>
        <v>unit</v>
      </c>
      <c r="F8" s="3" t="str">
        <f>VZ!$E$8</f>
        <v xml:space="preserve">USD/unit </v>
      </c>
      <c r="G8" s="3" t="str">
        <f>VZ!$F$8</f>
        <v>total USD</v>
      </c>
    </row>
    <row r="9" spans="2:7" hidden="1" x14ac:dyDescent="0.2"/>
    <row r="10" spans="2:7" hidden="1" x14ac:dyDescent="0.2">
      <c r="B10" s="86" t="str">
        <f>VZ!$B$8</f>
        <v>item</v>
      </c>
      <c r="C10" s="2" t="str">
        <f>VZ!$C$8</f>
        <v>text</v>
      </c>
      <c r="D10" s="87"/>
      <c r="E10" s="87" t="str">
        <f>VZ!$D$8</f>
        <v>unit</v>
      </c>
      <c r="F10" s="87" t="str">
        <f>VZ!$E$8</f>
        <v xml:space="preserve">USD/unit </v>
      </c>
      <c r="G10" s="87" t="str">
        <f>VZ!$F$8</f>
        <v>total USD</v>
      </c>
    </row>
    <row r="11" spans="2:7" hidden="1" x14ac:dyDescent="0.2">
      <c r="B11" s="68">
        <f>OPTION!$A$3</f>
        <v>1</v>
      </c>
      <c r="C11" s="412" t="str">
        <f>OPTION!$B$3</f>
        <v>BRACKETS</v>
      </c>
      <c r="D11" s="89"/>
      <c r="E11" s="89"/>
      <c r="F11" s="88"/>
      <c r="G11" s="88"/>
    </row>
    <row r="12" spans="2:7" hidden="1" x14ac:dyDescent="0.2">
      <c r="B12" s="90"/>
      <c r="C12" s="413" t="str">
        <f>OPTION!$C$3</f>
        <v>brackets for sill 135mm</v>
      </c>
      <c r="D12" s="98" t="str">
        <f>OPTION!$D$3</f>
        <v>unit</v>
      </c>
      <c r="E12" s="91" t="str">
        <f>MONTAGE!$W$48</f>
        <v>per</v>
      </c>
      <c r="F12" s="92">
        <f>OPTION!$I$3</f>
        <v>24.6</v>
      </c>
      <c r="G12" s="92">
        <f>IF(E12=Sprache!$B$86,0,
IF(ELEMENT!$X$47=ELEMENT!$CJ$65,
ROUND(E12*F12*2,1)/2,
ROUND(E12*F12,2)))</f>
        <v>0</v>
      </c>
    </row>
    <row r="13" spans="2:7" hidden="1" x14ac:dyDescent="0.2">
      <c r="B13" s="68">
        <f>OPTION!$A$4</f>
        <v>2</v>
      </c>
      <c r="C13" s="412" t="str">
        <f>OPTION!$B$4</f>
        <v>GUTTER</v>
      </c>
      <c r="D13" s="89"/>
      <c r="E13" s="99"/>
      <c r="F13" s="93"/>
      <c r="G13" s="88"/>
    </row>
    <row r="14" spans="2:7" hidden="1" x14ac:dyDescent="0.2">
      <c r="B14" s="90"/>
      <c r="C14" s="413" t="str">
        <f>OPTION!$C$4</f>
        <v>gutter, aluminum extrusion, stst grid cover</v>
      </c>
      <c r="D14" s="100" t="str">
        <f>OPTION!$D$4</f>
        <v>m</v>
      </c>
      <c r="E14" s="91" t="str">
        <f>MONTAGE!$Y$48</f>
        <v>per</v>
      </c>
      <c r="F14" s="92">
        <f>OPTION!$I$4</f>
        <v>199</v>
      </c>
      <c r="G14" s="92">
        <f>IF(E14=Sprache!$B$86,0,
IF(ELEMENT!$X$47=ELEMENT!$CJ$65,
ROUND(E14*F14*2,1)/2,
ROUND(E14*F14,2)))</f>
        <v>0</v>
      </c>
    </row>
    <row r="15" spans="2:7" hidden="1" x14ac:dyDescent="0.2">
      <c r="B15" s="68">
        <f>OPTION!$A$5</f>
        <v>3</v>
      </c>
      <c r="C15" s="414" t="str">
        <f>OPTION!$B$5</f>
        <v>ELECTRIC DRIVE</v>
      </c>
      <c r="D15" s="89"/>
      <c r="E15" s="99"/>
      <c r="F15" s="93"/>
      <c r="G15" s="88"/>
    </row>
    <row r="16" spans="2:7" hidden="1" x14ac:dyDescent="0.2">
      <c r="B16" s="90"/>
      <c r="C16" s="413" t="str">
        <f>OPTION!$C$5</f>
        <v>electric drive, 1 motor per leave, including internal wireing</v>
      </c>
      <c r="D16" s="100" t="str">
        <f>OPTION!$D$5</f>
        <v>unit</v>
      </c>
      <c r="E16" s="91" t="str">
        <f>MONTAGE!$AA$48</f>
        <v>per</v>
      </c>
      <c r="F16" s="92">
        <f>OPTION!$I$5</f>
        <v>3458</v>
      </c>
      <c r="G16" s="92">
        <f>IF(E16=Sprache!$B$86,0,
IF(ELEMENT!$X$47=ELEMENT!$CJ$65,
ROUND(E16*F16*2,1)/2,
ROUND(E16*F16,2)))</f>
        <v>0</v>
      </c>
    </row>
    <row r="17" spans="2:7" hidden="1" x14ac:dyDescent="0.2">
      <c r="B17" s="68">
        <f>OPTION!$A$6</f>
        <v>4</v>
      </c>
      <c r="C17" s="412" t="str">
        <f>OPTION!$B$6</f>
        <v>Universal screws 7.5 x 52 A2</v>
      </c>
      <c r="D17" s="89"/>
      <c r="E17" s="99"/>
      <c r="F17" s="93"/>
      <c r="G17" s="88"/>
    </row>
    <row r="18" spans="2:7" ht="25.5" hidden="1" x14ac:dyDescent="0.2">
      <c r="B18" s="90"/>
      <c r="C18" s="413" t="str">
        <f>OPTION!$C$6</f>
        <v>Universal screws (Inox) A2 for wooden and concrete surfaces. Pack. = 100 pcs.</v>
      </c>
      <c r="D18" s="100" t="str">
        <f>OPTION!$D$6</f>
        <v>box</v>
      </c>
      <c r="E18" s="91" t="str">
        <f>MONTAGE!$AC$48</f>
        <v>per</v>
      </c>
      <c r="F18" s="92">
        <f>OPTION!$I$6</f>
        <v>138</v>
      </c>
      <c r="G18" s="92">
        <f>IF(E18=Sprache!$B$86,0,
IF(ELEMENT!$X$47=ELEMENT!$CJ$65,
ROUND(E18*F18*2,1)/2,
ROUND(E18*F18,2)))</f>
        <v>0</v>
      </c>
    </row>
    <row r="19" spans="2:7" hidden="1" x14ac:dyDescent="0.2">
      <c r="B19" s="68">
        <f>OPTION!$A$7</f>
        <v>5</v>
      </c>
      <c r="C19" s="412" t="str">
        <f>OPTION!$B$7</f>
        <v>Assembly Fee</v>
      </c>
      <c r="D19" s="89"/>
      <c r="E19" s="99"/>
      <c r="F19" s="93"/>
      <c r="G19" s="88"/>
    </row>
    <row r="20" spans="2:7" ht="51" hidden="1" x14ac:dyDescent="0.2">
      <c r="B20" s="90"/>
      <c r="C20" s="413" t="str">
        <f>OPTION!$C$7</f>
        <v>Weekly assembly instruction fee plus expenses (hotel, rental car, meals) by an certified Sky-Frame master installer
(See note for Installation Support)</v>
      </c>
      <c r="D20" s="100" t="str">
        <f>OPTION!$D$7</f>
        <v>unit</v>
      </c>
      <c r="E20" s="91" t="str">
        <f>MONTAGE!$AE$48</f>
        <v>per</v>
      </c>
      <c r="F20" s="92">
        <f>OPTION!$I$7</f>
        <v>5000</v>
      </c>
      <c r="G20" s="92">
        <f>IF(E20=Sprache!$B$86,0,
IF(ELEMENT!$X$47=ELEMENT!$CJ$65,
ROUND(E20*F20*2,1)/2,
ROUND(E20*F20,2)))</f>
        <v>0</v>
      </c>
    </row>
    <row r="21" spans="2:7" hidden="1" x14ac:dyDescent="0.2">
      <c r="B21" s="68">
        <f>OPTION!$A$8</f>
        <v>0</v>
      </c>
      <c r="C21" s="412">
        <f>OPTION!$B$8</f>
        <v>0</v>
      </c>
      <c r="D21" s="89"/>
      <c r="E21" s="99"/>
      <c r="F21" s="93"/>
      <c r="G21" s="88"/>
    </row>
    <row r="22" spans="2:7" hidden="1" x14ac:dyDescent="0.2">
      <c r="B22" s="90"/>
      <c r="C22" s="413">
        <f>OPTION!$C$8</f>
        <v>0</v>
      </c>
      <c r="D22" s="100">
        <f>OPTION!$D$8</f>
        <v>0</v>
      </c>
      <c r="E22" s="91">
        <f>MONTAGE!$AG$48</f>
        <v>0</v>
      </c>
      <c r="F22" s="92">
        <f>OPTION!$I$8</f>
        <v>0</v>
      </c>
      <c r="G22" s="92">
        <f>IF(E22=Sprache!$B$86,0,
IF(ELEMENT!$X$47=ELEMENT!$CJ$65,
ROUND(E22*F22*2,1)/2,
ROUND(E22*F22,2)))</f>
        <v>0</v>
      </c>
    </row>
    <row r="23" spans="2:7" hidden="1" x14ac:dyDescent="0.2">
      <c r="B23" s="68">
        <f>OPTION!$A$9</f>
        <v>0</v>
      </c>
      <c r="C23" s="412">
        <f>OPTION!$B$9</f>
        <v>0</v>
      </c>
      <c r="D23" s="89"/>
      <c r="E23" s="99"/>
      <c r="F23" s="93"/>
      <c r="G23" s="88"/>
    </row>
    <row r="24" spans="2:7" hidden="1" x14ac:dyDescent="0.2">
      <c r="B24" s="90"/>
      <c r="C24" s="413">
        <f>OPTION!$C$9</f>
        <v>0</v>
      </c>
      <c r="D24" s="100">
        <f>OPTION!$D$9</f>
        <v>0</v>
      </c>
      <c r="E24" s="91">
        <f>MONTAGE!$AI$48</f>
        <v>0</v>
      </c>
      <c r="F24" s="92">
        <f>OPTION!$I$9</f>
        <v>0</v>
      </c>
      <c r="G24" s="92">
        <f>IF(E24=Sprache!$B$86,0,
IF(ELEMENT!$X$47=ELEMENT!$CJ$65,
ROUND(E24*F24*2,1)/2,
ROUND(E24*F24,2)))</f>
        <v>0</v>
      </c>
    </row>
    <row r="25" spans="2:7" hidden="1" x14ac:dyDescent="0.2">
      <c r="B25" s="68">
        <f>OPTION!$A$10</f>
        <v>0</v>
      </c>
      <c r="C25" s="412">
        <f>OPTION!$B$10</f>
        <v>0</v>
      </c>
      <c r="D25" s="89"/>
      <c r="E25" s="99"/>
      <c r="F25" s="93"/>
      <c r="G25" s="88"/>
    </row>
    <row r="26" spans="2:7" hidden="1" x14ac:dyDescent="0.2">
      <c r="B26" s="90"/>
      <c r="C26" s="413">
        <f>OPTION!$C$10</f>
        <v>0</v>
      </c>
      <c r="D26" s="100">
        <f>OPTION!$D$10</f>
        <v>0</v>
      </c>
      <c r="E26" s="91">
        <f>MONTAGE!$AK$48</f>
        <v>0</v>
      </c>
      <c r="F26" s="92">
        <f>OPTION!$I$10</f>
        <v>0</v>
      </c>
      <c r="G26" s="92">
        <f>IF(E26=Sprache!$B$86,0,
IF(ELEMENT!$X$47=ELEMENT!$CJ$65,
ROUND(E26*F26*2,1)/2,
ROUND(E26*F26,2)))</f>
        <v>0</v>
      </c>
    </row>
    <row r="27" spans="2:7" hidden="1" x14ac:dyDescent="0.2">
      <c r="B27" s="68">
        <f>OPTION!$A$11</f>
        <v>0</v>
      </c>
      <c r="C27" s="412">
        <f>OPTION!$B$11</f>
        <v>0</v>
      </c>
      <c r="D27" s="89"/>
      <c r="E27" s="99"/>
      <c r="F27" s="93"/>
      <c r="G27" s="88"/>
    </row>
    <row r="28" spans="2:7" hidden="1" x14ac:dyDescent="0.2">
      <c r="B28" s="90"/>
      <c r="C28" s="413">
        <f>OPTION!$C$11</f>
        <v>0</v>
      </c>
      <c r="D28" s="98">
        <f>OPTION!$D$11</f>
        <v>0</v>
      </c>
      <c r="E28" s="91">
        <f>MONTAGE!$AM$48</f>
        <v>0</v>
      </c>
      <c r="F28" s="92">
        <f>OPTION!$I$11</f>
        <v>0</v>
      </c>
      <c r="G28" s="92">
        <f>IF(E28=Sprache!$B$86,0,
IF(ELEMENT!$X$47=ELEMENT!$CJ$65,
ROUND(E28*F28*2,1)/2,
ROUND(E28*F28,2)))</f>
        <v>0</v>
      </c>
    </row>
    <row r="29" spans="2:7" hidden="1" x14ac:dyDescent="0.2">
      <c r="B29" s="68">
        <f>OPTION!$A$12</f>
        <v>0</v>
      </c>
      <c r="C29" s="412">
        <f>OPTION!$B$12</f>
        <v>0</v>
      </c>
      <c r="D29" s="89"/>
      <c r="E29" s="99"/>
      <c r="F29" s="93"/>
      <c r="G29" s="88"/>
    </row>
    <row r="30" spans="2:7" hidden="1" x14ac:dyDescent="0.2">
      <c r="B30" s="90"/>
      <c r="C30" s="413">
        <f>OPTION!$C$12</f>
        <v>0</v>
      </c>
      <c r="D30" s="98">
        <f>OPTION!$D$12</f>
        <v>0</v>
      </c>
      <c r="E30" s="91">
        <f>MONTAGE!$AO$48</f>
        <v>0</v>
      </c>
      <c r="F30" s="92">
        <f>OPTION!$I$12</f>
        <v>0</v>
      </c>
      <c r="G30" s="92">
        <f>IF(E30=Sprache!$B$86,0,
IF(ELEMENT!$X$47=ELEMENT!$CJ$65,
ROUND(E30*F30*2,1)/2,
ROUND(E30*F30,2)))</f>
        <v>0</v>
      </c>
    </row>
    <row r="31" spans="2:7" hidden="1" x14ac:dyDescent="0.2">
      <c r="B31" s="68">
        <f>OPTION!$A$13</f>
        <v>0</v>
      </c>
      <c r="C31" s="412">
        <f>OPTION!$B$13</f>
        <v>0</v>
      </c>
      <c r="D31" s="89"/>
      <c r="E31" s="99"/>
      <c r="F31" s="93"/>
      <c r="G31" s="88"/>
    </row>
    <row r="32" spans="2:7" hidden="1" x14ac:dyDescent="0.2">
      <c r="B32" s="90"/>
      <c r="C32" s="413">
        <f>OPTION!$C$13</f>
        <v>0</v>
      </c>
      <c r="D32" s="98">
        <f>OPTION!$D$13</f>
        <v>0</v>
      </c>
      <c r="E32" s="91">
        <f>MONTAGE!$AQ$48</f>
        <v>0</v>
      </c>
      <c r="F32" s="92">
        <f>OPTION!$I$13</f>
        <v>0</v>
      </c>
      <c r="G32" s="92">
        <f>IF(E32=Sprache!$B$86,0,
IF(ELEMENT!$X$47=ELEMENT!$CJ$65,
ROUND(E32*F32*2,1)/2,
ROUND(E32*F32,2)))</f>
        <v>0</v>
      </c>
    </row>
    <row r="33" spans="2:7" hidden="1" x14ac:dyDescent="0.2">
      <c r="B33" s="68">
        <f>OPTION!$A$14</f>
        <v>0</v>
      </c>
      <c r="C33" s="412">
        <f>OPTION!$B$14</f>
        <v>0</v>
      </c>
      <c r="D33" s="89"/>
      <c r="E33" s="99"/>
      <c r="F33" s="93"/>
      <c r="G33" s="88"/>
    </row>
    <row r="34" spans="2:7" hidden="1" x14ac:dyDescent="0.2">
      <c r="B34" s="90"/>
      <c r="C34" s="413">
        <f>OPTION!$C$14</f>
        <v>0</v>
      </c>
      <c r="D34" s="98">
        <f>OPTION!$D$14</f>
        <v>0</v>
      </c>
      <c r="E34" s="91">
        <f>MONTAGE!$AS$48</f>
        <v>0</v>
      </c>
      <c r="F34" s="92">
        <f>OPTION!$I$14</f>
        <v>0</v>
      </c>
      <c r="G34" s="92">
        <f>IF(E34=Sprache!$B$86,0,
IF(ELEMENT!$X$47=ELEMENT!$CJ$65,
ROUND(E34*F34*2,1)/2,
ROUND(E34*F34,2)))</f>
        <v>0</v>
      </c>
    </row>
    <row r="35" spans="2:7" hidden="1" x14ac:dyDescent="0.2">
      <c r="B35" s="68">
        <f>OPTION!$A$15</f>
        <v>0</v>
      </c>
      <c r="C35" s="412">
        <f>OPTION!$B$15</f>
        <v>0</v>
      </c>
      <c r="D35" s="89"/>
      <c r="E35" s="99"/>
      <c r="F35" s="93"/>
      <c r="G35" s="88"/>
    </row>
    <row r="36" spans="2:7" hidden="1" x14ac:dyDescent="0.2">
      <c r="B36" s="90"/>
      <c r="C36" s="413">
        <f>OPTION!$C$15</f>
        <v>0</v>
      </c>
      <c r="D36" s="98">
        <f>OPTION!$D$15</f>
        <v>0</v>
      </c>
      <c r="E36" s="91">
        <f>MONTAGE!$AU$48</f>
        <v>0</v>
      </c>
      <c r="F36" s="92">
        <f>OPTION!$I$15</f>
        <v>0</v>
      </c>
      <c r="G36" s="92">
        <f>IF(E36=Sprache!$B$86,0,
IF(ELEMENT!$X$47=ELEMENT!$CJ$65,
ROUND(E36*F36*2,1)/2,
ROUND(E36*F36,2)))</f>
        <v>0</v>
      </c>
    </row>
    <row r="37" spans="2:7" hidden="1" x14ac:dyDescent="0.2">
      <c r="B37" s="68">
        <f>OPTION!$A$16</f>
        <v>0</v>
      </c>
      <c r="C37" s="412">
        <f>OPTION!$B$16</f>
        <v>0</v>
      </c>
      <c r="D37" s="89"/>
      <c r="E37" s="99"/>
      <c r="F37" s="93"/>
      <c r="G37" s="88"/>
    </row>
    <row r="38" spans="2:7" hidden="1" x14ac:dyDescent="0.2">
      <c r="B38" s="90"/>
      <c r="C38" s="413">
        <f>OPTION!$C$16</f>
        <v>0</v>
      </c>
      <c r="D38" s="98">
        <f>OPTION!$D$16</f>
        <v>0</v>
      </c>
      <c r="E38" s="91">
        <f>MONTAGE!$AW$48</f>
        <v>0</v>
      </c>
      <c r="F38" s="92">
        <f>OPTION!$I$16</f>
        <v>0</v>
      </c>
      <c r="G38" s="92">
        <f>IF(E38=Sprache!$B$86,0,
IF(ELEMENT!$X$47=ELEMENT!$CJ$65,
ROUND(E38*F38*2,1)/2,
ROUND(E38*F38,2)))</f>
        <v>0</v>
      </c>
    </row>
    <row r="39" spans="2:7" hidden="1" x14ac:dyDescent="0.2">
      <c r="B39" s="68">
        <f>OPTION!$A$17</f>
        <v>0</v>
      </c>
      <c r="C39" s="412">
        <f>OPTION!$B$17</f>
        <v>0</v>
      </c>
      <c r="D39" s="89"/>
      <c r="E39" s="99"/>
      <c r="F39" s="93"/>
      <c r="G39" s="88"/>
    </row>
    <row r="40" spans="2:7" hidden="1" x14ac:dyDescent="0.2">
      <c r="B40" s="90"/>
      <c r="C40" s="413">
        <f>OPTION!$C$17</f>
        <v>0</v>
      </c>
      <c r="D40" s="98">
        <f>OPTION!$D$17</f>
        <v>0</v>
      </c>
      <c r="E40" s="91">
        <f>MONTAGE!$AY$48</f>
        <v>0</v>
      </c>
      <c r="F40" s="92">
        <f>OPTION!$I$17</f>
        <v>0</v>
      </c>
      <c r="G40" s="92">
        <f>IF(E40=Sprache!$B$86,0,
IF(ELEMENT!$X$47=ELEMENT!$CJ$65,
ROUND(E40*F40*2,1)/2,
ROUND(E40*F40,2)))</f>
        <v>0</v>
      </c>
    </row>
    <row r="41" spans="2:7" hidden="1" x14ac:dyDescent="0.2">
      <c r="B41" s="68">
        <f>OPTION!$A$18</f>
        <v>0</v>
      </c>
      <c r="C41" s="412">
        <f>OPTION!$B$18</f>
        <v>0</v>
      </c>
      <c r="D41" s="89"/>
      <c r="E41" s="99"/>
      <c r="F41" s="93"/>
      <c r="G41" s="88"/>
    </row>
    <row r="42" spans="2:7" hidden="1" x14ac:dyDescent="0.2">
      <c r="B42" s="90"/>
      <c r="C42" s="413">
        <f>OPTION!$C$18</f>
        <v>0</v>
      </c>
      <c r="D42" s="98">
        <f>OPTION!$D$18</f>
        <v>0</v>
      </c>
      <c r="E42" s="91">
        <f>MONTAGE!$BA$48</f>
        <v>0</v>
      </c>
      <c r="F42" s="92">
        <f>OPTION!$I$18</f>
        <v>0</v>
      </c>
      <c r="G42" s="92">
        <f>IF(E42=Sprache!$B$86,0,
IF(ELEMENT!$X$47=ELEMENT!$CJ$65,
ROUND(E42*F42*2,1)/2,
ROUND(E42*F42,2)))</f>
        <v>0</v>
      </c>
    </row>
    <row r="43" spans="2:7" hidden="1" x14ac:dyDescent="0.2">
      <c r="B43" s="68">
        <f>OPTION!$A$19</f>
        <v>0</v>
      </c>
      <c r="C43" s="412">
        <f>OPTION!$B$19</f>
        <v>0</v>
      </c>
      <c r="D43" s="89"/>
      <c r="E43" s="99"/>
      <c r="F43" s="93"/>
      <c r="G43" s="88"/>
    </row>
    <row r="44" spans="2:7" hidden="1" x14ac:dyDescent="0.2">
      <c r="B44" s="90"/>
      <c r="C44" s="413">
        <f>OPTION!$C$19</f>
        <v>0</v>
      </c>
      <c r="D44" s="98">
        <f>OPTION!$D$19</f>
        <v>0</v>
      </c>
      <c r="E44" s="91">
        <f>MONTAGE!$BC$48</f>
        <v>0</v>
      </c>
      <c r="F44" s="92">
        <f>OPTION!$I$19</f>
        <v>0</v>
      </c>
      <c r="G44" s="92">
        <f>IF(E44=Sprache!$B$86,0,
IF(ELEMENT!$X$47=ELEMENT!$CJ$65,
ROUND(E44*F44*2,1)/2,
ROUND(E44*F44,2)))</f>
        <v>0</v>
      </c>
    </row>
    <row r="45" spans="2:7" hidden="1" x14ac:dyDescent="0.2">
      <c r="B45" s="68">
        <f>OPTION!$A$20</f>
        <v>0</v>
      </c>
      <c r="C45" s="412">
        <f>OPTION!$B$20</f>
        <v>0</v>
      </c>
      <c r="D45" s="89"/>
      <c r="E45" s="99"/>
      <c r="F45" s="93"/>
      <c r="G45" s="88"/>
    </row>
    <row r="46" spans="2:7" hidden="1" x14ac:dyDescent="0.2">
      <c r="B46" s="90"/>
      <c r="C46" s="413">
        <f>OPTION!$C$20</f>
        <v>0</v>
      </c>
      <c r="D46" s="98">
        <f>OPTION!$D$20</f>
        <v>0</v>
      </c>
      <c r="E46" s="91">
        <f>MONTAGE!$BE$48</f>
        <v>0</v>
      </c>
      <c r="F46" s="92">
        <f>OPTION!$I$20</f>
        <v>0</v>
      </c>
      <c r="G46" s="92">
        <f>IF(E46=Sprache!$B$86,0,
IF(ELEMENT!$X$47=ELEMENT!$CJ$65,
ROUND(E46*F46*2,1)/2,
ROUND(E46*F46,2)))</f>
        <v>0</v>
      </c>
    </row>
    <row r="47" spans="2:7" hidden="1" x14ac:dyDescent="0.2">
      <c r="B47" s="68">
        <f>OPTION!$A$21</f>
        <v>0</v>
      </c>
      <c r="C47" s="412">
        <f>OPTION!$B$21</f>
        <v>0</v>
      </c>
      <c r="D47" s="89"/>
      <c r="E47" s="99"/>
      <c r="F47" s="93"/>
      <c r="G47" s="88"/>
    </row>
    <row r="48" spans="2:7" hidden="1" x14ac:dyDescent="0.2">
      <c r="B48" s="90"/>
      <c r="C48" s="413">
        <f>OPTION!$C$21</f>
        <v>0</v>
      </c>
      <c r="D48" s="98">
        <f>OPTION!$D$21</f>
        <v>0</v>
      </c>
      <c r="E48" s="91">
        <f>MONTAGE!$BG$48</f>
        <v>0</v>
      </c>
      <c r="F48" s="92">
        <f>OPTION!$I$21</f>
        <v>0</v>
      </c>
      <c r="G48" s="92">
        <f>IF(E48=Sprache!$B$86,0,
IF(ELEMENT!$X$47=ELEMENT!$CJ$65,
ROUND(E48*F48*2,1)/2,
ROUND(E48*F48,2)))</f>
        <v>0</v>
      </c>
    </row>
    <row r="49" spans="2:7" hidden="1" x14ac:dyDescent="0.2">
      <c r="B49" s="68">
        <f>OPTION!$A$22</f>
        <v>0</v>
      </c>
      <c r="C49" s="412">
        <f>OPTION!$B$22</f>
        <v>0</v>
      </c>
      <c r="D49" s="89"/>
      <c r="E49" s="99"/>
      <c r="F49" s="93"/>
      <c r="G49" s="88"/>
    </row>
    <row r="50" spans="2:7" hidden="1" x14ac:dyDescent="0.2">
      <c r="B50" s="90"/>
      <c r="C50" s="413">
        <f>OPTION!$C$22</f>
        <v>0</v>
      </c>
      <c r="D50" s="98">
        <f>OPTION!$D$22</f>
        <v>0</v>
      </c>
      <c r="E50" s="91">
        <f>MONTAGE!$BI$48</f>
        <v>0</v>
      </c>
      <c r="F50" s="92">
        <f>OPTION!$I$22</f>
        <v>0</v>
      </c>
      <c r="G50" s="92">
        <f>IF(E50=Sprache!$B$86,0,
IF(ELEMENT!$X$47=ELEMENT!$CJ$65,
ROUND(E50*F50*2,1)/2,
ROUND(E50*F50,2)))</f>
        <v>0</v>
      </c>
    </row>
    <row r="51" spans="2:7" hidden="1" x14ac:dyDescent="0.2">
      <c r="B51" s="68">
        <f>OPTION!$A$23</f>
        <v>0</v>
      </c>
      <c r="C51" s="412">
        <f>OPTION!$B$23</f>
        <v>0</v>
      </c>
      <c r="D51" s="89"/>
      <c r="E51" s="99"/>
      <c r="F51" s="93"/>
      <c r="G51" s="88"/>
    </row>
    <row r="52" spans="2:7" hidden="1" x14ac:dyDescent="0.2">
      <c r="B52" s="90"/>
      <c r="C52" s="413">
        <f>OPTION!$C$23</f>
        <v>0</v>
      </c>
      <c r="D52" s="98">
        <f>OPTION!$D$23</f>
        <v>0</v>
      </c>
      <c r="E52" s="91">
        <f>MONTAGE!$BK$48</f>
        <v>0</v>
      </c>
      <c r="F52" s="92">
        <f>OPTION!$I$23</f>
        <v>0</v>
      </c>
      <c r="G52" s="92">
        <f>IF(E52=Sprache!$B$86,0,
IF(ELEMENT!$X$47=ELEMENT!$CJ$65,
ROUND(E52*F52*2,1)/2,
ROUND(E52*F52,2)))</f>
        <v>0</v>
      </c>
    </row>
    <row r="53" spans="2:7" hidden="1" x14ac:dyDescent="0.2">
      <c r="B53" s="68">
        <f>OPTION!$A$24</f>
        <v>0</v>
      </c>
      <c r="C53" s="412">
        <f>OPTION!$B$24</f>
        <v>0</v>
      </c>
      <c r="D53" s="89"/>
      <c r="E53" s="99"/>
      <c r="F53" s="93"/>
      <c r="G53" s="88"/>
    </row>
    <row r="54" spans="2:7" hidden="1" x14ac:dyDescent="0.2">
      <c r="B54" s="90"/>
      <c r="C54" s="413">
        <f>OPTION!$C$24</f>
        <v>0</v>
      </c>
      <c r="D54" s="98">
        <f>OPTION!$D$24</f>
        <v>0</v>
      </c>
      <c r="E54" s="91">
        <f>MONTAGE!$BM$48</f>
        <v>0</v>
      </c>
      <c r="F54" s="92">
        <f>OPTION!$I$24</f>
        <v>0</v>
      </c>
      <c r="G54" s="92">
        <f>IF(E54=Sprache!$B$86,0,
IF(ELEMENT!$X$47=ELEMENT!$CJ$65,
ROUND(E54*F54*2,1)/2,
ROUND(E54*F54,2)))</f>
        <v>0</v>
      </c>
    </row>
    <row r="55" spans="2:7" hidden="1" x14ac:dyDescent="0.2">
      <c r="B55" s="68">
        <f>OPTION!$A$25</f>
        <v>0</v>
      </c>
      <c r="C55" s="412">
        <f>OPTION!$B$25</f>
        <v>0</v>
      </c>
      <c r="D55" s="89"/>
      <c r="E55" s="99"/>
      <c r="F55" s="93"/>
      <c r="G55" s="88"/>
    </row>
    <row r="56" spans="2:7" hidden="1" x14ac:dyDescent="0.2">
      <c r="B56" s="90"/>
      <c r="C56" s="413">
        <f>OPTION!$C$25</f>
        <v>0</v>
      </c>
      <c r="D56" s="98">
        <f>OPTION!$D$25</f>
        <v>0</v>
      </c>
      <c r="E56" s="91">
        <f>MONTAGE!$BO$48</f>
        <v>0</v>
      </c>
      <c r="F56" s="92">
        <f>OPTION!$I$25</f>
        <v>0</v>
      </c>
      <c r="G56" s="92">
        <f>IF(E56=Sprache!$B$86,0,
IF(ELEMENT!$X$47=ELEMENT!$CJ$65,
ROUND(E56*F56*2,1)/2,
ROUND(E56*F56,2)))</f>
        <v>0</v>
      </c>
    </row>
    <row r="57" spans="2:7" hidden="1" x14ac:dyDescent="0.2">
      <c r="B57" s="68">
        <f>OPTION!$A$26</f>
        <v>0</v>
      </c>
      <c r="C57" s="412">
        <f>OPTION!$B$26</f>
        <v>0</v>
      </c>
      <c r="D57" s="89"/>
      <c r="E57" s="99"/>
      <c r="F57" s="93"/>
      <c r="G57" s="88"/>
    </row>
    <row r="58" spans="2:7" hidden="1" x14ac:dyDescent="0.2">
      <c r="B58" s="90"/>
      <c r="C58" s="413">
        <f>OPTION!$C$26</f>
        <v>0</v>
      </c>
      <c r="D58" s="98">
        <f>OPTION!$D$26</f>
        <v>0</v>
      </c>
      <c r="E58" s="91">
        <f>MONTAGE!$BQ$48</f>
        <v>0</v>
      </c>
      <c r="F58" s="92">
        <f>OPTION!$I$26</f>
        <v>0</v>
      </c>
      <c r="G58" s="92">
        <f>IF(E58=Sprache!$B$86,0,
IF(ELEMENT!$X$47=ELEMENT!$CJ$65,
ROUND(E58*F58*2,1)/2,
ROUND(E58*F58,2)))</f>
        <v>0</v>
      </c>
    </row>
    <row r="59" spans="2:7" hidden="1" x14ac:dyDescent="0.2">
      <c r="B59" s="68">
        <f>OPTION!$A$27</f>
        <v>0</v>
      </c>
      <c r="C59" s="412">
        <f>OPTION!$B$27</f>
        <v>0</v>
      </c>
      <c r="D59" s="89"/>
      <c r="E59" s="99"/>
      <c r="F59" s="93"/>
      <c r="G59" s="88"/>
    </row>
    <row r="60" spans="2:7" hidden="1" x14ac:dyDescent="0.2">
      <c r="B60" s="90"/>
      <c r="C60" s="413">
        <f>OPTION!$C$27</f>
        <v>0</v>
      </c>
      <c r="D60" s="98">
        <f>OPTION!$D$27</f>
        <v>0</v>
      </c>
      <c r="E60" s="91">
        <f>MONTAGE!$BS$48</f>
        <v>0</v>
      </c>
      <c r="F60" s="92">
        <f>OPTION!$I$27</f>
        <v>0</v>
      </c>
      <c r="G60" s="92">
        <f>IF(E60=Sprache!$B$86,0,
IF(ELEMENT!$X$47=ELEMENT!$CJ$65,
ROUND(E60*F60*2,1)/2,
ROUND(E60*F60,2)))</f>
        <v>0</v>
      </c>
    </row>
    <row r="61" spans="2:7" hidden="1" x14ac:dyDescent="0.2">
      <c r="B61" s="68">
        <f>OPTION!$A$28</f>
        <v>0</v>
      </c>
      <c r="C61" s="412">
        <f>OPTION!$B$28</f>
        <v>0</v>
      </c>
      <c r="D61" s="89"/>
      <c r="E61" s="99"/>
      <c r="F61" s="93"/>
      <c r="G61" s="88"/>
    </row>
    <row r="62" spans="2:7" hidden="1" x14ac:dyDescent="0.2">
      <c r="B62" s="90"/>
      <c r="C62" s="413">
        <f>OPTION!$C$28</f>
        <v>0</v>
      </c>
      <c r="D62" s="98">
        <f>OPTION!$D$28</f>
        <v>0</v>
      </c>
      <c r="E62" s="91">
        <f>MONTAGE!$BU$48</f>
        <v>0</v>
      </c>
      <c r="F62" s="92">
        <f>OPTION!$I$28</f>
        <v>0</v>
      </c>
      <c r="G62" s="92">
        <f>IF(E62=Sprache!$B$86,0,
IF(ELEMENT!$X$47=ELEMENT!$CJ$65,
ROUND(E62*F62*2,1)/2,
ROUND(E62*F62,2)))</f>
        <v>0</v>
      </c>
    </row>
    <row r="63" spans="2:7" hidden="1" x14ac:dyDescent="0.2">
      <c r="B63" s="68">
        <f>OPTION!$A$29</f>
        <v>0</v>
      </c>
      <c r="C63" s="412">
        <f>OPTION!$B$29</f>
        <v>0</v>
      </c>
      <c r="D63" s="89"/>
      <c r="E63" s="99"/>
      <c r="F63" s="93"/>
      <c r="G63" s="88"/>
    </row>
    <row r="64" spans="2:7" hidden="1" x14ac:dyDescent="0.2">
      <c r="B64" s="90"/>
      <c r="C64" s="413">
        <f>OPTION!$C$29</f>
        <v>0</v>
      </c>
      <c r="D64" s="98">
        <f>OPTION!$D$29</f>
        <v>0</v>
      </c>
      <c r="E64" s="91">
        <f>MONTAGE!$BW$48</f>
        <v>0</v>
      </c>
      <c r="F64" s="92">
        <f>OPTION!$I$29</f>
        <v>0</v>
      </c>
      <c r="G64" s="92">
        <f>IF(E64=Sprache!$B$86,0,
IF(ELEMENT!$X$47=ELEMENT!$CJ$65,
ROUND(E64*F64*2,1)/2,
ROUND(E64*F64,2)))</f>
        <v>0</v>
      </c>
    </row>
    <row r="65" spans="2:7" hidden="1" x14ac:dyDescent="0.2">
      <c r="B65" s="68">
        <f>OPTION!$A$30</f>
        <v>0</v>
      </c>
      <c r="C65" s="412">
        <f>OPTION!$B$30</f>
        <v>0</v>
      </c>
      <c r="D65" s="89"/>
      <c r="E65" s="99"/>
      <c r="F65" s="93"/>
      <c r="G65" s="88"/>
    </row>
    <row r="66" spans="2:7" hidden="1" x14ac:dyDescent="0.2">
      <c r="B66" s="90"/>
      <c r="C66" s="413">
        <f>OPTION!$C$30</f>
        <v>0</v>
      </c>
      <c r="D66" s="98">
        <f>OPTION!$D$30</f>
        <v>0</v>
      </c>
      <c r="E66" s="91">
        <f>MONTAGE!$BY$48</f>
        <v>0</v>
      </c>
      <c r="F66" s="92">
        <f>OPTION!$I$30</f>
        <v>0</v>
      </c>
      <c r="G66" s="92">
        <f>IF(E66=Sprache!$B$86,0,
IF(ELEMENT!$X$47=ELEMENT!$CJ$65,
ROUND(E66*F66*2,1)/2,
ROUND(E66*F66,2)))</f>
        <v>0</v>
      </c>
    </row>
    <row r="67" spans="2:7" hidden="1" x14ac:dyDescent="0.2">
      <c r="B67" s="68">
        <f>OPTION!$A$31</f>
        <v>0</v>
      </c>
      <c r="C67" s="412">
        <f>OPTION!$B$31</f>
        <v>0</v>
      </c>
      <c r="D67" s="89"/>
      <c r="E67" s="99"/>
      <c r="F67" s="93"/>
      <c r="G67" s="88"/>
    </row>
    <row r="68" spans="2:7" hidden="1" x14ac:dyDescent="0.2">
      <c r="B68" s="90"/>
      <c r="C68" s="413">
        <f>OPTION!$C$31</f>
        <v>0</v>
      </c>
      <c r="D68" s="98">
        <f>OPTION!$D$31</f>
        <v>0</v>
      </c>
      <c r="E68" s="91">
        <f>MONTAGE!$CA$48</f>
        <v>0</v>
      </c>
      <c r="F68" s="92">
        <f>OPTION!$I$31</f>
        <v>0</v>
      </c>
      <c r="G68" s="92">
        <f>IF(E68=Sprache!$B$86,0,
IF(ELEMENT!$X$47=ELEMENT!$CJ$65,
ROUND(E68*F68*2,1)/2,
ROUND(E68*F68,2)))</f>
        <v>0</v>
      </c>
    </row>
    <row r="69" spans="2:7" hidden="1" x14ac:dyDescent="0.2">
      <c r="B69" s="68">
        <f>OPTION!$A$32</f>
        <v>0</v>
      </c>
      <c r="C69" s="412">
        <f>OPTION!$B$32</f>
        <v>0</v>
      </c>
      <c r="D69" s="89"/>
      <c r="E69" s="99"/>
      <c r="F69" s="93"/>
      <c r="G69" s="88"/>
    </row>
    <row r="70" spans="2:7" ht="13.5" hidden="1" thickBot="1" x14ac:dyDescent="0.25">
      <c r="B70" s="90"/>
      <c r="C70" s="413">
        <f>OPTION!$C$32</f>
        <v>0</v>
      </c>
      <c r="D70" s="98">
        <f>OPTION!$D$32</f>
        <v>0</v>
      </c>
      <c r="E70" s="91">
        <f>MONTAGE!$CC$48</f>
        <v>0</v>
      </c>
      <c r="F70" s="92">
        <f>OPTION!$I$32</f>
        <v>0</v>
      </c>
      <c r="G70" s="92">
        <f>IF(E70=Sprache!$B$86,0,
IF(ELEMENT!$X$47=ELEMENT!$CJ$65,
ROUND(E70*F70*2,1)/2,
ROUND(E70*F70,2)))</f>
        <v>0</v>
      </c>
    </row>
    <row r="71" spans="2:7" ht="13.5" thickBot="1" x14ac:dyDescent="0.25">
      <c r="B71" s="94" t="str">
        <f>Sprache!B154</f>
        <v>Total Sky-Frame options</v>
      </c>
      <c r="C71" s="95"/>
      <c r="D71" s="95"/>
      <c r="E71" s="95"/>
      <c r="F71" s="96" t="str">
        <f>CONCATENATE(Sprache!$B$31," ",UPPER(MONTAGE!$P$3)," ",Sprache!$B$95)</f>
        <v>total USD excluding TAX</v>
      </c>
      <c r="G71" s="97">
        <f>SUM(G11:G70)</f>
        <v>0</v>
      </c>
    </row>
  </sheetData>
  <sheetProtection formatRows="0" selectLockedCells="1"/>
  <mergeCells count="1">
    <mergeCell ref="B6:G6"/>
  </mergeCells>
  <pageMargins left="0.62992125984251968" right="0.39370078740157483" top="0.47244094488188981" bottom="0.47244094488188981" header="0.31496062992125984" footer="0.23622047244094491"/>
  <pageSetup paperSize="9" orientation="portrait" horizontalDpi="4294967295" verticalDpi="4294967295" r:id="rId1"/>
  <headerFooter>
    <oddHeader>&amp;L&amp;G</oddHeader>
    <oddFooter>&amp;LSeite &amp;P von &amp;N&amp;R&amp;D</oddFoot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18"/>
  <dimension ref="A3:J163"/>
  <sheetViews>
    <sheetView showZeros="0" view="pageBreakPreview" zoomScaleNormal="98" zoomScaleSheetLayoutView="100" workbookViewId="0">
      <selection activeCell="E151" sqref="E151"/>
    </sheetView>
  </sheetViews>
  <sheetFormatPr defaultColWidth="11.42578125" defaultRowHeight="12.75" x14ac:dyDescent="0.2"/>
  <cols>
    <col min="1" max="1" width="3.7109375" style="57" customWidth="1"/>
    <col min="2" max="2" width="5.42578125" style="1" customWidth="1"/>
    <col min="3" max="3" width="48.7109375" style="1" customWidth="1"/>
    <col min="4" max="4" width="6.42578125" style="1" customWidth="1"/>
    <col min="5" max="5" width="6.7109375" style="1" customWidth="1"/>
    <col min="6" max="6" width="13" style="1" customWidth="1"/>
    <col min="7" max="7" width="13.28515625" style="1" customWidth="1"/>
    <col min="8" max="16384" width="11.42578125" style="1"/>
  </cols>
  <sheetData>
    <row r="3" spans="1:7" x14ac:dyDescent="0.2">
      <c r="B3" s="2" t="str">
        <f>Sprache!D1</f>
        <v>Company… (please adapt in Sprache D1)</v>
      </c>
      <c r="C3" s="2"/>
      <c r="D3" s="2"/>
      <c r="E3" s="2"/>
      <c r="F3" s="2"/>
      <c r="G3" s="2"/>
    </row>
    <row r="6" spans="1:7" x14ac:dyDescent="0.2">
      <c r="B6" s="468" t="str">
        <f>VZ!B6:F6</f>
        <v/>
      </c>
      <c r="C6" s="468"/>
      <c r="D6" s="468"/>
      <c r="E6" s="468"/>
      <c r="F6" s="468"/>
      <c r="G6" s="468"/>
    </row>
    <row r="7" spans="1:7" ht="306" x14ac:dyDescent="0.2">
      <c r="B7" s="68"/>
      <c r="C7" s="209" t="str">
        <f>IF(ELEMENT!AG47&gt;0,CONCATENATE("
",IF(ELEMENT!AH4=1,Sprache!B5,
IF(ELEMENT!AH4=2,Sprache!B6,
Sprache!B7)),"
"),"")</f>
        <v xml:space="preserve">
Description for Sky-Frame 2:
“frameless insulated sliding windows" 
Thermally insulated circumferential aluminium profile with a profile depth of 110/170mm (2/3 track). 
Elevation width of frame 45mm, staggered on 29/16mm (vertical and top), 95mm, staggered 29/66mm (bottom). Sliding windows recessed in frame with insulating glass, thickness 30mm. 
Visible mullion width: from 20mm
Middle openings: 34mm or 80mm depending on version.
Seal: brush seals with membran between frame and door.
Fittings: system lock with multi-point locking mechanism.
Finish: standard version: standard plain anodized
The element items include the window with surrounding connecting joint, but exclude the substructure and the connecting plates. Otherwise these are shown in the separate items.
</v>
      </c>
      <c r="D7" s="68"/>
      <c r="E7" s="68"/>
    </row>
    <row r="8" spans="1:7" x14ac:dyDescent="0.2">
      <c r="B8" s="69" t="str">
        <f>VZ!$B$8</f>
        <v>item</v>
      </c>
      <c r="C8" s="70" t="str">
        <f>VZ!$C$8</f>
        <v>text</v>
      </c>
      <c r="D8" s="70"/>
      <c r="E8" s="70" t="str">
        <f>VZ!$D$8</f>
        <v>unit</v>
      </c>
      <c r="F8" s="71" t="str">
        <f>VZ!$E$8</f>
        <v xml:space="preserve">USD/unit </v>
      </c>
      <c r="G8" s="71" t="str">
        <f>VZ!$F$8</f>
        <v>total USD</v>
      </c>
    </row>
    <row r="9" spans="1:7" s="5" customFormat="1" hidden="1" x14ac:dyDescent="0.2">
      <c r="A9" s="471"/>
      <c r="B9" s="72">
        <f>VZ!B9</f>
        <v>0</v>
      </c>
      <c r="C9" s="73" t="str">
        <f>ELEMENT!AH5</f>
        <v/>
      </c>
      <c r="D9" s="74"/>
      <c r="E9" s="74"/>
      <c r="F9" s="75"/>
      <c r="G9" s="75"/>
    </row>
    <row r="10" spans="1:7" s="5" customFormat="1" ht="51" hidden="1" x14ac:dyDescent="0.2">
      <c r="A10" s="471"/>
      <c r="B10" s="76"/>
      <c r="C10" s="77" t="str">
        <f ca="1">VZ!C9</f>
        <v>o/a frame size: 0 x 0mm  
(0' 0" x 0' 0")
2-tracks double glazed,  0 # of panel
0</v>
      </c>
      <c r="D10" s="78"/>
      <c r="E10" s="78" t="str">
        <f ca="1">IF(F10=0,"",VZ!D9)</f>
        <v/>
      </c>
      <c r="F10" s="79">
        <f ca="1">VZ!E9</f>
        <v>0</v>
      </c>
      <c r="G10" s="79">
        <f ca="1">VZ!F9</f>
        <v>0</v>
      </c>
    </row>
    <row r="11" spans="1:7" s="5" customFormat="1" hidden="1" x14ac:dyDescent="0.2">
      <c r="A11" s="471"/>
      <c r="B11" s="72">
        <f>VZ!B10</f>
        <v>0</v>
      </c>
      <c r="C11" s="73" t="str">
        <f>ELEMENT!AH6</f>
        <v/>
      </c>
      <c r="D11" s="75"/>
      <c r="E11" s="75"/>
      <c r="F11" s="75"/>
      <c r="G11" s="75"/>
    </row>
    <row r="12" spans="1:7" s="5" customFormat="1" ht="51" hidden="1" x14ac:dyDescent="0.2">
      <c r="A12" s="471"/>
      <c r="B12" s="80" t="s">
        <v>150</v>
      </c>
      <c r="C12" s="77" t="str">
        <f ca="1">VZ!C10</f>
        <v>o/a frame size: 0 x 0mm  
(0' 0" x 0' 0")
2-tracks double glazed,  0 # of panel
0</v>
      </c>
      <c r="D12" s="78"/>
      <c r="E12" s="78" t="str">
        <f ca="1">IF(F12=0,"",VZ!D10)</f>
        <v/>
      </c>
      <c r="F12" s="79">
        <f ca="1">VZ!E10</f>
        <v>0</v>
      </c>
      <c r="G12" s="79">
        <f ca="1">VZ!F10</f>
        <v>0</v>
      </c>
    </row>
    <row r="13" spans="1:7" s="5" customFormat="1" hidden="1" x14ac:dyDescent="0.2">
      <c r="A13" s="470"/>
      <c r="B13" s="72">
        <f>VZ!B11</f>
        <v>0</v>
      </c>
      <c r="C13" s="73" t="str">
        <f>ELEMENT!AH7</f>
        <v/>
      </c>
      <c r="D13" s="75"/>
      <c r="E13" s="75"/>
      <c r="F13" s="75"/>
      <c r="G13" s="75"/>
    </row>
    <row r="14" spans="1:7" s="5" customFormat="1" ht="51" hidden="1" x14ac:dyDescent="0.2">
      <c r="A14" s="470"/>
      <c r="B14" s="80" t="s">
        <v>150</v>
      </c>
      <c r="C14" s="77" t="str">
        <f ca="1">VZ!C11</f>
        <v>o/a frame size: 0 x 0mm  
(0' 0" x 0' 0")
2-tracks double glazed,  0 # of panel
0</v>
      </c>
      <c r="D14" s="78"/>
      <c r="E14" s="78" t="str">
        <f ca="1">IF(F14=0,"",VZ!D11)</f>
        <v/>
      </c>
      <c r="F14" s="79">
        <f ca="1">VZ!E11</f>
        <v>0</v>
      </c>
      <c r="G14" s="79">
        <f ca="1">VZ!F11</f>
        <v>0</v>
      </c>
    </row>
    <row r="15" spans="1:7" s="5" customFormat="1" hidden="1" x14ac:dyDescent="0.2">
      <c r="A15" s="470"/>
      <c r="B15" s="72">
        <f>VZ!B12</f>
        <v>0</v>
      </c>
      <c r="C15" s="73" t="str">
        <f>ELEMENT!AH8</f>
        <v/>
      </c>
      <c r="D15" s="75"/>
      <c r="E15" s="75"/>
      <c r="F15" s="75"/>
      <c r="G15" s="75"/>
    </row>
    <row r="16" spans="1:7" s="5" customFormat="1" ht="51" hidden="1" x14ac:dyDescent="0.2">
      <c r="A16" s="470"/>
      <c r="B16" s="80" t="s">
        <v>150</v>
      </c>
      <c r="C16" s="77" t="str">
        <f ca="1">VZ!C12</f>
        <v>o/a frame size: 0 x 0mm  
(0' 0" x 0' 0")
2-tracks double glazed,  0 # of panel
0</v>
      </c>
      <c r="D16" s="78"/>
      <c r="E16" s="78" t="str">
        <f ca="1">IF(F16=0,"",VZ!D12)</f>
        <v/>
      </c>
      <c r="F16" s="79">
        <f ca="1">VZ!E12</f>
        <v>0</v>
      </c>
      <c r="G16" s="79">
        <f ca="1">VZ!F12</f>
        <v>0</v>
      </c>
    </row>
    <row r="17" spans="1:7" s="5" customFormat="1" hidden="1" x14ac:dyDescent="0.2">
      <c r="A17" s="469"/>
      <c r="B17" s="72">
        <f>VZ!B13</f>
        <v>0</v>
      </c>
      <c r="C17" s="73" t="str">
        <f>ELEMENT!AH9</f>
        <v/>
      </c>
      <c r="D17" s="75"/>
      <c r="E17" s="75"/>
      <c r="F17" s="75"/>
      <c r="G17" s="75"/>
    </row>
    <row r="18" spans="1:7" s="5" customFormat="1" ht="51" hidden="1" x14ac:dyDescent="0.2">
      <c r="A18" s="469"/>
      <c r="B18" s="80"/>
      <c r="C18" s="77" t="str">
        <f ca="1">VZ!C13</f>
        <v>o/a frame size: 0 x 0mm  
(0' 0" x 0' 0")
2-tracks double glazed,  0 # of panel
0</v>
      </c>
      <c r="D18" s="78"/>
      <c r="E18" s="78" t="str">
        <f ca="1">IF(F18=0,"",VZ!D13)</f>
        <v/>
      </c>
      <c r="F18" s="79">
        <f ca="1">VZ!E13</f>
        <v>0</v>
      </c>
      <c r="G18" s="79">
        <f ca="1">VZ!F13</f>
        <v>0</v>
      </c>
    </row>
    <row r="19" spans="1:7" s="5" customFormat="1" hidden="1" x14ac:dyDescent="0.2">
      <c r="A19" s="60"/>
      <c r="B19" s="72">
        <f>VZ!B14</f>
        <v>0</v>
      </c>
      <c r="C19" s="73" t="str">
        <f>ELEMENT!AH10</f>
        <v/>
      </c>
      <c r="D19" s="75"/>
      <c r="E19" s="75"/>
      <c r="F19" s="75"/>
      <c r="G19" s="75"/>
    </row>
    <row r="20" spans="1:7" s="5" customFormat="1" ht="51" x14ac:dyDescent="0.2">
      <c r="A20" s="60"/>
      <c r="B20" s="80"/>
      <c r="C20" s="77" t="str">
        <f ca="1">VZ!C14</f>
        <v>o/a frame size: 0 x 0mm  
(0' 0" x 0' 0")
2-tracks double glazed,  0 # of panel
0</v>
      </c>
      <c r="D20" s="78"/>
      <c r="E20" s="78" t="str">
        <f ca="1">IF(F20=0,"",VZ!D14)</f>
        <v/>
      </c>
      <c r="F20" s="79">
        <f ca="1">VZ!E14</f>
        <v>0</v>
      </c>
      <c r="G20" s="79">
        <f ca="1">VZ!F14</f>
        <v>0</v>
      </c>
    </row>
    <row r="21" spans="1:7" s="5" customFormat="1" hidden="1" x14ac:dyDescent="0.2">
      <c r="A21" s="471"/>
      <c r="B21" s="72">
        <f>VZ!B15</f>
        <v>0</v>
      </c>
      <c r="C21" s="73" t="str">
        <f>ELEMENT!AH11</f>
        <v/>
      </c>
      <c r="D21" s="75"/>
      <c r="E21" s="75"/>
      <c r="F21" s="75"/>
      <c r="G21" s="75"/>
    </row>
    <row r="22" spans="1:7" s="5" customFormat="1" ht="51" hidden="1" x14ac:dyDescent="0.2">
      <c r="A22" s="471"/>
      <c r="B22" s="80"/>
      <c r="C22" s="77" t="str">
        <f ca="1">VZ!C15</f>
        <v>o/a frame size: 0 x 0mm  
(0' 0" x 0' 0")
2-tracks double glazed,  0 # of panel
0</v>
      </c>
      <c r="D22" s="78"/>
      <c r="E22" s="78" t="str">
        <f ca="1">IF(F22=0,"",VZ!D15)</f>
        <v/>
      </c>
      <c r="F22" s="79">
        <f ca="1">VZ!E15</f>
        <v>0</v>
      </c>
      <c r="G22" s="79">
        <f ca="1">VZ!F15</f>
        <v>0</v>
      </c>
    </row>
    <row r="23" spans="1:7" s="5" customFormat="1" hidden="1" x14ac:dyDescent="0.2">
      <c r="A23" s="471"/>
      <c r="B23" s="72">
        <f>VZ!B16</f>
        <v>0</v>
      </c>
      <c r="C23" s="73" t="str">
        <f>ELEMENT!AH12</f>
        <v/>
      </c>
      <c r="D23" s="75"/>
      <c r="E23" s="75"/>
      <c r="F23" s="75"/>
      <c r="G23" s="75"/>
    </row>
    <row r="24" spans="1:7" s="5" customFormat="1" ht="51" hidden="1" x14ac:dyDescent="0.2">
      <c r="A24" s="471"/>
      <c r="B24" s="80"/>
      <c r="C24" s="77" t="str">
        <f ca="1">VZ!C16</f>
        <v>o/a frame size: 0 x 0mm  
(0' 0" x 0' 0")
2-tracks double glazed,  0 # of panel
0</v>
      </c>
      <c r="D24" s="78"/>
      <c r="E24" s="78" t="str">
        <f ca="1">IF(F24=0,"",VZ!D16)</f>
        <v/>
      </c>
      <c r="F24" s="79">
        <f ca="1">VZ!E16</f>
        <v>0</v>
      </c>
      <c r="G24" s="79">
        <f ca="1">VZ!F16</f>
        <v>0</v>
      </c>
    </row>
    <row r="25" spans="1:7" s="5" customFormat="1" hidden="1" x14ac:dyDescent="0.2">
      <c r="A25" s="471"/>
      <c r="B25" s="72">
        <f>VZ!B17</f>
        <v>0</v>
      </c>
      <c r="C25" s="73" t="str">
        <f>ELEMENT!AH13</f>
        <v/>
      </c>
      <c r="D25" s="75"/>
      <c r="E25" s="75"/>
      <c r="F25" s="75"/>
      <c r="G25" s="75"/>
    </row>
    <row r="26" spans="1:7" s="5" customFormat="1" ht="51" hidden="1" x14ac:dyDescent="0.2">
      <c r="A26" s="471"/>
      <c r="B26" s="80"/>
      <c r="C26" s="77" t="str">
        <f ca="1">VZ!C17</f>
        <v>o/a frame size: 0 x 0mm  
(0' 0" x 0' 0")
2-tracks double glazed,  0 # of panel
0</v>
      </c>
      <c r="D26" s="78"/>
      <c r="E26" s="78" t="str">
        <f ca="1">IF(F26=0,"",VZ!D17)</f>
        <v/>
      </c>
      <c r="F26" s="79">
        <f ca="1">VZ!E17</f>
        <v>0</v>
      </c>
      <c r="G26" s="79">
        <f ca="1">VZ!F17</f>
        <v>0</v>
      </c>
    </row>
    <row r="27" spans="1:7" s="5" customFormat="1" hidden="1" x14ac:dyDescent="0.2">
      <c r="A27" s="471"/>
      <c r="B27" s="72">
        <f>VZ!B18</f>
        <v>0</v>
      </c>
      <c r="C27" s="73" t="str">
        <f>ELEMENT!AH14</f>
        <v/>
      </c>
      <c r="D27" s="75"/>
      <c r="E27" s="75"/>
      <c r="F27" s="75"/>
      <c r="G27" s="75"/>
    </row>
    <row r="28" spans="1:7" s="5" customFormat="1" ht="51" hidden="1" x14ac:dyDescent="0.2">
      <c r="A28" s="471"/>
      <c r="B28" s="80"/>
      <c r="C28" s="77" t="str">
        <f ca="1">VZ!C18</f>
        <v>o/a frame size: 0 x 0mm  
(0' 0" x 0' 0")
2-tracks double glazed,  0 # of panel
0</v>
      </c>
      <c r="D28" s="78"/>
      <c r="E28" s="78" t="str">
        <f ca="1">IF(F28=0,"",VZ!D18)</f>
        <v/>
      </c>
      <c r="F28" s="79">
        <f ca="1">VZ!E18</f>
        <v>0</v>
      </c>
      <c r="G28" s="79">
        <f ca="1">VZ!F18</f>
        <v>0</v>
      </c>
    </row>
    <row r="29" spans="1:7" s="5" customFormat="1" hidden="1" x14ac:dyDescent="0.2">
      <c r="A29" s="471"/>
      <c r="B29" s="72">
        <f>VZ!B19</f>
        <v>0</v>
      </c>
      <c r="C29" s="73" t="str">
        <f>ELEMENT!AH15</f>
        <v/>
      </c>
      <c r="D29" s="75"/>
      <c r="E29" s="75"/>
      <c r="F29" s="75"/>
      <c r="G29" s="75"/>
    </row>
    <row r="30" spans="1:7" s="5" customFormat="1" ht="51" hidden="1" x14ac:dyDescent="0.2">
      <c r="A30" s="471"/>
      <c r="B30" s="80"/>
      <c r="C30" s="77" t="str">
        <f ca="1">VZ!C19</f>
        <v>o/a frame size: 0 x 0mm  
(0' 0" x 0' 0")
2-tracks double glazed,  0 # of panel
0</v>
      </c>
      <c r="D30" s="78"/>
      <c r="E30" s="78" t="str">
        <f ca="1">IF(F30=0,"",VZ!D19)</f>
        <v/>
      </c>
      <c r="F30" s="79">
        <f ca="1">VZ!E19</f>
        <v>0</v>
      </c>
      <c r="G30" s="79">
        <f ca="1">VZ!F19</f>
        <v>0</v>
      </c>
    </row>
    <row r="31" spans="1:7" s="5" customFormat="1" hidden="1" x14ac:dyDescent="0.2">
      <c r="A31" s="471"/>
      <c r="B31" s="72">
        <f>VZ!B20</f>
        <v>0</v>
      </c>
      <c r="C31" s="73" t="str">
        <f>ELEMENT!AH16</f>
        <v/>
      </c>
      <c r="D31" s="75"/>
      <c r="E31" s="75"/>
      <c r="F31" s="75"/>
      <c r="G31" s="75"/>
    </row>
    <row r="32" spans="1:7" s="5" customFormat="1" ht="51" hidden="1" x14ac:dyDescent="0.2">
      <c r="A32" s="471"/>
      <c r="B32" s="80"/>
      <c r="C32" s="77" t="str">
        <f ca="1">VZ!C20</f>
        <v>o/a frame size: 0 x 0mm  
(0' 0" x 0' 0")
2-tracks double glazed,  0 # of panel
0</v>
      </c>
      <c r="D32" s="78"/>
      <c r="E32" s="78" t="str">
        <f ca="1">IF(F32=0,"",VZ!D20)</f>
        <v/>
      </c>
      <c r="F32" s="79">
        <f ca="1">VZ!E20</f>
        <v>0</v>
      </c>
      <c r="G32" s="79">
        <f ca="1">VZ!F20</f>
        <v>0</v>
      </c>
    </row>
    <row r="33" spans="1:7" s="5" customFormat="1" hidden="1" x14ac:dyDescent="0.2">
      <c r="A33" s="471"/>
      <c r="B33" s="72">
        <f>VZ!B21</f>
        <v>0</v>
      </c>
      <c r="C33" s="73" t="str">
        <f>ELEMENT!AH17</f>
        <v/>
      </c>
      <c r="D33" s="75"/>
      <c r="E33" s="75"/>
      <c r="F33" s="75"/>
      <c r="G33" s="75"/>
    </row>
    <row r="34" spans="1:7" s="5" customFormat="1" ht="51" hidden="1" x14ac:dyDescent="0.2">
      <c r="A34" s="471"/>
      <c r="B34" s="80"/>
      <c r="C34" s="77" t="str">
        <f ca="1">VZ!C21</f>
        <v>o/a frame size: 0 x 0mm  
(0' 0" x 0' 0")
2-tracks double glazed,  0 # of panel
0</v>
      </c>
      <c r="D34" s="78"/>
      <c r="E34" s="78" t="str">
        <f ca="1">IF(F34=0,"",VZ!D21)</f>
        <v/>
      </c>
      <c r="F34" s="79">
        <f ca="1">VZ!E21</f>
        <v>0</v>
      </c>
      <c r="G34" s="79">
        <f ca="1">VZ!F21</f>
        <v>0</v>
      </c>
    </row>
    <row r="35" spans="1:7" s="5" customFormat="1" hidden="1" x14ac:dyDescent="0.2">
      <c r="A35" s="471"/>
      <c r="B35" s="72">
        <f>VZ!B22</f>
        <v>0</v>
      </c>
      <c r="C35" s="73" t="str">
        <f>ELEMENT!AH18</f>
        <v/>
      </c>
      <c r="D35" s="75"/>
      <c r="E35" s="75"/>
      <c r="F35" s="75"/>
      <c r="G35" s="75"/>
    </row>
    <row r="36" spans="1:7" s="5" customFormat="1" ht="51" hidden="1" x14ac:dyDescent="0.2">
      <c r="A36" s="471"/>
      <c r="B36" s="80"/>
      <c r="C36" s="77" t="str">
        <f ca="1">VZ!C22</f>
        <v>o/a frame size: 0 x 0mm  
(0' 0" x 0' 0")
2-tracks double glazed,  0 # of panel
0</v>
      </c>
      <c r="D36" s="78"/>
      <c r="E36" s="78" t="str">
        <f ca="1">IF(F36=0,"",VZ!D22)</f>
        <v/>
      </c>
      <c r="F36" s="79">
        <f ca="1">VZ!E22</f>
        <v>0</v>
      </c>
      <c r="G36" s="79">
        <f ca="1">VZ!F22</f>
        <v>0</v>
      </c>
    </row>
    <row r="37" spans="1:7" s="5" customFormat="1" hidden="1" x14ac:dyDescent="0.2">
      <c r="A37" s="471"/>
      <c r="B37" s="72">
        <f>VZ!B23</f>
        <v>0</v>
      </c>
      <c r="C37" s="73" t="str">
        <f>ELEMENT!AH19</f>
        <v/>
      </c>
      <c r="D37" s="75"/>
      <c r="E37" s="75"/>
      <c r="F37" s="75"/>
      <c r="G37" s="75"/>
    </row>
    <row r="38" spans="1:7" s="5" customFormat="1" ht="51" hidden="1" x14ac:dyDescent="0.2">
      <c r="A38" s="471"/>
      <c r="B38" s="80"/>
      <c r="C38" s="77" t="str">
        <f ca="1">VZ!C23</f>
        <v>o/a frame size: 0 x 0mm  
(0' 0" x 0' 0")
2-tracks double glazed,  0 # of panel
0</v>
      </c>
      <c r="D38" s="78"/>
      <c r="E38" s="78" t="str">
        <f ca="1">IF(F38=0,"",VZ!D23)</f>
        <v/>
      </c>
      <c r="F38" s="79">
        <f ca="1">VZ!E23</f>
        <v>0</v>
      </c>
      <c r="G38" s="79">
        <f ca="1">VZ!F23</f>
        <v>0</v>
      </c>
    </row>
    <row r="39" spans="1:7" s="5" customFormat="1" hidden="1" x14ac:dyDescent="0.2">
      <c r="A39" s="471"/>
      <c r="B39" s="72">
        <f>VZ!B24</f>
        <v>0</v>
      </c>
      <c r="C39" s="73" t="str">
        <f>ELEMENT!AH20</f>
        <v/>
      </c>
      <c r="D39" s="75"/>
      <c r="E39" s="75"/>
      <c r="F39" s="75"/>
      <c r="G39" s="75"/>
    </row>
    <row r="40" spans="1:7" s="5" customFormat="1" ht="51" hidden="1" x14ac:dyDescent="0.2">
      <c r="A40" s="471"/>
      <c r="B40" s="80"/>
      <c r="C40" s="77" t="str">
        <f ca="1">VZ!C24</f>
        <v>o/a frame size: 0 x 0mm  
(0' 0" x 0' 0")
2-tracks double glazed,  0 # of panel
0</v>
      </c>
      <c r="D40" s="78"/>
      <c r="E40" s="78" t="str">
        <f ca="1">IF(F40=0,"",VZ!D24)</f>
        <v/>
      </c>
      <c r="F40" s="79">
        <f ca="1">VZ!E24</f>
        <v>0</v>
      </c>
      <c r="G40" s="79">
        <f ca="1">VZ!F24</f>
        <v>0</v>
      </c>
    </row>
    <row r="41" spans="1:7" s="5" customFormat="1" hidden="1" x14ac:dyDescent="0.2">
      <c r="A41" s="471"/>
      <c r="B41" s="72">
        <f>VZ!B25</f>
        <v>0</v>
      </c>
      <c r="C41" s="73" t="str">
        <f>ELEMENT!AH21</f>
        <v/>
      </c>
      <c r="D41" s="75"/>
      <c r="E41" s="75"/>
      <c r="F41" s="75"/>
      <c r="G41" s="75"/>
    </row>
    <row r="42" spans="1:7" s="5" customFormat="1" ht="51" hidden="1" x14ac:dyDescent="0.2">
      <c r="A42" s="471"/>
      <c r="B42" s="80"/>
      <c r="C42" s="77" t="str">
        <f ca="1">VZ!C25</f>
        <v>o/a frame size: 0 x 0mm  
(0' 0" x 0' 0")
2-tracks double glazed,  0 # of panel
0</v>
      </c>
      <c r="D42" s="78"/>
      <c r="E42" s="78" t="str">
        <f ca="1">IF(F42=0,"",VZ!D25)</f>
        <v/>
      </c>
      <c r="F42" s="79">
        <f ca="1">VZ!E25</f>
        <v>0</v>
      </c>
      <c r="G42" s="79">
        <f ca="1">VZ!F25</f>
        <v>0</v>
      </c>
    </row>
    <row r="43" spans="1:7" s="5" customFormat="1" hidden="1" x14ac:dyDescent="0.2">
      <c r="A43" s="471"/>
      <c r="B43" s="72">
        <f>VZ!B26</f>
        <v>0</v>
      </c>
      <c r="C43" s="73" t="str">
        <f>ELEMENT!AH22</f>
        <v/>
      </c>
      <c r="D43" s="75"/>
      <c r="E43" s="75"/>
      <c r="F43" s="75"/>
      <c r="G43" s="75"/>
    </row>
    <row r="44" spans="1:7" s="5" customFormat="1" ht="51" hidden="1" x14ac:dyDescent="0.2">
      <c r="A44" s="471"/>
      <c r="B44" s="80"/>
      <c r="C44" s="77" t="str">
        <f ca="1">VZ!C26</f>
        <v>o/a frame size: 0 x 0mm  
(0' 0" x 0' 0")
2-tracks double glazed,  0 # of panel
0</v>
      </c>
      <c r="D44" s="78"/>
      <c r="E44" s="78" t="str">
        <f ca="1">IF(F44=0,"",VZ!D26)</f>
        <v/>
      </c>
      <c r="F44" s="79">
        <f ca="1">VZ!E26</f>
        <v>0</v>
      </c>
      <c r="G44" s="79">
        <f ca="1">VZ!F26</f>
        <v>0</v>
      </c>
    </row>
    <row r="45" spans="1:7" s="5" customFormat="1" hidden="1" x14ac:dyDescent="0.2">
      <c r="A45" s="471"/>
      <c r="B45" s="72">
        <f>VZ!B27</f>
        <v>0</v>
      </c>
      <c r="C45" s="73" t="str">
        <f>ELEMENT!AH23</f>
        <v/>
      </c>
      <c r="D45" s="75"/>
      <c r="E45" s="75"/>
      <c r="F45" s="75"/>
      <c r="G45" s="75"/>
    </row>
    <row r="46" spans="1:7" s="5" customFormat="1" ht="51" hidden="1" x14ac:dyDescent="0.2">
      <c r="A46" s="471"/>
      <c r="B46" s="80"/>
      <c r="C46" s="77" t="str">
        <f ca="1">VZ!C27</f>
        <v>o/a frame size: 0 x 0mm  
(0' 0" x 0' 0")
2-tracks double glazed,  0 # of panel
0</v>
      </c>
      <c r="D46" s="78"/>
      <c r="E46" s="78" t="str">
        <f ca="1">IF(F46=0,"",VZ!D27)</f>
        <v/>
      </c>
      <c r="F46" s="79">
        <f ca="1">VZ!E27</f>
        <v>0</v>
      </c>
      <c r="G46" s="79">
        <f ca="1">VZ!F27</f>
        <v>0</v>
      </c>
    </row>
    <row r="47" spans="1:7" s="5" customFormat="1" hidden="1" x14ac:dyDescent="0.2">
      <c r="A47" s="471"/>
      <c r="B47" s="72">
        <f>VZ!B28</f>
        <v>0</v>
      </c>
      <c r="C47" s="73" t="str">
        <f>ELEMENT!AH24</f>
        <v/>
      </c>
      <c r="D47" s="75"/>
      <c r="E47" s="75"/>
      <c r="F47" s="75"/>
      <c r="G47" s="75"/>
    </row>
    <row r="48" spans="1:7" s="5" customFormat="1" ht="51" hidden="1" x14ac:dyDescent="0.2">
      <c r="A48" s="471"/>
      <c r="B48" s="80"/>
      <c r="C48" s="77" t="str">
        <f ca="1">VZ!C28</f>
        <v>o/a frame size: 0 x 0mm  
(0' 0" x 0' 0")
2-tracks double glazed,  0 # of panel
0</v>
      </c>
      <c r="D48" s="78"/>
      <c r="E48" s="78" t="str">
        <f ca="1">IF(F48=0,"",VZ!D28)</f>
        <v/>
      </c>
      <c r="F48" s="79">
        <f ca="1">VZ!E28</f>
        <v>0</v>
      </c>
      <c r="G48" s="79">
        <f ca="1">VZ!F28</f>
        <v>0</v>
      </c>
    </row>
    <row r="49" spans="1:7" s="5" customFormat="1" hidden="1" x14ac:dyDescent="0.2">
      <c r="A49" s="471"/>
      <c r="B49" s="72">
        <f>VZ!B29</f>
        <v>0</v>
      </c>
      <c r="C49" s="73" t="str">
        <f>ELEMENT!AH25</f>
        <v/>
      </c>
      <c r="D49" s="75"/>
      <c r="E49" s="75"/>
      <c r="F49" s="75"/>
      <c r="G49" s="75"/>
    </row>
    <row r="50" spans="1:7" s="5" customFormat="1" ht="51" hidden="1" x14ac:dyDescent="0.2">
      <c r="A50" s="471"/>
      <c r="B50" s="80"/>
      <c r="C50" s="77" t="str">
        <f ca="1">VZ!C29</f>
        <v>o/a frame size: 0 x 0mm  
(0' 0" x 0' 0")
2-tracks double glazed,  0 # of panel
0</v>
      </c>
      <c r="D50" s="78"/>
      <c r="E50" s="78" t="str">
        <f ca="1">IF(F50=0,"",VZ!D29)</f>
        <v/>
      </c>
      <c r="F50" s="79">
        <f ca="1">VZ!E29</f>
        <v>0</v>
      </c>
      <c r="G50" s="79">
        <f ca="1">VZ!F29</f>
        <v>0</v>
      </c>
    </row>
    <row r="51" spans="1:7" s="5" customFormat="1" hidden="1" x14ac:dyDescent="0.2">
      <c r="A51" s="471"/>
      <c r="B51" s="72">
        <f>VZ!B30</f>
        <v>0</v>
      </c>
      <c r="C51" s="73" t="str">
        <f>ELEMENT!AH26</f>
        <v/>
      </c>
      <c r="D51" s="75"/>
      <c r="E51" s="75"/>
      <c r="F51" s="75"/>
      <c r="G51" s="75"/>
    </row>
    <row r="52" spans="1:7" s="5" customFormat="1" ht="51" hidden="1" x14ac:dyDescent="0.2">
      <c r="A52" s="471"/>
      <c r="B52" s="80"/>
      <c r="C52" s="77" t="str">
        <f ca="1">VZ!C30</f>
        <v>o/a frame size: 0 x 0mm  
(0' 0" x 0' 0")
2-tracks double glazed,  0 # of panel
0</v>
      </c>
      <c r="D52" s="78"/>
      <c r="E52" s="78" t="str">
        <f ca="1">IF(F52=0,"",VZ!D30)</f>
        <v/>
      </c>
      <c r="F52" s="79">
        <f ca="1">VZ!E30</f>
        <v>0</v>
      </c>
      <c r="G52" s="79">
        <f ca="1">VZ!F30</f>
        <v>0</v>
      </c>
    </row>
    <row r="53" spans="1:7" s="5" customFormat="1" hidden="1" x14ac:dyDescent="0.2">
      <c r="A53" s="471"/>
      <c r="B53" s="72">
        <f>VZ!B31</f>
        <v>0</v>
      </c>
      <c r="C53" s="73" t="str">
        <f>ELEMENT!AH27</f>
        <v/>
      </c>
      <c r="D53" s="75"/>
      <c r="E53" s="75"/>
      <c r="F53" s="75"/>
      <c r="G53" s="75"/>
    </row>
    <row r="54" spans="1:7" s="5" customFormat="1" ht="51" hidden="1" x14ac:dyDescent="0.2">
      <c r="A54" s="471"/>
      <c r="B54" s="80"/>
      <c r="C54" s="77" t="str">
        <f ca="1">VZ!C31</f>
        <v>o/a frame size: 0 x 0mm  
(0' 0" x 0' 0")
2-tracks double glazed,  0 # of panel
0</v>
      </c>
      <c r="D54" s="78"/>
      <c r="E54" s="78" t="str">
        <f ca="1">IF(F54=0,"",VZ!D31)</f>
        <v/>
      </c>
      <c r="F54" s="79">
        <f ca="1">VZ!E31</f>
        <v>0</v>
      </c>
      <c r="G54" s="79">
        <f ca="1">VZ!F31</f>
        <v>0</v>
      </c>
    </row>
    <row r="55" spans="1:7" s="5" customFormat="1" hidden="1" x14ac:dyDescent="0.2">
      <c r="A55" s="471"/>
      <c r="B55" s="72">
        <f>VZ!B32</f>
        <v>0</v>
      </c>
      <c r="C55" s="73" t="str">
        <f>ELEMENT!AH28</f>
        <v/>
      </c>
      <c r="D55" s="75"/>
      <c r="E55" s="75"/>
      <c r="F55" s="75"/>
      <c r="G55" s="75"/>
    </row>
    <row r="56" spans="1:7" s="5" customFormat="1" ht="51" hidden="1" x14ac:dyDescent="0.2">
      <c r="A56" s="471"/>
      <c r="B56" s="80"/>
      <c r="C56" s="77" t="str">
        <f ca="1">VZ!C32</f>
        <v>o/a frame size: 0 x 0mm  
(0' 0" x 0' 0")
2-tracks double glazed,  0 # of panel
0</v>
      </c>
      <c r="D56" s="78"/>
      <c r="E56" s="78" t="str">
        <f ca="1">IF(F56=0,"",VZ!D32)</f>
        <v/>
      </c>
      <c r="F56" s="79">
        <f ca="1">VZ!E32</f>
        <v>0</v>
      </c>
      <c r="G56" s="79">
        <f ca="1">VZ!F32</f>
        <v>0</v>
      </c>
    </row>
    <row r="57" spans="1:7" s="5" customFormat="1" hidden="1" x14ac:dyDescent="0.2">
      <c r="A57" s="471"/>
      <c r="B57" s="72">
        <f>VZ!B33</f>
        <v>0</v>
      </c>
      <c r="C57" s="73" t="str">
        <f>ELEMENT!AH29</f>
        <v/>
      </c>
      <c r="D57" s="75"/>
      <c r="E57" s="75"/>
      <c r="F57" s="75"/>
      <c r="G57" s="75"/>
    </row>
    <row r="58" spans="1:7" s="5" customFormat="1" ht="51" hidden="1" x14ac:dyDescent="0.2">
      <c r="A58" s="471"/>
      <c r="B58" s="80"/>
      <c r="C58" s="77" t="str">
        <f ca="1">VZ!C33</f>
        <v>o/a frame size: 0 x 0mm  
(0' 0" x 0' 0")
2-tracks double glazed,  0 # of panel
0</v>
      </c>
      <c r="D58" s="78"/>
      <c r="E58" s="78" t="str">
        <f ca="1">IF(F58=0,"",VZ!D33)</f>
        <v/>
      </c>
      <c r="F58" s="79">
        <f ca="1">VZ!E33</f>
        <v>0</v>
      </c>
      <c r="G58" s="79">
        <f ca="1">VZ!F33</f>
        <v>0</v>
      </c>
    </row>
    <row r="59" spans="1:7" s="5" customFormat="1" hidden="1" x14ac:dyDescent="0.2">
      <c r="A59" s="471"/>
      <c r="B59" s="72">
        <f>VZ!B34</f>
        <v>0</v>
      </c>
      <c r="C59" s="73" t="str">
        <f>ELEMENT!AH30</f>
        <v/>
      </c>
      <c r="D59" s="75"/>
      <c r="E59" s="75"/>
      <c r="F59" s="75"/>
      <c r="G59" s="75"/>
    </row>
    <row r="60" spans="1:7" s="5" customFormat="1" ht="51" hidden="1" x14ac:dyDescent="0.2">
      <c r="A60" s="471"/>
      <c r="B60" s="80"/>
      <c r="C60" s="77" t="str">
        <f ca="1">VZ!C34</f>
        <v>o/a frame size: 0 x 0mm  
(0' 0" x 0' 0")
2-tracks double glazed,  0 # of panel
0</v>
      </c>
      <c r="D60" s="78"/>
      <c r="E60" s="78" t="str">
        <f ca="1">IF(F60=0,"",VZ!D34)</f>
        <v/>
      </c>
      <c r="F60" s="79">
        <f ca="1">VZ!E34</f>
        <v>0</v>
      </c>
      <c r="G60" s="79">
        <f ca="1">VZ!F34</f>
        <v>0</v>
      </c>
    </row>
    <row r="61" spans="1:7" s="5" customFormat="1" hidden="1" x14ac:dyDescent="0.2">
      <c r="A61" s="471"/>
      <c r="B61" s="72">
        <f>VZ!B35</f>
        <v>0</v>
      </c>
      <c r="C61" s="73" t="str">
        <f>ELEMENT!AH31</f>
        <v/>
      </c>
      <c r="D61" s="75"/>
      <c r="E61" s="75"/>
      <c r="F61" s="75"/>
      <c r="G61" s="75"/>
    </row>
    <row r="62" spans="1:7" s="5" customFormat="1" ht="51" hidden="1" x14ac:dyDescent="0.2">
      <c r="A62" s="471"/>
      <c r="B62" s="80"/>
      <c r="C62" s="77" t="str">
        <f ca="1">VZ!C35</f>
        <v>o/a frame size: 0 x 0mm  
(0' 0" x 0' 0")
2-tracks double glazed,  0 # of panel
0</v>
      </c>
      <c r="D62" s="78"/>
      <c r="E62" s="78" t="str">
        <f ca="1">IF(F62=0,"",VZ!D35)</f>
        <v/>
      </c>
      <c r="F62" s="79">
        <f ca="1">VZ!E35</f>
        <v>0</v>
      </c>
      <c r="G62" s="79">
        <f ca="1">VZ!F35</f>
        <v>0</v>
      </c>
    </row>
    <row r="63" spans="1:7" s="5" customFormat="1" hidden="1" x14ac:dyDescent="0.2">
      <c r="A63" s="471"/>
      <c r="B63" s="72">
        <f>VZ!B36</f>
        <v>0</v>
      </c>
      <c r="C63" s="73" t="str">
        <f>ELEMENT!AH32</f>
        <v/>
      </c>
      <c r="D63" s="75"/>
      <c r="E63" s="75"/>
      <c r="F63" s="75"/>
      <c r="G63" s="75"/>
    </row>
    <row r="64" spans="1:7" s="5" customFormat="1" ht="51" hidden="1" x14ac:dyDescent="0.2">
      <c r="A64" s="471"/>
      <c r="B64" s="80"/>
      <c r="C64" s="77" t="str">
        <f ca="1">VZ!C36</f>
        <v>o/a frame size: 0 x 0mm  
(0' 0" x 0' 0")
2-tracks double glazed,  0 # of panel
0</v>
      </c>
      <c r="D64" s="78"/>
      <c r="E64" s="78" t="str">
        <f ca="1">IF(F64=0,"",VZ!D36)</f>
        <v/>
      </c>
      <c r="F64" s="79">
        <f ca="1">VZ!E36</f>
        <v>0</v>
      </c>
      <c r="G64" s="79">
        <f ca="1">VZ!F36</f>
        <v>0</v>
      </c>
    </row>
    <row r="65" spans="1:7" s="5" customFormat="1" hidden="1" x14ac:dyDescent="0.2">
      <c r="A65" s="471"/>
      <c r="B65" s="72">
        <f>VZ!B37</f>
        <v>0</v>
      </c>
      <c r="C65" s="73" t="str">
        <f>ELEMENT!AH33</f>
        <v/>
      </c>
      <c r="D65" s="75"/>
      <c r="E65" s="75"/>
      <c r="F65" s="75"/>
      <c r="G65" s="75"/>
    </row>
    <row r="66" spans="1:7" s="5" customFormat="1" ht="51" hidden="1" x14ac:dyDescent="0.2">
      <c r="A66" s="471"/>
      <c r="B66" s="80"/>
      <c r="C66" s="77" t="str">
        <f ca="1">VZ!C37</f>
        <v>o/a frame size: 0 x 0mm  
(0' 0" x 0' 0")
2-tracks double glazed,  0 # of panel
0</v>
      </c>
      <c r="D66" s="78"/>
      <c r="E66" s="78" t="str">
        <f ca="1">IF(F66=0,"",VZ!D37)</f>
        <v/>
      </c>
      <c r="F66" s="79">
        <f ca="1">VZ!E37</f>
        <v>0</v>
      </c>
      <c r="G66" s="79">
        <f ca="1">VZ!F37</f>
        <v>0</v>
      </c>
    </row>
    <row r="67" spans="1:7" s="5" customFormat="1" hidden="1" x14ac:dyDescent="0.2">
      <c r="A67" s="471"/>
      <c r="B67" s="72">
        <f>VZ!B38</f>
        <v>0</v>
      </c>
      <c r="C67" s="73" t="str">
        <f>ELEMENT!AH34</f>
        <v/>
      </c>
      <c r="D67" s="75"/>
      <c r="E67" s="75"/>
      <c r="F67" s="75"/>
      <c r="G67" s="75"/>
    </row>
    <row r="68" spans="1:7" s="5" customFormat="1" ht="51" hidden="1" x14ac:dyDescent="0.2">
      <c r="A68" s="471"/>
      <c r="B68" s="80"/>
      <c r="C68" s="77" t="str">
        <f ca="1">VZ!C38</f>
        <v>o/a frame size: 0 x 0mm  
(0' 0" x 0' 0")
2-tracks double glazed,  0 # of panel
0</v>
      </c>
      <c r="D68" s="78"/>
      <c r="E68" s="78" t="str">
        <f ca="1">IF(F68=0,"",VZ!D38)</f>
        <v/>
      </c>
      <c r="F68" s="79">
        <f ca="1">VZ!E38</f>
        <v>0</v>
      </c>
      <c r="G68" s="79">
        <f ca="1">VZ!F38</f>
        <v>0</v>
      </c>
    </row>
    <row r="69" spans="1:7" s="5" customFormat="1" hidden="1" x14ac:dyDescent="0.2">
      <c r="A69" s="471"/>
      <c r="B69" s="72">
        <f>VZ!B39</f>
        <v>0</v>
      </c>
      <c r="C69" s="73" t="str">
        <f>ELEMENT!AH35</f>
        <v/>
      </c>
      <c r="D69" s="75"/>
      <c r="E69" s="75"/>
      <c r="F69" s="75"/>
      <c r="G69" s="75"/>
    </row>
    <row r="70" spans="1:7" s="5" customFormat="1" ht="51" hidden="1" x14ac:dyDescent="0.2">
      <c r="A70" s="471"/>
      <c r="B70" s="80"/>
      <c r="C70" s="77" t="str">
        <f ca="1">VZ!C39</f>
        <v>o/a frame size: 0 x 0mm  
(0' 0" x 0' 0")
2-tracks double glazed,  0 # of panel
0</v>
      </c>
      <c r="D70" s="78"/>
      <c r="E70" s="78" t="str">
        <f ca="1">IF(F70=0,"",VZ!D39)</f>
        <v/>
      </c>
      <c r="F70" s="79">
        <f ca="1">VZ!E39</f>
        <v>0</v>
      </c>
      <c r="G70" s="79">
        <f ca="1">VZ!F39</f>
        <v>0</v>
      </c>
    </row>
    <row r="71" spans="1:7" s="5" customFormat="1" hidden="1" x14ac:dyDescent="0.2">
      <c r="A71" s="471"/>
      <c r="B71" s="72">
        <f>VZ!B40</f>
        <v>0</v>
      </c>
      <c r="C71" s="73" t="str">
        <f>ELEMENT!AH36</f>
        <v/>
      </c>
      <c r="D71" s="75"/>
      <c r="E71" s="75"/>
      <c r="F71" s="75"/>
      <c r="G71" s="75"/>
    </row>
    <row r="72" spans="1:7" s="5" customFormat="1" ht="51" hidden="1" x14ac:dyDescent="0.2">
      <c r="A72" s="471"/>
      <c r="B72" s="80"/>
      <c r="C72" s="77" t="str">
        <f ca="1">VZ!C40</f>
        <v>o/a frame size: 0 x 0mm  
(0' 0" x 0' 0")
2-tracks double glazed,  0 # of panel
0</v>
      </c>
      <c r="D72" s="78"/>
      <c r="E72" s="78" t="str">
        <f ca="1">IF(F72=0,"",VZ!D40)</f>
        <v/>
      </c>
      <c r="F72" s="79">
        <f ca="1">VZ!E40</f>
        <v>0</v>
      </c>
      <c r="G72" s="79">
        <f ca="1">VZ!F40</f>
        <v>0</v>
      </c>
    </row>
    <row r="73" spans="1:7" s="5" customFormat="1" hidden="1" x14ac:dyDescent="0.2">
      <c r="A73" s="471"/>
      <c r="B73" s="72">
        <f>VZ!B41</f>
        <v>0</v>
      </c>
      <c r="C73" s="73" t="str">
        <f>ELEMENT!AH37</f>
        <v/>
      </c>
      <c r="D73" s="75"/>
      <c r="E73" s="75"/>
      <c r="F73" s="75"/>
      <c r="G73" s="75"/>
    </row>
    <row r="74" spans="1:7" s="5" customFormat="1" ht="51" hidden="1" x14ac:dyDescent="0.2">
      <c r="A74" s="471"/>
      <c r="B74" s="80"/>
      <c r="C74" s="77" t="str">
        <f ca="1">VZ!C41</f>
        <v>o/a frame size: 0 x 0mm  
(0' 0" x 0' 0")
2-tracks double glazed,  0 # of panel
0</v>
      </c>
      <c r="D74" s="78"/>
      <c r="E74" s="78" t="str">
        <f ca="1">IF(F74=0,"",VZ!D41)</f>
        <v/>
      </c>
      <c r="F74" s="79">
        <f ca="1">VZ!E41</f>
        <v>0</v>
      </c>
      <c r="G74" s="79">
        <f ca="1">VZ!F41</f>
        <v>0</v>
      </c>
    </row>
    <row r="75" spans="1:7" s="5" customFormat="1" hidden="1" x14ac:dyDescent="0.2">
      <c r="A75" s="471"/>
      <c r="B75" s="72">
        <f>VZ!B42</f>
        <v>0</v>
      </c>
      <c r="C75" s="73" t="str">
        <f>ELEMENT!AH38</f>
        <v/>
      </c>
      <c r="D75" s="75"/>
      <c r="E75" s="75"/>
      <c r="F75" s="75"/>
      <c r="G75" s="75"/>
    </row>
    <row r="76" spans="1:7" s="5" customFormat="1" ht="51" hidden="1" x14ac:dyDescent="0.2">
      <c r="A76" s="471"/>
      <c r="B76" s="80"/>
      <c r="C76" s="77" t="str">
        <f ca="1">VZ!C42</f>
        <v>o/a frame size: 0 x 0mm  
(0' 0" x 0' 0")
2-tracks double glazed,  0 # of panel
0</v>
      </c>
      <c r="D76" s="78"/>
      <c r="E76" s="78" t="str">
        <f ca="1">IF(F76=0,"",VZ!D42)</f>
        <v/>
      </c>
      <c r="F76" s="79">
        <f ca="1">VZ!E42</f>
        <v>0</v>
      </c>
      <c r="G76" s="79">
        <f ca="1">VZ!F42</f>
        <v>0</v>
      </c>
    </row>
    <row r="77" spans="1:7" s="5" customFormat="1" hidden="1" x14ac:dyDescent="0.2">
      <c r="A77" s="471"/>
      <c r="B77" s="72">
        <f>VZ!B43</f>
        <v>0</v>
      </c>
      <c r="C77" s="73" t="str">
        <f>ELEMENT!AH39</f>
        <v/>
      </c>
      <c r="D77" s="75"/>
      <c r="E77" s="75"/>
      <c r="F77" s="75"/>
      <c r="G77" s="75"/>
    </row>
    <row r="78" spans="1:7" s="5" customFormat="1" ht="51" hidden="1" x14ac:dyDescent="0.2">
      <c r="A78" s="471"/>
      <c r="B78" s="80"/>
      <c r="C78" s="77" t="str">
        <f ca="1">VZ!C43</f>
        <v>o/a frame size: 0 x 0mm  
(0' 0" x 0' 0")
2-tracks double glazed,  0 # of panel
0</v>
      </c>
      <c r="D78" s="78"/>
      <c r="E78" s="78" t="str">
        <f ca="1">IF(F78=0,"",VZ!D43)</f>
        <v/>
      </c>
      <c r="F78" s="79">
        <f ca="1">VZ!E43</f>
        <v>0</v>
      </c>
      <c r="G78" s="79">
        <f ca="1">VZ!F43</f>
        <v>0</v>
      </c>
    </row>
    <row r="79" spans="1:7" s="5" customFormat="1" hidden="1" x14ac:dyDescent="0.2">
      <c r="A79" s="471"/>
      <c r="B79" s="72">
        <f>VZ!B44</f>
        <v>0</v>
      </c>
      <c r="C79" s="73" t="str">
        <f>ELEMENT!AH40</f>
        <v/>
      </c>
      <c r="D79" s="75"/>
      <c r="E79" s="75"/>
      <c r="F79" s="75"/>
      <c r="G79" s="75"/>
    </row>
    <row r="80" spans="1:7" s="5" customFormat="1" ht="51" hidden="1" x14ac:dyDescent="0.2">
      <c r="A80" s="471"/>
      <c r="B80" s="80"/>
      <c r="C80" s="77" t="str">
        <f ca="1">VZ!C44</f>
        <v>o/a frame size: 0 x 0mm  
(0' 0" x 0' 0")
2-tracks double glazed,  0 # of panel
0</v>
      </c>
      <c r="D80" s="78"/>
      <c r="E80" s="78" t="str">
        <f ca="1">IF(F80=0,"",VZ!D44)</f>
        <v/>
      </c>
      <c r="F80" s="79">
        <f ca="1">VZ!E44</f>
        <v>0</v>
      </c>
      <c r="G80" s="79">
        <f ca="1">VZ!F44</f>
        <v>0</v>
      </c>
    </row>
    <row r="81" spans="1:9" s="5" customFormat="1" hidden="1" x14ac:dyDescent="0.2">
      <c r="A81" s="471"/>
      <c r="B81" s="72">
        <f>VZ!B45</f>
        <v>0</v>
      </c>
      <c r="C81" s="73" t="str">
        <f>ELEMENT!AH41</f>
        <v/>
      </c>
      <c r="D81" s="75"/>
      <c r="E81" s="75"/>
      <c r="F81" s="75"/>
      <c r="G81" s="75"/>
    </row>
    <row r="82" spans="1:9" s="5" customFormat="1" ht="51" hidden="1" x14ac:dyDescent="0.2">
      <c r="A82" s="471"/>
      <c r="B82" s="80"/>
      <c r="C82" s="77" t="str">
        <f ca="1">VZ!C45</f>
        <v>o/a frame size: 0 x 0mm  
(0' 0" x 0' 0")
2-tracks double glazed,  0 # of panel
0</v>
      </c>
      <c r="D82" s="78"/>
      <c r="E82" s="78" t="str">
        <f ca="1">IF(F82=0,"",VZ!D45)</f>
        <v/>
      </c>
      <c r="F82" s="79">
        <f ca="1">VZ!E45</f>
        <v>0</v>
      </c>
      <c r="G82" s="79">
        <f ca="1">VZ!F45</f>
        <v>0</v>
      </c>
    </row>
    <row r="83" spans="1:9" s="5" customFormat="1" hidden="1" x14ac:dyDescent="0.2">
      <c r="A83" s="471"/>
      <c r="B83" s="72">
        <f>VZ!B46</f>
        <v>0</v>
      </c>
      <c r="C83" s="73" t="str">
        <f>ELEMENT!AH42</f>
        <v/>
      </c>
      <c r="D83" s="75"/>
      <c r="E83" s="75"/>
      <c r="F83" s="75"/>
      <c r="G83" s="75"/>
    </row>
    <row r="84" spans="1:9" s="5" customFormat="1" ht="51" hidden="1" x14ac:dyDescent="0.2">
      <c r="A84" s="471"/>
      <c r="B84" s="80"/>
      <c r="C84" s="77" t="str">
        <f ca="1">VZ!C46</f>
        <v>o/a frame size: 0 x 0mm  
(0' 0" x 0' 0")
2-tracks double glazed,  0 # of panel
0</v>
      </c>
      <c r="D84" s="78"/>
      <c r="E84" s="78" t="str">
        <f ca="1">IF(F84=0,"",VZ!D46)</f>
        <v/>
      </c>
      <c r="F84" s="79">
        <f ca="1">VZ!E46</f>
        <v>0</v>
      </c>
      <c r="G84" s="79">
        <f ca="1">VZ!F46</f>
        <v>0</v>
      </c>
    </row>
    <row r="85" spans="1:9" s="5" customFormat="1" hidden="1" x14ac:dyDescent="0.2">
      <c r="A85" s="471"/>
      <c r="B85" s="72">
        <f>VZ!B47</f>
        <v>0</v>
      </c>
      <c r="C85" s="73" t="str">
        <f>ELEMENT!AH43</f>
        <v/>
      </c>
      <c r="D85" s="75"/>
      <c r="E85" s="75"/>
      <c r="F85" s="75"/>
      <c r="G85" s="75"/>
    </row>
    <row r="86" spans="1:9" s="5" customFormat="1" ht="51" hidden="1" x14ac:dyDescent="0.2">
      <c r="A86" s="471"/>
      <c r="B86" s="80"/>
      <c r="C86" s="77" t="str">
        <f ca="1">VZ!C47</f>
        <v>o/a frame size: 0 x 0mm  
(0' 0" x 0' 0")
2-tracks double glazed,  0 # of panel
0</v>
      </c>
      <c r="D86" s="78"/>
      <c r="E86" s="78" t="str">
        <f ca="1">IF(F86=0,"",VZ!D47)</f>
        <v/>
      </c>
      <c r="F86" s="79">
        <f ca="1">VZ!E47</f>
        <v>0</v>
      </c>
      <c r="G86" s="79">
        <f ca="1">VZ!F47</f>
        <v>0</v>
      </c>
    </row>
    <row r="87" spans="1:9" s="5" customFormat="1" hidden="1" x14ac:dyDescent="0.2">
      <c r="A87" s="471"/>
      <c r="B87" s="72">
        <f>VZ!B48</f>
        <v>0</v>
      </c>
      <c r="C87" s="73" t="str">
        <f>ELEMENT!AH44</f>
        <v/>
      </c>
      <c r="D87" s="75"/>
      <c r="E87" s="75"/>
      <c r="F87" s="75"/>
      <c r="G87" s="75"/>
    </row>
    <row r="88" spans="1:9" s="5" customFormat="1" ht="51" hidden="1" x14ac:dyDescent="0.2">
      <c r="A88" s="471"/>
      <c r="B88" s="80"/>
      <c r="C88" s="77" t="str">
        <f ca="1">VZ!C48</f>
        <v>o/a frame size: 0 x 0mm  
(0' 0" x 0' 0")
2-tracks double glazed,  0 # of panel
0</v>
      </c>
      <c r="D88" s="78"/>
      <c r="E88" s="78" t="str">
        <f ca="1">IF(F88=0,"",VZ!D48)</f>
        <v/>
      </c>
      <c r="F88" s="79">
        <f ca="1">VZ!E48</f>
        <v>0</v>
      </c>
      <c r="G88" s="79">
        <f ca="1">VZ!F48</f>
        <v>0</v>
      </c>
    </row>
    <row r="89" spans="1:9" s="5" customFormat="1" hidden="1" x14ac:dyDescent="0.2">
      <c r="A89" s="471"/>
      <c r="B89" s="72">
        <f>VZ!B49</f>
        <v>0</v>
      </c>
      <c r="C89" s="73" t="str">
        <f>ELEMENT!AH45</f>
        <v/>
      </c>
      <c r="D89" s="75"/>
      <c r="E89" s="75"/>
      <c r="F89" s="75"/>
      <c r="G89" s="75"/>
    </row>
    <row r="90" spans="1:9" s="5" customFormat="1" ht="51" hidden="1" x14ac:dyDescent="0.2">
      <c r="A90" s="471"/>
      <c r="B90" s="80"/>
      <c r="C90" s="77" t="str">
        <f ca="1">VZ!C49</f>
        <v>o/a frame size: 0 x 0mm  
(0' 0" x 0' 0")
2-tracks double glazed,  0 # of panel
0</v>
      </c>
      <c r="D90" s="78"/>
      <c r="E90" s="78" t="str">
        <f ca="1">IF(F90=0,"",VZ!D49)</f>
        <v/>
      </c>
      <c r="F90" s="79">
        <f ca="1">VZ!E49</f>
        <v>0</v>
      </c>
      <c r="G90" s="79">
        <f ca="1">VZ!F49</f>
        <v>0</v>
      </c>
    </row>
    <row r="91" spans="1:9" ht="38.25" x14ac:dyDescent="0.2">
      <c r="B91" s="204" t="s">
        <v>218</v>
      </c>
      <c r="C91" s="205" t="str">
        <f>VZ!C51</f>
        <v xml:space="preserve"> 
Additional charge for alternative surface of all active items: E6 EV1 (25my)</v>
      </c>
      <c r="D91" s="206"/>
      <c r="E91" s="206" t="str">
        <f>VZ!D51</f>
        <v>total</v>
      </c>
      <c r="F91" s="206">
        <f>VZ!E51</f>
        <v>0</v>
      </c>
      <c r="G91" s="207"/>
    </row>
    <row r="92" spans="1:9" ht="13.5" thickBot="1" x14ac:dyDescent="0.25">
      <c r="B92" s="82" t="str">
        <f>Sprache!B153</f>
        <v>Total Sky-Frame elements</v>
      </c>
      <c r="C92" s="82"/>
      <c r="D92" s="83"/>
      <c r="E92" s="83"/>
      <c r="F92" s="84" t="str">
        <f>CONCATENATE(Sprache!$B$31," ",UPPER(MONTAGE!$P$3)," ",Sprache!B95)</f>
        <v>total USD excluding TAX</v>
      </c>
      <c r="G92" s="85">
        <f ca="1">SUM(G9:G90)</f>
        <v>0</v>
      </c>
      <c r="I92" s="8"/>
    </row>
    <row r="94" spans="1:9" ht="14.25" customHeight="1" x14ac:dyDescent="0.2">
      <c r="B94" s="2" t="s">
        <v>1315</v>
      </c>
    </row>
    <row r="96" spans="1:9" x14ac:dyDescent="0.2">
      <c r="B96" s="86" t="str">
        <f>VZ!$B$8</f>
        <v>item</v>
      </c>
      <c r="C96" s="2" t="str">
        <f>VZ!$C$8</f>
        <v>text</v>
      </c>
      <c r="D96" s="87" t="str">
        <f>VZ!$D$8</f>
        <v>unit</v>
      </c>
      <c r="F96" s="87" t="str">
        <f>VZ!$E$8</f>
        <v xml:space="preserve">USD/unit </v>
      </c>
      <c r="G96" s="87" t="str">
        <f>VZ!$F$8</f>
        <v>total USD</v>
      </c>
    </row>
    <row r="97" spans="2:7" x14ac:dyDescent="0.2">
      <c r="B97" s="68">
        <f>OPTION!$A$3</f>
        <v>1</v>
      </c>
      <c r="C97" s="412" t="str">
        <f>OPTION!$B$3</f>
        <v>BRACKETS</v>
      </c>
      <c r="D97" s="89"/>
      <c r="E97" s="89"/>
      <c r="F97" s="88"/>
      <c r="G97" s="88"/>
    </row>
    <row r="98" spans="2:7" x14ac:dyDescent="0.2">
      <c r="B98" s="90"/>
      <c r="C98" s="413" t="str">
        <f>OPTION!$C$3</f>
        <v>brackets for sill 135mm</v>
      </c>
      <c r="D98" s="98" t="str">
        <f>OPTION!$D$3</f>
        <v>unit</v>
      </c>
      <c r="E98" s="91" t="str">
        <f>MONTAGE!$W$48</f>
        <v>per</v>
      </c>
      <c r="F98" s="92">
        <f>OPTION!$I$3</f>
        <v>24.6</v>
      </c>
      <c r="G98" s="92">
        <f>IF(E98=Sprache!$B$86,0,
IF(ELEMENT!$X$47=ELEMENT!$CJ$65,
ROUND(E98*F98*2,1)/2,
ROUND(E98*F98,2)))</f>
        <v>0</v>
      </c>
    </row>
    <row r="99" spans="2:7" x14ac:dyDescent="0.2">
      <c r="B99" s="68">
        <f>OPTION!$A$4</f>
        <v>2</v>
      </c>
      <c r="C99" s="412" t="str">
        <f>OPTION!$B$4</f>
        <v>GUTTER</v>
      </c>
      <c r="D99" s="89"/>
      <c r="E99" s="99"/>
      <c r="F99" s="93"/>
      <c r="G99" s="88"/>
    </row>
    <row r="100" spans="2:7" ht="114.75" x14ac:dyDescent="0.2">
      <c r="B100" s="90"/>
      <c r="C100" s="413" t="s">
        <v>1278</v>
      </c>
      <c r="D100" s="100" t="str">
        <f>OPTION!$D$4</f>
        <v>m</v>
      </c>
      <c r="E100" s="91" t="str">
        <f>MONTAGE!$Y$48</f>
        <v>per</v>
      </c>
      <c r="F100" s="92">
        <f>OPTION!$I$4</f>
        <v>199</v>
      </c>
      <c r="G100" s="92">
        <f>IF(E100=Sprache!$B$86,0,
IF(ELEMENT!$X$47=ELEMENT!$CJ$65,
ROUND(E100*F100*2,1)/2,
ROUND(E100*F100,2)))</f>
        <v>0</v>
      </c>
    </row>
    <row r="101" spans="2:7" x14ac:dyDescent="0.2">
      <c r="B101" s="68">
        <f>OPTION!$A$5</f>
        <v>3</v>
      </c>
      <c r="C101" s="414" t="str">
        <f>OPTION!$B$5</f>
        <v>ELECTRIC DRIVE</v>
      </c>
      <c r="D101" s="89"/>
      <c r="E101" s="99"/>
      <c r="F101" s="93"/>
      <c r="G101" s="88"/>
    </row>
    <row r="102" spans="2:7" ht="140.25" x14ac:dyDescent="0.2">
      <c r="B102" s="90"/>
      <c r="C102" s="413" t="s">
        <v>1308</v>
      </c>
      <c r="D102" s="100" t="str">
        <f>OPTION!$D$5</f>
        <v>unit</v>
      </c>
      <c r="E102" s="91" t="str">
        <f>MONTAGE!$AA$48</f>
        <v>per</v>
      </c>
      <c r="F102" s="92">
        <f>OPTION!$I$5</f>
        <v>3458</v>
      </c>
      <c r="G102" s="92">
        <f>IF(E102=Sprache!$B$86,0,
IF(ELEMENT!$X$47=ELEMENT!$CJ$65,
ROUND(E102*F102*2,1)/2,
ROUND(E102*F102,2)))</f>
        <v>0</v>
      </c>
    </row>
    <row r="103" spans="2:7" x14ac:dyDescent="0.2">
      <c r="B103" s="68">
        <f>OPTION!$A$6</f>
        <v>4</v>
      </c>
      <c r="C103" s="412" t="str">
        <f>OPTION!$B$6</f>
        <v>Universal screws 7.5 x 52 A2</v>
      </c>
      <c r="D103" s="89"/>
      <c r="E103" s="99"/>
      <c r="F103" s="93"/>
      <c r="G103" s="88"/>
    </row>
    <row r="104" spans="2:7" ht="25.5" x14ac:dyDescent="0.2">
      <c r="B104" s="90"/>
      <c r="C104" s="413" t="str">
        <f>OPTION!$C$6</f>
        <v>Universal screws (Inox) A2 for wooden and concrete surfaces. Pack. = 100 pcs.</v>
      </c>
      <c r="D104" s="100" t="str">
        <f>OPTION!$D$6</f>
        <v>box</v>
      </c>
      <c r="E104" s="91" t="str">
        <f>MONTAGE!$AC$48</f>
        <v>per</v>
      </c>
      <c r="F104" s="92">
        <f>OPTION!$I$6</f>
        <v>138</v>
      </c>
      <c r="G104" s="92">
        <f>IF(E104=Sprache!$B$86,0,
IF(ELEMENT!$X$47=ELEMENT!$CJ$65,
ROUND(E104*F104*2,1)/2,
ROUND(E104*F104,2)))</f>
        <v>0</v>
      </c>
    </row>
    <row r="105" spans="2:7" x14ac:dyDescent="0.2">
      <c r="B105" s="68">
        <f>OPTION!$A$7</f>
        <v>5</v>
      </c>
      <c r="C105" s="412" t="str">
        <f>OPTION!$B$7</f>
        <v>Assembly Fee</v>
      </c>
      <c r="D105" s="89"/>
      <c r="E105" s="99"/>
      <c r="F105" s="93"/>
      <c r="G105" s="88"/>
    </row>
    <row r="106" spans="2:7" ht="51" x14ac:dyDescent="0.2">
      <c r="B106" s="90"/>
      <c r="C106" s="413" t="str">
        <f>OPTION!$C$7</f>
        <v>Weekly assembly instruction fee plus expenses (hotel, rental car, meals) by an certified Sky-Frame master installer
(See note for Installation Support)</v>
      </c>
      <c r="D106" s="431" t="str">
        <f>OPTION!$D$7</f>
        <v>unit</v>
      </c>
      <c r="E106" s="91" t="str">
        <f>MONTAGE!$AE$48</f>
        <v>per</v>
      </c>
      <c r="F106" s="92">
        <f>OPTION!$I$7</f>
        <v>5000</v>
      </c>
      <c r="G106" s="92">
        <f>IF(E106=Sprache!$B$86,0,
IF(ELEMENT!$X$47=ELEMENT!$CJ$65,
ROUND(E106*F106*2,1)/2,
ROUND(E106*F106,2)))</f>
        <v>0</v>
      </c>
    </row>
    <row r="107" spans="2:7" hidden="1" x14ac:dyDescent="0.2">
      <c r="B107" s="68">
        <f>OPTION!$A$8</f>
        <v>0</v>
      </c>
      <c r="C107" s="412">
        <f>OPTION!$B$8</f>
        <v>0</v>
      </c>
      <c r="D107" s="89"/>
      <c r="E107" s="99"/>
      <c r="F107" s="93"/>
      <c r="G107" s="88"/>
    </row>
    <row r="108" spans="2:7" hidden="1" x14ac:dyDescent="0.2">
      <c r="B108" s="90"/>
      <c r="C108" s="413">
        <f>OPTION!$C$8</f>
        <v>0</v>
      </c>
      <c r="D108" s="100">
        <f>OPTION!$D$8</f>
        <v>0</v>
      </c>
      <c r="E108" s="91">
        <f>MONTAGE!$AG$48</f>
        <v>0</v>
      </c>
      <c r="F108" s="92">
        <f>OPTION!$I$8</f>
        <v>0</v>
      </c>
      <c r="G108" s="92">
        <f>IF(E108=Sprache!$B$86,0,
IF(ELEMENT!$X$47=ELEMENT!$CJ$65,
ROUND(E108*F108*2,1)/2,
ROUND(E108*F108,2)))</f>
        <v>0</v>
      </c>
    </row>
    <row r="109" spans="2:7" hidden="1" x14ac:dyDescent="0.2">
      <c r="B109" s="68">
        <f>OPTION!$A$9</f>
        <v>0</v>
      </c>
      <c r="C109" s="412">
        <f>OPTION!$B$9</f>
        <v>0</v>
      </c>
      <c r="D109" s="89"/>
      <c r="E109" s="99"/>
      <c r="F109" s="93"/>
      <c r="G109" s="88"/>
    </row>
    <row r="110" spans="2:7" hidden="1" x14ac:dyDescent="0.2">
      <c r="B110" s="90"/>
      <c r="C110" s="413">
        <f>OPTION!$C$9</f>
        <v>0</v>
      </c>
      <c r="D110" s="100">
        <f>OPTION!$D$9</f>
        <v>0</v>
      </c>
      <c r="E110" s="91">
        <f>MONTAGE!$AI$48</f>
        <v>0</v>
      </c>
      <c r="F110" s="92">
        <f>OPTION!$I$9</f>
        <v>0</v>
      </c>
      <c r="G110" s="92">
        <f>IF(E110=Sprache!$B$86,0,
IF(ELEMENT!$X$47=ELEMENT!$CJ$65,
ROUND(E110*F110*2,1)/2,
ROUND(E110*F110,2)))</f>
        <v>0</v>
      </c>
    </row>
    <row r="111" spans="2:7" hidden="1" x14ac:dyDescent="0.2">
      <c r="B111" s="68">
        <f>OPTION!$A$10</f>
        <v>0</v>
      </c>
      <c r="C111" s="412">
        <f>OPTION!$B$10</f>
        <v>0</v>
      </c>
      <c r="D111" s="89"/>
      <c r="E111" s="99"/>
      <c r="F111" s="93"/>
      <c r="G111" s="88"/>
    </row>
    <row r="112" spans="2:7" hidden="1" x14ac:dyDescent="0.2">
      <c r="B112" s="90"/>
      <c r="C112" s="413">
        <f>OPTION!$C$10</f>
        <v>0</v>
      </c>
      <c r="D112" s="100">
        <f>OPTION!$D$10</f>
        <v>0</v>
      </c>
      <c r="E112" s="91">
        <f>MONTAGE!$AK$48</f>
        <v>0</v>
      </c>
      <c r="F112" s="92">
        <f>OPTION!$I$10</f>
        <v>0</v>
      </c>
      <c r="G112" s="92">
        <f>IF(E112=Sprache!$B$86,0,
IF(ELEMENT!$X$47=ELEMENT!$CJ$65,
ROUND(E112*F112*2,1)/2,
ROUND(E112*F112,2)))</f>
        <v>0</v>
      </c>
    </row>
    <row r="113" spans="2:7" hidden="1" x14ac:dyDescent="0.2">
      <c r="B113" s="68">
        <f>OPTION!$A$11</f>
        <v>0</v>
      </c>
      <c r="C113" s="412">
        <f>OPTION!$B$11</f>
        <v>0</v>
      </c>
      <c r="D113" s="89"/>
      <c r="E113" s="99"/>
      <c r="F113" s="93"/>
      <c r="G113" s="88"/>
    </row>
    <row r="114" spans="2:7" hidden="1" x14ac:dyDescent="0.2">
      <c r="B114" s="90"/>
      <c r="C114" s="413">
        <f>OPTION!$C$11</f>
        <v>0</v>
      </c>
      <c r="D114" s="98">
        <f>OPTION!$D$11</f>
        <v>0</v>
      </c>
      <c r="E114" s="91">
        <f>MONTAGE!$AM$48</f>
        <v>0</v>
      </c>
      <c r="F114" s="92">
        <f>OPTION!$I$11</f>
        <v>0</v>
      </c>
      <c r="G114" s="92">
        <f>IF(E114=Sprache!$B$86,0,
IF(ELEMENT!$X$47=ELEMENT!$CJ$65,
ROUND(E114*F114*2,1)/2,
ROUND(E114*F114,2)))</f>
        <v>0</v>
      </c>
    </row>
    <row r="115" spans="2:7" hidden="1" x14ac:dyDescent="0.2">
      <c r="B115" s="68">
        <f>OPTION!$A$12</f>
        <v>0</v>
      </c>
      <c r="C115" s="412">
        <f>OPTION!$B$12</f>
        <v>0</v>
      </c>
      <c r="D115" s="89"/>
      <c r="E115" s="99"/>
      <c r="F115" s="93"/>
      <c r="G115" s="88"/>
    </row>
    <row r="116" spans="2:7" hidden="1" x14ac:dyDescent="0.2">
      <c r="B116" s="90"/>
      <c r="C116" s="413">
        <f>OPTION!$C$12</f>
        <v>0</v>
      </c>
      <c r="D116" s="98">
        <f>OPTION!$D$12</f>
        <v>0</v>
      </c>
      <c r="E116" s="91">
        <f>MONTAGE!$AO$48</f>
        <v>0</v>
      </c>
      <c r="F116" s="92">
        <f>OPTION!$I$12</f>
        <v>0</v>
      </c>
      <c r="G116" s="92">
        <f>IF(E116=Sprache!$B$86,0,
IF(ELEMENT!$X$47=ELEMENT!$CJ$65,
ROUND(E116*F116*2,1)/2,
ROUND(E116*F116,2)))</f>
        <v>0</v>
      </c>
    </row>
    <row r="117" spans="2:7" hidden="1" x14ac:dyDescent="0.2">
      <c r="B117" s="68">
        <f>OPTION!$A$13</f>
        <v>0</v>
      </c>
      <c r="C117" s="412">
        <f>OPTION!$B$13</f>
        <v>0</v>
      </c>
      <c r="D117" s="89"/>
      <c r="E117" s="99"/>
      <c r="F117" s="93"/>
      <c r="G117" s="88"/>
    </row>
    <row r="118" spans="2:7" hidden="1" x14ac:dyDescent="0.2">
      <c r="B118" s="90"/>
      <c r="C118" s="413">
        <f>OPTION!$C$13</f>
        <v>0</v>
      </c>
      <c r="D118" s="98">
        <f>OPTION!$D$13</f>
        <v>0</v>
      </c>
      <c r="E118" s="91">
        <f>MONTAGE!$AQ$48</f>
        <v>0</v>
      </c>
      <c r="F118" s="92">
        <f>OPTION!$I$13</f>
        <v>0</v>
      </c>
      <c r="G118" s="92">
        <f>IF(E118=Sprache!$B$86,0,
IF(ELEMENT!$X$47=ELEMENT!$CJ$65,
ROUND(E118*F118*2,1)/2,
ROUND(E118*F118,2)))</f>
        <v>0</v>
      </c>
    </row>
    <row r="119" spans="2:7" hidden="1" x14ac:dyDescent="0.2">
      <c r="B119" s="68">
        <f>OPTION!$A$14</f>
        <v>0</v>
      </c>
      <c r="C119" s="412">
        <f>OPTION!$B$14</f>
        <v>0</v>
      </c>
      <c r="D119" s="89"/>
      <c r="E119" s="99"/>
      <c r="F119" s="93"/>
      <c r="G119" s="88"/>
    </row>
    <row r="120" spans="2:7" hidden="1" x14ac:dyDescent="0.2">
      <c r="B120" s="90"/>
      <c r="C120" s="413">
        <f>OPTION!$C$14</f>
        <v>0</v>
      </c>
      <c r="D120" s="98">
        <f>OPTION!$D$14</f>
        <v>0</v>
      </c>
      <c r="E120" s="91">
        <f>MONTAGE!$AS$48</f>
        <v>0</v>
      </c>
      <c r="F120" s="92">
        <f>OPTION!$I$14</f>
        <v>0</v>
      </c>
      <c r="G120" s="92">
        <f>IF(E120=Sprache!$B$86,0,
IF(ELEMENT!$X$47=ELEMENT!$CJ$65,
ROUND(E120*F120*2,1)/2,
ROUND(E120*F120,2)))</f>
        <v>0</v>
      </c>
    </row>
    <row r="121" spans="2:7" hidden="1" x14ac:dyDescent="0.2">
      <c r="B121" s="68">
        <f>OPTION!$A$15</f>
        <v>0</v>
      </c>
      <c r="C121" s="412">
        <f>OPTION!$B$15</f>
        <v>0</v>
      </c>
      <c r="D121" s="89"/>
      <c r="E121" s="99"/>
      <c r="F121" s="93"/>
      <c r="G121" s="88"/>
    </row>
    <row r="122" spans="2:7" hidden="1" x14ac:dyDescent="0.2">
      <c r="B122" s="90"/>
      <c r="C122" s="413">
        <f>OPTION!$C$15</f>
        <v>0</v>
      </c>
      <c r="D122" s="98">
        <f>OPTION!$D$15</f>
        <v>0</v>
      </c>
      <c r="E122" s="91">
        <f>MONTAGE!$AU$48</f>
        <v>0</v>
      </c>
      <c r="F122" s="92">
        <f>OPTION!$I$15</f>
        <v>0</v>
      </c>
      <c r="G122" s="92">
        <f>IF(E122=Sprache!$B$86,0,
IF(ELEMENT!$X$47=ELEMENT!$CJ$65,
ROUND(E122*F122*2,1)/2,
ROUND(E122*F122,2)))</f>
        <v>0</v>
      </c>
    </row>
    <row r="123" spans="2:7" hidden="1" x14ac:dyDescent="0.2">
      <c r="B123" s="68">
        <f>OPTION!$A$16</f>
        <v>0</v>
      </c>
      <c r="C123" s="412">
        <f>OPTION!$B$16</f>
        <v>0</v>
      </c>
      <c r="D123" s="89"/>
      <c r="E123" s="99"/>
      <c r="F123" s="93"/>
      <c r="G123" s="88"/>
    </row>
    <row r="124" spans="2:7" hidden="1" x14ac:dyDescent="0.2">
      <c r="B124" s="90"/>
      <c r="C124" s="413">
        <f>OPTION!$C$16</f>
        <v>0</v>
      </c>
      <c r="D124" s="425">
        <f>OPTION!$D$16</f>
        <v>0</v>
      </c>
      <c r="E124" s="91">
        <f>MONTAGE!$AW$48</f>
        <v>0</v>
      </c>
      <c r="F124" s="92">
        <f>OPTION!$I$16</f>
        <v>0</v>
      </c>
      <c r="G124" s="92">
        <f>IF(E124=Sprache!$B$86,0,
IF(ELEMENT!$X$47=ELEMENT!$CJ$65,
ROUND(E124*F124*2,1)/2,
ROUND(E124*F124,2)))</f>
        <v>0</v>
      </c>
    </row>
    <row r="125" spans="2:7" x14ac:dyDescent="0.2">
      <c r="B125" s="418"/>
      <c r="C125" s="419"/>
      <c r="D125" s="98"/>
      <c r="E125" s="420"/>
      <c r="F125" s="421"/>
      <c r="G125" s="421"/>
    </row>
    <row r="126" spans="2:7" ht="13.5" thickBot="1" x14ac:dyDescent="0.25">
      <c r="B126" s="68">
        <f>OPTION!$A$17</f>
        <v>0</v>
      </c>
      <c r="C126" s="412">
        <f>OPTION!$B$17</f>
        <v>0</v>
      </c>
      <c r="D126" s="89"/>
      <c r="E126" s="99"/>
      <c r="F126" s="93"/>
      <c r="G126" s="88"/>
    </row>
    <row r="127" spans="2:7" ht="13.5" thickBot="1" x14ac:dyDescent="0.25">
      <c r="B127" s="94" t="s">
        <v>357</v>
      </c>
      <c r="C127" s="95"/>
      <c r="D127" s="95"/>
      <c r="E127" s="95"/>
      <c r="F127" s="96" t="str">
        <f>F142</f>
        <v>total USD excluding TAX</v>
      </c>
      <c r="G127" s="97">
        <f>SUM(G96:G126)</f>
        <v>0</v>
      </c>
    </row>
    <row r="128" spans="2:7" x14ac:dyDescent="0.2">
      <c r="B128" s="68"/>
      <c r="C128" s="412"/>
      <c r="D128" s="89"/>
      <c r="E128" s="99"/>
      <c r="F128" s="93"/>
      <c r="G128" s="88"/>
    </row>
    <row r="129" spans="2:7" x14ac:dyDescent="0.2">
      <c r="B129" s="90"/>
      <c r="C129" s="413" t="s">
        <v>1314</v>
      </c>
      <c r="D129" s="98"/>
      <c r="E129" s="91"/>
      <c r="F129" s="92"/>
      <c r="G129" s="92">
        <f ca="1">G92</f>
        <v>0</v>
      </c>
    </row>
    <row r="130" spans="2:7" x14ac:dyDescent="0.2">
      <c r="B130" s="68"/>
      <c r="C130" s="412"/>
      <c r="D130" s="89"/>
      <c r="E130" s="99"/>
      <c r="F130" s="93"/>
      <c r="G130" s="88"/>
    </row>
    <row r="131" spans="2:7" x14ac:dyDescent="0.2">
      <c r="B131" s="90"/>
      <c r="C131" s="413" t="s">
        <v>1252</v>
      </c>
      <c r="D131" s="98"/>
      <c r="E131" s="91" t="s">
        <v>1250</v>
      </c>
      <c r="F131" s="92"/>
      <c r="G131" s="92">
        <f ca="1">G129*D131%</f>
        <v>0</v>
      </c>
    </row>
    <row r="132" spans="2:7" x14ac:dyDescent="0.2">
      <c r="B132" s="68"/>
      <c r="C132" s="412"/>
      <c r="D132" s="89"/>
      <c r="E132" s="99"/>
      <c r="F132" s="93" t="s">
        <v>1251</v>
      </c>
      <c r="G132" s="88">
        <f ca="1">G129-G131</f>
        <v>0</v>
      </c>
    </row>
    <row r="133" spans="2:7" x14ac:dyDescent="0.2">
      <c r="B133" s="90"/>
      <c r="C133" s="1" t="s">
        <v>1255</v>
      </c>
      <c r="D133" s="98"/>
      <c r="E133" s="91" t="s">
        <v>1250</v>
      </c>
      <c r="F133" s="92"/>
      <c r="G133" s="92">
        <f ca="1">G132*D133%</f>
        <v>0</v>
      </c>
    </row>
    <row r="134" spans="2:7" x14ac:dyDescent="0.2">
      <c r="B134" s="68"/>
      <c r="C134" s="412"/>
      <c r="D134" s="89"/>
      <c r="E134" s="99"/>
      <c r="F134" s="93" t="s">
        <v>1251</v>
      </c>
      <c r="G134" s="88">
        <f ca="1">G132-G133</f>
        <v>0</v>
      </c>
    </row>
    <row r="135" spans="2:7" x14ac:dyDescent="0.2">
      <c r="B135" s="90"/>
      <c r="C135" s="413" t="s">
        <v>1253</v>
      </c>
      <c r="D135" s="98">
        <v>0</v>
      </c>
      <c r="E135" s="91" t="s">
        <v>1250</v>
      </c>
      <c r="F135" s="92"/>
      <c r="G135" s="92">
        <f ca="1">G132*D135%</f>
        <v>0</v>
      </c>
    </row>
    <row r="136" spans="2:7" x14ac:dyDescent="0.2">
      <c r="B136" s="68"/>
      <c r="C136" s="412"/>
      <c r="D136" s="89"/>
      <c r="E136" s="99"/>
      <c r="F136" s="93" t="s">
        <v>1251</v>
      </c>
      <c r="G136" s="88">
        <f ca="1">G134-G135</f>
        <v>0</v>
      </c>
    </row>
    <row r="137" spans="2:7" x14ac:dyDescent="0.2">
      <c r="B137" s="90"/>
      <c r="C137" s="413" t="s">
        <v>1254</v>
      </c>
      <c r="D137" s="98">
        <v>0</v>
      </c>
      <c r="E137" s="91" t="s">
        <v>1250</v>
      </c>
      <c r="F137" s="92"/>
      <c r="G137" s="92">
        <f ca="1">G135*D137%</f>
        <v>0</v>
      </c>
    </row>
    <row r="138" spans="2:7" x14ac:dyDescent="0.2">
      <c r="B138" s="68"/>
      <c r="C138" s="412"/>
      <c r="D138" s="89"/>
      <c r="E138" s="99"/>
      <c r="F138" s="93" t="s">
        <v>1251</v>
      </c>
      <c r="G138" s="88">
        <f ca="1">G136-G137</f>
        <v>0</v>
      </c>
    </row>
    <row r="139" spans="2:7" x14ac:dyDescent="0.2">
      <c r="B139" s="90"/>
      <c r="C139" s="1" t="s">
        <v>1249</v>
      </c>
      <c r="D139" s="98"/>
      <c r="E139" s="91" t="s">
        <v>1250</v>
      </c>
      <c r="F139" s="92"/>
      <c r="G139" s="92">
        <f ca="1">G138*D139%</f>
        <v>0</v>
      </c>
    </row>
    <row r="140" spans="2:7" x14ac:dyDescent="0.2">
      <c r="B140" s="68"/>
      <c r="C140" s="412"/>
      <c r="D140" s="89"/>
      <c r="E140" s="99"/>
      <c r="F140" s="93" t="s">
        <v>1251</v>
      </c>
      <c r="G140" s="88">
        <f ca="1">G138-G139</f>
        <v>0</v>
      </c>
    </row>
    <row r="141" spans="2:7" ht="13.5" thickBot="1" x14ac:dyDescent="0.25">
      <c r="B141" s="418"/>
      <c r="C141" s="426" t="s">
        <v>1316</v>
      </c>
      <c r="D141" s="427"/>
      <c r="E141" s="428"/>
      <c r="F141" s="429"/>
      <c r="G141" s="430">
        <f>G127</f>
        <v>0</v>
      </c>
    </row>
    <row r="142" spans="2:7" ht="13.5" thickBot="1" x14ac:dyDescent="0.25">
      <c r="B142" s="94">
        <f>Sprache!B244</f>
        <v>0</v>
      </c>
      <c r="C142" s="95"/>
      <c r="D142" s="95"/>
      <c r="E142" s="95"/>
      <c r="F142" s="96" t="str">
        <f>CONCATENATE(Sprache!$B$31," ",UPPER(MONTAGE!$P$3)," ",Sprache!$B$95)</f>
        <v>total USD excluding TAX</v>
      </c>
      <c r="G142" s="97">
        <f ca="1">G140+G141</f>
        <v>0</v>
      </c>
    </row>
    <row r="144" spans="2:7" x14ac:dyDescent="0.2">
      <c r="C144" s="4" t="s">
        <v>1277</v>
      </c>
    </row>
    <row r="145" spans="3:10" x14ac:dyDescent="0.2">
      <c r="C145" s="4" t="s">
        <v>1297</v>
      </c>
    </row>
    <row r="146" spans="3:10" x14ac:dyDescent="0.2">
      <c r="C146" s="4" t="s">
        <v>1298</v>
      </c>
    </row>
    <row r="147" spans="3:10" x14ac:dyDescent="0.2">
      <c r="C147" s="4" t="s">
        <v>1299</v>
      </c>
    </row>
    <row r="148" spans="3:10" x14ac:dyDescent="0.2">
      <c r="C148" s="4" t="s">
        <v>1319</v>
      </c>
    </row>
    <row r="149" spans="3:10" x14ac:dyDescent="0.2">
      <c r="C149" s="4" t="s">
        <v>1318</v>
      </c>
    </row>
    <row r="150" spans="3:10" x14ac:dyDescent="0.2">
      <c r="C150" s="4" t="s">
        <v>1301</v>
      </c>
    </row>
    <row r="152" spans="3:10" x14ac:dyDescent="0.2">
      <c r="C152" s="2" t="s">
        <v>1313</v>
      </c>
    </row>
    <row r="153" spans="3:10" ht="15" x14ac:dyDescent="0.2">
      <c r="C153" s="423" t="s">
        <v>1290</v>
      </c>
    </row>
    <row r="154" spans="3:10" ht="15" x14ac:dyDescent="0.2">
      <c r="C154" s="423" t="s">
        <v>1291</v>
      </c>
    </row>
    <row r="155" spans="3:10" ht="15" x14ac:dyDescent="0.2">
      <c r="C155" s="423" t="s">
        <v>1292</v>
      </c>
    </row>
    <row r="156" spans="3:10" ht="15" x14ac:dyDescent="0.2">
      <c r="C156" s="423" t="s">
        <v>1293</v>
      </c>
      <c r="J156" s="417"/>
    </row>
    <row r="158" spans="3:10" ht="15" x14ac:dyDescent="0.2">
      <c r="C158" s="424" t="s">
        <v>1294</v>
      </c>
    </row>
    <row r="159" spans="3:10" ht="15" x14ac:dyDescent="0.2">
      <c r="C159" s="423" t="s">
        <v>1295</v>
      </c>
    </row>
    <row r="160" spans="3:10" ht="15" x14ac:dyDescent="0.2">
      <c r="C160" s="423" t="s">
        <v>1306</v>
      </c>
    </row>
    <row r="161" spans="3:3" x14ac:dyDescent="0.2">
      <c r="C161" s="2" t="s">
        <v>1300</v>
      </c>
    </row>
    <row r="163" spans="3:3" x14ac:dyDescent="0.2">
      <c r="C163" s="4" t="s">
        <v>1296</v>
      </c>
    </row>
  </sheetData>
  <sheetProtection formatRows="0" selectLockedCells="1"/>
  <mergeCells count="41">
    <mergeCell ref="A51:A52"/>
    <mergeCell ref="A45:A46"/>
    <mergeCell ref="A47:A48"/>
    <mergeCell ref="A21:A22"/>
    <mergeCell ref="A23:A24"/>
    <mergeCell ref="A25:A26"/>
    <mergeCell ref="B6:G6"/>
    <mergeCell ref="A9:A10"/>
    <mergeCell ref="A11:A12"/>
    <mergeCell ref="A13:A14"/>
    <mergeCell ref="A15:A16"/>
    <mergeCell ref="A17:A18"/>
    <mergeCell ref="A27:A28"/>
    <mergeCell ref="A29:A30"/>
    <mergeCell ref="A61:A62"/>
    <mergeCell ref="A31:A32"/>
    <mergeCell ref="A33:A34"/>
    <mergeCell ref="A35:A36"/>
    <mergeCell ref="A37:A38"/>
    <mergeCell ref="A49:A50"/>
    <mergeCell ref="A57:A58"/>
    <mergeCell ref="A59:A60"/>
    <mergeCell ref="A53:A54"/>
    <mergeCell ref="A55:A56"/>
    <mergeCell ref="A39:A40"/>
    <mergeCell ref="A41:A42"/>
    <mergeCell ref="A43:A44"/>
    <mergeCell ref="A63:A64"/>
    <mergeCell ref="A65:A66"/>
    <mergeCell ref="A67:A68"/>
    <mergeCell ref="A69:A70"/>
    <mergeCell ref="A71:A72"/>
    <mergeCell ref="A73:A74"/>
    <mergeCell ref="A87:A88"/>
    <mergeCell ref="A89:A90"/>
    <mergeCell ref="A75:A76"/>
    <mergeCell ref="A77:A78"/>
    <mergeCell ref="A79:A80"/>
    <mergeCell ref="A81:A82"/>
    <mergeCell ref="A83:A84"/>
    <mergeCell ref="A85:A86"/>
  </mergeCells>
  <pageMargins left="0.62992125984251968" right="0.39370078740157483" top="0.47244094488188981" bottom="0.47244094488188981" header="0.31496062992125984" footer="0.23622047244094491"/>
  <pageSetup scale="89" orientation="portrait" horizontalDpi="4294967293" r:id="rId1"/>
  <headerFooter>
    <oddHeader>&amp;L&amp;G</oddHeader>
    <oddFooter>&amp;LSeite &amp;P von &amp;N&amp;R&amp;D</oddFooter>
  </headerFooter>
  <rowBreaks count="1" manualBreakCount="1">
    <brk id="100" min="1" max="6" man="1"/>
  </rowBreaks>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9">
    <pageSetUpPr fitToPage="1"/>
  </sheetPr>
  <dimension ref="A1:T68"/>
  <sheetViews>
    <sheetView showZeros="0" zoomScaleNormal="100" workbookViewId="0"/>
  </sheetViews>
  <sheetFormatPr defaultColWidth="11.42578125" defaultRowHeight="12.75" x14ac:dyDescent="0.2"/>
  <cols>
    <col min="1" max="1" width="4" style="1" customWidth="1"/>
    <col min="2" max="2" width="6.28515625" style="1" customWidth="1"/>
    <col min="3" max="3" width="30.5703125" style="1" customWidth="1"/>
    <col min="4" max="4" width="5.7109375" style="1" customWidth="1"/>
    <col min="5" max="5" width="8.28515625" style="1" bestFit="1" customWidth="1"/>
    <col min="6" max="12" width="9.28515625" style="1" customWidth="1"/>
    <col min="13" max="13" width="11.28515625" style="1" customWidth="1"/>
    <col min="14" max="15" width="9.28515625" style="1" customWidth="1"/>
    <col min="16" max="19" width="6.5703125" style="1" hidden="1" customWidth="1"/>
    <col min="20" max="20" width="6.7109375" style="1" hidden="1" customWidth="1"/>
    <col min="21" max="16384" width="11.42578125" style="1"/>
  </cols>
  <sheetData>
    <row r="1" spans="1:20" x14ac:dyDescent="0.2">
      <c r="A1" s="57"/>
    </row>
    <row r="2" spans="1:20" x14ac:dyDescent="0.2">
      <c r="A2" s="57"/>
    </row>
    <row r="3" spans="1:20" x14ac:dyDescent="0.2">
      <c r="A3" s="57"/>
      <c r="B3" s="474" t="str">
        <f>Sprache!D1</f>
        <v>Company… (please adapt in Sprache D1)</v>
      </c>
      <c r="C3" s="474"/>
      <c r="D3" s="474"/>
      <c r="E3" s="474"/>
      <c r="F3" s="474"/>
      <c r="G3" s="474"/>
      <c r="H3" s="474"/>
      <c r="I3" s="474"/>
    </row>
    <row r="4" spans="1:20" x14ac:dyDescent="0.2">
      <c r="A4" s="57"/>
    </row>
    <row r="5" spans="1:20" x14ac:dyDescent="0.2">
      <c r="A5" s="57"/>
      <c r="B5" s="475" t="str">
        <f>CONCATENATE(ELEMENT!C2)</f>
        <v/>
      </c>
      <c r="C5" s="475"/>
      <c r="D5" s="475"/>
      <c r="E5" s="475"/>
      <c r="F5" s="475"/>
      <c r="G5" s="475"/>
      <c r="H5" s="475"/>
      <c r="I5" s="475"/>
      <c r="J5" s="475"/>
      <c r="K5" s="48"/>
      <c r="L5" s="48"/>
      <c r="M5" s="48"/>
      <c r="N5" s="48"/>
      <c r="O5" s="48"/>
      <c r="P5" s="48"/>
      <c r="Q5" s="48"/>
      <c r="R5" s="48"/>
      <c r="S5" s="48"/>
      <c r="T5" s="48"/>
    </row>
    <row r="6" spans="1:20" x14ac:dyDescent="0.2">
      <c r="A6" s="57"/>
      <c r="B6" s="4"/>
      <c r="C6" s="4"/>
      <c r="D6" s="4"/>
      <c r="E6" s="4"/>
      <c r="F6" s="4"/>
      <c r="G6" s="4"/>
      <c r="H6" s="4"/>
      <c r="I6" s="4"/>
      <c r="J6" s="4"/>
      <c r="K6" s="4"/>
      <c r="L6" s="4"/>
      <c r="M6" s="4"/>
      <c r="N6" s="4"/>
      <c r="O6" s="4"/>
      <c r="P6" s="4"/>
      <c r="Q6" s="4"/>
      <c r="R6" s="4"/>
      <c r="S6" s="4"/>
      <c r="T6" s="4"/>
    </row>
    <row r="7" spans="1:20" ht="135" thickBot="1" x14ac:dyDescent="0.25">
      <c r="A7" s="57"/>
      <c r="B7" s="46" t="str">
        <f>CONCATENATE(Sprache!$B$9)</f>
        <v>item</v>
      </c>
      <c r="C7" s="46" t="str">
        <f>CONCATENATE(Sprache!$B$88)</f>
        <v>text</v>
      </c>
      <c r="D7" s="58" t="str">
        <f>CONCATENATE(Sprache!$B$11)</f>
        <v>pce(s)</v>
      </c>
      <c r="E7" s="210" t="str">
        <f>Sprache!B33</f>
        <v>m² total</v>
      </c>
      <c r="F7" s="210" t="str">
        <f>MONTAGE!$W$6</f>
        <v>BRACKETS</v>
      </c>
      <c r="G7" s="210" t="str">
        <f>MONTAGE!$Y$6</f>
        <v>GUTTER</v>
      </c>
      <c r="H7" s="210" t="str">
        <f>MONTAGE!$AA$6</f>
        <v>ELECTRIC DRIVE</v>
      </c>
      <c r="I7" s="210" t="str">
        <f>MONTAGE!$AC$6</f>
        <v>Universal screws 7.5 x 52 A2</v>
      </c>
      <c r="J7" s="210" t="str">
        <f>MONTAGE!$AE$6</f>
        <v>Assembly Fee</v>
      </c>
      <c r="K7" s="210" t="str">
        <f>MONTAGE!$AG$6</f>
        <v/>
      </c>
      <c r="L7" s="210" t="str">
        <f>MONTAGE!$AI$6</f>
        <v/>
      </c>
      <c r="M7" s="210" t="str">
        <f>MONTAGE!AK6</f>
        <v/>
      </c>
      <c r="N7" s="210" t="str">
        <f>MONTAGE!AM6</f>
        <v/>
      </c>
      <c r="O7" s="210" t="str">
        <f>MONTAGE!AO6</f>
        <v/>
      </c>
      <c r="P7" s="59" t="str">
        <f>MONTAGE!AQ6</f>
        <v/>
      </c>
      <c r="Q7" s="59" t="str">
        <f>MONTAGE!AS6</f>
        <v/>
      </c>
      <c r="R7" s="59" t="str">
        <f>MONTAGE!AU6</f>
        <v/>
      </c>
      <c r="S7" s="59" t="str">
        <f>MONTAGE!AW6</f>
        <v/>
      </c>
      <c r="T7" s="59" t="str">
        <f>MONTAGE!AY6</f>
        <v/>
      </c>
    </row>
    <row r="8" spans="1:20" s="5" customFormat="1" hidden="1" x14ac:dyDescent="0.2">
      <c r="A8" s="60"/>
      <c r="B8" s="61">
        <f>IF(MONTAGE!B7="","",MONTAGE!B7)</f>
        <v>0</v>
      </c>
      <c r="C8" s="62" t="str">
        <f>IF(ELEMENT!AO5="","",IF(ELEMENT!AW5="JA",ELEMENT!V5,IF(ELEMENT!D5="","",CONCATENATE(ELEMENT!A5,"   ",ELEMENT!D5," x ",ELEMENT!E5,"mm  "))))</f>
        <v/>
      </c>
      <c r="D8" s="63">
        <f>IF(ELEMENT!AO5="",0,IF(ELEMENT!C5=0,Sprache!$B$86,ELEMENT!C5))</f>
        <v>0</v>
      </c>
      <c r="E8" s="67">
        <f>MONTAGE!F7*MONTAGE!C7</f>
        <v>0</v>
      </c>
      <c r="F8" s="67">
        <f>IF($D8="",,MONTAGE!X7)</f>
        <v>0</v>
      </c>
      <c r="G8" s="67">
        <f>IF($D8="",,MONTAGE!Z7)</f>
        <v>0</v>
      </c>
      <c r="H8" s="67">
        <f>IF($D8="",,MONTAGE!AB7)</f>
        <v>0</v>
      </c>
      <c r="I8" s="67">
        <f>IF($D8="",,MONTAGE!AD7)</f>
        <v>0</v>
      </c>
      <c r="J8" s="67">
        <f>IF($D8="",,MONTAGE!AF7)</f>
        <v>0</v>
      </c>
      <c r="K8" s="67">
        <f>IF($D8="",,MONTAGE!AH7)</f>
        <v>0</v>
      </c>
      <c r="L8" s="67">
        <f>IF($D8="",,MONTAGE!AJ7)</f>
        <v>0</v>
      </c>
      <c r="M8" s="67">
        <f>IF($D8="",,MONTAGE!AL7)</f>
        <v>0</v>
      </c>
      <c r="N8" s="67">
        <f>IF($D8="",,MONTAGE!AN7)</f>
        <v>0</v>
      </c>
      <c r="O8" s="67">
        <f>IF($D8="",,MONTAGE!AP7)</f>
        <v>0</v>
      </c>
      <c r="P8" s="67">
        <f>IF($D8="",,MONTAGE!AR7)</f>
        <v>0</v>
      </c>
      <c r="Q8" s="67">
        <f>IF($D8="",,MONTAGE!AT7)</f>
        <v>0</v>
      </c>
      <c r="R8" s="67">
        <f>IF($D8="",,MONTAGE!AV7)</f>
        <v>0</v>
      </c>
      <c r="S8" s="67">
        <f>IF($D8="",,MONTAGE!AX7)</f>
        <v>0</v>
      </c>
      <c r="T8" s="67">
        <f>IF($D8="",,MONTAGE!AZ7)</f>
        <v>0</v>
      </c>
    </row>
    <row r="9" spans="1:20" s="5" customFormat="1" hidden="1" x14ac:dyDescent="0.2">
      <c r="A9" s="60"/>
      <c r="B9" s="61">
        <f>IF(MONTAGE!B8="","",MONTAGE!B8)</f>
        <v>0</v>
      </c>
      <c r="C9" s="62" t="str">
        <f>IF(ELEMENT!AO6="","",IF(ELEMENT!AW6="JA",ELEMENT!V6,IF(ELEMENT!D6="","",CONCATENATE(ELEMENT!A6,"   ",ELEMENT!D6," x ",ELEMENT!E6,"mm  "))))</f>
        <v/>
      </c>
      <c r="D9" s="63">
        <f>IF(ELEMENT!AO6="",0,IF(ELEMENT!C6=0,Sprache!$B$86,ELEMENT!C6))</f>
        <v>0</v>
      </c>
      <c r="E9" s="67">
        <f>MONTAGE!F8*MONTAGE!C8</f>
        <v>0</v>
      </c>
      <c r="F9" s="67">
        <f>IF($D9="",,MONTAGE!X8)</f>
        <v>0</v>
      </c>
      <c r="G9" s="67">
        <f>IF($D9="",,MONTAGE!Z8)</f>
        <v>0</v>
      </c>
      <c r="H9" s="67">
        <f>IF($D9="",,MONTAGE!AB8)</f>
        <v>0</v>
      </c>
      <c r="I9" s="67">
        <f>IF($D9="",,MONTAGE!AD8)</f>
        <v>0</v>
      </c>
      <c r="J9" s="67">
        <f>IF($D9="",,MONTAGE!AF8)</f>
        <v>0</v>
      </c>
      <c r="K9" s="67">
        <f>IF($D9="",,MONTAGE!AH8)</f>
        <v>0</v>
      </c>
      <c r="L9" s="67">
        <f>IF($D9="",,MONTAGE!AJ8)</f>
        <v>0</v>
      </c>
      <c r="M9" s="67">
        <f>IF($D9="",,MONTAGE!AL8)</f>
        <v>0</v>
      </c>
      <c r="N9" s="67">
        <f>IF($D9="",,MONTAGE!AN8)</f>
        <v>0</v>
      </c>
      <c r="O9" s="67">
        <f>IF($D9="",,MONTAGE!AP8)</f>
        <v>0</v>
      </c>
      <c r="P9" s="67">
        <f>IF($D9="",,MONTAGE!AR8)</f>
        <v>0</v>
      </c>
      <c r="Q9" s="67">
        <f>IF($D9="",,MONTAGE!AT8)</f>
        <v>0</v>
      </c>
      <c r="R9" s="67">
        <f>IF($D9="",,MONTAGE!AV8)</f>
        <v>0</v>
      </c>
      <c r="S9" s="67">
        <f>IF($D9="",,MONTAGE!AX8)</f>
        <v>0</v>
      </c>
      <c r="T9" s="67">
        <f>IF($D9="",,MONTAGE!AZ8)</f>
        <v>0</v>
      </c>
    </row>
    <row r="10" spans="1:20" s="5" customFormat="1" hidden="1" x14ac:dyDescent="0.2">
      <c r="A10" s="60"/>
      <c r="B10" s="61">
        <f>IF(MONTAGE!B9="","",MONTAGE!B9)</f>
        <v>0</v>
      </c>
      <c r="C10" s="62" t="str">
        <f>IF(ELEMENT!AO7="","",IF(ELEMENT!AW7="JA",ELEMENT!V7,IF(ELEMENT!D7="","",CONCATENATE(ELEMENT!A7,"   ",ELEMENT!D7," x ",ELEMENT!E7,"mm  "))))</f>
        <v/>
      </c>
      <c r="D10" s="63">
        <f>IF(ELEMENT!AO7="",0,IF(ELEMENT!C7=0,Sprache!$B$86,ELEMENT!C7))</f>
        <v>0</v>
      </c>
      <c r="E10" s="67">
        <f>MONTAGE!F9*MONTAGE!C9</f>
        <v>0</v>
      </c>
      <c r="F10" s="67">
        <f>IF($D10="",,MONTAGE!X9)</f>
        <v>0</v>
      </c>
      <c r="G10" s="67">
        <f>IF($D10="",,MONTAGE!Z9)</f>
        <v>0</v>
      </c>
      <c r="H10" s="67">
        <f>IF($D10="",,MONTAGE!AB9)</f>
        <v>0</v>
      </c>
      <c r="I10" s="67">
        <f>IF($D10="",,MONTAGE!AD9)</f>
        <v>0</v>
      </c>
      <c r="J10" s="67">
        <f>IF($D10="",,MONTAGE!AF9)</f>
        <v>0</v>
      </c>
      <c r="K10" s="67">
        <f>IF($D10="",,MONTAGE!AH9)</f>
        <v>0</v>
      </c>
      <c r="L10" s="67">
        <f>IF($D10="",,MONTAGE!AJ9)</f>
        <v>0</v>
      </c>
      <c r="M10" s="67">
        <f>IF($D10="",,MONTAGE!AL9)</f>
        <v>0</v>
      </c>
      <c r="N10" s="67">
        <f>IF($D10="",,MONTAGE!AN9)</f>
        <v>0</v>
      </c>
      <c r="O10" s="67">
        <f>IF($D10="",,MONTAGE!AP9)</f>
        <v>0</v>
      </c>
      <c r="P10" s="67">
        <f>IF($D10="",,MONTAGE!AR9)</f>
        <v>0</v>
      </c>
      <c r="Q10" s="67">
        <f>IF($D10="",,MONTAGE!AT9)</f>
        <v>0</v>
      </c>
      <c r="R10" s="67">
        <f>IF($D10="",,MONTAGE!AV9)</f>
        <v>0</v>
      </c>
      <c r="S10" s="67">
        <f>IF($D10="",,MONTAGE!AX9)</f>
        <v>0</v>
      </c>
      <c r="T10" s="67">
        <f>IF($D10="",,MONTAGE!AZ9)</f>
        <v>0</v>
      </c>
    </row>
    <row r="11" spans="1:20" s="5" customFormat="1" hidden="1" x14ac:dyDescent="0.2">
      <c r="A11" s="60"/>
      <c r="B11" s="61">
        <f>IF(MONTAGE!B10="","",MONTAGE!B10)</f>
        <v>0</v>
      </c>
      <c r="C11" s="62" t="str">
        <f>IF(ELEMENT!AO8="","",IF(ELEMENT!AW8="JA",ELEMENT!V8,IF(ELEMENT!D8="","",CONCATENATE(ELEMENT!A8,"   ",ELEMENT!D8," x ",ELEMENT!E8,"mm  "))))</f>
        <v/>
      </c>
      <c r="D11" s="63">
        <f>IF(ELEMENT!AO8="",0,IF(ELEMENT!C8=0,Sprache!$B$86,ELEMENT!C8))</f>
        <v>0</v>
      </c>
      <c r="E11" s="67">
        <f>MONTAGE!F10*MONTAGE!C10</f>
        <v>0</v>
      </c>
      <c r="F11" s="67">
        <f>IF($D11="",,MONTAGE!X10)</f>
        <v>0</v>
      </c>
      <c r="G11" s="67">
        <f>IF($D11="",,MONTAGE!Z10)</f>
        <v>0</v>
      </c>
      <c r="H11" s="67">
        <f>IF($D11="",,MONTAGE!AB10)</f>
        <v>0</v>
      </c>
      <c r="I11" s="67">
        <f>IF($D11="",,MONTAGE!AD10)</f>
        <v>0</v>
      </c>
      <c r="J11" s="67">
        <f>IF($D11="",,MONTAGE!AF10)</f>
        <v>0</v>
      </c>
      <c r="K11" s="67">
        <f>IF($D11="",,MONTAGE!AH10)</f>
        <v>0</v>
      </c>
      <c r="L11" s="67">
        <f>IF($D11="",,MONTAGE!AJ10)</f>
        <v>0</v>
      </c>
      <c r="M11" s="67">
        <f>IF($D11="",,MONTAGE!AL10)</f>
        <v>0</v>
      </c>
      <c r="N11" s="67">
        <f>IF($D11="",,MONTAGE!AN10)</f>
        <v>0</v>
      </c>
      <c r="O11" s="67">
        <f>IF($D11="",,MONTAGE!AP10)</f>
        <v>0</v>
      </c>
      <c r="P11" s="67">
        <f>IF($D11="",,MONTAGE!AR10)</f>
        <v>0</v>
      </c>
      <c r="Q11" s="67">
        <f>IF($D11="",,MONTAGE!AT10)</f>
        <v>0</v>
      </c>
      <c r="R11" s="67">
        <f>IF($D11="",,MONTAGE!AV10)</f>
        <v>0</v>
      </c>
      <c r="S11" s="67">
        <f>IF($D11="",,MONTAGE!AX10)</f>
        <v>0</v>
      </c>
      <c r="T11" s="67">
        <f>IF($D11="",,MONTAGE!AZ10)</f>
        <v>0</v>
      </c>
    </row>
    <row r="12" spans="1:20" s="5" customFormat="1" hidden="1" x14ac:dyDescent="0.2">
      <c r="A12" s="60"/>
      <c r="B12" s="61">
        <f>IF(MONTAGE!B11="","",MONTAGE!B11)</f>
        <v>0</v>
      </c>
      <c r="C12" s="62" t="str">
        <f>IF(ELEMENT!AO9="","",IF(ELEMENT!AW9="JA",ELEMENT!V9,IF(ELEMENT!D9="","",CONCATENATE(ELEMENT!A9,"   ",ELEMENT!D9," x ",ELEMENT!E9,"mm  "))))</f>
        <v/>
      </c>
      <c r="D12" s="63">
        <f>IF(ELEMENT!AO9="",0,IF(ELEMENT!C9=0,Sprache!$B$86,ELEMENT!C9))</f>
        <v>0</v>
      </c>
      <c r="E12" s="67">
        <f>MONTAGE!F11*MONTAGE!C11</f>
        <v>0</v>
      </c>
      <c r="F12" s="67">
        <f>IF($D12="",,MONTAGE!X11)</f>
        <v>0</v>
      </c>
      <c r="G12" s="67">
        <f>IF($D12="",,MONTAGE!Z11)</f>
        <v>0</v>
      </c>
      <c r="H12" s="67">
        <f>IF($D12="",,MONTAGE!AB11)</f>
        <v>0</v>
      </c>
      <c r="I12" s="67">
        <f>IF($D12="",,MONTAGE!AD11)</f>
        <v>0</v>
      </c>
      <c r="J12" s="67">
        <f>IF($D12="",,MONTAGE!AF11)</f>
        <v>0</v>
      </c>
      <c r="K12" s="67">
        <f>IF($D12="",,MONTAGE!AH11)</f>
        <v>0</v>
      </c>
      <c r="L12" s="67">
        <f>IF($D12="",,MONTAGE!AJ11)</f>
        <v>0</v>
      </c>
      <c r="M12" s="67">
        <f>IF($D12="",,MONTAGE!AL11)</f>
        <v>0</v>
      </c>
      <c r="N12" s="67">
        <f>IF($D12="",,MONTAGE!AN11)</f>
        <v>0</v>
      </c>
      <c r="O12" s="67">
        <f>IF($D12="",,MONTAGE!AP11)</f>
        <v>0</v>
      </c>
      <c r="P12" s="67">
        <f>IF($D12="",,MONTAGE!AR11)</f>
        <v>0</v>
      </c>
      <c r="Q12" s="67">
        <f>IF($D12="",,MONTAGE!AT11)</f>
        <v>0</v>
      </c>
      <c r="R12" s="67">
        <f>IF($D12="",,MONTAGE!AV11)</f>
        <v>0</v>
      </c>
      <c r="S12" s="67">
        <f>IF($D12="",,MONTAGE!AX11)</f>
        <v>0</v>
      </c>
      <c r="T12" s="67">
        <f>IF($D12="",,MONTAGE!AZ11)</f>
        <v>0</v>
      </c>
    </row>
    <row r="13" spans="1:20" s="5" customFormat="1" ht="13.5" hidden="1" customHeight="1" x14ac:dyDescent="0.2">
      <c r="A13" s="60"/>
      <c r="B13" s="61">
        <f>IF(MONTAGE!B12="","",MONTAGE!B12)</f>
        <v>0</v>
      </c>
      <c r="C13" s="62" t="str">
        <f>IF(ELEMENT!AO10="","",IF(ELEMENT!AW10="JA",ELEMENT!V10,IF(ELEMENT!D10="","",CONCATENATE(ELEMENT!A10,"   ",ELEMENT!D10," x ",ELEMENT!E10,"mm  "))))</f>
        <v/>
      </c>
      <c r="D13" s="63">
        <f>IF(ELEMENT!AO10="",0,IF(ELEMENT!C10=0,Sprache!$B$86,ELEMENT!C10))</f>
        <v>0</v>
      </c>
      <c r="E13" s="67">
        <f>MONTAGE!F12*MONTAGE!C12</f>
        <v>0</v>
      </c>
      <c r="F13" s="67">
        <f>IF($D13="",,MONTAGE!X12)</f>
        <v>0</v>
      </c>
      <c r="G13" s="67">
        <f>IF($D13="",,MONTAGE!Z12)</f>
        <v>0</v>
      </c>
      <c r="H13" s="67">
        <f>IF($D13="",,MONTAGE!AB12)</f>
        <v>0</v>
      </c>
      <c r="I13" s="67">
        <f>IF($D13="",,MONTAGE!AD12)</f>
        <v>0</v>
      </c>
      <c r="J13" s="67">
        <f>IF($D13="",,MONTAGE!AF12)</f>
        <v>0</v>
      </c>
      <c r="K13" s="67">
        <f>IF($D13="",,MONTAGE!AH12)</f>
        <v>0</v>
      </c>
      <c r="L13" s="67">
        <f>IF($D13="",,MONTAGE!AJ12)</f>
        <v>0</v>
      </c>
      <c r="M13" s="67">
        <f>IF($D13="",,MONTAGE!AL12)</f>
        <v>0</v>
      </c>
      <c r="N13" s="67">
        <f>IF($D13="",,MONTAGE!AN12)</f>
        <v>0</v>
      </c>
      <c r="O13" s="67">
        <f>IF($D13="",,MONTAGE!AP12)</f>
        <v>0</v>
      </c>
      <c r="P13" s="67">
        <f>IF($D13="",,MONTAGE!AR12)</f>
        <v>0</v>
      </c>
      <c r="Q13" s="67">
        <f>IF($D13="",,MONTAGE!AT12)</f>
        <v>0</v>
      </c>
      <c r="R13" s="67">
        <f>IF($D13="",,MONTAGE!AV12)</f>
        <v>0</v>
      </c>
      <c r="S13" s="67">
        <f>IF($D13="",,MONTAGE!AX12)</f>
        <v>0</v>
      </c>
      <c r="T13" s="67">
        <f>IF($D13="",,MONTAGE!AZ12)</f>
        <v>0</v>
      </c>
    </row>
    <row r="14" spans="1:20" s="5" customFormat="1" hidden="1" x14ac:dyDescent="0.2">
      <c r="A14" s="60"/>
      <c r="B14" s="61">
        <f>IF(MONTAGE!B13="","",MONTAGE!B13)</f>
        <v>0</v>
      </c>
      <c r="C14" s="62" t="str">
        <f>IF(ELEMENT!AO11="","",IF(ELEMENT!AW11="JA",ELEMENT!V11,IF(ELEMENT!D11="","",CONCATENATE(ELEMENT!A11,"   ",ELEMENT!D11," x ",ELEMENT!E11,"mm  "))))</f>
        <v/>
      </c>
      <c r="D14" s="63">
        <f>IF(ELEMENT!AO11="",0,IF(ELEMENT!C11=0,Sprache!$B$86,ELEMENT!C11))</f>
        <v>0</v>
      </c>
      <c r="E14" s="67">
        <f>MONTAGE!F13*MONTAGE!C13</f>
        <v>0</v>
      </c>
      <c r="F14" s="67">
        <f>IF($D14="",,MONTAGE!X13)</f>
        <v>0</v>
      </c>
      <c r="G14" s="67">
        <f>IF($D14="",,MONTAGE!Z13)</f>
        <v>0</v>
      </c>
      <c r="H14" s="67">
        <f>IF($D14="",,MONTAGE!AB13)</f>
        <v>0</v>
      </c>
      <c r="I14" s="67">
        <f>IF($D14="",,MONTAGE!AD13)</f>
        <v>0</v>
      </c>
      <c r="J14" s="67">
        <f>IF($D14="",,MONTAGE!AF13)</f>
        <v>0</v>
      </c>
      <c r="K14" s="67">
        <f>IF($D14="",,MONTAGE!AH13)</f>
        <v>0</v>
      </c>
      <c r="L14" s="67">
        <f>IF($D14="",,MONTAGE!AJ13)</f>
        <v>0</v>
      </c>
      <c r="M14" s="67">
        <f>IF($D14="",,MONTAGE!AL13)</f>
        <v>0</v>
      </c>
      <c r="N14" s="67">
        <f>IF($D14="",,MONTAGE!AN13)</f>
        <v>0</v>
      </c>
      <c r="O14" s="67">
        <f>IF($D14="",,MONTAGE!AP13)</f>
        <v>0</v>
      </c>
      <c r="P14" s="67">
        <f>IF($D14="",,MONTAGE!AR13)</f>
        <v>0</v>
      </c>
      <c r="Q14" s="67">
        <f>IF($D14="",,MONTAGE!AT13)</f>
        <v>0</v>
      </c>
      <c r="R14" s="67">
        <f>IF($D14="",,MONTAGE!AV13)</f>
        <v>0</v>
      </c>
      <c r="S14" s="67">
        <f>IF($D14="",,MONTAGE!AX13)</f>
        <v>0</v>
      </c>
      <c r="T14" s="67">
        <f>IF($D14="",,MONTAGE!AZ13)</f>
        <v>0</v>
      </c>
    </row>
    <row r="15" spans="1:20" s="5" customFormat="1" hidden="1" x14ac:dyDescent="0.2">
      <c r="A15" s="60"/>
      <c r="B15" s="61">
        <f>IF(MONTAGE!B14="","",MONTAGE!B14)</f>
        <v>0</v>
      </c>
      <c r="C15" s="62" t="str">
        <f>IF(ELEMENT!AO12="","",IF(ELEMENT!AW12="JA",ELEMENT!V12,IF(ELEMENT!D12="","",CONCATENATE(ELEMENT!A12,"   ",ELEMENT!D12," x ",ELEMENT!E12,"mm  "))))</f>
        <v/>
      </c>
      <c r="D15" s="63">
        <f>IF(ELEMENT!AO12="",0,IF(ELEMENT!C12=0,Sprache!$B$86,ELEMENT!C12))</f>
        <v>0</v>
      </c>
      <c r="E15" s="67">
        <f>MONTAGE!F14*MONTAGE!C14</f>
        <v>0</v>
      </c>
      <c r="F15" s="67">
        <f>IF($D15="",,MONTAGE!X14)</f>
        <v>0</v>
      </c>
      <c r="G15" s="67">
        <f>IF($D15="",,MONTAGE!Z14)</f>
        <v>0</v>
      </c>
      <c r="H15" s="67">
        <f>IF($D15="",,MONTAGE!AB14)</f>
        <v>0</v>
      </c>
      <c r="I15" s="67">
        <f>IF($D15="",,MONTAGE!AD14)</f>
        <v>0</v>
      </c>
      <c r="J15" s="67">
        <f>IF($D15="",,MONTAGE!AF14)</f>
        <v>0</v>
      </c>
      <c r="K15" s="67">
        <f>IF($D15="",,MONTAGE!AH14)</f>
        <v>0</v>
      </c>
      <c r="L15" s="67">
        <f>IF($D15="",,MONTAGE!AJ14)</f>
        <v>0</v>
      </c>
      <c r="M15" s="67">
        <f>IF($D15="",,MONTAGE!AL14)</f>
        <v>0</v>
      </c>
      <c r="N15" s="67">
        <f>IF($D15="",,MONTAGE!AN14)</f>
        <v>0</v>
      </c>
      <c r="O15" s="67">
        <f>IF($D15="",,MONTAGE!AP14)</f>
        <v>0</v>
      </c>
      <c r="P15" s="67">
        <f>IF($D15="",,MONTAGE!AR14)</f>
        <v>0</v>
      </c>
      <c r="Q15" s="67">
        <f>IF($D15="",,MONTAGE!AT14)</f>
        <v>0</v>
      </c>
      <c r="R15" s="67">
        <f>IF($D15="",,MONTAGE!AV14)</f>
        <v>0</v>
      </c>
      <c r="S15" s="67">
        <f>IF($D15="",,MONTAGE!AX14)</f>
        <v>0</v>
      </c>
      <c r="T15" s="67">
        <f>IF($D15="",,MONTAGE!AZ14)</f>
        <v>0</v>
      </c>
    </row>
    <row r="16" spans="1:20" s="5" customFormat="1" hidden="1" x14ac:dyDescent="0.2">
      <c r="A16" s="60"/>
      <c r="B16" s="61">
        <f>IF(MONTAGE!B15="","",MONTAGE!B15)</f>
        <v>0</v>
      </c>
      <c r="C16" s="62" t="str">
        <f>IF(ELEMENT!AO13="","",IF(ELEMENT!AW13="JA",ELEMENT!V13,IF(ELEMENT!D13="","",CONCATENATE(ELEMENT!A13,"   ",ELEMENT!D13," x ",ELEMENT!E13,"mm  "))))</f>
        <v/>
      </c>
      <c r="D16" s="63">
        <f>IF(ELEMENT!AO13="",0,IF(ELEMENT!C13=0,Sprache!$B$86,ELEMENT!C13))</f>
        <v>0</v>
      </c>
      <c r="E16" s="67">
        <f>MONTAGE!F15*MONTAGE!C15</f>
        <v>0</v>
      </c>
      <c r="F16" s="67">
        <f>IF($D16="",,MONTAGE!X15)</f>
        <v>0</v>
      </c>
      <c r="G16" s="67">
        <f>IF($D16="",,MONTAGE!Z15)</f>
        <v>0</v>
      </c>
      <c r="H16" s="67">
        <f>IF($D16="",,MONTAGE!AB15)</f>
        <v>0</v>
      </c>
      <c r="I16" s="67">
        <f>IF($D16="",,MONTAGE!AD15)</f>
        <v>0</v>
      </c>
      <c r="J16" s="67">
        <f>IF($D16="",,MONTAGE!AF15)</f>
        <v>0</v>
      </c>
      <c r="K16" s="67">
        <f>IF($D16="",,MONTAGE!AH15)</f>
        <v>0</v>
      </c>
      <c r="L16" s="67">
        <f>IF($D16="",,MONTAGE!AJ15)</f>
        <v>0</v>
      </c>
      <c r="M16" s="67">
        <f>IF($D16="",,MONTAGE!AL15)</f>
        <v>0</v>
      </c>
      <c r="N16" s="67">
        <f>IF($D16="",,MONTAGE!AN15)</f>
        <v>0</v>
      </c>
      <c r="O16" s="67">
        <f>IF($D16="",,MONTAGE!AP15)</f>
        <v>0</v>
      </c>
      <c r="P16" s="67">
        <f>IF($D16="",,MONTAGE!AR15)</f>
        <v>0</v>
      </c>
      <c r="Q16" s="67">
        <f>IF($D16="",,MONTAGE!AT15)</f>
        <v>0</v>
      </c>
      <c r="R16" s="67">
        <f>IF($D16="",,MONTAGE!AV15)</f>
        <v>0</v>
      </c>
      <c r="S16" s="67">
        <f>IF($D16="",,MONTAGE!AX15)</f>
        <v>0</v>
      </c>
      <c r="T16" s="67">
        <f>IF($D16="",,MONTAGE!AZ15)</f>
        <v>0</v>
      </c>
    </row>
    <row r="17" spans="1:20" s="5" customFormat="1" hidden="1" x14ac:dyDescent="0.2">
      <c r="A17" s="60"/>
      <c r="B17" s="61">
        <f>IF(MONTAGE!B16="","",MONTAGE!B16)</f>
        <v>0</v>
      </c>
      <c r="C17" s="62" t="str">
        <f>IF(ELEMENT!AO14="","",IF(ELEMENT!AW14="JA",ELEMENT!V14,IF(ELEMENT!D14="","",CONCATENATE(ELEMENT!A14,"   ",ELEMENT!D14," x ",ELEMENT!E14,"mm  "))))</f>
        <v/>
      </c>
      <c r="D17" s="63">
        <f>IF(ELEMENT!AO14="",0,IF(ELEMENT!C14=0,Sprache!$B$86,ELEMENT!C14))</f>
        <v>0</v>
      </c>
      <c r="E17" s="67">
        <f>MONTAGE!F16*MONTAGE!C16</f>
        <v>0</v>
      </c>
      <c r="F17" s="67">
        <f>IF($D17="",,MONTAGE!X16)</f>
        <v>0</v>
      </c>
      <c r="G17" s="67">
        <f>IF($D17="",,MONTAGE!Z16)</f>
        <v>0</v>
      </c>
      <c r="H17" s="67">
        <f>IF($D17="",,MONTAGE!AB16)</f>
        <v>0</v>
      </c>
      <c r="I17" s="67">
        <f>IF($D17="",,MONTAGE!AD16)</f>
        <v>0</v>
      </c>
      <c r="J17" s="67">
        <f>IF($D17="",,MONTAGE!AF16)</f>
        <v>0</v>
      </c>
      <c r="K17" s="67">
        <f>IF($D17="",,MONTAGE!AH16)</f>
        <v>0</v>
      </c>
      <c r="L17" s="67">
        <f>IF($D17="",,MONTAGE!AJ16)</f>
        <v>0</v>
      </c>
      <c r="M17" s="67">
        <f>IF($D17="",,MONTAGE!AL16)</f>
        <v>0</v>
      </c>
      <c r="N17" s="67">
        <f>IF($D17="",,MONTAGE!AN16)</f>
        <v>0</v>
      </c>
      <c r="O17" s="67">
        <f>IF($D17="",,MONTAGE!AP16)</f>
        <v>0</v>
      </c>
      <c r="P17" s="67">
        <f>IF($D17="",,MONTAGE!AR16)</f>
        <v>0</v>
      </c>
      <c r="Q17" s="67">
        <f>IF($D17="",,MONTAGE!AT16)</f>
        <v>0</v>
      </c>
      <c r="R17" s="67">
        <f>IF($D17="",,MONTAGE!AV16)</f>
        <v>0</v>
      </c>
      <c r="S17" s="67">
        <f>IF($D17="",,MONTAGE!AX16)</f>
        <v>0</v>
      </c>
      <c r="T17" s="67">
        <f>IF($D17="",,MONTAGE!AZ16)</f>
        <v>0</v>
      </c>
    </row>
    <row r="18" spans="1:20" s="5" customFormat="1" hidden="1" x14ac:dyDescent="0.2">
      <c r="A18" s="60"/>
      <c r="B18" s="61">
        <f>IF(MONTAGE!B17="","",MONTAGE!B17)</f>
        <v>0</v>
      </c>
      <c r="C18" s="62" t="str">
        <f>IF(ELEMENT!AO15="","",IF(ELEMENT!AW15="JA",ELEMENT!V15,IF(ELEMENT!D15="","",CONCATENATE(ELEMENT!A15,"   ",ELEMENT!D15," x ",ELEMENT!E15,"mm  "))))</f>
        <v/>
      </c>
      <c r="D18" s="63">
        <f>IF(ELEMENT!AO15="",0,IF(ELEMENT!C15=0,Sprache!$B$86,ELEMENT!C15))</f>
        <v>0</v>
      </c>
      <c r="E18" s="67">
        <f>MONTAGE!F17*MONTAGE!C17</f>
        <v>0</v>
      </c>
      <c r="F18" s="67">
        <f>IF($D18="",,MONTAGE!X17)</f>
        <v>0</v>
      </c>
      <c r="G18" s="67">
        <f>IF($D18="",,MONTAGE!Z17)</f>
        <v>0</v>
      </c>
      <c r="H18" s="67">
        <f>IF($D18="",,MONTAGE!AB17)</f>
        <v>0</v>
      </c>
      <c r="I18" s="67">
        <f>IF($D18="",,MONTAGE!AD17)</f>
        <v>0</v>
      </c>
      <c r="J18" s="67">
        <f>IF($D18="",,MONTAGE!AF17)</f>
        <v>0</v>
      </c>
      <c r="K18" s="67">
        <f>IF($D18="",,MONTAGE!AH17)</f>
        <v>0</v>
      </c>
      <c r="L18" s="67">
        <f>IF($D18="",,MONTAGE!AJ17)</f>
        <v>0</v>
      </c>
      <c r="M18" s="67">
        <f>IF($D18="",,MONTAGE!AL17)</f>
        <v>0</v>
      </c>
      <c r="N18" s="67">
        <f>IF($D18="",,MONTAGE!AN17)</f>
        <v>0</v>
      </c>
      <c r="O18" s="67">
        <f>IF($D18="",,MONTAGE!AP17)</f>
        <v>0</v>
      </c>
      <c r="P18" s="67">
        <f>IF($D18="",,MONTAGE!AR17)</f>
        <v>0</v>
      </c>
      <c r="Q18" s="67">
        <f>IF($D18="",,MONTAGE!AT17)</f>
        <v>0</v>
      </c>
      <c r="R18" s="67">
        <f>IF($D18="",,MONTAGE!AV17)</f>
        <v>0</v>
      </c>
      <c r="S18" s="67">
        <f>IF($D18="",,MONTAGE!AX17)</f>
        <v>0</v>
      </c>
      <c r="T18" s="67">
        <f>IF($D18="",,MONTAGE!AZ17)</f>
        <v>0</v>
      </c>
    </row>
    <row r="19" spans="1:20" s="5" customFormat="1" hidden="1" x14ac:dyDescent="0.2">
      <c r="A19" s="60"/>
      <c r="B19" s="61">
        <f>IF(MONTAGE!B18="","",MONTAGE!B18)</f>
        <v>0</v>
      </c>
      <c r="C19" s="62" t="str">
        <f>IF(ELEMENT!AO16="","",IF(ELEMENT!AW16="JA",ELEMENT!V16,IF(ELEMENT!D16="","",CONCATENATE(ELEMENT!A16,"   ",ELEMENT!D16," x ",ELEMENT!E16,"mm  "))))</f>
        <v/>
      </c>
      <c r="D19" s="63">
        <f>IF(ELEMENT!AO16="",0,IF(ELEMENT!C16=0,Sprache!$B$86,ELEMENT!C16))</f>
        <v>0</v>
      </c>
      <c r="E19" s="67">
        <f>MONTAGE!F18*MONTAGE!C18</f>
        <v>0</v>
      </c>
      <c r="F19" s="67">
        <f>IF($D19="",,MONTAGE!X18)</f>
        <v>0</v>
      </c>
      <c r="G19" s="67">
        <f>IF($D19="",,MONTAGE!Z18)</f>
        <v>0</v>
      </c>
      <c r="H19" s="67">
        <f>IF($D19="",,MONTAGE!AB18)</f>
        <v>0</v>
      </c>
      <c r="I19" s="67">
        <f>IF($D19="",,MONTAGE!AD18)</f>
        <v>0</v>
      </c>
      <c r="J19" s="67">
        <f>IF($D19="",,MONTAGE!AF18)</f>
        <v>0</v>
      </c>
      <c r="K19" s="67">
        <f>IF($D19="",,MONTAGE!AH18)</f>
        <v>0</v>
      </c>
      <c r="L19" s="67">
        <f>IF($D19="",,MONTAGE!AJ18)</f>
        <v>0</v>
      </c>
      <c r="M19" s="67">
        <f>IF($D19="",,MONTAGE!AL18)</f>
        <v>0</v>
      </c>
      <c r="N19" s="67">
        <f>IF($D19="",,MONTAGE!AN18)</f>
        <v>0</v>
      </c>
      <c r="O19" s="67">
        <f>IF($D19="",,MONTAGE!AP18)</f>
        <v>0</v>
      </c>
      <c r="P19" s="67">
        <f>IF($D19="",,MONTAGE!AR18)</f>
        <v>0</v>
      </c>
      <c r="Q19" s="67">
        <f>IF($D19="",,MONTAGE!AT18)</f>
        <v>0</v>
      </c>
      <c r="R19" s="67">
        <f>IF($D19="",,MONTAGE!AV18)</f>
        <v>0</v>
      </c>
      <c r="S19" s="67">
        <f>IF($D19="",,MONTAGE!AX18)</f>
        <v>0</v>
      </c>
      <c r="T19" s="67">
        <f>IF($D19="",,MONTAGE!AZ18)</f>
        <v>0</v>
      </c>
    </row>
    <row r="20" spans="1:20" s="5" customFormat="1" hidden="1" x14ac:dyDescent="0.2">
      <c r="A20" s="60"/>
      <c r="B20" s="61">
        <f>IF(MONTAGE!B19="","",MONTAGE!B19)</f>
        <v>0</v>
      </c>
      <c r="C20" s="62" t="str">
        <f>IF(ELEMENT!AO17="","",IF(ELEMENT!AW17="JA",ELEMENT!V17,IF(ELEMENT!D17="","",CONCATENATE(ELEMENT!A17,"   ",ELEMENT!D17," x ",ELEMENT!E17,"mm  "))))</f>
        <v/>
      </c>
      <c r="D20" s="63">
        <f>IF(ELEMENT!AO17="",0,IF(ELEMENT!C17=0,Sprache!$B$86,ELEMENT!C17))</f>
        <v>0</v>
      </c>
      <c r="E20" s="67">
        <f>MONTAGE!F19*MONTAGE!C19</f>
        <v>0</v>
      </c>
      <c r="F20" s="67">
        <f>IF($D20="",,MONTAGE!X19)</f>
        <v>0</v>
      </c>
      <c r="G20" s="67">
        <f>IF($D20="",,MONTAGE!Z19)</f>
        <v>0</v>
      </c>
      <c r="H20" s="67">
        <f>IF($D20="",,MONTAGE!AB19)</f>
        <v>0</v>
      </c>
      <c r="I20" s="67">
        <f>IF($D20="",,MONTAGE!AD19)</f>
        <v>0</v>
      </c>
      <c r="J20" s="67">
        <f>IF($D20="",,MONTAGE!AF19)</f>
        <v>0</v>
      </c>
      <c r="K20" s="67">
        <f>IF($D20="",,MONTAGE!AH19)</f>
        <v>0</v>
      </c>
      <c r="L20" s="67">
        <f>IF($D20="",,MONTAGE!AJ19)</f>
        <v>0</v>
      </c>
      <c r="M20" s="67">
        <f>IF($D20="",,MONTAGE!AL19)</f>
        <v>0</v>
      </c>
      <c r="N20" s="67">
        <f>IF($D20="",,MONTAGE!AN19)</f>
        <v>0</v>
      </c>
      <c r="O20" s="67">
        <f>IF($D20="",,MONTAGE!AP19)</f>
        <v>0</v>
      </c>
      <c r="P20" s="67">
        <f>IF($D20="",,MONTAGE!AR19)</f>
        <v>0</v>
      </c>
      <c r="Q20" s="67">
        <f>IF($D20="",,MONTAGE!AT19)</f>
        <v>0</v>
      </c>
      <c r="R20" s="67">
        <f>IF($D20="",,MONTAGE!AV19)</f>
        <v>0</v>
      </c>
      <c r="S20" s="67">
        <f>IF($D20="",,MONTAGE!AX19)</f>
        <v>0</v>
      </c>
      <c r="T20" s="67">
        <f>IF($D20="",,MONTAGE!AZ19)</f>
        <v>0</v>
      </c>
    </row>
    <row r="21" spans="1:20" s="5" customFormat="1" hidden="1" x14ac:dyDescent="0.2">
      <c r="A21" s="60"/>
      <c r="B21" s="61">
        <f>IF(MONTAGE!B20="","",MONTAGE!B20)</f>
        <v>0</v>
      </c>
      <c r="C21" s="62" t="str">
        <f>IF(ELEMENT!AO18="","",IF(ELEMENT!AW18="JA",ELEMENT!V18,IF(ELEMENT!D18="","",CONCATENATE(ELEMENT!A18,"   ",ELEMENT!D18," x ",ELEMENT!E18,"mm  "))))</f>
        <v/>
      </c>
      <c r="D21" s="63">
        <f>IF(ELEMENT!AO18="",0,IF(ELEMENT!C18=0,Sprache!$B$86,ELEMENT!C18))</f>
        <v>0</v>
      </c>
      <c r="E21" s="67">
        <f>MONTAGE!F20*MONTAGE!C20</f>
        <v>0</v>
      </c>
      <c r="F21" s="67">
        <f>IF($D21="",,MONTAGE!X20)</f>
        <v>0</v>
      </c>
      <c r="G21" s="67">
        <f>IF($D21="",,MONTAGE!Z20)</f>
        <v>0</v>
      </c>
      <c r="H21" s="67">
        <f>IF($D21="",,MONTAGE!AB20)</f>
        <v>0</v>
      </c>
      <c r="I21" s="67">
        <f>IF($D21="",,MONTAGE!AD20)</f>
        <v>0</v>
      </c>
      <c r="J21" s="67">
        <f>IF($D21="",,MONTAGE!AF20)</f>
        <v>0</v>
      </c>
      <c r="K21" s="67">
        <f>IF($D21="",,MONTAGE!AH20)</f>
        <v>0</v>
      </c>
      <c r="L21" s="67">
        <f>IF($D21="",,MONTAGE!AJ20)</f>
        <v>0</v>
      </c>
      <c r="M21" s="67">
        <f>IF($D21="",,MONTAGE!AL20)</f>
        <v>0</v>
      </c>
      <c r="N21" s="67">
        <f>IF($D21="",,MONTAGE!AN20)</f>
        <v>0</v>
      </c>
      <c r="O21" s="67">
        <f>IF($D21="",,MONTAGE!AP20)</f>
        <v>0</v>
      </c>
      <c r="P21" s="67">
        <f>IF($D21="",,MONTAGE!AR20)</f>
        <v>0</v>
      </c>
      <c r="Q21" s="67">
        <f>IF($D21="",,MONTAGE!AT20)</f>
        <v>0</v>
      </c>
      <c r="R21" s="67">
        <f>IF($D21="",,MONTAGE!AV20)</f>
        <v>0</v>
      </c>
      <c r="S21" s="67">
        <f>IF($D21="",,MONTAGE!AX20)</f>
        <v>0</v>
      </c>
      <c r="T21" s="67">
        <f>IF($D21="",,MONTAGE!AZ20)</f>
        <v>0</v>
      </c>
    </row>
    <row r="22" spans="1:20" s="5" customFormat="1" hidden="1" x14ac:dyDescent="0.2">
      <c r="A22" s="60"/>
      <c r="B22" s="61">
        <f>IF(MONTAGE!B21="","",MONTAGE!B21)</f>
        <v>0</v>
      </c>
      <c r="C22" s="62" t="str">
        <f>IF(ELEMENT!AO19="","",IF(ELEMENT!AW19="JA",ELEMENT!V19,IF(ELEMENT!D19="","",CONCATENATE(ELEMENT!A19,"   ",ELEMENT!D19," x ",ELEMENT!E19,"mm  "))))</f>
        <v/>
      </c>
      <c r="D22" s="63">
        <f>IF(ELEMENT!AO19="",0,IF(ELEMENT!C19=0,Sprache!$B$86,ELEMENT!C19))</f>
        <v>0</v>
      </c>
      <c r="E22" s="67">
        <f>MONTAGE!F21*MONTAGE!C21</f>
        <v>0</v>
      </c>
      <c r="F22" s="67">
        <f>IF($D22="",,MONTAGE!X21)</f>
        <v>0</v>
      </c>
      <c r="G22" s="67">
        <f>IF($D22="",,MONTAGE!Z21)</f>
        <v>0</v>
      </c>
      <c r="H22" s="67">
        <f>IF($D22="",,MONTAGE!AB21)</f>
        <v>0</v>
      </c>
      <c r="I22" s="67">
        <f>IF($D22="",,MONTAGE!AD21)</f>
        <v>0</v>
      </c>
      <c r="J22" s="67">
        <f>IF($D22="",,MONTAGE!AF21)</f>
        <v>0</v>
      </c>
      <c r="K22" s="67">
        <f>IF($D22="",,MONTAGE!AH21)</f>
        <v>0</v>
      </c>
      <c r="L22" s="67">
        <f>IF($D22="",,MONTAGE!AJ21)</f>
        <v>0</v>
      </c>
      <c r="M22" s="67">
        <f>IF($D22="",,MONTAGE!AL21)</f>
        <v>0</v>
      </c>
      <c r="N22" s="67">
        <f>IF($D22="",,MONTAGE!AN21)</f>
        <v>0</v>
      </c>
      <c r="O22" s="67">
        <f>IF($D22="",,MONTAGE!AP21)</f>
        <v>0</v>
      </c>
      <c r="P22" s="67">
        <f>IF($D22="",,MONTAGE!AR21)</f>
        <v>0</v>
      </c>
      <c r="Q22" s="67">
        <f>IF($D22="",,MONTAGE!AT21)</f>
        <v>0</v>
      </c>
      <c r="R22" s="67">
        <f>IF($D22="",,MONTAGE!AV21)</f>
        <v>0</v>
      </c>
      <c r="S22" s="67">
        <f>IF($D22="",,MONTAGE!AX21)</f>
        <v>0</v>
      </c>
      <c r="T22" s="67">
        <f>IF($D22="",,MONTAGE!AZ21)</f>
        <v>0</v>
      </c>
    </row>
    <row r="23" spans="1:20" s="5" customFormat="1" hidden="1" x14ac:dyDescent="0.2">
      <c r="A23" s="60"/>
      <c r="B23" s="61">
        <f>IF(MONTAGE!B22="","",MONTAGE!B22)</f>
        <v>0</v>
      </c>
      <c r="C23" s="62" t="str">
        <f>IF(ELEMENT!AO20="","",IF(ELEMENT!AW20="JA",ELEMENT!V20,IF(ELEMENT!D20="","",CONCATENATE(ELEMENT!A20,"   ",ELEMENT!D20," x ",ELEMENT!E20,"mm  "))))</f>
        <v/>
      </c>
      <c r="D23" s="63">
        <f>IF(ELEMENT!AO20="",0,IF(ELEMENT!C20=0,Sprache!$B$86,ELEMENT!C20))</f>
        <v>0</v>
      </c>
      <c r="E23" s="67">
        <f>MONTAGE!F22*MONTAGE!C22</f>
        <v>0</v>
      </c>
      <c r="F23" s="67">
        <f>IF($D23="",,MONTAGE!X22)</f>
        <v>0</v>
      </c>
      <c r="G23" s="67">
        <f>IF($D23="",,MONTAGE!Z22)</f>
        <v>0</v>
      </c>
      <c r="H23" s="67">
        <f>IF($D23="",,MONTAGE!AB22)</f>
        <v>0</v>
      </c>
      <c r="I23" s="67">
        <f>IF($D23="",,MONTAGE!AD22)</f>
        <v>0</v>
      </c>
      <c r="J23" s="67">
        <f>IF($D23="",,MONTAGE!AF22)</f>
        <v>0</v>
      </c>
      <c r="K23" s="67">
        <f>IF($D23="",,MONTAGE!AH22)</f>
        <v>0</v>
      </c>
      <c r="L23" s="67">
        <f>IF($D23="",,MONTAGE!AJ22)</f>
        <v>0</v>
      </c>
      <c r="M23" s="67">
        <f>IF($D23="",,MONTAGE!AL22)</f>
        <v>0</v>
      </c>
      <c r="N23" s="67">
        <f>IF($D23="",,MONTAGE!AN22)</f>
        <v>0</v>
      </c>
      <c r="O23" s="67">
        <f>IF($D23="",,MONTAGE!AP22)</f>
        <v>0</v>
      </c>
      <c r="P23" s="67">
        <f>IF($D23="",,MONTAGE!AR22)</f>
        <v>0</v>
      </c>
      <c r="Q23" s="67">
        <f>IF($D23="",,MONTAGE!AT22)</f>
        <v>0</v>
      </c>
      <c r="R23" s="67">
        <f>IF($D23="",,MONTAGE!AV22)</f>
        <v>0</v>
      </c>
      <c r="S23" s="67">
        <f>IF($D23="",,MONTAGE!AX22)</f>
        <v>0</v>
      </c>
      <c r="T23" s="67">
        <f>IF($D23="",,MONTAGE!AZ22)</f>
        <v>0</v>
      </c>
    </row>
    <row r="24" spans="1:20" s="5" customFormat="1" hidden="1" x14ac:dyDescent="0.2">
      <c r="A24" s="60"/>
      <c r="B24" s="61">
        <f>IF(MONTAGE!B23="","",MONTAGE!B23)</f>
        <v>0</v>
      </c>
      <c r="C24" s="62" t="str">
        <f>IF(ELEMENT!AO21="","",IF(ELEMENT!AW21="JA",ELEMENT!V21,IF(ELEMENT!D21="","",CONCATENATE(ELEMENT!A21,"   ",ELEMENT!D21," x ",ELEMENT!E21,"mm  "))))</f>
        <v/>
      </c>
      <c r="D24" s="63">
        <f>IF(ELEMENT!AO21="",0,IF(ELEMENT!C21=0,Sprache!$B$86,ELEMENT!C21))</f>
        <v>0</v>
      </c>
      <c r="E24" s="67">
        <f>MONTAGE!F23*MONTAGE!C23</f>
        <v>0</v>
      </c>
      <c r="F24" s="67">
        <f>IF($D24="",,MONTAGE!X23)</f>
        <v>0</v>
      </c>
      <c r="G24" s="67">
        <f>IF($D24="",,MONTAGE!Z23)</f>
        <v>0</v>
      </c>
      <c r="H24" s="67">
        <f>IF($D24="",,MONTAGE!AB23)</f>
        <v>0</v>
      </c>
      <c r="I24" s="67">
        <f>IF($D24="",,MONTAGE!AD23)</f>
        <v>0</v>
      </c>
      <c r="J24" s="67">
        <f>IF($D24="",,MONTAGE!AF23)</f>
        <v>0</v>
      </c>
      <c r="K24" s="67">
        <f>IF($D24="",,MONTAGE!AH23)</f>
        <v>0</v>
      </c>
      <c r="L24" s="67">
        <f>IF($D24="",,MONTAGE!AJ23)</f>
        <v>0</v>
      </c>
      <c r="M24" s="67">
        <f>IF($D24="",,MONTAGE!AL23)</f>
        <v>0</v>
      </c>
      <c r="N24" s="67">
        <f>IF($D24="",,MONTAGE!AN23)</f>
        <v>0</v>
      </c>
      <c r="O24" s="67">
        <f>IF($D24="",,MONTAGE!AP23)</f>
        <v>0</v>
      </c>
      <c r="P24" s="67">
        <f>IF($D24="",,MONTAGE!AR23)</f>
        <v>0</v>
      </c>
      <c r="Q24" s="67">
        <f>IF($D24="",,MONTAGE!AT23)</f>
        <v>0</v>
      </c>
      <c r="R24" s="67">
        <f>IF($D24="",,MONTAGE!AV23)</f>
        <v>0</v>
      </c>
      <c r="S24" s="67">
        <f>IF($D24="",,MONTAGE!AX23)</f>
        <v>0</v>
      </c>
      <c r="T24" s="67">
        <f>IF($D24="",,MONTAGE!AZ23)</f>
        <v>0</v>
      </c>
    </row>
    <row r="25" spans="1:20" s="5" customFormat="1" hidden="1" x14ac:dyDescent="0.2">
      <c r="A25" s="60"/>
      <c r="B25" s="61">
        <f>IF(MONTAGE!B24="","",MONTAGE!B24)</f>
        <v>0</v>
      </c>
      <c r="C25" s="62" t="str">
        <f>IF(ELEMENT!AO22="","",IF(ELEMENT!AW22="JA",ELEMENT!V22,IF(ELEMENT!D22="","",CONCATENATE(ELEMENT!A22,"   ",ELEMENT!D22," x ",ELEMENT!E22,"mm  "))))</f>
        <v/>
      </c>
      <c r="D25" s="63">
        <f>IF(ELEMENT!AO22="",0,IF(ELEMENT!C22=0,Sprache!$B$86,ELEMENT!C22))</f>
        <v>0</v>
      </c>
      <c r="E25" s="67">
        <f>MONTAGE!F24*MONTAGE!C24</f>
        <v>0</v>
      </c>
      <c r="F25" s="67">
        <f>IF($D25="",,MONTAGE!X24)</f>
        <v>0</v>
      </c>
      <c r="G25" s="67">
        <f>IF($D25="",,MONTAGE!Z24)</f>
        <v>0</v>
      </c>
      <c r="H25" s="67">
        <f>IF($D25="",,MONTAGE!AB24)</f>
        <v>0</v>
      </c>
      <c r="I25" s="67">
        <f>IF($D25="",,MONTAGE!AD24)</f>
        <v>0</v>
      </c>
      <c r="J25" s="67">
        <f>IF($D25="",,MONTAGE!AF24)</f>
        <v>0</v>
      </c>
      <c r="K25" s="67">
        <f>IF($D25="",,MONTAGE!AH24)</f>
        <v>0</v>
      </c>
      <c r="L25" s="67">
        <f>IF($D25="",,MONTAGE!AJ24)</f>
        <v>0</v>
      </c>
      <c r="M25" s="67">
        <f>IF($D25="",,MONTAGE!AL24)</f>
        <v>0</v>
      </c>
      <c r="N25" s="67">
        <f>IF($D25="",,MONTAGE!AN24)</f>
        <v>0</v>
      </c>
      <c r="O25" s="67">
        <f>IF($D25="",,MONTAGE!AP24)</f>
        <v>0</v>
      </c>
      <c r="P25" s="67">
        <f>IF($D25="",,MONTAGE!AR24)</f>
        <v>0</v>
      </c>
      <c r="Q25" s="67">
        <f>IF($D25="",,MONTAGE!AT24)</f>
        <v>0</v>
      </c>
      <c r="R25" s="67">
        <f>IF($D25="",,MONTAGE!AV24)</f>
        <v>0</v>
      </c>
      <c r="S25" s="67">
        <f>IF($D25="",,MONTAGE!AX24)</f>
        <v>0</v>
      </c>
      <c r="T25" s="67">
        <f>IF($D25="",,MONTAGE!AZ24)</f>
        <v>0</v>
      </c>
    </row>
    <row r="26" spans="1:20" s="5" customFormat="1" hidden="1" x14ac:dyDescent="0.2">
      <c r="A26" s="60"/>
      <c r="B26" s="61">
        <f>IF(MONTAGE!B25="","",MONTAGE!B25)</f>
        <v>0</v>
      </c>
      <c r="C26" s="62" t="str">
        <f>IF(ELEMENT!AO23="","",IF(ELEMENT!AW23="JA",ELEMENT!V23,IF(ELEMENT!D23="","",CONCATENATE(ELEMENT!A23,"   ",ELEMENT!D23," x ",ELEMENT!E23,"mm  "))))</f>
        <v/>
      </c>
      <c r="D26" s="63">
        <f>IF(ELEMENT!AO23="",0,IF(ELEMENT!C23=0,Sprache!$B$86,ELEMENT!C23))</f>
        <v>0</v>
      </c>
      <c r="E26" s="67">
        <f>MONTAGE!F25*MONTAGE!C25</f>
        <v>0</v>
      </c>
      <c r="F26" s="67">
        <f>IF($D26="",,MONTAGE!X25)</f>
        <v>0</v>
      </c>
      <c r="G26" s="67">
        <f>IF($D26="",,MONTAGE!Z25)</f>
        <v>0</v>
      </c>
      <c r="H26" s="67">
        <f>IF($D26="",,MONTAGE!AB25)</f>
        <v>0</v>
      </c>
      <c r="I26" s="67">
        <f>IF($D26="",,MONTAGE!AD25)</f>
        <v>0</v>
      </c>
      <c r="J26" s="67">
        <f>IF($D26="",,MONTAGE!AF25)</f>
        <v>0</v>
      </c>
      <c r="K26" s="67">
        <f>IF($D26="",,MONTAGE!AH25)</f>
        <v>0</v>
      </c>
      <c r="L26" s="67">
        <f>IF($D26="",,MONTAGE!AJ25)</f>
        <v>0</v>
      </c>
      <c r="M26" s="67">
        <f>IF($D26="",,MONTAGE!AL25)</f>
        <v>0</v>
      </c>
      <c r="N26" s="67">
        <f>IF($D26="",,MONTAGE!AN25)</f>
        <v>0</v>
      </c>
      <c r="O26" s="67">
        <f>IF($D26="",,MONTAGE!AP25)</f>
        <v>0</v>
      </c>
      <c r="P26" s="67">
        <f>IF($D26="",,MONTAGE!AR25)</f>
        <v>0</v>
      </c>
      <c r="Q26" s="67">
        <f>IF($D26="",,MONTAGE!AT25)</f>
        <v>0</v>
      </c>
      <c r="R26" s="67">
        <f>IF($D26="",,MONTAGE!AV25)</f>
        <v>0</v>
      </c>
      <c r="S26" s="67">
        <f>IF($D26="",,MONTAGE!AX25)</f>
        <v>0</v>
      </c>
      <c r="T26" s="67">
        <f>IF($D26="",,MONTAGE!AZ25)</f>
        <v>0</v>
      </c>
    </row>
    <row r="27" spans="1:20" s="5" customFormat="1" hidden="1" x14ac:dyDescent="0.2">
      <c r="A27" s="60"/>
      <c r="B27" s="61">
        <f>IF(MONTAGE!B26="","",MONTAGE!B26)</f>
        <v>0</v>
      </c>
      <c r="C27" s="62" t="str">
        <f>IF(ELEMENT!AO24="","",IF(ELEMENT!AW24="JA",ELEMENT!V24,IF(ELEMENT!D24="","",CONCATENATE(ELEMENT!A24,"   ",ELEMENT!D24," x ",ELEMENT!E24,"mm  "))))</f>
        <v/>
      </c>
      <c r="D27" s="63">
        <f>IF(ELEMENT!AO24="",0,IF(ELEMENT!C24=0,Sprache!$B$86,ELEMENT!C24))</f>
        <v>0</v>
      </c>
      <c r="E27" s="67">
        <f>MONTAGE!F26*MONTAGE!C26</f>
        <v>0</v>
      </c>
      <c r="F27" s="67">
        <f>IF($D27="",,MONTAGE!X26)</f>
        <v>0</v>
      </c>
      <c r="G27" s="67">
        <f>IF($D27="",,MONTAGE!Z26)</f>
        <v>0</v>
      </c>
      <c r="H27" s="67">
        <f>IF($D27="",,MONTAGE!AB26)</f>
        <v>0</v>
      </c>
      <c r="I27" s="67">
        <f>IF($D27="",,MONTAGE!AD26)</f>
        <v>0</v>
      </c>
      <c r="J27" s="67">
        <f>IF($D27="",,MONTAGE!AF26)</f>
        <v>0</v>
      </c>
      <c r="K27" s="67">
        <f>IF($D27="",,MONTAGE!AH26)</f>
        <v>0</v>
      </c>
      <c r="L27" s="67">
        <f>IF($D27="",,MONTAGE!AJ26)</f>
        <v>0</v>
      </c>
      <c r="M27" s="67">
        <f>IF($D27="",,MONTAGE!AL26)</f>
        <v>0</v>
      </c>
      <c r="N27" s="67">
        <f>IF($D27="",,MONTAGE!AN26)</f>
        <v>0</v>
      </c>
      <c r="O27" s="67">
        <f>IF($D27="",,MONTAGE!AP26)</f>
        <v>0</v>
      </c>
      <c r="P27" s="67">
        <f>IF($D27="",,MONTAGE!AR26)</f>
        <v>0</v>
      </c>
      <c r="Q27" s="67">
        <f>IF($D27="",,MONTAGE!AT26)</f>
        <v>0</v>
      </c>
      <c r="R27" s="67">
        <f>IF($D27="",,MONTAGE!AV26)</f>
        <v>0</v>
      </c>
      <c r="S27" s="67">
        <f>IF($D27="",,MONTAGE!AX26)</f>
        <v>0</v>
      </c>
      <c r="T27" s="67">
        <f>IF($D27="",,MONTAGE!AZ26)</f>
        <v>0</v>
      </c>
    </row>
    <row r="28" spans="1:20" s="5" customFormat="1" hidden="1" x14ac:dyDescent="0.2">
      <c r="A28" s="60"/>
      <c r="B28" s="61">
        <f>IF(MONTAGE!B27="","",MONTAGE!B27)</f>
        <v>0</v>
      </c>
      <c r="C28" s="62" t="str">
        <f>IF(ELEMENT!AO25="","",IF(ELEMENT!AW25="JA",ELEMENT!V25,IF(ELEMENT!D25="","",CONCATENATE(ELEMENT!A25,"   ",ELEMENT!D25," x ",ELEMENT!E25,"mm  "))))</f>
        <v/>
      </c>
      <c r="D28" s="63">
        <f>IF(ELEMENT!AO25="",0,IF(ELEMENT!C25=0,Sprache!$B$86,ELEMENT!C25))</f>
        <v>0</v>
      </c>
      <c r="E28" s="67">
        <f>MONTAGE!F27*MONTAGE!C27</f>
        <v>0</v>
      </c>
      <c r="F28" s="67">
        <f>IF($D28="",,MONTAGE!X27)</f>
        <v>0</v>
      </c>
      <c r="G28" s="67">
        <f>IF($D28="",,MONTAGE!Z27)</f>
        <v>0</v>
      </c>
      <c r="H28" s="67">
        <f>IF($D28="",,MONTAGE!AB27)</f>
        <v>0</v>
      </c>
      <c r="I28" s="67">
        <f>IF($D28="",,MONTAGE!AD27)</f>
        <v>0</v>
      </c>
      <c r="J28" s="67">
        <f>IF($D28="",,MONTAGE!AF27)</f>
        <v>0</v>
      </c>
      <c r="K28" s="67">
        <f>IF($D28="",,MONTAGE!AH27)</f>
        <v>0</v>
      </c>
      <c r="L28" s="67">
        <f>IF($D28="",,MONTAGE!AJ27)</f>
        <v>0</v>
      </c>
      <c r="M28" s="67">
        <f>IF($D28="",,MONTAGE!AL27)</f>
        <v>0</v>
      </c>
      <c r="N28" s="67">
        <f>IF($D28="",,MONTAGE!AN27)</f>
        <v>0</v>
      </c>
      <c r="O28" s="67">
        <f>IF($D28="",,MONTAGE!AP27)</f>
        <v>0</v>
      </c>
      <c r="P28" s="67">
        <f>IF($D28="",,MONTAGE!AR27)</f>
        <v>0</v>
      </c>
      <c r="Q28" s="67">
        <f>IF($D28="",,MONTAGE!AT27)</f>
        <v>0</v>
      </c>
      <c r="R28" s="67">
        <f>IF($D28="",,MONTAGE!AV27)</f>
        <v>0</v>
      </c>
      <c r="S28" s="67">
        <f>IF($D28="",,MONTAGE!AX27)</f>
        <v>0</v>
      </c>
      <c r="T28" s="67">
        <f>IF($D28="",,MONTAGE!AZ27)</f>
        <v>0</v>
      </c>
    </row>
    <row r="29" spans="1:20" s="5" customFormat="1" hidden="1" x14ac:dyDescent="0.2">
      <c r="A29" s="60"/>
      <c r="B29" s="61">
        <f>IF(MONTAGE!B28="","",MONTAGE!B28)</f>
        <v>0</v>
      </c>
      <c r="C29" s="62" t="str">
        <f>IF(ELEMENT!AO26="","",IF(ELEMENT!AW26="JA",ELEMENT!V26,IF(ELEMENT!D26="","",CONCATENATE(ELEMENT!A26,"   ",ELEMENT!D26," x ",ELEMENT!E26,"mm  "))))</f>
        <v/>
      </c>
      <c r="D29" s="63">
        <f>IF(ELEMENT!AO26="",0,IF(ELEMENT!C26=0,Sprache!$B$86,ELEMENT!C26))</f>
        <v>0</v>
      </c>
      <c r="E29" s="67">
        <f>MONTAGE!F28*MONTAGE!C28</f>
        <v>0</v>
      </c>
      <c r="F29" s="67">
        <f>IF($D29="",,MONTAGE!X28)</f>
        <v>0</v>
      </c>
      <c r="G29" s="67">
        <f>IF($D29="",,MONTAGE!Z28)</f>
        <v>0</v>
      </c>
      <c r="H29" s="67">
        <f>IF($D29="",,MONTAGE!AB28)</f>
        <v>0</v>
      </c>
      <c r="I29" s="67">
        <f>IF($D29="",,MONTAGE!AD28)</f>
        <v>0</v>
      </c>
      <c r="J29" s="67">
        <f>IF($D29="",,MONTAGE!AF28)</f>
        <v>0</v>
      </c>
      <c r="K29" s="67">
        <f>IF($D29="",,MONTAGE!AH28)</f>
        <v>0</v>
      </c>
      <c r="L29" s="67">
        <f>IF($D29="",,MONTAGE!AJ28)</f>
        <v>0</v>
      </c>
      <c r="M29" s="67">
        <f>IF($D29="",,MONTAGE!AL28)</f>
        <v>0</v>
      </c>
      <c r="N29" s="67">
        <f>IF($D29="",,MONTAGE!AN28)</f>
        <v>0</v>
      </c>
      <c r="O29" s="67">
        <f>IF($D29="",,MONTAGE!AP28)</f>
        <v>0</v>
      </c>
      <c r="P29" s="67">
        <f>IF($D29="",,MONTAGE!AR28)</f>
        <v>0</v>
      </c>
      <c r="Q29" s="67">
        <f>IF($D29="",,MONTAGE!AT28)</f>
        <v>0</v>
      </c>
      <c r="R29" s="67">
        <f>IF($D29="",,MONTAGE!AV28)</f>
        <v>0</v>
      </c>
      <c r="S29" s="67">
        <f>IF($D29="",,MONTAGE!AX28)</f>
        <v>0</v>
      </c>
      <c r="T29" s="67">
        <f>IF($D29="",,MONTAGE!AZ28)</f>
        <v>0</v>
      </c>
    </row>
    <row r="30" spans="1:20" s="5" customFormat="1" hidden="1" x14ac:dyDescent="0.2">
      <c r="A30" s="60"/>
      <c r="B30" s="61">
        <f>IF(MONTAGE!B29="","",MONTAGE!B29)</f>
        <v>0</v>
      </c>
      <c r="C30" s="62" t="str">
        <f>IF(ELEMENT!AO27="","",IF(ELEMENT!AW27="JA",ELEMENT!V27,IF(ELEMENT!D27="","",CONCATENATE(ELEMENT!A27,"   ",ELEMENT!D27," x ",ELEMENT!E27,"mm  "))))</f>
        <v/>
      </c>
      <c r="D30" s="63">
        <f>IF(ELEMENT!AO27="",0,IF(ELEMENT!C27=0,Sprache!$B$86,ELEMENT!C27))</f>
        <v>0</v>
      </c>
      <c r="E30" s="67">
        <f>MONTAGE!F29*MONTAGE!C29</f>
        <v>0</v>
      </c>
      <c r="F30" s="67">
        <f>IF($D30="",,MONTAGE!X29)</f>
        <v>0</v>
      </c>
      <c r="G30" s="67">
        <f>IF($D30="",,MONTAGE!Z29)</f>
        <v>0</v>
      </c>
      <c r="H30" s="67">
        <f>IF($D30="",,MONTAGE!AB29)</f>
        <v>0</v>
      </c>
      <c r="I30" s="67">
        <f>IF($D30="",,MONTAGE!AD29)</f>
        <v>0</v>
      </c>
      <c r="J30" s="67">
        <f>IF($D30="",,MONTAGE!AF29)</f>
        <v>0</v>
      </c>
      <c r="K30" s="67">
        <f>IF($D30="",,MONTAGE!AH29)</f>
        <v>0</v>
      </c>
      <c r="L30" s="67">
        <f>IF($D30="",,MONTAGE!AJ29)</f>
        <v>0</v>
      </c>
      <c r="M30" s="67">
        <f>IF($D30="",,MONTAGE!AL29)</f>
        <v>0</v>
      </c>
      <c r="N30" s="67">
        <f>IF($D30="",,MONTAGE!AN29)</f>
        <v>0</v>
      </c>
      <c r="O30" s="67">
        <f>IF($D30="",,MONTAGE!AP29)</f>
        <v>0</v>
      </c>
      <c r="P30" s="67">
        <f>IF($D30="",,MONTAGE!AR29)</f>
        <v>0</v>
      </c>
      <c r="Q30" s="67">
        <f>IF($D30="",,MONTAGE!AT29)</f>
        <v>0</v>
      </c>
      <c r="R30" s="67">
        <f>IF($D30="",,MONTAGE!AV29)</f>
        <v>0</v>
      </c>
      <c r="S30" s="67">
        <f>IF($D30="",,MONTAGE!AX29)</f>
        <v>0</v>
      </c>
      <c r="T30" s="67">
        <f>IF($D30="",,MONTAGE!AZ29)</f>
        <v>0</v>
      </c>
    </row>
    <row r="31" spans="1:20" s="5" customFormat="1" hidden="1" x14ac:dyDescent="0.2">
      <c r="A31" s="60"/>
      <c r="B31" s="61">
        <f>IF(MONTAGE!B30="","",MONTAGE!B30)</f>
        <v>0</v>
      </c>
      <c r="C31" s="62" t="str">
        <f>IF(ELEMENT!AO28="","",IF(ELEMENT!AW28="JA",ELEMENT!V28,IF(ELEMENT!D28="","",CONCATENATE(ELEMENT!A28,"   ",ELEMENT!D28," x ",ELEMENT!E28,"mm  "))))</f>
        <v/>
      </c>
      <c r="D31" s="63">
        <f>IF(ELEMENT!AO28="",0,IF(ELEMENT!C28=0,Sprache!$B$86,ELEMENT!C28))</f>
        <v>0</v>
      </c>
      <c r="E31" s="67">
        <f>MONTAGE!F30*MONTAGE!C30</f>
        <v>0</v>
      </c>
      <c r="F31" s="67">
        <f>IF($D31="",,MONTAGE!X30)</f>
        <v>0</v>
      </c>
      <c r="G31" s="67">
        <f>IF($D31="",,MONTAGE!Z30)</f>
        <v>0</v>
      </c>
      <c r="H31" s="67">
        <f>IF($D31="",,MONTAGE!AB30)</f>
        <v>0</v>
      </c>
      <c r="I31" s="67">
        <f>IF($D31="",,MONTAGE!AD30)</f>
        <v>0</v>
      </c>
      <c r="J31" s="67">
        <f>IF($D31="",,MONTAGE!AF30)</f>
        <v>0</v>
      </c>
      <c r="K31" s="67">
        <f>IF($D31="",,MONTAGE!AH30)</f>
        <v>0</v>
      </c>
      <c r="L31" s="67">
        <f>IF($D31="",,MONTAGE!AJ30)</f>
        <v>0</v>
      </c>
      <c r="M31" s="67">
        <f>IF($D31="",,MONTAGE!AL30)</f>
        <v>0</v>
      </c>
      <c r="N31" s="67">
        <f>IF($D31="",,MONTAGE!AN30)</f>
        <v>0</v>
      </c>
      <c r="O31" s="67">
        <f>IF($D31="",,MONTAGE!AP30)</f>
        <v>0</v>
      </c>
      <c r="P31" s="67">
        <f>IF($D31="",,MONTAGE!AR30)</f>
        <v>0</v>
      </c>
      <c r="Q31" s="67">
        <f>IF($D31="",,MONTAGE!AT30)</f>
        <v>0</v>
      </c>
      <c r="R31" s="67">
        <f>IF($D31="",,MONTAGE!AV30)</f>
        <v>0</v>
      </c>
      <c r="S31" s="67">
        <f>IF($D31="",,MONTAGE!AX30)</f>
        <v>0</v>
      </c>
      <c r="T31" s="67">
        <f>IF($D31="",,MONTAGE!AZ30)</f>
        <v>0</v>
      </c>
    </row>
    <row r="32" spans="1:20" s="5" customFormat="1" hidden="1" x14ac:dyDescent="0.2">
      <c r="A32" s="60"/>
      <c r="B32" s="61">
        <f>IF(MONTAGE!B31="","",MONTAGE!B31)</f>
        <v>0</v>
      </c>
      <c r="C32" s="62" t="str">
        <f>IF(ELEMENT!AO29="","",IF(ELEMENT!AW29="JA",ELEMENT!V29,IF(ELEMENT!D29="","",CONCATENATE(ELEMENT!A29,"   ",ELEMENT!D29," x ",ELEMENT!E29,"mm  "))))</f>
        <v/>
      </c>
      <c r="D32" s="63">
        <f>IF(ELEMENT!AO29="",0,IF(ELEMENT!C29=0,Sprache!$B$86,ELEMENT!C29))</f>
        <v>0</v>
      </c>
      <c r="E32" s="67">
        <f>MONTAGE!F31*MONTAGE!C31</f>
        <v>0</v>
      </c>
      <c r="F32" s="67">
        <f>IF($D32="",,MONTAGE!X31)</f>
        <v>0</v>
      </c>
      <c r="G32" s="67">
        <f>IF($D32="",,MONTAGE!Z31)</f>
        <v>0</v>
      </c>
      <c r="H32" s="67">
        <f>IF($D32="",,MONTAGE!AB31)</f>
        <v>0</v>
      </c>
      <c r="I32" s="67">
        <f>IF($D32="",,MONTAGE!AD31)</f>
        <v>0</v>
      </c>
      <c r="J32" s="67">
        <f>IF($D32="",,MONTAGE!AF31)</f>
        <v>0</v>
      </c>
      <c r="K32" s="67">
        <f>IF($D32="",,MONTAGE!AH31)</f>
        <v>0</v>
      </c>
      <c r="L32" s="67">
        <f>IF($D32="",,MONTAGE!AJ31)</f>
        <v>0</v>
      </c>
      <c r="M32" s="67">
        <f>IF($D32="",,MONTAGE!AL31)</f>
        <v>0</v>
      </c>
      <c r="N32" s="67">
        <f>IF($D32="",,MONTAGE!AN31)</f>
        <v>0</v>
      </c>
      <c r="O32" s="67">
        <f>IF($D32="",,MONTAGE!AP31)</f>
        <v>0</v>
      </c>
      <c r="P32" s="67">
        <f>IF($D32="",,MONTAGE!AR31)</f>
        <v>0</v>
      </c>
      <c r="Q32" s="67">
        <f>IF($D32="",,MONTAGE!AT31)</f>
        <v>0</v>
      </c>
      <c r="R32" s="67">
        <f>IF($D32="",,MONTAGE!AV31)</f>
        <v>0</v>
      </c>
      <c r="S32" s="67">
        <f>IF($D32="",,MONTAGE!AX31)</f>
        <v>0</v>
      </c>
      <c r="T32" s="67">
        <f>IF($D32="",,MONTAGE!AZ31)</f>
        <v>0</v>
      </c>
    </row>
    <row r="33" spans="1:20" s="5" customFormat="1" hidden="1" x14ac:dyDescent="0.2">
      <c r="A33" s="60"/>
      <c r="B33" s="61">
        <f>IF(MONTAGE!B32="","",MONTAGE!B32)</f>
        <v>0</v>
      </c>
      <c r="C33" s="62" t="str">
        <f>IF(ELEMENT!AO30="","",IF(ELEMENT!AW30="JA",ELEMENT!V30,IF(ELEMENT!D30="","",CONCATENATE(ELEMENT!A30,"   ",ELEMENT!D30," x ",ELEMENT!E30,"mm  "))))</f>
        <v/>
      </c>
      <c r="D33" s="63">
        <f>IF(ELEMENT!AO30="",0,IF(ELEMENT!C30=0,Sprache!$B$86,ELEMENT!C30))</f>
        <v>0</v>
      </c>
      <c r="E33" s="67">
        <f>MONTAGE!F32*MONTAGE!C32</f>
        <v>0</v>
      </c>
      <c r="F33" s="67">
        <f>IF($D33="",,MONTAGE!X32)</f>
        <v>0</v>
      </c>
      <c r="G33" s="67">
        <f>IF($D33="",,MONTAGE!Z32)</f>
        <v>0</v>
      </c>
      <c r="H33" s="67">
        <f>IF($D33="",,MONTAGE!AB32)</f>
        <v>0</v>
      </c>
      <c r="I33" s="67">
        <f>IF($D33="",,MONTAGE!AD32)</f>
        <v>0</v>
      </c>
      <c r="J33" s="67">
        <f>IF($D33="",,MONTAGE!AF32)</f>
        <v>0</v>
      </c>
      <c r="K33" s="67">
        <f>IF($D33="",,MONTAGE!AH32)</f>
        <v>0</v>
      </c>
      <c r="L33" s="67">
        <f>IF($D33="",,MONTAGE!AJ32)</f>
        <v>0</v>
      </c>
      <c r="M33" s="67">
        <f>IF($D33="",,MONTAGE!AL32)</f>
        <v>0</v>
      </c>
      <c r="N33" s="67">
        <f>IF($D33="",,MONTAGE!AN32)</f>
        <v>0</v>
      </c>
      <c r="O33" s="67">
        <f>IF($D33="",,MONTAGE!AP32)</f>
        <v>0</v>
      </c>
      <c r="P33" s="67">
        <f>IF($D33="",,MONTAGE!AR32)</f>
        <v>0</v>
      </c>
      <c r="Q33" s="67">
        <f>IF($D33="",,MONTAGE!AT32)</f>
        <v>0</v>
      </c>
      <c r="R33" s="67">
        <f>IF($D33="",,MONTAGE!AV32)</f>
        <v>0</v>
      </c>
      <c r="S33" s="67">
        <f>IF($D33="",,MONTAGE!AX32)</f>
        <v>0</v>
      </c>
      <c r="T33" s="67">
        <f>IF($D33="",,MONTAGE!AZ32)</f>
        <v>0</v>
      </c>
    </row>
    <row r="34" spans="1:20" s="5" customFormat="1" hidden="1" x14ac:dyDescent="0.2">
      <c r="A34" s="60"/>
      <c r="B34" s="61">
        <f>IF(MONTAGE!B33="","",MONTAGE!B33)</f>
        <v>0</v>
      </c>
      <c r="C34" s="62" t="str">
        <f>IF(ELEMENT!AO31="","",IF(ELEMENT!AW31="JA",ELEMENT!V31,IF(ELEMENT!D31="","",CONCATENATE(ELEMENT!A31,"   ",ELEMENT!D31," x ",ELEMENT!E31,"mm  "))))</f>
        <v/>
      </c>
      <c r="D34" s="63">
        <f>IF(ELEMENT!AO31="",0,IF(ELEMENT!C31=0,Sprache!$B$86,ELEMENT!C31))</f>
        <v>0</v>
      </c>
      <c r="E34" s="67">
        <f>MONTAGE!F33*MONTAGE!C33</f>
        <v>0</v>
      </c>
      <c r="F34" s="67">
        <f>IF($D34="",,MONTAGE!X33)</f>
        <v>0</v>
      </c>
      <c r="G34" s="67">
        <f>IF($D34="",,MONTAGE!Z33)</f>
        <v>0</v>
      </c>
      <c r="H34" s="67">
        <f>IF($D34="",,MONTAGE!AB33)</f>
        <v>0</v>
      </c>
      <c r="I34" s="67">
        <f>IF($D34="",,MONTAGE!AD33)</f>
        <v>0</v>
      </c>
      <c r="J34" s="67">
        <f>IF($D34="",,MONTAGE!AF33)</f>
        <v>0</v>
      </c>
      <c r="K34" s="67">
        <f>IF($D34="",,MONTAGE!AH33)</f>
        <v>0</v>
      </c>
      <c r="L34" s="67">
        <f>IF($D34="",,MONTAGE!AJ33)</f>
        <v>0</v>
      </c>
      <c r="M34" s="67">
        <f>IF($D34="",,MONTAGE!AL33)</f>
        <v>0</v>
      </c>
      <c r="N34" s="67">
        <f>IF($D34="",,MONTAGE!AN33)</f>
        <v>0</v>
      </c>
      <c r="O34" s="67">
        <f>IF($D34="",,MONTAGE!AP33)</f>
        <v>0</v>
      </c>
      <c r="P34" s="67">
        <f>IF($D34="",,MONTAGE!AR33)</f>
        <v>0</v>
      </c>
      <c r="Q34" s="67">
        <f>IF($D34="",,MONTAGE!AT33)</f>
        <v>0</v>
      </c>
      <c r="R34" s="67">
        <f>IF($D34="",,MONTAGE!AV33)</f>
        <v>0</v>
      </c>
      <c r="S34" s="67">
        <f>IF($D34="",,MONTAGE!AX33)</f>
        <v>0</v>
      </c>
      <c r="T34" s="67">
        <f>IF($D34="",,MONTAGE!AZ33)</f>
        <v>0</v>
      </c>
    </row>
    <row r="35" spans="1:20" s="5" customFormat="1" hidden="1" x14ac:dyDescent="0.2">
      <c r="A35" s="60"/>
      <c r="B35" s="61">
        <f>IF(MONTAGE!B34="","",MONTAGE!B34)</f>
        <v>0</v>
      </c>
      <c r="C35" s="62" t="str">
        <f>IF(ELEMENT!AO32="","",IF(ELEMENT!AW32="JA",ELEMENT!V32,IF(ELEMENT!D32="","",CONCATENATE(ELEMENT!A32,"   ",ELEMENT!D32," x ",ELEMENT!E32,"mm  "))))</f>
        <v/>
      </c>
      <c r="D35" s="63">
        <f>IF(ELEMENT!AO32="",0,IF(ELEMENT!C32=0,Sprache!$B$86,ELEMENT!C32))</f>
        <v>0</v>
      </c>
      <c r="E35" s="67">
        <f>MONTAGE!F34*MONTAGE!C34</f>
        <v>0</v>
      </c>
      <c r="F35" s="67">
        <f>IF($D35="",,MONTAGE!X34)</f>
        <v>0</v>
      </c>
      <c r="G35" s="67">
        <f>IF($D35="",,MONTAGE!Z34)</f>
        <v>0</v>
      </c>
      <c r="H35" s="67">
        <f>IF($D35="",,MONTAGE!AB34)</f>
        <v>0</v>
      </c>
      <c r="I35" s="67">
        <f>IF($D35="",,MONTAGE!AD34)</f>
        <v>0</v>
      </c>
      <c r="J35" s="67">
        <f>IF($D35="",,MONTAGE!AF34)</f>
        <v>0</v>
      </c>
      <c r="K35" s="67">
        <f>IF($D35="",,MONTAGE!AH34)</f>
        <v>0</v>
      </c>
      <c r="L35" s="67">
        <f>IF($D35="",,MONTAGE!AJ34)</f>
        <v>0</v>
      </c>
      <c r="M35" s="67">
        <f>IF($D35="",,MONTAGE!AL34)</f>
        <v>0</v>
      </c>
      <c r="N35" s="67">
        <f>IF($D35="",,MONTAGE!AN34)</f>
        <v>0</v>
      </c>
      <c r="O35" s="67">
        <f>IF($D35="",,MONTAGE!AP34)</f>
        <v>0</v>
      </c>
      <c r="P35" s="67">
        <f>IF($D35="",,MONTAGE!AR34)</f>
        <v>0</v>
      </c>
      <c r="Q35" s="67">
        <f>IF($D35="",,MONTAGE!AT34)</f>
        <v>0</v>
      </c>
      <c r="R35" s="67">
        <f>IF($D35="",,MONTAGE!AV34)</f>
        <v>0</v>
      </c>
      <c r="S35" s="67">
        <f>IF($D35="",,MONTAGE!AX34)</f>
        <v>0</v>
      </c>
      <c r="T35" s="67">
        <f>IF($D35="",,MONTAGE!AZ34)</f>
        <v>0</v>
      </c>
    </row>
    <row r="36" spans="1:20" s="5" customFormat="1" hidden="1" x14ac:dyDescent="0.2">
      <c r="A36" s="60"/>
      <c r="B36" s="61">
        <f>IF(MONTAGE!B35="","",MONTAGE!B35)</f>
        <v>0</v>
      </c>
      <c r="C36" s="62" t="str">
        <f>IF(ELEMENT!AO33="","",IF(ELEMENT!AW33="JA",ELEMENT!V33,IF(ELEMENT!D33="","",CONCATENATE(ELEMENT!A33,"   ",ELEMENT!D33," x ",ELEMENT!E33,"mm  "))))</f>
        <v/>
      </c>
      <c r="D36" s="63">
        <f>IF(ELEMENT!AO33="",0,IF(ELEMENT!C33=0,Sprache!$B$86,ELEMENT!C33))</f>
        <v>0</v>
      </c>
      <c r="E36" s="67">
        <f>MONTAGE!F35*MONTAGE!C35</f>
        <v>0</v>
      </c>
      <c r="F36" s="67">
        <f>IF($D36="",,MONTAGE!X35)</f>
        <v>0</v>
      </c>
      <c r="G36" s="67">
        <f>IF($D36="",,MONTAGE!Z35)</f>
        <v>0</v>
      </c>
      <c r="H36" s="67">
        <f>IF($D36="",,MONTAGE!AB35)</f>
        <v>0</v>
      </c>
      <c r="I36" s="67">
        <f>IF($D36="",,MONTAGE!AD35)</f>
        <v>0</v>
      </c>
      <c r="J36" s="67">
        <f>IF($D36="",,MONTAGE!AF35)</f>
        <v>0</v>
      </c>
      <c r="K36" s="67">
        <f>IF($D36="",,MONTAGE!AH35)</f>
        <v>0</v>
      </c>
      <c r="L36" s="67">
        <f>IF($D36="",,MONTAGE!AJ35)</f>
        <v>0</v>
      </c>
      <c r="M36" s="67">
        <f>IF($D36="",,MONTAGE!AL35)</f>
        <v>0</v>
      </c>
      <c r="N36" s="67">
        <f>IF($D36="",,MONTAGE!AN35)</f>
        <v>0</v>
      </c>
      <c r="O36" s="67">
        <f>IF($D36="",,MONTAGE!AP35)</f>
        <v>0</v>
      </c>
      <c r="P36" s="67">
        <f>IF($D36="",,MONTAGE!AR35)</f>
        <v>0</v>
      </c>
      <c r="Q36" s="67">
        <f>IF($D36="",,MONTAGE!AT35)</f>
        <v>0</v>
      </c>
      <c r="R36" s="67">
        <f>IF($D36="",,MONTAGE!AV35)</f>
        <v>0</v>
      </c>
      <c r="S36" s="67">
        <f>IF($D36="",,MONTAGE!AX35)</f>
        <v>0</v>
      </c>
      <c r="T36" s="67">
        <f>IF($D36="",,MONTAGE!AZ35)</f>
        <v>0</v>
      </c>
    </row>
    <row r="37" spans="1:20" s="5" customFormat="1" hidden="1" x14ac:dyDescent="0.2">
      <c r="A37" s="60"/>
      <c r="B37" s="61">
        <f>IF(MONTAGE!B36="","",MONTAGE!B36)</f>
        <v>0</v>
      </c>
      <c r="C37" s="62" t="str">
        <f>IF(ELEMENT!AO34="","",IF(ELEMENT!AW34="JA",ELEMENT!V34,IF(ELEMENT!D34="","",CONCATENATE(ELEMENT!A34,"   ",ELEMENT!D34," x ",ELEMENT!E34,"mm  "))))</f>
        <v/>
      </c>
      <c r="D37" s="63">
        <f>IF(ELEMENT!AO34="",0,IF(ELEMENT!C34=0,Sprache!$B$86,ELEMENT!C34))</f>
        <v>0</v>
      </c>
      <c r="E37" s="67">
        <f>MONTAGE!F36*MONTAGE!C36</f>
        <v>0</v>
      </c>
      <c r="F37" s="67">
        <f>IF($D37="",,MONTAGE!X36)</f>
        <v>0</v>
      </c>
      <c r="G37" s="67">
        <f>IF($D37="",,MONTAGE!Z36)</f>
        <v>0</v>
      </c>
      <c r="H37" s="67">
        <f>IF($D37="",,MONTAGE!AB36)</f>
        <v>0</v>
      </c>
      <c r="I37" s="67">
        <f>IF($D37="",,MONTAGE!AD36)</f>
        <v>0</v>
      </c>
      <c r="J37" s="67">
        <f>IF($D37="",,MONTAGE!AF36)</f>
        <v>0</v>
      </c>
      <c r="K37" s="67">
        <f>IF($D37="",,MONTAGE!AH36)</f>
        <v>0</v>
      </c>
      <c r="L37" s="67">
        <f>IF($D37="",,MONTAGE!AJ36)</f>
        <v>0</v>
      </c>
      <c r="M37" s="67">
        <f>IF($D37="",,MONTAGE!AL36)</f>
        <v>0</v>
      </c>
      <c r="N37" s="67">
        <f>IF($D37="",,MONTAGE!AN36)</f>
        <v>0</v>
      </c>
      <c r="O37" s="67">
        <f>IF($D37="",,MONTAGE!AP36)</f>
        <v>0</v>
      </c>
      <c r="P37" s="67">
        <f>IF($D37="",,MONTAGE!AR36)</f>
        <v>0</v>
      </c>
      <c r="Q37" s="67">
        <f>IF($D37="",,MONTAGE!AT36)</f>
        <v>0</v>
      </c>
      <c r="R37" s="67">
        <f>IF($D37="",,MONTAGE!AV36)</f>
        <v>0</v>
      </c>
      <c r="S37" s="67">
        <f>IF($D37="",,MONTAGE!AX36)</f>
        <v>0</v>
      </c>
      <c r="T37" s="67">
        <f>IF($D37="",,MONTAGE!AZ36)</f>
        <v>0</v>
      </c>
    </row>
    <row r="38" spans="1:20" s="5" customFormat="1" hidden="1" x14ac:dyDescent="0.2">
      <c r="A38" s="60"/>
      <c r="B38" s="61">
        <f>IF(MONTAGE!B37="","",MONTAGE!B37)</f>
        <v>0</v>
      </c>
      <c r="C38" s="62" t="str">
        <f>IF(ELEMENT!AO35="","",IF(ELEMENT!AW35="JA",ELEMENT!V35,IF(ELEMENT!D35="","",CONCATENATE(ELEMENT!A35,"   ",ELEMENT!D35," x ",ELEMENT!E35,"mm  "))))</f>
        <v/>
      </c>
      <c r="D38" s="63">
        <f>IF(ELEMENT!AO35="",0,IF(ELEMENT!C35=0,Sprache!$B$86,ELEMENT!C35))</f>
        <v>0</v>
      </c>
      <c r="E38" s="67">
        <f>MONTAGE!F37*MONTAGE!C37</f>
        <v>0</v>
      </c>
      <c r="F38" s="67">
        <f>IF($D38="",,MONTAGE!X37)</f>
        <v>0</v>
      </c>
      <c r="G38" s="67">
        <f>IF($D38="",,MONTAGE!Z37)</f>
        <v>0</v>
      </c>
      <c r="H38" s="67">
        <f>IF($D38="",,MONTAGE!AB37)</f>
        <v>0</v>
      </c>
      <c r="I38" s="67">
        <f>IF($D38="",,MONTAGE!AD37)</f>
        <v>0</v>
      </c>
      <c r="J38" s="67">
        <f>IF($D38="",,MONTAGE!AF37)</f>
        <v>0</v>
      </c>
      <c r="K38" s="67">
        <f>IF($D38="",,MONTAGE!AH37)</f>
        <v>0</v>
      </c>
      <c r="L38" s="67">
        <f>IF($D38="",,MONTAGE!AJ37)</f>
        <v>0</v>
      </c>
      <c r="M38" s="67">
        <f>IF($D38="",,MONTAGE!AL37)</f>
        <v>0</v>
      </c>
      <c r="N38" s="67">
        <f>IF($D38="",,MONTAGE!AN37)</f>
        <v>0</v>
      </c>
      <c r="O38" s="67">
        <f>IF($D38="",,MONTAGE!AP37)</f>
        <v>0</v>
      </c>
      <c r="P38" s="67">
        <f>IF($D38="",,MONTAGE!AR37)</f>
        <v>0</v>
      </c>
      <c r="Q38" s="67">
        <f>IF($D38="",,MONTAGE!AT37)</f>
        <v>0</v>
      </c>
      <c r="R38" s="67">
        <f>IF($D38="",,MONTAGE!AV37)</f>
        <v>0</v>
      </c>
      <c r="S38" s="67">
        <f>IF($D38="",,MONTAGE!AX37)</f>
        <v>0</v>
      </c>
      <c r="T38" s="67">
        <f>IF($D38="",,MONTAGE!AZ37)</f>
        <v>0</v>
      </c>
    </row>
    <row r="39" spans="1:20" s="5" customFormat="1" hidden="1" x14ac:dyDescent="0.2">
      <c r="A39" s="60"/>
      <c r="B39" s="61">
        <f>IF(MONTAGE!B38="","",MONTAGE!B38)</f>
        <v>0</v>
      </c>
      <c r="C39" s="62" t="str">
        <f>IF(ELEMENT!AO36="","",IF(ELEMENT!AW36="JA",ELEMENT!V36,IF(ELEMENT!D36="","",CONCATENATE(ELEMENT!A36,"   ",ELEMENT!D36," x ",ELEMENT!E36,"mm  "))))</f>
        <v/>
      </c>
      <c r="D39" s="63">
        <f>IF(ELEMENT!AO36="",0,IF(ELEMENT!C36=0,Sprache!$B$86,ELEMENT!C36))</f>
        <v>0</v>
      </c>
      <c r="E39" s="67">
        <f>MONTAGE!F38*MONTAGE!C38</f>
        <v>0</v>
      </c>
      <c r="F39" s="67">
        <f>IF($D39="",,MONTAGE!X38)</f>
        <v>0</v>
      </c>
      <c r="G39" s="67">
        <f>IF($D39="",,MONTAGE!Z38)</f>
        <v>0</v>
      </c>
      <c r="H39" s="67">
        <f>IF($D39="",,MONTAGE!AB38)</f>
        <v>0</v>
      </c>
      <c r="I39" s="67">
        <f>IF($D39="",,MONTAGE!AD38)</f>
        <v>0</v>
      </c>
      <c r="J39" s="67">
        <f>IF($D39="",,MONTAGE!AF38)</f>
        <v>0</v>
      </c>
      <c r="K39" s="67">
        <f>IF($D39="",,MONTAGE!AH38)</f>
        <v>0</v>
      </c>
      <c r="L39" s="67">
        <f>IF($D39="",,MONTAGE!AJ38)</f>
        <v>0</v>
      </c>
      <c r="M39" s="67">
        <f>IF($D39="",,MONTAGE!AL38)</f>
        <v>0</v>
      </c>
      <c r="N39" s="67">
        <f>IF($D39="",,MONTAGE!AN38)</f>
        <v>0</v>
      </c>
      <c r="O39" s="67">
        <f>IF($D39="",,MONTAGE!AP38)</f>
        <v>0</v>
      </c>
      <c r="P39" s="67">
        <f>IF($D39="",,MONTAGE!AR38)</f>
        <v>0</v>
      </c>
      <c r="Q39" s="67">
        <f>IF($D39="",,MONTAGE!AT38)</f>
        <v>0</v>
      </c>
      <c r="R39" s="67">
        <f>IF($D39="",,MONTAGE!AV38)</f>
        <v>0</v>
      </c>
      <c r="S39" s="67">
        <f>IF($D39="",,MONTAGE!AX38)</f>
        <v>0</v>
      </c>
      <c r="T39" s="67">
        <f>IF($D39="",,MONTAGE!AZ38)</f>
        <v>0</v>
      </c>
    </row>
    <row r="40" spans="1:20" s="5" customFormat="1" hidden="1" x14ac:dyDescent="0.2">
      <c r="A40" s="60"/>
      <c r="B40" s="61">
        <f>IF(MONTAGE!B39="","",MONTAGE!B39)</f>
        <v>0</v>
      </c>
      <c r="C40" s="62" t="str">
        <f>IF(ELEMENT!AO37="","",IF(ELEMENT!AW37="JA",ELEMENT!V37,IF(ELEMENT!D37="","",CONCATENATE(ELEMENT!A37,"   ",ELEMENT!D37," x ",ELEMENT!E37,"mm  "))))</f>
        <v/>
      </c>
      <c r="D40" s="63">
        <f>IF(ELEMENT!AO37="",0,IF(ELEMENT!C37=0,Sprache!$B$86,ELEMENT!C37))</f>
        <v>0</v>
      </c>
      <c r="E40" s="67">
        <f>MONTAGE!F39*MONTAGE!C39</f>
        <v>0</v>
      </c>
      <c r="F40" s="67">
        <f>IF($D40="",,MONTAGE!X39)</f>
        <v>0</v>
      </c>
      <c r="G40" s="67">
        <f>IF($D40="",,MONTAGE!Z39)</f>
        <v>0</v>
      </c>
      <c r="H40" s="67">
        <f>IF($D40="",,MONTAGE!AB39)</f>
        <v>0</v>
      </c>
      <c r="I40" s="67">
        <f>IF($D40="",,MONTAGE!AD39)</f>
        <v>0</v>
      </c>
      <c r="J40" s="67">
        <f>IF($D40="",,MONTAGE!AF39)</f>
        <v>0</v>
      </c>
      <c r="K40" s="67">
        <f>IF($D40="",,MONTAGE!AH39)</f>
        <v>0</v>
      </c>
      <c r="L40" s="67">
        <f>IF($D40="",,MONTAGE!AJ39)</f>
        <v>0</v>
      </c>
      <c r="M40" s="67">
        <f>IF($D40="",,MONTAGE!AL39)</f>
        <v>0</v>
      </c>
      <c r="N40" s="67">
        <f>IF($D40="",,MONTAGE!AN39)</f>
        <v>0</v>
      </c>
      <c r="O40" s="67">
        <f>IF($D40="",,MONTAGE!AP39)</f>
        <v>0</v>
      </c>
      <c r="P40" s="67">
        <f>IF($D40="",,MONTAGE!AR39)</f>
        <v>0</v>
      </c>
      <c r="Q40" s="67">
        <f>IF($D40="",,MONTAGE!AT39)</f>
        <v>0</v>
      </c>
      <c r="R40" s="67">
        <f>IF($D40="",,MONTAGE!AV39)</f>
        <v>0</v>
      </c>
      <c r="S40" s="67">
        <f>IF($D40="",,MONTAGE!AX39)</f>
        <v>0</v>
      </c>
      <c r="T40" s="67">
        <f>IF($D40="",,MONTAGE!AZ39)</f>
        <v>0</v>
      </c>
    </row>
    <row r="41" spans="1:20" s="5" customFormat="1" hidden="1" x14ac:dyDescent="0.2">
      <c r="A41" s="60"/>
      <c r="B41" s="61">
        <f>IF(MONTAGE!B40="","",MONTAGE!B40)</f>
        <v>0</v>
      </c>
      <c r="C41" s="62" t="str">
        <f>IF(ELEMENT!AO38="","",IF(ELEMENT!AW38="JA",ELEMENT!V38,IF(ELEMENT!D38="","",CONCATENATE(ELEMENT!A38,"   ",ELEMENT!D38," x ",ELEMENT!E38,"mm  "))))</f>
        <v/>
      </c>
      <c r="D41" s="63">
        <f>IF(ELEMENT!AO38="",0,IF(ELEMENT!C38=0,Sprache!$B$86,ELEMENT!C38))</f>
        <v>0</v>
      </c>
      <c r="E41" s="67">
        <f>MONTAGE!F40*MONTAGE!C40</f>
        <v>0</v>
      </c>
      <c r="F41" s="67">
        <f>IF($D41="",,MONTAGE!X40)</f>
        <v>0</v>
      </c>
      <c r="G41" s="67">
        <f>IF($D41="",,MONTAGE!Z40)</f>
        <v>0</v>
      </c>
      <c r="H41" s="67">
        <f>IF($D41="",,MONTAGE!AB40)</f>
        <v>0</v>
      </c>
      <c r="I41" s="67">
        <f>IF($D41="",,MONTAGE!AD40)</f>
        <v>0</v>
      </c>
      <c r="J41" s="67">
        <f>IF($D41="",,MONTAGE!AF40)</f>
        <v>0</v>
      </c>
      <c r="K41" s="67">
        <f>IF($D41="",,MONTAGE!AH40)</f>
        <v>0</v>
      </c>
      <c r="L41" s="67">
        <f>IF($D41="",,MONTAGE!AJ40)</f>
        <v>0</v>
      </c>
      <c r="M41" s="67">
        <f>IF($D41="",,MONTAGE!AL40)</f>
        <v>0</v>
      </c>
      <c r="N41" s="67">
        <f>IF($D41="",,MONTAGE!AN40)</f>
        <v>0</v>
      </c>
      <c r="O41" s="67">
        <f>IF($D41="",,MONTAGE!AP40)</f>
        <v>0</v>
      </c>
      <c r="P41" s="67">
        <f>IF($D41="",,MONTAGE!AR40)</f>
        <v>0</v>
      </c>
      <c r="Q41" s="67">
        <f>IF($D41="",,MONTAGE!AT40)</f>
        <v>0</v>
      </c>
      <c r="R41" s="67">
        <f>IF($D41="",,MONTAGE!AV40)</f>
        <v>0</v>
      </c>
      <c r="S41" s="67">
        <f>IF($D41="",,MONTAGE!AX40)</f>
        <v>0</v>
      </c>
      <c r="T41" s="67">
        <f>IF($D41="",,MONTAGE!AZ40)</f>
        <v>0</v>
      </c>
    </row>
    <row r="42" spans="1:20" s="5" customFormat="1" hidden="1" x14ac:dyDescent="0.2">
      <c r="A42" s="60"/>
      <c r="B42" s="61">
        <f>IF(MONTAGE!B41="","",MONTAGE!B41)</f>
        <v>0</v>
      </c>
      <c r="C42" s="62" t="str">
        <f>IF(ELEMENT!AO39="","",IF(ELEMENT!AW39="JA",ELEMENT!V39,IF(ELEMENT!D39="","",CONCATENATE(ELEMENT!A39,"   ",ELEMENT!D39," x ",ELEMENT!E39,"mm  "))))</f>
        <v/>
      </c>
      <c r="D42" s="63">
        <f>IF(ELEMENT!AO39="",0,IF(ELEMENT!C39=0,Sprache!$B$86,ELEMENT!C39))</f>
        <v>0</v>
      </c>
      <c r="E42" s="67">
        <f>MONTAGE!F41*MONTAGE!C41</f>
        <v>0</v>
      </c>
      <c r="F42" s="67">
        <f>IF($D42="",,MONTAGE!X41)</f>
        <v>0</v>
      </c>
      <c r="G42" s="67">
        <f>IF($D42="",,MONTAGE!Z41)</f>
        <v>0</v>
      </c>
      <c r="H42" s="67">
        <f>IF($D42="",,MONTAGE!AB41)</f>
        <v>0</v>
      </c>
      <c r="I42" s="67">
        <f>IF($D42="",,MONTAGE!AD41)</f>
        <v>0</v>
      </c>
      <c r="J42" s="67">
        <f>IF($D42="",,MONTAGE!AF41)</f>
        <v>0</v>
      </c>
      <c r="K42" s="67">
        <f>IF($D42="",,MONTAGE!AH41)</f>
        <v>0</v>
      </c>
      <c r="L42" s="67">
        <f>IF($D42="",,MONTAGE!AJ41)</f>
        <v>0</v>
      </c>
      <c r="M42" s="67">
        <f>IF($D42="",,MONTAGE!AL41)</f>
        <v>0</v>
      </c>
      <c r="N42" s="67">
        <f>IF($D42="",,MONTAGE!AN41)</f>
        <v>0</v>
      </c>
      <c r="O42" s="67">
        <f>IF($D42="",,MONTAGE!AP41)</f>
        <v>0</v>
      </c>
      <c r="P42" s="67">
        <f>IF($D42="",,MONTAGE!AR41)</f>
        <v>0</v>
      </c>
      <c r="Q42" s="67">
        <f>IF($D42="",,MONTAGE!AT41)</f>
        <v>0</v>
      </c>
      <c r="R42" s="67">
        <f>IF($D42="",,MONTAGE!AV41)</f>
        <v>0</v>
      </c>
      <c r="S42" s="67">
        <f>IF($D42="",,MONTAGE!AX41)</f>
        <v>0</v>
      </c>
      <c r="T42" s="67">
        <f>IF($D42="",,MONTAGE!AZ41)</f>
        <v>0</v>
      </c>
    </row>
    <row r="43" spans="1:20" s="5" customFormat="1" hidden="1" x14ac:dyDescent="0.2">
      <c r="A43" s="60"/>
      <c r="B43" s="61">
        <f>IF(MONTAGE!B42="","",MONTAGE!B42)</f>
        <v>0</v>
      </c>
      <c r="C43" s="62" t="str">
        <f>IF(ELEMENT!AO40="","",IF(ELEMENT!AW40="JA",ELEMENT!V40,IF(ELEMENT!D40="","",CONCATENATE(ELEMENT!A40,"   ",ELEMENT!D40," x ",ELEMENT!E40,"mm  "))))</f>
        <v/>
      </c>
      <c r="D43" s="63">
        <f>IF(ELEMENT!AO40="",0,IF(ELEMENT!C40=0,Sprache!$B$86,ELEMENT!C40))</f>
        <v>0</v>
      </c>
      <c r="E43" s="67">
        <f>MONTAGE!F42*MONTAGE!C42</f>
        <v>0</v>
      </c>
      <c r="F43" s="67">
        <f>IF($D43="",,MONTAGE!X42)</f>
        <v>0</v>
      </c>
      <c r="G43" s="67">
        <f>IF($D43="",,MONTAGE!Z42)</f>
        <v>0</v>
      </c>
      <c r="H43" s="67">
        <f>IF($D43="",,MONTAGE!AB42)</f>
        <v>0</v>
      </c>
      <c r="I43" s="67">
        <f>IF($D43="",,MONTAGE!AD42)</f>
        <v>0</v>
      </c>
      <c r="J43" s="67">
        <f>IF($D43="",,MONTAGE!AF42)</f>
        <v>0</v>
      </c>
      <c r="K43" s="67">
        <f>IF($D43="",,MONTAGE!AH42)</f>
        <v>0</v>
      </c>
      <c r="L43" s="67">
        <f>IF($D43="",,MONTAGE!AJ42)</f>
        <v>0</v>
      </c>
      <c r="M43" s="67">
        <f>IF($D43="",,MONTAGE!AL42)</f>
        <v>0</v>
      </c>
      <c r="N43" s="67">
        <f>IF($D43="",,MONTAGE!AN42)</f>
        <v>0</v>
      </c>
      <c r="O43" s="67">
        <f>IF($D43="",,MONTAGE!AP42)</f>
        <v>0</v>
      </c>
      <c r="P43" s="67">
        <f>IF($D43="",,MONTAGE!AR42)</f>
        <v>0</v>
      </c>
      <c r="Q43" s="67">
        <f>IF($D43="",,MONTAGE!AT42)</f>
        <v>0</v>
      </c>
      <c r="R43" s="67">
        <f>IF($D43="",,MONTAGE!AV42)</f>
        <v>0</v>
      </c>
      <c r="S43" s="67">
        <f>IF($D43="",,MONTAGE!AX42)</f>
        <v>0</v>
      </c>
      <c r="T43" s="67">
        <f>IF($D43="",,MONTAGE!AZ42)</f>
        <v>0</v>
      </c>
    </row>
    <row r="44" spans="1:20" s="5" customFormat="1" hidden="1" x14ac:dyDescent="0.2">
      <c r="A44" s="60"/>
      <c r="B44" s="61">
        <f>IF(MONTAGE!B43="","",MONTAGE!B43)</f>
        <v>0</v>
      </c>
      <c r="C44" s="62" t="str">
        <f>IF(ELEMENT!AO41="","",IF(ELEMENT!AW41="JA",ELEMENT!V41,IF(ELEMENT!D41="","",CONCATENATE(ELEMENT!A41,"   ",ELEMENT!D41," x ",ELEMENT!E41,"mm  "))))</f>
        <v/>
      </c>
      <c r="D44" s="63">
        <f>IF(ELEMENT!AO41="",0,IF(ELEMENT!C41=0,Sprache!$B$86,ELEMENT!C41))</f>
        <v>0</v>
      </c>
      <c r="E44" s="67">
        <f>MONTAGE!F43*MONTAGE!C43</f>
        <v>0</v>
      </c>
      <c r="F44" s="67">
        <f>IF($D44="",,MONTAGE!X43)</f>
        <v>0</v>
      </c>
      <c r="G44" s="67">
        <f>IF($D44="",,MONTAGE!Z43)</f>
        <v>0</v>
      </c>
      <c r="H44" s="67">
        <f>IF($D44="",,MONTAGE!AB43)</f>
        <v>0</v>
      </c>
      <c r="I44" s="67">
        <f>IF($D44="",,MONTAGE!AD43)</f>
        <v>0</v>
      </c>
      <c r="J44" s="67">
        <f>IF($D44="",,MONTAGE!AF43)</f>
        <v>0</v>
      </c>
      <c r="K44" s="67">
        <f>IF($D44="",,MONTAGE!AH43)</f>
        <v>0</v>
      </c>
      <c r="L44" s="67">
        <f>IF($D44="",,MONTAGE!AJ43)</f>
        <v>0</v>
      </c>
      <c r="M44" s="67">
        <f>IF($D44="",,MONTAGE!AL43)</f>
        <v>0</v>
      </c>
      <c r="N44" s="67">
        <f>IF($D44="",,MONTAGE!AN43)</f>
        <v>0</v>
      </c>
      <c r="O44" s="67">
        <f>IF($D44="",,MONTAGE!AP43)</f>
        <v>0</v>
      </c>
      <c r="P44" s="67">
        <f>IF($D44="",,MONTAGE!AR43)</f>
        <v>0</v>
      </c>
      <c r="Q44" s="67">
        <f>IF($D44="",,MONTAGE!AT43)</f>
        <v>0</v>
      </c>
      <c r="R44" s="67">
        <f>IF($D44="",,MONTAGE!AV43)</f>
        <v>0</v>
      </c>
      <c r="S44" s="67">
        <f>IF($D44="",,MONTAGE!AX43)</f>
        <v>0</v>
      </c>
      <c r="T44" s="67">
        <f>IF($D44="",,MONTAGE!AZ43)</f>
        <v>0</v>
      </c>
    </row>
    <row r="45" spans="1:20" s="5" customFormat="1" hidden="1" x14ac:dyDescent="0.2">
      <c r="A45" s="60"/>
      <c r="B45" s="61">
        <f>IF(MONTAGE!B44="","",MONTAGE!B44)</f>
        <v>0</v>
      </c>
      <c r="C45" s="62" t="str">
        <f>IF(ELEMENT!AO42="","",IF(ELEMENT!AW42="JA",ELEMENT!V42,IF(ELEMENT!D42="","",CONCATENATE(ELEMENT!A42,"   ",ELEMENT!D42," x ",ELEMENT!E42,"mm  "))))</f>
        <v/>
      </c>
      <c r="D45" s="63">
        <f>IF(ELEMENT!AO42="",0,IF(ELEMENT!C42=0,Sprache!$B$86,ELEMENT!C42))</f>
        <v>0</v>
      </c>
      <c r="E45" s="67">
        <f>MONTAGE!F44*MONTAGE!C44</f>
        <v>0</v>
      </c>
      <c r="F45" s="67">
        <f>IF($D45="",,MONTAGE!X44)</f>
        <v>0</v>
      </c>
      <c r="G45" s="67">
        <f>IF($D45="",,MONTAGE!Z44)</f>
        <v>0</v>
      </c>
      <c r="H45" s="67">
        <f>IF($D45="",,MONTAGE!AB44)</f>
        <v>0</v>
      </c>
      <c r="I45" s="67">
        <f>IF($D45="",,MONTAGE!AD44)</f>
        <v>0</v>
      </c>
      <c r="J45" s="67">
        <f>IF($D45="",,MONTAGE!AF44)</f>
        <v>0</v>
      </c>
      <c r="K45" s="67">
        <f>IF($D45="",,MONTAGE!AH44)</f>
        <v>0</v>
      </c>
      <c r="L45" s="67">
        <f>IF($D45="",,MONTAGE!AJ44)</f>
        <v>0</v>
      </c>
      <c r="M45" s="67">
        <f>IF($D45="",,MONTAGE!AL44)</f>
        <v>0</v>
      </c>
      <c r="N45" s="67">
        <f>IF($D45="",,MONTAGE!AN44)</f>
        <v>0</v>
      </c>
      <c r="O45" s="67">
        <f>IF($D45="",,MONTAGE!AP44)</f>
        <v>0</v>
      </c>
      <c r="P45" s="67">
        <f>IF($D45="",,MONTAGE!AR44)</f>
        <v>0</v>
      </c>
      <c r="Q45" s="67">
        <f>IF($D45="",,MONTAGE!AT44)</f>
        <v>0</v>
      </c>
      <c r="R45" s="67">
        <f>IF($D45="",,MONTAGE!AV44)</f>
        <v>0</v>
      </c>
      <c r="S45" s="67">
        <f>IF($D45="",,MONTAGE!AX44)</f>
        <v>0</v>
      </c>
      <c r="T45" s="67">
        <f>IF($D45="",,MONTAGE!AZ44)</f>
        <v>0</v>
      </c>
    </row>
    <row r="46" spans="1:20" s="5" customFormat="1" hidden="1" x14ac:dyDescent="0.2">
      <c r="A46" s="60"/>
      <c r="B46" s="61">
        <f>IF(MONTAGE!B45="","",MONTAGE!B45)</f>
        <v>0</v>
      </c>
      <c r="C46" s="62" t="str">
        <f>IF(ELEMENT!AO43="","",IF(ELEMENT!AW43="JA",ELEMENT!V43,IF(ELEMENT!D43="","",CONCATENATE(ELEMENT!A43,"   ",ELEMENT!D43," x ",ELEMENT!E43,"mm  "))))</f>
        <v/>
      </c>
      <c r="D46" s="63">
        <f>IF(ELEMENT!AO43="",0,IF(ELEMENT!C43=0,Sprache!$B$86,ELEMENT!C43))</f>
        <v>0</v>
      </c>
      <c r="E46" s="67">
        <f>MONTAGE!F45*MONTAGE!C45</f>
        <v>0</v>
      </c>
      <c r="F46" s="67">
        <f>IF($D46="",,MONTAGE!X45)</f>
        <v>0</v>
      </c>
      <c r="G46" s="67">
        <f>IF($D46="",,MONTAGE!Z45)</f>
        <v>0</v>
      </c>
      <c r="H46" s="67">
        <f>IF($D46="",,MONTAGE!AB45)</f>
        <v>0</v>
      </c>
      <c r="I46" s="67">
        <f>IF($D46="",,MONTAGE!AD45)</f>
        <v>0</v>
      </c>
      <c r="J46" s="67">
        <f>IF($D46="",,MONTAGE!AF45)</f>
        <v>0</v>
      </c>
      <c r="K46" s="67">
        <f>IF($D46="",,MONTAGE!AH45)</f>
        <v>0</v>
      </c>
      <c r="L46" s="67">
        <f>IF($D46="",,MONTAGE!AJ45)</f>
        <v>0</v>
      </c>
      <c r="M46" s="67">
        <f>IF($D46="",,MONTAGE!AL45)</f>
        <v>0</v>
      </c>
      <c r="N46" s="67">
        <f>IF($D46="",,MONTAGE!AN45)</f>
        <v>0</v>
      </c>
      <c r="O46" s="67">
        <f>IF($D46="",,MONTAGE!AP45)</f>
        <v>0</v>
      </c>
      <c r="P46" s="67">
        <f>IF($D46="",,MONTAGE!AR45)</f>
        <v>0</v>
      </c>
      <c r="Q46" s="67">
        <f>IF($D46="",,MONTAGE!AT45)</f>
        <v>0</v>
      </c>
      <c r="R46" s="67">
        <f>IF($D46="",,MONTAGE!AV45)</f>
        <v>0</v>
      </c>
      <c r="S46" s="67">
        <f>IF($D46="",,MONTAGE!AX45)</f>
        <v>0</v>
      </c>
      <c r="T46" s="67">
        <f>IF($D46="",,MONTAGE!AZ45)</f>
        <v>0</v>
      </c>
    </row>
    <row r="47" spans="1:20" s="5" customFormat="1" hidden="1" x14ac:dyDescent="0.2">
      <c r="A47" s="60"/>
      <c r="B47" s="61">
        <f>IF(MONTAGE!B46="","",MONTAGE!B46)</f>
        <v>0</v>
      </c>
      <c r="C47" s="62" t="str">
        <f>IF(ELEMENT!AO44="","",IF(ELEMENT!AW44="JA",ELEMENT!V44,IF(ELEMENT!D44="","",CONCATENATE(ELEMENT!A44,"   ",ELEMENT!D44," x ",ELEMENT!E44,"mm  "))))</f>
        <v/>
      </c>
      <c r="D47" s="63">
        <f>IF(ELEMENT!AO44="",0,IF(ELEMENT!C44=0,Sprache!$B$86,ELEMENT!C44))</f>
        <v>0</v>
      </c>
      <c r="E47" s="67">
        <f>MONTAGE!F46*MONTAGE!C46</f>
        <v>0</v>
      </c>
      <c r="F47" s="67">
        <f>IF($D47="",,MONTAGE!X46)</f>
        <v>0</v>
      </c>
      <c r="G47" s="67">
        <f>IF($D47="",,MONTAGE!Z46)</f>
        <v>0</v>
      </c>
      <c r="H47" s="67">
        <f>IF($D47="",,MONTAGE!AB46)</f>
        <v>0</v>
      </c>
      <c r="I47" s="67">
        <f>IF($D47="",,MONTAGE!AD46)</f>
        <v>0</v>
      </c>
      <c r="J47" s="67">
        <f>IF($D47="",,MONTAGE!AF46)</f>
        <v>0</v>
      </c>
      <c r="K47" s="67">
        <f>IF($D47="",,MONTAGE!AH46)</f>
        <v>0</v>
      </c>
      <c r="L47" s="67">
        <f>IF($D47="",,MONTAGE!AJ46)</f>
        <v>0</v>
      </c>
      <c r="M47" s="67">
        <f>IF($D47="",,MONTAGE!AL46)</f>
        <v>0</v>
      </c>
      <c r="N47" s="67">
        <f>IF($D47="",,MONTAGE!AN46)</f>
        <v>0</v>
      </c>
      <c r="O47" s="67">
        <f>IF($D47="",,MONTAGE!AP46)</f>
        <v>0</v>
      </c>
      <c r="P47" s="67">
        <f>IF($D47="",,MONTAGE!AR46)</f>
        <v>0</v>
      </c>
      <c r="Q47" s="67">
        <f>IF($D47="",,MONTAGE!AT46)</f>
        <v>0</v>
      </c>
      <c r="R47" s="67">
        <f>IF($D47="",,MONTAGE!AV46)</f>
        <v>0</v>
      </c>
      <c r="S47" s="67">
        <f>IF($D47="",,MONTAGE!AX46)</f>
        <v>0</v>
      </c>
      <c r="T47" s="67">
        <f>IF($D47="",,MONTAGE!AZ46)</f>
        <v>0</v>
      </c>
    </row>
    <row r="48" spans="1:20" s="5" customFormat="1" ht="13.5" hidden="1" thickBot="1" x14ac:dyDescent="0.25">
      <c r="A48" s="60"/>
      <c r="B48" s="61">
        <f>IF(MONTAGE!B47="","",MONTAGE!B47)</f>
        <v>0</v>
      </c>
      <c r="C48" s="62" t="str">
        <f>IF(ELEMENT!AO45="","",IF(ELEMENT!AW45="JA",ELEMENT!V45,IF(ELEMENT!D45="","",CONCATENATE(ELEMENT!A45,"   ",ELEMENT!D45," x ",ELEMENT!E45,"mm  "))))</f>
        <v/>
      </c>
      <c r="D48" s="63">
        <f>IF(ELEMENT!AO45="",0,IF(ELEMENT!C45=0,Sprache!$B$86,ELEMENT!C45))</f>
        <v>0</v>
      </c>
      <c r="E48" s="67">
        <f>MONTAGE!F47*MONTAGE!C47</f>
        <v>0</v>
      </c>
      <c r="F48" s="67">
        <f>IF($D48="",,MONTAGE!X47)</f>
        <v>0</v>
      </c>
      <c r="G48" s="67">
        <f>IF($D48="",,MONTAGE!Z47)</f>
        <v>0</v>
      </c>
      <c r="H48" s="67">
        <f>IF($D48="",,MONTAGE!AB47)</f>
        <v>0</v>
      </c>
      <c r="I48" s="67">
        <f>IF($D48="",,MONTAGE!AD47)</f>
        <v>0</v>
      </c>
      <c r="J48" s="67">
        <f>IF($D48="",,MONTAGE!AF47)</f>
        <v>0</v>
      </c>
      <c r="K48" s="67">
        <f>IF($D48="",,MONTAGE!AH47)</f>
        <v>0</v>
      </c>
      <c r="L48" s="67">
        <f>IF($D48="",,MONTAGE!AJ47)</f>
        <v>0</v>
      </c>
      <c r="M48" s="67">
        <f>IF($D48="",,MONTAGE!AL47)</f>
        <v>0</v>
      </c>
      <c r="N48" s="67">
        <f>IF($D48="",,MONTAGE!AN47)</f>
        <v>0</v>
      </c>
      <c r="O48" s="67">
        <f>IF($D48="",,MONTAGE!AP47)</f>
        <v>0</v>
      </c>
      <c r="P48" s="67">
        <f>IF($D48="",,MONTAGE!AR47)</f>
        <v>0</v>
      </c>
      <c r="Q48" s="67">
        <f>IF($D48="",,MONTAGE!AT47)</f>
        <v>0</v>
      </c>
      <c r="R48" s="67">
        <f>IF($D48="",,MONTAGE!AV47)</f>
        <v>0</v>
      </c>
      <c r="S48" s="67">
        <f>IF($D48="",,MONTAGE!AX47)</f>
        <v>0</v>
      </c>
      <c r="T48" s="67">
        <f>IF($D48="",,MONTAGE!AZ47)</f>
        <v>0</v>
      </c>
    </row>
    <row r="49" spans="1:20" ht="13.5" thickBot="1" x14ac:dyDescent="0.25">
      <c r="A49" s="57"/>
      <c r="B49" s="476" t="str">
        <f>Sprache!B155</f>
        <v>Summary Sky-Frame options</v>
      </c>
      <c r="C49" s="476"/>
      <c r="D49" s="64">
        <f t="shared" ref="D49:T49" si="0">SUM(D8:D48)</f>
        <v>0</v>
      </c>
      <c r="E49" s="65">
        <f t="shared" si="0"/>
        <v>0</v>
      </c>
      <c r="F49" s="65">
        <f t="shared" si="0"/>
        <v>0</v>
      </c>
      <c r="G49" s="65">
        <f t="shared" si="0"/>
        <v>0</v>
      </c>
      <c r="H49" s="65">
        <f t="shared" si="0"/>
        <v>0</v>
      </c>
      <c r="I49" s="65">
        <f t="shared" si="0"/>
        <v>0</v>
      </c>
      <c r="J49" s="65">
        <f t="shared" si="0"/>
        <v>0</v>
      </c>
      <c r="K49" s="65">
        <f t="shared" si="0"/>
        <v>0</v>
      </c>
      <c r="L49" s="65">
        <f t="shared" si="0"/>
        <v>0</v>
      </c>
      <c r="M49" s="65">
        <f t="shared" si="0"/>
        <v>0</v>
      </c>
      <c r="N49" s="65">
        <f t="shared" si="0"/>
        <v>0</v>
      </c>
      <c r="O49" s="65">
        <f t="shared" si="0"/>
        <v>0</v>
      </c>
      <c r="P49" s="65">
        <f t="shared" si="0"/>
        <v>0</v>
      </c>
      <c r="Q49" s="65">
        <f t="shared" si="0"/>
        <v>0</v>
      </c>
      <c r="R49" s="65">
        <f t="shared" si="0"/>
        <v>0</v>
      </c>
      <c r="S49" s="65">
        <f t="shared" si="0"/>
        <v>0</v>
      </c>
      <c r="T49" s="65">
        <f t="shared" si="0"/>
        <v>0</v>
      </c>
    </row>
    <row r="50" spans="1:20" x14ac:dyDescent="0.2">
      <c r="D50" s="66"/>
    </row>
    <row r="51" spans="1:20" x14ac:dyDescent="0.2">
      <c r="D51" s="66"/>
    </row>
    <row r="52" spans="1:20" x14ac:dyDescent="0.2">
      <c r="D52" s="66"/>
    </row>
    <row r="53" spans="1:20" x14ac:dyDescent="0.2">
      <c r="D53" s="66"/>
    </row>
    <row r="54" spans="1:20" x14ac:dyDescent="0.2">
      <c r="D54" s="66"/>
    </row>
    <row r="55" spans="1:20" x14ac:dyDescent="0.2">
      <c r="D55" s="66"/>
    </row>
    <row r="56" spans="1:20" x14ac:dyDescent="0.2">
      <c r="D56" s="66"/>
    </row>
    <row r="57" spans="1:20" x14ac:dyDescent="0.2">
      <c r="D57" s="66"/>
    </row>
    <row r="58" spans="1:20" x14ac:dyDescent="0.2">
      <c r="D58" s="66"/>
    </row>
    <row r="59" spans="1:20" x14ac:dyDescent="0.2">
      <c r="D59" s="66"/>
    </row>
    <row r="60" spans="1:20" x14ac:dyDescent="0.2">
      <c r="D60" s="66"/>
    </row>
    <row r="61" spans="1:20" x14ac:dyDescent="0.2">
      <c r="D61" s="66"/>
    </row>
    <row r="62" spans="1:20" x14ac:dyDescent="0.2">
      <c r="D62" s="66"/>
    </row>
    <row r="63" spans="1:20" x14ac:dyDescent="0.2">
      <c r="D63" s="66"/>
    </row>
    <row r="64" spans="1:20" x14ac:dyDescent="0.2">
      <c r="D64" s="66"/>
    </row>
    <row r="65" spans="4:4" x14ac:dyDescent="0.2">
      <c r="D65" s="66"/>
    </row>
    <row r="66" spans="4:4" x14ac:dyDescent="0.2">
      <c r="D66" s="66"/>
    </row>
    <row r="67" spans="4:4" x14ac:dyDescent="0.2">
      <c r="D67" s="66"/>
    </row>
    <row r="68" spans="4:4" x14ac:dyDescent="0.2">
      <c r="D68" s="66"/>
    </row>
  </sheetData>
  <sheetProtection formatColumns="0" formatRows="0" selectLockedCells="1"/>
  <mergeCells count="3">
    <mergeCell ref="B3:I3"/>
    <mergeCell ref="B5:J5"/>
    <mergeCell ref="B49:C49"/>
  </mergeCells>
  <pageMargins left="0.39370078740157483" right="0.47244094488188981" top="0.35433070866141736" bottom="0.47244094488188981" header="0.31496062992125984" footer="0.23622047244094491"/>
  <pageSetup paperSize="9" scale="97" fitToHeight="0" orientation="landscape" horizontalDpi="4294967293" r:id="rId1"/>
  <headerFooter>
    <oddHeader>&amp;L&amp;G</oddHeader>
    <oddFooter>&amp;LSeite &amp;P von &amp;N&amp;R&amp;D</oddFoot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6"/>
  <dimension ref="A1:AX68"/>
  <sheetViews>
    <sheetView showZeros="0" zoomScaleNormal="100" workbookViewId="0"/>
  </sheetViews>
  <sheetFormatPr defaultColWidth="6.7109375" defaultRowHeight="12.75" x14ac:dyDescent="0.2"/>
  <cols>
    <col min="1" max="1" width="3.7109375" style="1" customWidth="1"/>
    <col min="2" max="2" width="4.7109375" style="1" customWidth="1"/>
    <col min="3" max="3" width="37.42578125" style="1" customWidth="1"/>
    <col min="4" max="4" width="4.42578125" style="1" customWidth="1"/>
    <col min="5" max="5" width="7.7109375" style="1" customWidth="1"/>
    <col min="6" max="20" width="6.42578125" style="1" customWidth="1"/>
    <col min="21" max="21" width="6.42578125" style="1" hidden="1" customWidth="1"/>
    <col min="22" max="22" width="6.42578125" style="1" customWidth="1"/>
    <col min="23" max="23" width="6.42578125" style="1" hidden="1" customWidth="1"/>
    <col min="24" max="24" width="6.42578125" style="1" customWidth="1"/>
    <col min="25" max="25" width="6.42578125" style="1" hidden="1" customWidth="1"/>
    <col min="26" max="26" width="6.42578125" style="1" customWidth="1"/>
    <col min="27" max="27" width="6.42578125" style="1" hidden="1" customWidth="1"/>
    <col min="28" max="28" width="6.42578125" style="1" customWidth="1"/>
    <col min="29" max="29" width="6.42578125" style="1" hidden="1" customWidth="1"/>
    <col min="30" max="30" width="6.42578125" style="1" customWidth="1"/>
    <col min="31" max="31" width="6.42578125" style="1" hidden="1" customWidth="1"/>
    <col min="32" max="32" width="6.42578125" style="1" customWidth="1"/>
    <col min="33" max="33" width="6.42578125" style="1" hidden="1" customWidth="1"/>
    <col min="34" max="34" width="6.42578125" style="1" customWidth="1"/>
    <col min="35" max="35" width="6.42578125" style="1" hidden="1" customWidth="1"/>
    <col min="36" max="36" width="6.7109375" style="1"/>
    <col min="37" max="37" width="0" style="1" hidden="1" customWidth="1"/>
    <col min="38" max="38" width="6.7109375" style="1"/>
    <col min="39" max="39" width="0" style="1" hidden="1" customWidth="1"/>
    <col min="40" max="40" width="6.7109375" style="1"/>
    <col min="41" max="41" width="0" style="1" hidden="1" customWidth="1"/>
    <col min="42" max="42" width="6.7109375" style="1"/>
    <col min="43" max="43" width="0" style="1" hidden="1" customWidth="1"/>
    <col min="44" max="44" width="6.7109375" style="1"/>
    <col min="45" max="45" width="0" style="1" hidden="1" customWidth="1"/>
    <col min="46" max="46" width="6.7109375" style="1"/>
    <col min="47" max="47" width="0" style="1" hidden="1" customWidth="1"/>
    <col min="48" max="48" width="6.7109375" style="1"/>
    <col min="49" max="49" width="0" style="1" hidden="1" customWidth="1"/>
    <col min="50" max="16384" width="6.7109375" style="1"/>
  </cols>
  <sheetData>
    <row r="1" spans="1:50" x14ac:dyDescent="0.2">
      <c r="A1" s="57"/>
    </row>
    <row r="2" spans="1:50" x14ac:dyDescent="0.2">
      <c r="A2" s="57"/>
    </row>
    <row r="3" spans="1:50" x14ac:dyDescent="0.2">
      <c r="A3" s="57"/>
      <c r="B3" s="474" t="str">
        <f>Sprache!D1</f>
        <v>Company… (please adapt in Sprache D1)</v>
      </c>
      <c r="C3" s="474"/>
      <c r="D3" s="474"/>
      <c r="E3" s="474"/>
      <c r="F3" s="474"/>
      <c r="G3" s="474"/>
      <c r="H3" s="474"/>
      <c r="I3" s="474"/>
    </row>
    <row r="4" spans="1:50" x14ac:dyDescent="0.2">
      <c r="A4" s="57"/>
    </row>
    <row r="5" spans="1:50" x14ac:dyDescent="0.2">
      <c r="A5" s="57"/>
      <c r="B5" s="475" t="str">
        <f>CONCATENATE(ELEMENT!C2)</f>
        <v/>
      </c>
      <c r="C5" s="475"/>
      <c r="D5" s="475"/>
      <c r="E5" s="475"/>
      <c r="F5" s="475"/>
      <c r="G5" s="475"/>
      <c r="H5" s="475"/>
      <c r="I5" s="475"/>
      <c r="J5" s="475"/>
      <c r="K5" s="48"/>
      <c r="L5" s="48"/>
      <c r="M5" s="48"/>
      <c r="N5" s="48"/>
      <c r="O5" s="48"/>
      <c r="P5" s="48"/>
      <c r="Q5" s="48"/>
      <c r="R5" s="48"/>
      <c r="S5" s="48"/>
      <c r="T5" s="48"/>
      <c r="U5" s="48"/>
      <c r="V5" s="48"/>
      <c r="W5" s="48"/>
      <c r="X5" s="48"/>
      <c r="Y5" s="48"/>
      <c r="Z5" s="48"/>
      <c r="AA5" s="48"/>
      <c r="AB5" s="48"/>
      <c r="AC5" s="48"/>
      <c r="AD5" s="48"/>
      <c r="AE5" s="48"/>
      <c r="AF5" s="48"/>
      <c r="AG5" s="48"/>
      <c r="AH5" s="48"/>
      <c r="AI5" s="48"/>
      <c r="AJ5" s="48"/>
      <c r="AK5" s="48"/>
      <c r="AL5" s="48"/>
      <c r="AM5" s="48"/>
      <c r="AN5" s="48"/>
      <c r="AO5" s="48"/>
      <c r="AP5" s="48"/>
      <c r="AQ5" s="48"/>
      <c r="AR5" s="48"/>
      <c r="AS5" s="48"/>
      <c r="AT5" s="48"/>
      <c r="AU5" s="48"/>
      <c r="AV5" s="48"/>
      <c r="AW5" s="48"/>
      <c r="AX5" s="48"/>
    </row>
    <row r="6" spans="1:50" x14ac:dyDescent="0.2">
      <c r="A6" s="57"/>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4"/>
      <c r="AX6" s="4"/>
    </row>
    <row r="7" spans="1:50" ht="135" thickBot="1" x14ac:dyDescent="0.25">
      <c r="A7" s="57"/>
      <c r="B7" s="46" t="str">
        <f>CONCATENATE(Sprache!$B$9)</f>
        <v>item</v>
      </c>
      <c r="C7" s="46" t="str">
        <f>CONCATENATE(Sprache!$B$88)</f>
        <v>text</v>
      </c>
      <c r="D7" s="58" t="str">
        <f>CONCATENATE(Sprache!$B$11)</f>
        <v>pce(s)</v>
      </c>
      <c r="E7" s="210" t="str">
        <f>Sprache!B33</f>
        <v>m² total</v>
      </c>
      <c r="F7" s="210" t="str">
        <f>MONTAGE!$W$6</f>
        <v>BRACKETS</v>
      </c>
      <c r="G7" s="210" t="str">
        <f>MONTAGE!$Y$6</f>
        <v>GUTTER</v>
      </c>
      <c r="H7" s="210" t="str">
        <f>MONTAGE!$AA$6</f>
        <v>ELECTRIC DRIVE</v>
      </c>
      <c r="I7" s="210" t="str">
        <f>MONTAGE!$AC$6</f>
        <v>Universal screws 7.5 x 52 A2</v>
      </c>
      <c r="J7" s="210" t="str">
        <f>MONTAGE!$AE$6</f>
        <v>Assembly Fee</v>
      </c>
      <c r="K7" s="210" t="str">
        <f>MONTAGE!$AG$6</f>
        <v/>
      </c>
      <c r="L7" s="210" t="str">
        <f>MONTAGE!$AI$6</f>
        <v/>
      </c>
      <c r="M7" s="210" t="str">
        <f>MONTAGE!AK6</f>
        <v/>
      </c>
      <c r="N7" s="210" t="str">
        <f>MONTAGE!AM6</f>
        <v/>
      </c>
      <c r="O7" s="210" t="str">
        <f>MONTAGE!AO6</f>
        <v/>
      </c>
      <c r="P7" s="210" t="str">
        <f>MONTAGE!AQ6</f>
        <v/>
      </c>
      <c r="Q7" s="210" t="str">
        <f>MONTAGE!AS6</f>
        <v/>
      </c>
      <c r="R7" s="210" t="str">
        <f>MONTAGE!AU6</f>
        <v/>
      </c>
      <c r="S7" s="210" t="str">
        <f>MONTAGE!AW6</f>
        <v/>
      </c>
      <c r="T7" s="210" t="str">
        <f>MONTAGE!AY6</f>
        <v/>
      </c>
      <c r="U7" s="210">
        <f>MONTAGE!AZ6</f>
        <v>0</v>
      </c>
      <c r="V7" s="210" t="str">
        <f>MONTAGE!BA6</f>
        <v/>
      </c>
      <c r="W7" s="210">
        <f>MONTAGE!BB6</f>
        <v>0</v>
      </c>
      <c r="X7" s="210" t="str">
        <f>MONTAGE!BC6</f>
        <v/>
      </c>
      <c r="Y7" s="210">
        <f>MONTAGE!BD6</f>
        <v>0</v>
      </c>
      <c r="Z7" s="210" t="str">
        <f>MONTAGE!BE6</f>
        <v/>
      </c>
      <c r="AA7" s="210">
        <f>MONTAGE!BF6</f>
        <v>0</v>
      </c>
      <c r="AB7" s="210" t="str">
        <f>MONTAGE!BG6</f>
        <v/>
      </c>
      <c r="AC7" s="210">
        <f>MONTAGE!BH6</f>
        <v>0</v>
      </c>
      <c r="AD7" s="210" t="str">
        <f>MONTAGE!BI6</f>
        <v/>
      </c>
      <c r="AE7" s="210">
        <f>MONTAGE!BJ6</f>
        <v>0</v>
      </c>
      <c r="AF7" s="210" t="str">
        <f>MONTAGE!BK6</f>
        <v/>
      </c>
      <c r="AG7" s="210">
        <f>MONTAGE!BL6</f>
        <v>0</v>
      </c>
      <c r="AH7" s="210" t="str">
        <f>MONTAGE!BM6</f>
        <v/>
      </c>
      <c r="AI7" s="210">
        <f>MONTAGE!BN6</f>
        <v>0</v>
      </c>
      <c r="AJ7" s="210" t="str">
        <f>MONTAGE!BO6</f>
        <v/>
      </c>
      <c r="AK7" s="210">
        <f>MONTAGE!BP6</f>
        <v>0</v>
      </c>
      <c r="AL7" s="210" t="str">
        <f>MONTAGE!BQ6</f>
        <v/>
      </c>
      <c r="AM7" s="210">
        <f>MONTAGE!BR6</f>
        <v>0</v>
      </c>
      <c r="AN7" s="210" t="str">
        <f>MONTAGE!BS6</f>
        <v/>
      </c>
      <c r="AO7" s="210">
        <f>MONTAGE!BT6</f>
        <v>0</v>
      </c>
      <c r="AP7" s="210" t="str">
        <f>MONTAGE!BU6</f>
        <v/>
      </c>
      <c r="AQ7" s="210">
        <f>MONTAGE!BV6</f>
        <v>0</v>
      </c>
      <c r="AR7" s="210" t="str">
        <f>MONTAGE!BW6</f>
        <v/>
      </c>
      <c r="AS7" s="210">
        <f>MONTAGE!BX6</f>
        <v>0</v>
      </c>
      <c r="AT7" s="210" t="str">
        <f>MONTAGE!BY6</f>
        <v/>
      </c>
      <c r="AU7" s="210">
        <f>MONTAGE!BZ6</f>
        <v>0</v>
      </c>
      <c r="AV7" s="210" t="str">
        <f>MONTAGE!CA6</f>
        <v/>
      </c>
      <c r="AW7" s="210">
        <f>MONTAGE!CB6</f>
        <v>0</v>
      </c>
      <c r="AX7" s="210" t="str">
        <f>MONTAGE!CC6</f>
        <v/>
      </c>
    </row>
    <row r="8" spans="1:50" s="5" customFormat="1" hidden="1" x14ac:dyDescent="0.2">
      <c r="A8" s="60"/>
      <c r="B8" s="61" t="str">
        <f>IF(ELEMENT!AO5="","",MONTAGE!B7)</f>
        <v/>
      </c>
      <c r="C8" s="62" t="str">
        <f>IF(ELEMENT!AO5="","",IF(ELEMENT!AW5="JA",ELEMENT!V5,IF(ELEMENT!D5="","",CONCATENATE(ELEMENT!A5,"   ",ELEMENT!D5," x ",ELEMENT!E5,"mm  "))))</f>
        <v/>
      </c>
      <c r="D8" s="63">
        <f>IF(ELEMENT!AO5="",0,IF(ELEMENT!C5=0,Sprache!$B$86,ELEMENT!C5))</f>
        <v>0</v>
      </c>
      <c r="E8" s="67">
        <f>MONTAGE!F7*MONTAGE!C7</f>
        <v>0</v>
      </c>
      <c r="F8" s="67">
        <f>IF($D8="",,MONTAGE!X7)</f>
        <v>0</v>
      </c>
      <c r="G8" s="67">
        <f>IF($D8="",,MONTAGE!Z7)</f>
        <v>0</v>
      </c>
      <c r="H8" s="67">
        <f>IF($D8="",,MONTAGE!AB7)</f>
        <v>0</v>
      </c>
      <c r="I8" s="67">
        <f>IF($D8="",,MONTAGE!AD7)</f>
        <v>0</v>
      </c>
      <c r="J8" s="67">
        <f>IF($D8="",,MONTAGE!AF7)</f>
        <v>0</v>
      </c>
      <c r="K8" s="67">
        <f>IF($D8="",,MONTAGE!AH7)</f>
        <v>0</v>
      </c>
      <c r="L8" s="67">
        <f>IF($D8="",,MONTAGE!AJ7)</f>
        <v>0</v>
      </c>
      <c r="M8" s="67">
        <f>IF($D8="",,MONTAGE!AL7)</f>
        <v>0</v>
      </c>
      <c r="N8" s="67">
        <f>IF($D8="",,MONTAGE!AN7)</f>
        <v>0</v>
      </c>
      <c r="O8" s="67">
        <f>IF($D8="",,MONTAGE!AP7)</f>
        <v>0</v>
      </c>
      <c r="P8" s="67">
        <f>IF($D8="",,MONTAGE!AR7)</f>
        <v>0</v>
      </c>
      <c r="Q8" s="67">
        <f>IF($D8="",,MONTAGE!AT7)</f>
        <v>0</v>
      </c>
      <c r="R8" s="67">
        <f>IF($D8="",,MONTAGE!AV7)</f>
        <v>0</v>
      </c>
      <c r="S8" s="67">
        <f>IF($D8="",,MONTAGE!AX7)</f>
        <v>0</v>
      </c>
      <c r="T8" s="67">
        <f>IF($D8="",,MONTAGE!AZ7)</f>
        <v>0</v>
      </c>
      <c r="U8" s="67">
        <f>IF($D8="",,MONTAGE!BA7)</f>
        <v>0</v>
      </c>
      <c r="V8" s="67">
        <f>IF($D8="",,MONTAGE!BB7)</f>
        <v>0</v>
      </c>
      <c r="W8" s="67">
        <f>IF($D8="",,MONTAGE!BC7)</f>
        <v>0</v>
      </c>
      <c r="X8" s="67">
        <f>IF($D8="",,MONTAGE!BD7)</f>
        <v>0</v>
      </c>
      <c r="Y8" s="67">
        <f>IF($D8="",,MONTAGE!BE7)</f>
        <v>0</v>
      </c>
      <c r="Z8" s="67">
        <f>IF($D8="",,MONTAGE!BF7)</f>
        <v>0</v>
      </c>
      <c r="AA8" s="67">
        <f>IF($D8="",,MONTAGE!BG7)</f>
        <v>0</v>
      </c>
      <c r="AB8" s="67">
        <f>IF($D8="",,MONTAGE!BH7)</f>
        <v>0</v>
      </c>
      <c r="AC8" s="67">
        <f>IF($D8="",,MONTAGE!BI7)</f>
        <v>0</v>
      </c>
      <c r="AD8" s="67">
        <f>IF($D8="",,MONTAGE!BJ7)</f>
        <v>0</v>
      </c>
      <c r="AE8" s="67">
        <f>IF($D8="",,MONTAGE!BK7)</f>
        <v>0</v>
      </c>
      <c r="AF8" s="67">
        <f>IF($D8="",,MONTAGE!BL7)</f>
        <v>0</v>
      </c>
      <c r="AG8" s="67">
        <f>IF($D8="",,MONTAGE!BM7)</f>
        <v>0</v>
      </c>
      <c r="AH8" s="67">
        <f>IF($D8="",,MONTAGE!BN7)</f>
        <v>0</v>
      </c>
      <c r="AI8" s="67">
        <f>IF($D8="",,MONTAGE!BO7)</f>
        <v>0</v>
      </c>
      <c r="AJ8" s="67">
        <f>IF($D8="",,MONTAGE!BP7)</f>
        <v>0</v>
      </c>
      <c r="AK8" s="67">
        <f>IF($D8="",,MONTAGE!BQ7)</f>
        <v>0</v>
      </c>
      <c r="AL8" s="67">
        <f>IF($D8="",,MONTAGE!BR7)</f>
        <v>0</v>
      </c>
      <c r="AM8" s="67">
        <f>IF($D8="",,MONTAGE!BS7)</f>
        <v>0</v>
      </c>
      <c r="AN8" s="67">
        <f>IF($D8="",,MONTAGE!BT7)</f>
        <v>0</v>
      </c>
      <c r="AO8" s="67">
        <f>IF($D8="",,MONTAGE!BU7)</f>
        <v>0</v>
      </c>
      <c r="AP8" s="67">
        <f>IF($D8="",,MONTAGE!BV7)</f>
        <v>0</v>
      </c>
      <c r="AQ8" s="67">
        <f>IF($D8="",,MONTAGE!BW7)</f>
        <v>0</v>
      </c>
      <c r="AR8" s="67">
        <f>IF($D8="",,MONTAGE!BX7)</f>
        <v>0</v>
      </c>
      <c r="AS8" s="67">
        <f>IF($D8="",,MONTAGE!BY7)</f>
        <v>0</v>
      </c>
      <c r="AT8" s="67">
        <f>IF($D8="",,MONTAGE!BZ7)</f>
        <v>0</v>
      </c>
      <c r="AU8" s="67">
        <f>IF($D8="",,MONTAGE!CA7)</f>
        <v>0</v>
      </c>
      <c r="AV8" s="67">
        <f>IF($D8="",,MONTAGE!CB7)</f>
        <v>0</v>
      </c>
      <c r="AW8" s="67">
        <f>IF($D8="",,MONTAGE!CC7)</f>
        <v>0</v>
      </c>
      <c r="AX8" s="67">
        <f>IF($D8="",,MONTAGE!CD7)</f>
        <v>0</v>
      </c>
    </row>
    <row r="9" spans="1:50" s="5" customFormat="1" hidden="1" x14ac:dyDescent="0.2">
      <c r="A9" s="60"/>
      <c r="B9" s="61" t="str">
        <f>IF(ELEMENT!AO6="","",MONTAGE!B8)</f>
        <v/>
      </c>
      <c r="C9" s="62" t="str">
        <f>IF(ELEMENT!AO6="","",IF(ELEMENT!AW6="JA",ELEMENT!V6,IF(ELEMENT!D6="","",CONCATENATE(ELEMENT!A6,"   ",ELEMENT!D6," x ",ELEMENT!E6,"mm  "))))</f>
        <v/>
      </c>
      <c r="D9" s="63">
        <f>IF(ELEMENT!AO6="",0,IF(ELEMENT!C6=0,Sprache!$B$86,ELEMENT!C6))</f>
        <v>0</v>
      </c>
      <c r="E9" s="67">
        <f>MONTAGE!F8*MONTAGE!C8</f>
        <v>0</v>
      </c>
      <c r="F9" s="67">
        <f>IF($D9="",,MONTAGE!X8)</f>
        <v>0</v>
      </c>
      <c r="G9" s="67">
        <f>IF($D9="",,MONTAGE!Z8)</f>
        <v>0</v>
      </c>
      <c r="H9" s="67">
        <f>IF($D9="",,MONTAGE!AB8)</f>
        <v>0</v>
      </c>
      <c r="I9" s="67">
        <f>IF($D9="",,MONTAGE!AD8)</f>
        <v>0</v>
      </c>
      <c r="J9" s="67">
        <f>IF($D9="",,MONTAGE!AF8)</f>
        <v>0</v>
      </c>
      <c r="K9" s="67">
        <f>IF($D9="",,MONTAGE!AH8)</f>
        <v>0</v>
      </c>
      <c r="L9" s="67">
        <f>IF($D9="",,MONTAGE!AJ8)</f>
        <v>0</v>
      </c>
      <c r="M9" s="67">
        <f>IF($D9="",,MONTAGE!AL8)</f>
        <v>0</v>
      </c>
      <c r="N9" s="67">
        <f>IF($D9="",,MONTAGE!AN8)</f>
        <v>0</v>
      </c>
      <c r="O9" s="67">
        <f>IF($D9="",,MONTAGE!AP8)</f>
        <v>0</v>
      </c>
      <c r="P9" s="67">
        <f>IF($D9="",,MONTAGE!AR8)</f>
        <v>0</v>
      </c>
      <c r="Q9" s="67">
        <f>IF($D9="",,MONTAGE!AT8)</f>
        <v>0</v>
      </c>
      <c r="R9" s="67">
        <f>IF($D9="",,MONTAGE!AV8)</f>
        <v>0</v>
      </c>
      <c r="S9" s="67">
        <f>IF($D9="",,MONTAGE!AX8)</f>
        <v>0</v>
      </c>
      <c r="T9" s="67">
        <f>IF($D9="",,MONTAGE!AZ8)</f>
        <v>0</v>
      </c>
      <c r="U9" s="67">
        <f>IF($D9="",,MONTAGE!BA8)</f>
        <v>0</v>
      </c>
      <c r="V9" s="67">
        <f>IF($D9="",,MONTAGE!BB8)</f>
        <v>0</v>
      </c>
      <c r="W9" s="67">
        <f>IF($D9="",,MONTAGE!BC8)</f>
        <v>0</v>
      </c>
      <c r="X9" s="67">
        <f>IF($D9="",,MONTAGE!BD8)</f>
        <v>0</v>
      </c>
      <c r="Y9" s="67">
        <f>IF($D9="",,MONTAGE!BE8)</f>
        <v>0</v>
      </c>
      <c r="Z9" s="67">
        <f>IF($D9="",,MONTAGE!BF8)</f>
        <v>0</v>
      </c>
      <c r="AA9" s="67">
        <f>IF($D9="",,MONTAGE!BG8)</f>
        <v>0</v>
      </c>
      <c r="AB9" s="67">
        <f>IF($D9="",,MONTAGE!BH8)</f>
        <v>0</v>
      </c>
      <c r="AC9" s="67">
        <f>IF($D9="",,MONTAGE!BI8)</f>
        <v>0</v>
      </c>
      <c r="AD9" s="67">
        <f>IF($D9="",,MONTAGE!BJ8)</f>
        <v>0</v>
      </c>
      <c r="AE9" s="67">
        <f>IF($D9="",,MONTAGE!BK8)</f>
        <v>0</v>
      </c>
      <c r="AF9" s="67">
        <f>IF($D9="",,MONTAGE!BL8)</f>
        <v>0</v>
      </c>
      <c r="AG9" s="67">
        <f>IF($D9="",,MONTAGE!BM8)</f>
        <v>0</v>
      </c>
      <c r="AH9" s="67">
        <f>IF($D9="",,MONTAGE!BN8)</f>
        <v>0</v>
      </c>
      <c r="AI9" s="67">
        <f>IF($D9="",,MONTAGE!BO8)</f>
        <v>0</v>
      </c>
      <c r="AJ9" s="67">
        <f>IF($D9="",,MONTAGE!BP8)</f>
        <v>0</v>
      </c>
      <c r="AK9" s="67">
        <f>IF($D9="",,MONTAGE!BQ8)</f>
        <v>0</v>
      </c>
      <c r="AL9" s="67">
        <f>IF($D9="",,MONTAGE!BR8)</f>
        <v>0</v>
      </c>
      <c r="AM9" s="67">
        <f>IF($D9="",,MONTAGE!BS8)</f>
        <v>0</v>
      </c>
      <c r="AN9" s="67">
        <f>IF($D9="",,MONTAGE!BT8)</f>
        <v>0</v>
      </c>
      <c r="AO9" s="67">
        <f>IF($D9="",,MONTAGE!BU8)</f>
        <v>0</v>
      </c>
      <c r="AP9" s="67">
        <f>IF($D9="",,MONTAGE!BV8)</f>
        <v>0</v>
      </c>
      <c r="AQ9" s="67">
        <f>IF($D9="",,MONTAGE!BW8)</f>
        <v>0</v>
      </c>
      <c r="AR9" s="67">
        <f>IF($D9="",,MONTAGE!BX8)</f>
        <v>0</v>
      </c>
      <c r="AS9" s="67">
        <f>IF($D9="",,MONTAGE!BY8)</f>
        <v>0</v>
      </c>
      <c r="AT9" s="67">
        <f>IF($D9="",,MONTAGE!BZ8)</f>
        <v>0</v>
      </c>
      <c r="AU9" s="67">
        <f>IF($D9="",,MONTAGE!CA8)</f>
        <v>0</v>
      </c>
      <c r="AV9" s="67">
        <f>IF($D9="",,MONTAGE!CB8)</f>
        <v>0</v>
      </c>
      <c r="AW9" s="67">
        <f>IF($D9="",,MONTAGE!CC8)</f>
        <v>0</v>
      </c>
      <c r="AX9" s="67">
        <f>IF($D9="",,MONTAGE!CD8)</f>
        <v>0</v>
      </c>
    </row>
    <row r="10" spans="1:50" s="5" customFormat="1" hidden="1" x14ac:dyDescent="0.2">
      <c r="A10" s="60"/>
      <c r="B10" s="61" t="str">
        <f>IF(ELEMENT!AO7="","",MONTAGE!B9)</f>
        <v/>
      </c>
      <c r="C10" s="62" t="str">
        <f>IF(ELEMENT!AO7="","",IF(ELEMENT!AW7="JA",ELEMENT!V7,IF(ELEMENT!D7="","",CONCATENATE(ELEMENT!A7,"   ",ELEMENT!D7," x ",ELEMENT!E7,"mm  "))))</f>
        <v/>
      </c>
      <c r="D10" s="63">
        <f>IF(ELEMENT!AO7="",0,IF(ELEMENT!C7=0,Sprache!$B$86,ELEMENT!C7))</f>
        <v>0</v>
      </c>
      <c r="E10" s="67">
        <f>MONTAGE!F9*MONTAGE!C9</f>
        <v>0</v>
      </c>
      <c r="F10" s="67">
        <f>IF($D10="",,MONTAGE!X9)</f>
        <v>0</v>
      </c>
      <c r="G10" s="67">
        <f>IF($D10="",,MONTAGE!Z9)</f>
        <v>0</v>
      </c>
      <c r="H10" s="67">
        <f>IF($D10="",,MONTAGE!AB9)</f>
        <v>0</v>
      </c>
      <c r="I10" s="67">
        <f>IF($D10="",,MONTAGE!AD9)</f>
        <v>0</v>
      </c>
      <c r="J10" s="67">
        <f>IF($D10="",,MONTAGE!AF9)</f>
        <v>0</v>
      </c>
      <c r="K10" s="67">
        <f>IF($D10="",,MONTAGE!AH9)</f>
        <v>0</v>
      </c>
      <c r="L10" s="67">
        <f>IF($D10="",,MONTAGE!AJ9)</f>
        <v>0</v>
      </c>
      <c r="M10" s="67">
        <f>IF($D10="",,MONTAGE!AL9)</f>
        <v>0</v>
      </c>
      <c r="N10" s="67">
        <f>IF($D10="",,MONTAGE!AN9)</f>
        <v>0</v>
      </c>
      <c r="O10" s="67">
        <f>IF($D10="",,MONTAGE!AP9)</f>
        <v>0</v>
      </c>
      <c r="P10" s="67">
        <f>IF($D10="",,MONTAGE!AR9)</f>
        <v>0</v>
      </c>
      <c r="Q10" s="67">
        <f>IF($D10="",,MONTAGE!AT9)</f>
        <v>0</v>
      </c>
      <c r="R10" s="67">
        <f>IF($D10="",,MONTAGE!AV9)</f>
        <v>0</v>
      </c>
      <c r="S10" s="67">
        <f>IF($D10="",,MONTAGE!AX9)</f>
        <v>0</v>
      </c>
      <c r="T10" s="67">
        <f>IF($D10="",,MONTAGE!AZ9)</f>
        <v>0</v>
      </c>
      <c r="U10" s="67">
        <f>IF($D10="",,MONTAGE!BA9)</f>
        <v>0</v>
      </c>
      <c r="V10" s="67">
        <f>IF($D10="",,MONTAGE!BB9)</f>
        <v>0</v>
      </c>
      <c r="W10" s="67">
        <f>IF($D10="",,MONTAGE!BC9)</f>
        <v>0</v>
      </c>
      <c r="X10" s="67">
        <f>IF($D10="",,MONTAGE!BD9)</f>
        <v>0</v>
      </c>
      <c r="Y10" s="67">
        <f>IF($D10="",,MONTAGE!BE9)</f>
        <v>0</v>
      </c>
      <c r="Z10" s="67">
        <f>IF($D10="",,MONTAGE!BF9)</f>
        <v>0</v>
      </c>
      <c r="AA10" s="67">
        <f>IF($D10="",,MONTAGE!BG9)</f>
        <v>0</v>
      </c>
      <c r="AB10" s="67">
        <f>IF($D10="",,MONTAGE!BH9)</f>
        <v>0</v>
      </c>
      <c r="AC10" s="67">
        <f>IF($D10="",,MONTAGE!BI9)</f>
        <v>0</v>
      </c>
      <c r="AD10" s="67">
        <f>IF($D10="",,MONTAGE!BJ9)</f>
        <v>0</v>
      </c>
      <c r="AE10" s="67">
        <f>IF($D10="",,MONTAGE!BK9)</f>
        <v>0</v>
      </c>
      <c r="AF10" s="67">
        <f>IF($D10="",,MONTAGE!BL9)</f>
        <v>0</v>
      </c>
      <c r="AG10" s="67">
        <f>IF($D10="",,MONTAGE!BM9)</f>
        <v>0</v>
      </c>
      <c r="AH10" s="67">
        <f>IF($D10="",,MONTAGE!BN9)</f>
        <v>0</v>
      </c>
      <c r="AI10" s="67">
        <f>IF($D10="",,MONTAGE!BO9)</f>
        <v>0</v>
      </c>
      <c r="AJ10" s="67">
        <f>IF($D10="",,MONTAGE!BP9)</f>
        <v>0</v>
      </c>
      <c r="AK10" s="67">
        <f>IF($D10="",,MONTAGE!BQ9)</f>
        <v>0</v>
      </c>
      <c r="AL10" s="67">
        <f>IF($D10="",,MONTAGE!BR9)</f>
        <v>0</v>
      </c>
      <c r="AM10" s="67">
        <f>IF($D10="",,MONTAGE!BS9)</f>
        <v>0</v>
      </c>
      <c r="AN10" s="67">
        <f>IF($D10="",,MONTAGE!BT9)</f>
        <v>0</v>
      </c>
      <c r="AO10" s="67">
        <f>IF($D10="",,MONTAGE!BU9)</f>
        <v>0</v>
      </c>
      <c r="AP10" s="67">
        <f>IF($D10="",,MONTAGE!BV9)</f>
        <v>0</v>
      </c>
      <c r="AQ10" s="67">
        <f>IF($D10="",,MONTAGE!BW9)</f>
        <v>0</v>
      </c>
      <c r="AR10" s="67">
        <f>IF($D10="",,MONTAGE!BX9)</f>
        <v>0</v>
      </c>
      <c r="AS10" s="67">
        <f>IF($D10="",,MONTAGE!BY9)</f>
        <v>0</v>
      </c>
      <c r="AT10" s="67">
        <f>IF($D10="",,MONTAGE!BZ9)</f>
        <v>0</v>
      </c>
      <c r="AU10" s="67">
        <f>IF($D10="",,MONTAGE!CA9)</f>
        <v>0</v>
      </c>
      <c r="AV10" s="67">
        <f>IF($D10="",,MONTAGE!CB9)</f>
        <v>0</v>
      </c>
      <c r="AW10" s="67">
        <f>IF($D10="",,MONTAGE!CC9)</f>
        <v>0</v>
      </c>
      <c r="AX10" s="67">
        <f>IF($D10="",,MONTAGE!CD9)</f>
        <v>0</v>
      </c>
    </row>
    <row r="11" spans="1:50" s="5" customFormat="1" hidden="1" x14ac:dyDescent="0.2">
      <c r="A11" s="60"/>
      <c r="B11" s="61" t="str">
        <f>IF(ELEMENT!AO8="","",MONTAGE!B10)</f>
        <v/>
      </c>
      <c r="C11" s="62" t="str">
        <f>IF(ELEMENT!AO8="","",IF(ELEMENT!AW8="JA",ELEMENT!V8,IF(ELEMENT!D8="","",CONCATENATE(ELEMENT!A8,"   ",ELEMENT!D8," x ",ELEMENT!E8,"mm  "))))</f>
        <v/>
      </c>
      <c r="D11" s="63">
        <f>IF(ELEMENT!AO8="",0,IF(ELEMENT!C8=0,Sprache!$B$86,ELEMENT!C8))</f>
        <v>0</v>
      </c>
      <c r="E11" s="67">
        <f>MONTAGE!F10*MONTAGE!C10</f>
        <v>0</v>
      </c>
      <c r="F11" s="67">
        <f>IF($D11="",,MONTAGE!X10)</f>
        <v>0</v>
      </c>
      <c r="G11" s="67">
        <f>IF($D11="",,MONTAGE!Z10)</f>
        <v>0</v>
      </c>
      <c r="H11" s="67">
        <f>IF($D11="",,MONTAGE!AB10)</f>
        <v>0</v>
      </c>
      <c r="I11" s="67">
        <f>IF($D11="",,MONTAGE!AD10)</f>
        <v>0</v>
      </c>
      <c r="J11" s="67">
        <f>IF($D11="",,MONTAGE!AF10)</f>
        <v>0</v>
      </c>
      <c r="K11" s="67">
        <f>IF($D11="",,MONTAGE!AH10)</f>
        <v>0</v>
      </c>
      <c r="L11" s="67">
        <f>IF($D11="",,MONTAGE!AJ10)</f>
        <v>0</v>
      </c>
      <c r="M11" s="67">
        <f>IF($D11="",,MONTAGE!AL10)</f>
        <v>0</v>
      </c>
      <c r="N11" s="67">
        <f>IF($D11="",,MONTAGE!AN10)</f>
        <v>0</v>
      </c>
      <c r="O11" s="67">
        <f>IF($D11="",,MONTAGE!AP10)</f>
        <v>0</v>
      </c>
      <c r="P11" s="67">
        <f>IF($D11="",,MONTAGE!AR10)</f>
        <v>0</v>
      </c>
      <c r="Q11" s="67">
        <f>IF($D11="",,MONTAGE!AT10)</f>
        <v>0</v>
      </c>
      <c r="R11" s="67">
        <f>IF($D11="",,MONTAGE!AV10)</f>
        <v>0</v>
      </c>
      <c r="S11" s="67">
        <f>IF($D11="",,MONTAGE!AX10)</f>
        <v>0</v>
      </c>
      <c r="T11" s="67">
        <f>IF($D11="",,MONTAGE!AZ10)</f>
        <v>0</v>
      </c>
      <c r="U11" s="67">
        <f>IF($D11="",,MONTAGE!BA10)</f>
        <v>0</v>
      </c>
      <c r="V11" s="67">
        <f>IF($D11="",,MONTAGE!BB10)</f>
        <v>0</v>
      </c>
      <c r="W11" s="67">
        <f>IF($D11="",,MONTAGE!BC10)</f>
        <v>0</v>
      </c>
      <c r="X11" s="67">
        <f>IF($D11="",,MONTAGE!BD10)</f>
        <v>0</v>
      </c>
      <c r="Y11" s="67">
        <f>IF($D11="",,MONTAGE!BE10)</f>
        <v>0</v>
      </c>
      <c r="Z11" s="67">
        <f>IF($D11="",,MONTAGE!BF10)</f>
        <v>0</v>
      </c>
      <c r="AA11" s="67">
        <f>IF($D11="",,MONTAGE!BG10)</f>
        <v>0</v>
      </c>
      <c r="AB11" s="67">
        <f>IF($D11="",,MONTAGE!BH10)</f>
        <v>0</v>
      </c>
      <c r="AC11" s="67">
        <f>IF($D11="",,MONTAGE!BI10)</f>
        <v>0</v>
      </c>
      <c r="AD11" s="67">
        <f>IF($D11="",,MONTAGE!BJ10)</f>
        <v>0</v>
      </c>
      <c r="AE11" s="67">
        <f>IF($D11="",,MONTAGE!BK10)</f>
        <v>0</v>
      </c>
      <c r="AF11" s="67">
        <f>IF($D11="",,MONTAGE!BL10)</f>
        <v>0</v>
      </c>
      <c r="AG11" s="67">
        <f>IF($D11="",,MONTAGE!BM10)</f>
        <v>0</v>
      </c>
      <c r="AH11" s="67">
        <f>IF($D11="",,MONTAGE!BN10)</f>
        <v>0</v>
      </c>
      <c r="AI11" s="67">
        <f>IF($D11="",,MONTAGE!BO10)</f>
        <v>0</v>
      </c>
      <c r="AJ11" s="67">
        <f>IF($D11="",,MONTAGE!BP10)</f>
        <v>0</v>
      </c>
      <c r="AK11" s="67">
        <f>IF($D11="",,MONTAGE!BQ10)</f>
        <v>0</v>
      </c>
      <c r="AL11" s="67">
        <f>IF($D11="",,MONTAGE!BR10)</f>
        <v>0</v>
      </c>
      <c r="AM11" s="67">
        <f>IF($D11="",,MONTAGE!BS10)</f>
        <v>0</v>
      </c>
      <c r="AN11" s="67">
        <f>IF($D11="",,MONTAGE!BT10)</f>
        <v>0</v>
      </c>
      <c r="AO11" s="67">
        <f>IF($D11="",,MONTAGE!BU10)</f>
        <v>0</v>
      </c>
      <c r="AP11" s="67">
        <f>IF($D11="",,MONTAGE!BV10)</f>
        <v>0</v>
      </c>
      <c r="AQ11" s="67">
        <f>IF($D11="",,MONTAGE!BW10)</f>
        <v>0</v>
      </c>
      <c r="AR11" s="67">
        <f>IF($D11="",,MONTAGE!BX10)</f>
        <v>0</v>
      </c>
      <c r="AS11" s="67">
        <f>IF($D11="",,MONTAGE!BY10)</f>
        <v>0</v>
      </c>
      <c r="AT11" s="67">
        <f>IF($D11="",,MONTAGE!BZ10)</f>
        <v>0</v>
      </c>
      <c r="AU11" s="67">
        <f>IF($D11="",,MONTAGE!CA10)</f>
        <v>0</v>
      </c>
      <c r="AV11" s="67">
        <f>IF($D11="",,MONTAGE!CB10)</f>
        <v>0</v>
      </c>
      <c r="AW11" s="67">
        <f>IF($D11="",,MONTAGE!CC10)</f>
        <v>0</v>
      </c>
      <c r="AX11" s="67">
        <f>IF($D11="",,MONTAGE!CD10)</f>
        <v>0</v>
      </c>
    </row>
    <row r="12" spans="1:50" s="5" customFormat="1" hidden="1" x14ac:dyDescent="0.2">
      <c r="A12" s="60"/>
      <c r="B12" s="61" t="str">
        <f>IF(ELEMENT!AO9="","",MONTAGE!B11)</f>
        <v/>
      </c>
      <c r="C12" s="62" t="str">
        <f>IF(ELEMENT!AO9="","",IF(ELEMENT!AW9="JA",ELEMENT!V9,IF(ELEMENT!D9="","",CONCATENATE(ELEMENT!A9,"   ",ELEMENT!D9," x ",ELEMENT!E9,"mm  "))))</f>
        <v/>
      </c>
      <c r="D12" s="63">
        <f>IF(ELEMENT!AO9="",0,IF(ELEMENT!C9=0,Sprache!$B$86,ELEMENT!C9))</f>
        <v>0</v>
      </c>
      <c r="E12" s="67">
        <f>MONTAGE!F11*MONTAGE!C11</f>
        <v>0</v>
      </c>
      <c r="F12" s="67">
        <f>IF($D12="",,MONTAGE!X11)</f>
        <v>0</v>
      </c>
      <c r="G12" s="67">
        <f>IF($D12="",,MONTAGE!Z11)</f>
        <v>0</v>
      </c>
      <c r="H12" s="67">
        <f>IF($D12="",,MONTAGE!AB11)</f>
        <v>0</v>
      </c>
      <c r="I12" s="67">
        <f>IF($D12="",,MONTAGE!AD11)</f>
        <v>0</v>
      </c>
      <c r="J12" s="67">
        <f>IF($D12="",,MONTAGE!AF11)</f>
        <v>0</v>
      </c>
      <c r="K12" s="67">
        <f>IF($D12="",,MONTAGE!AH11)</f>
        <v>0</v>
      </c>
      <c r="L12" s="67">
        <f>IF($D12="",,MONTAGE!AJ11)</f>
        <v>0</v>
      </c>
      <c r="M12" s="67">
        <f>IF($D12="",,MONTAGE!AL11)</f>
        <v>0</v>
      </c>
      <c r="N12" s="67">
        <f>IF($D12="",,MONTAGE!AN11)</f>
        <v>0</v>
      </c>
      <c r="O12" s="67">
        <f>IF($D12="",,MONTAGE!AP11)</f>
        <v>0</v>
      </c>
      <c r="P12" s="67">
        <f>IF($D12="",,MONTAGE!AR11)</f>
        <v>0</v>
      </c>
      <c r="Q12" s="67">
        <f>IF($D12="",,MONTAGE!AT11)</f>
        <v>0</v>
      </c>
      <c r="R12" s="67">
        <f>IF($D12="",,MONTAGE!AV11)</f>
        <v>0</v>
      </c>
      <c r="S12" s="67">
        <f>IF($D12="",,MONTAGE!AX11)</f>
        <v>0</v>
      </c>
      <c r="T12" s="67">
        <f>IF($D12="",,MONTAGE!AZ11)</f>
        <v>0</v>
      </c>
      <c r="U12" s="67">
        <f>IF($D12="",,MONTAGE!BA11)</f>
        <v>0</v>
      </c>
      <c r="V12" s="67">
        <f>IF($D12="",,MONTAGE!BB11)</f>
        <v>0</v>
      </c>
      <c r="W12" s="67">
        <f>IF($D12="",,MONTAGE!BC11)</f>
        <v>0</v>
      </c>
      <c r="X12" s="67">
        <f>IF($D12="",,MONTAGE!BD11)</f>
        <v>0</v>
      </c>
      <c r="Y12" s="67">
        <f>IF($D12="",,MONTAGE!BE11)</f>
        <v>0</v>
      </c>
      <c r="Z12" s="67">
        <f>IF($D12="",,MONTAGE!BF11)</f>
        <v>0</v>
      </c>
      <c r="AA12" s="67">
        <f>IF($D12="",,MONTAGE!BG11)</f>
        <v>0</v>
      </c>
      <c r="AB12" s="67">
        <f>IF($D12="",,MONTAGE!BH11)</f>
        <v>0</v>
      </c>
      <c r="AC12" s="67">
        <f>IF($D12="",,MONTAGE!BI11)</f>
        <v>0</v>
      </c>
      <c r="AD12" s="67">
        <f>IF($D12="",,MONTAGE!BJ11)</f>
        <v>0</v>
      </c>
      <c r="AE12" s="67">
        <f>IF($D12="",,MONTAGE!BK11)</f>
        <v>0</v>
      </c>
      <c r="AF12" s="67">
        <f>IF($D12="",,MONTAGE!BL11)</f>
        <v>0</v>
      </c>
      <c r="AG12" s="67">
        <f>IF($D12="",,MONTAGE!BM11)</f>
        <v>0</v>
      </c>
      <c r="AH12" s="67">
        <f>IF($D12="",,MONTAGE!BN11)</f>
        <v>0</v>
      </c>
      <c r="AI12" s="67">
        <f>IF($D12="",,MONTAGE!BO11)</f>
        <v>0</v>
      </c>
      <c r="AJ12" s="67">
        <f>IF($D12="",,MONTAGE!BP11)</f>
        <v>0</v>
      </c>
      <c r="AK12" s="67">
        <f>IF($D12="",,MONTAGE!BQ11)</f>
        <v>0</v>
      </c>
      <c r="AL12" s="67">
        <f>IF($D12="",,MONTAGE!BR11)</f>
        <v>0</v>
      </c>
      <c r="AM12" s="67">
        <f>IF($D12="",,MONTAGE!BS11)</f>
        <v>0</v>
      </c>
      <c r="AN12" s="67">
        <f>IF($D12="",,MONTAGE!BT11)</f>
        <v>0</v>
      </c>
      <c r="AO12" s="67">
        <f>IF($D12="",,MONTAGE!BU11)</f>
        <v>0</v>
      </c>
      <c r="AP12" s="67">
        <f>IF($D12="",,MONTAGE!BV11)</f>
        <v>0</v>
      </c>
      <c r="AQ12" s="67">
        <f>IF($D12="",,MONTAGE!BW11)</f>
        <v>0</v>
      </c>
      <c r="AR12" s="67">
        <f>IF($D12="",,MONTAGE!BX11)</f>
        <v>0</v>
      </c>
      <c r="AS12" s="67">
        <f>IF($D12="",,MONTAGE!BY11)</f>
        <v>0</v>
      </c>
      <c r="AT12" s="67">
        <f>IF($D12="",,MONTAGE!BZ11)</f>
        <v>0</v>
      </c>
      <c r="AU12" s="67">
        <f>IF($D12="",,MONTAGE!CA11)</f>
        <v>0</v>
      </c>
      <c r="AV12" s="67">
        <f>IF($D12="",,MONTAGE!CB11)</f>
        <v>0</v>
      </c>
      <c r="AW12" s="67">
        <f>IF($D12="",,MONTAGE!CC11)</f>
        <v>0</v>
      </c>
      <c r="AX12" s="67">
        <f>IF($D12="",,MONTAGE!CD11)</f>
        <v>0</v>
      </c>
    </row>
    <row r="13" spans="1:50" s="5" customFormat="1" hidden="1" x14ac:dyDescent="0.2">
      <c r="A13" s="60"/>
      <c r="B13" s="61" t="str">
        <f>IF(ELEMENT!AO10="","",MONTAGE!B12)</f>
        <v/>
      </c>
      <c r="C13" s="62" t="str">
        <f>IF(ELEMENT!AO10="","",IF(ELEMENT!AW10="JA",ELEMENT!V10,IF(ELEMENT!D10="","",CONCATENATE(ELEMENT!A10,"   ",ELEMENT!D10," x ",ELEMENT!E10,"mm  "))))</f>
        <v/>
      </c>
      <c r="D13" s="63">
        <f>IF(ELEMENT!AO10="",0,IF(ELEMENT!C10=0,Sprache!$B$86,ELEMENT!C10))</f>
        <v>0</v>
      </c>
      <c r="E13" s="67">
        <f>MONTAGE!F12*MONTAGE!C12</f>
        <v>0</v>
      </c>
      <c r="F13" s="67">
        <f>IF($D13="",,MONTAGE!X12)</f>
        <v>0</v>
      </c>
      <c r="G13" s="67">
        <f>IF($D13="",,MONTAGE!Z12)</f>
        <v>0</v>
      </c>
      <c r="H13" s="67">
        <f>IF($D13="",,MONTAGE!AB12)</f>
        <v>0</v>
      </c>
      <c r="I13" s="67">
        <f>IF($D13="",,MONTAGE!AD12)</f>
        <v>0</v>
      </c>
      <c r="J13" s="67">
        <f>IF($D13="",,MONTAGE!AF12)</f>
        <v>0</v>
      </c>
      <c r="K13" s="67">
        <f>IF($D13="",,MONTAGE!AH12)</f>
        <v>0</v>
      </c>
      <c r="L13" s="67">
        <f>IF($D13="",,MONTAGE!AJ12)</f>
        <v>0</v>
      </c>
      <c r="M13" s="67">
        <f>IF($D13="",,MONTAGE!AL12)</f>
        <v>0</v>
      </c>
      <c r="N13" s="67">
        <f>IF($D13="",,MONTAGE!AN12)</f>
        <v>0</v>
      </c>
      <c r="O13" s="67">
        <f>IF($D13="",,MONTAGE!AP12)</f>
        <v>0</v>
      </c>
      <c r="P13" s="67">
        <f>IF($D13="",,MONTAGE!AR12)</f>
        <v>0</v>
      </c>
      <c r="Q13" s="67">
        <f>IF($D13="",,MONTAGE!AT12)</f>
        <v>0</v>
      </c>
      <c r="R13" s="67">
        <f>IF($D13="",,MONTAGE!AV12)</f>
        <v>0</v>
      </c>
      <c r="S13" s="67">
        <f>IF($D13="",,MONTAGE!AX12)</f>
        <v>0</v>
      </c>
      <c r="T13" s="67">
        <f>IF($D13="",,MONTAGE!AZ12)</f>
        <v>0</v>
      </c>
      <c r="U13" s="67">
        <f>IF($D13="",,MONTAGE!BA12)</f>
        <v>0</v>
      </c>
      <c r="V13" s="67">
        <f>IF($D13="",,MONTAGE!BB12)</f>
        <v>0</v>
      </c>
      <c r="W13" s="67">
        <f>IF($D13="",,MONTAGE!BC12)</f>
        <v>0</v>
      </c>
      <c r="X13" s="67">
        <f>IF($D13="",,MONTAGE!BD12)</f>
        <v>0</v>
      </c>
      <c r="Y13" s="67">
        <f>IF($D13="",,MONTAGE!BE12)</f>
        <v>0</v>
      </c>
      <c r="Z13" s="67">
        <f>IF($D13="",,MONTAGE!BF12)</f>
        <v>0</v>
      </c>
      <c r="AA13" s="67">
        <f>IF($D13="",,MONTAGE!BG12)</f>
        <v>0</v>
      </c>
      <c r="AB13" s="67">
        <f>IF($D13="",,MONTAGE!BH12)</f>
        <v>0</v>
      </c>
      <c r="AC13" s="67">
        <f>IF($D13="",,MONTAGE!BI12)</f>
        <v>0</v>
      </c>
      <c r="AD13" s="67">
        <f>IF($D13="",,MONTAGE!BJ12)</f>
        <v>0</v>
      </c>
      <c r="AE13" s="67">
        <f>IF($D13="",,MONTAGE!BK12)</f>
        <v>0</v>
      </c>
      <c r="AF13" s="67">
        <f>IF($D13="",,MONTAGE!BL12)</f>
        <v>0</v>
      </c>
      <c r="AG13" s="67">
        <f>IF($D13="",,MONTAGE!BM12)</f>
        <v>0</v>
      </c>
      <c r="AH13" s="67">
        <f>IF($D13="",,MONTAGE!BN12)</f>
        <v>0</v>
      </c>
      <c r="AI13" s="67">
        <f>IF($D13="",,MONTAGE!BO12)</f>
        <v>0</v>
      </c>
      <c r="AJ13" s="67">
        <f>IF($D13="",,MONTAGE!BP12)</f>
        <v>0</v>
      </c>
      <c r="AK13" s="67">
        <f>IF($D13="",,MONTAGE!BQ12)</f>
        <v>0</v>
      </c>
      <c r="AL13" s="67">
        <f>IF($D13="",,MONTAGE!BR12)</f>
        <v>0</v>
      </c>
      <c r="AM13" s="67">
        <f>IF($D13="",,MONTAGE!BS12)</f>
        <v>0</v>
      </c>
      <c r="AN13" s="67">
        <f>IF($D13="",,MONTAGE!BT12)</f>
        <v>0</v>
      </c>
      <c r="AO13" s="67">
        <f>IF($D13="",,MONTAGE!BU12)</f>
        <v>0</v>
      </c>
      <c r="AP13" s="67">
        <f>IF($D13="",,MONTAGE!BV12)</f>
        <v>0</v>
      </c>
      <c r="AQ13" s="67">
        <f>IF($D13="",,MONTAGE!BW12)</f>
        <v>0</v>
      </c>
      <c r="AR13" s="67">
        <f>IF($D13="",,MONTAGE!BX12)</f>
        <v>0</v>
      </c>
      <c r="AS13" s="67">
        <f>IF($D13="",,MONTAGE!BY12)</f>
        <v>0</v>
      </c>
      <c r="AT13" s="67">
        <f>IF($D13="",,MONTAGE!BZ12)</f>
        <v>0</v>
      </c>
      <c r="AU13" s="67">
        <f>IF($D13="",,MONTAGE!CA12)</f>
        <v>0</v>
      </c>
      <c r="AV13" s="67">
        <f>IF($D13="",,MONTAGE!CB12)</f>
        <v>0</v>
      </c>
      <c r="AW13" s="67">
        <f>IF($D13="",,MONTAGE!CC12)</f>
        <v>0</v>
      </c>
      <c r="AX13" s="67">
        <f>IF($D13="",,MONTAGE!CD12)</f>
        <v>0</v>
      </c>
    </row>
    <row r="14" spans="1:50" s="5" customFormat="1" hidden="1" x14ac:dyDescent="0.2">
      <c r="A14" s="60"/>
      <c r="B14" s="61" t="str">
        <f>IF(ELEMENT!AO11="","",MONTAGE!B13)</f>
        <v/>
      </c>
      <c r="C14" s="62" t="str">
        <f>IF(ELEMENT!AO11="","",IF(ELEMENT!AW11="JA",ELEMENT!V11,IF(ELEMENT!D11="","",CONCATENATE(ELEMENT!A11,"   ",ELEMENT!D11," x ",ELEMENT!E11,"mm  "))))</f>
        <v/>
      </c>
      <c r="D14" s="63">
        <f>IF(ELEMENT!AO11="",0,IF(ELEMENT!C11=0,Sprache!$B$86,ELEMENT!C11))</f>
        <v>0</v>
      </c>
      <c r="E14" s="67">
        <f>MONTAGE!F13*MONTAGE!C13</f>
        <v>0</v>
      </c>
      <c r="F14" s="67">
        <f>IF($D14="",,MONTAGE!X13)</f>
        <v>0</v>
      </c>
      <c r="G14" s="67">
        <f>IF($D14="",,MONTAGE!Z13)</f>
        <v>0</v>
      </c>
      <c r="H14" s="67">
        <f>IF($D14="",,MONTAGE!AB13)</f>
        <v>0</v>
      </c>
      <c r="I14" s="67">
        <f>IF($D14="",,MONTAGE!AD13)</f>
        <v>0</v>
      </c>
      <c r="J14" s="67">
        <f>IF($D14="",,MONTAGE!AF13)</f>
        <v>0</v>
      </c>
      <c r="K14" s="67">
        <f>IF($D14="",,MONTAGE!AH13)</f>
        <v>0</v>
      </c>
      <c r="L14" s="67">
        <f>IF($D14="",,MONTAGE!AJ13)</f>
        <v>0</v>
      </c>
      <c r="M14" s="67">
        <f>IF($D14="",,MONTAGE!AL13)</f>
        <v>0</v>
      </c>
      <c r="N14" s="67">
        <f>IF($D14="",,MONTAGE!AN13)</f>
        <v>0</v>
      </c>
      <c r="O14" s="67">
        <f>IF($D14="",,MONTAGE!AP13)</f>
        <v>0</v>
      </c>
      <c r="P14" s="67">
        <f>IF($D14="",,MONTAGE!AR13)</f>
        <v>0</v>
      </c>
      <c r="Q14" s="67">
        <f>IF($D14="",,MONTAGE!AT13)</f>
        <v>0</v>
      </c>
      <c r="R14" s="67">
        <f>IF($D14="",,MONTAGE!AV13)</f>
        <v>0</v>
      </c>
      <c r="S14" s="67">
        <f>IF($D14="",,MONTAGE!AX13)</f>
        <v>0</v>
      </c>
      <c r="T14" s="67">
        <f>IF($D14="",,MONTAGE!AZ13)</f>
        <v>0</v>
      </c>
      <c r="U14" s="67">
        <f>IF($D14="",,MONTAGE!BA13)</f>
        <v>0</v>
      </c>
      <c r="V14" s="67">
        <f>IF($D14="",,MONTAGE!BB13)</f>
        <v>0</v>
      </c>
      <c r="W14" s="67">
        <f>IF($D14="",,MONTAGE!BC13)</f>
        <v>0</v>
      </c>
      <c r="X14" s="67">
        <f>IF($D14="",,MONTAGE!BD13)</f>
        <v>0</v>
      </c>
      <c r="Y14" s="67">
        <f>IF($D14="",,MONTAGE!BE13)</f>
        <v>0</v>
      </c>
      <c r="Z14" s="67">
        <f>IF($D14="",,MONTAGE!BF13)</f>
        <v>0</v>
      </c>
      <c r="AA14" s="67">
        <f>IF($D14="",,MONTAGE!BG13)</f>
        <v>0</v>
      </c>
      <c r="AB14" s="67">
        <f>IF($D14="",,MONTAGE!BH13)</f>
        <v>0</v>
      </c>
      <c r="AC14" s="67">
        <f>IF($D14="",,MONTAGE!BI13)</f>
        <v>0</v>
      </c>
      <c r="AD14" s="67">
        <f>IF($D14="",,MONTAGE!BJ13)</f>
        <v>0</v>
      </c>
      <c r="AE14" s="67">
        <f>IF($D14="",,MONTAGE!BK13)</f>
        <v>0</v>
      </c>
      <c r="AF14" s="67">
        <f>IF($D14="",,MONTAGE!BL13)</f>
        <v>0</v>
      </c>
      <c r="AG14" s="67">
        <f>IF($D14="",,MONTAGE!BM13)</f>
        <v>0</v>
      </c>
      <c r="AH14" s="67">
        <f>IF($D14="",,MONTAGE!BN13)</f>
        <v>0</v>
      </c>
      <c r="AI14" s="67">
        <f>IF($D14="",,MONTAGE!BO13)</f>
        <v>0</v>
      </c>
      <c r="AJ14" s="67">
        <f>IF($D14="",,MONTAGE!BP13)</f>
        <v>0</v>
      </c>
      <c r="AK14" s="67">
        <f>IF($D14="",,MONTAGE!BQ13)</f>
        <v>0</v>
      </c>
      <c r="AL14" s="67">
        <f>IF($D14="",,MONTAGE!BR13)</f>
        <v>0</v>
      </c>
      <c r="AM14" s="67">
        <f>IF($D14="",,MONTAGE!BS13)</f>
        <v>0</v>
      </c>
      <c r="AN14" s="67">
        <f>IF($D14="",,MONTAGE!BT13)</f>
        <v>0</v>
      </c>
      <c r="AO14" s="67">
        <f>IF($D14="",,MONTAGE!BU13)</f>
        <v>0</v>
      </c>
      <c r="AP14" s="67">
        <f>IF($D14="",,MONTAGE!BV13)</f>
        <v>0</v>
      </c>
      <c r="AQ14" s="67">
        <f>IF($D14="",,MONTAGE!BW13)</f>
        <v>0</v>
      </c>
      <c r="AR14" s="67">
        <f>IF($D14="",,MONTAGE!BX13)</f>
        <v>0</v>
      </c>
      <c r="AS14" s="67">
        <f>IF($D14="",,MONTAGE!BY13)</f>
        <v>0</v>
      </c>
      <c r="AT14" s="67">
        <f>IF($D14="",,MONTAGE!BZ13)</f>
        <v>0</v>
      </c>
      <c r="AU14" s="67">
        <f>IF($D14="",,MONTAGE!CA13)</f>
        <v>0</v>
      </c>
      <c r="AV14" s="67">
        <f>IF($D14="",,MONTAGE!CB13)</f>
        <v>0</v>
      </c>
      <c r="AW14" s="67">
        <f>IF($D14="",,MONTAGE!CC13)</f>
        <v>0</v>
      </c>
      <c r="AX14" s="67">
        <f>IF($D14="",,MONTAGE!CD13)</f>
        <v>0</v>
      </c>
    </row>
    <row r="15" spans="1:50" s="5" customFormat="1" hidden="1" x14ac:dyDescent="0.2">
      <c r="A15" s="60"/>
      <c r="B15" s="61" t="str">
        <f>IF(ELEMENT!AO12="","",MONTAGE!B14)</f>
        <v/>
      </c>
      <c r="C15" s="62" t="str">
        <f>IF(ELEMENT!AO12="","",IF(ELEMENT!AW12="JA",ELEMENT!V12,IF(ELEMENT!D12="","",CONCATENATE(ELEMENT!A12,"   ",ELEMENT!D12," x ",ELEMENT!E12,"mm  "))))</f>
        <v/>
      </c>
      <c r="D15" s="63">
        <f>IF(ELEMENT!AO12="",0,IF(ELEMENT!C12=0,Sprache!$B$86,ELEMENT!C12))</f>
        <v>0</v>
      </c>
      <c r="E15" s="67">
        <f>MONTAGE!F14*MONTAGE!C14</f>
        <v>0</v>
      </c>
      <c r="F15" s="67">
        <f>IF($D15="",,MONTAGE!X14)</f>
        <v>0</v>
      </c>
      <c r="G15" s="67">
        <f>IF($D15="",,MONTAGE!Z14)</f>
        <v>0</v>
      </c>
      <c r="H15" s="67">
        <f>IF($D15="",,MONTAGE!AB14)</f>
        <v>0</v>
      </c>
      <c r="I15" s="67">
        <f>IF($D15="",,MONTAGE!AD14)</f>
        <v>0</v>
      </c>
      <c r="J15" s="67">
        <f>IF($D15="",,MONTAGE!AF14)</f>
        <v>0</v>
      </c>
      <c r="K15" s="67">
        <f>IF($D15="",,MONTAGE!AH14)</f>
        <v>0</v>
      </c>
      <c r="L15" s="67">
        <f>IF($D15="",,MONTAGE!AJ14)</f>
        <v>0</v>
      </c>
      <c r="M15" s="67">
        <f>IF($D15="",,MONTAGE!AL14)</f>
        <v>0</v>
      </c>
      <c r="N15" s="67">
        <f>IF($D15="",,MONTAGE!AN14)</f>
        <v>0</v>
      </c>
      <c r="O15" s="67">
        <f>IF($D15="",,MONTAGE!AP14)</f>
        <v>0</v>
      </c>
      <c r="P15" s="67">
        <f>IF($D15="",,MONTAGE!AR14)</f>
        <v>0</v>
      </c>
      <c r="Q15" s="67">
        <f>IF($D15="",,MONTAGE!AT14)</f>
        <v>0</v>
      </c>
      <c r="R15" s="67">
        <f>IF($D15="",,MONTAGE!AV14)</f>
        <v>0</v>
      </c>
      <c r="S15" s="67">
        <f>IF($D15="",,MONTAGE!AX14)</f>
        <v>0</v>
      </c>
      <c r="T15" s="67">
        <f>IF($D15="",,MONTAGE!AZ14)</f>
        <v>0</v>
      </c>
      <c r="U15" s="67">
        <f>IF($D15="",,MONTAGE!BA14)</f>
        <v>0</v>
      </c>
      <c r="V15" s="67">
        <f>IF($D15="",,MONTAGE!BB14)</f>
        <v>0</v>
      </c>
      <c r="W15" s="67">
        <f>IF($D15="",,MONTAGE!BC14)</f>
        <v>0</v>
      </c>
      <c r="X15" s="67">
        <f>IF($D15="",,MONTAGE!BD14)</f>
        <v>0</v>
      </c>
      <c r="Y15" s="67">
        <f>IF($D15="",,MONTAGE!BE14)</f>
        <v>0</v>
      </c>
      <c r="Z15" s="67">
        <f>IF($D15="",,MONTAGE!BF14)</f>
        <v>0</v>
      </c>
      <c r="AA15" s="67">
        <f>IF($D15="",,MONTAGE!BG14)</f>
        <v>0</v>
      </c>
      <c r="AB15" s="67">
        <f>IF($D15="",,MONTAGE!BH14)</f>
        <v>0</v>
      </c>
      <c r="AC15" s="67">
        <f>IF($D15="",,MONTAGE!BI14)</f>
        <v>0</v>
      </c>
      <c r="AD15" s="67">
        <f>IF($D15="",,MONTAGE!BJ14)</f>
        <v>0</v>
      </c>
      <c r="AE15" s="67">
        <f>IF($D15="",,MONTAGE!BK14)</f>
        <v>0</v>
      </c>
      <c r="AF15" s="67">
        <f>IF($D15="",,MONTAGE!BL14)</f>
        <v>0</v>
      </c>
      <c r="AG15" s="67">
        <f>IF($D15="",,MONTAGE!BM14)</f>
        <v>0</v>
      </c>
      <c r="AH15" s="67">
        <f>IF($D15="",,MONTAGE!BN14)</f>
        <v>0</v>
      </c>
      <c r="AI15" s="67">
        <f>IF($D15="",,MONTAGE!BO14)</f>
        <v>0</v>
      </c>
      <c r="AJ15" s="67">
        <f>IF($D15="",,MONTAGE!BP14)</f>
        <v>0</v>
      </c>
      <c r="AK15" s="67">
        <f>IF($D15="",,MONTAGE!BQ14)</f>
        <v>0</v>
      </c>
      <c r="AL15" s="67">
        <f>IF($D15="",,MONTAGE!BR14)</f>
        <v>0</v>
      </c>
      <c r="AM15" s="67">
        <f>IF($D15="",,MONTAGE!BS14)</f>
        <v>0</v>
      </c>
      <c r="AN15" s="67">
        <f>IF($D15="",,MONTAGE!BT14)</f>
        <v>0</v>
      </c>
      <c r="AO15" s="67">
        <f>IF($D15="",,MONTAGE!BU14)</f>
        <v>0</v>
      </c>
      <c r="AP15" s="67">
        <f>IF($D15="",,MONTAGE!BV14)</f>
        <v>0</v>
      </c>
      <c r="AQ15" s="67">
        <f>IF($D15="",,MONTAGE!BW14)</f>
        <v>0</v>
      </c>
      <c r="AR15" s="67">
        <f>IF($D15="",,MONTAGE!BX14)</f>
        <v>0</v>
      </c>
      <c r="AS15" s="67">
        <f>IF($D15="",,MONTAGE!BY14)</f>
        <v>0</v>
      </c>
      <c r="AT15" s="67">
        <f>IF($D15="",,MONTAGE!BZ14)</f>
        <v>0</v>
      </c>
      <c r="AU15" s="67">
        <f>IF($D15="",,MONTAGE!CA14)</f>
        <v>0</v>
      </c>
      <c r="AV15" s="67">
        <f>IF($D15="",,MONTAGE!CB14)</f>
        <v>0</v>
      </c>
      <c r="AW15" s="67">
        <f>IF($D15="",,MONTAGE!CC14)</f>
        <v>0</v>
      </c>
      <c r="AX15" s="67">
        <f>IF($D15="",,MONTAGE!CD14)</f>
        <v>0</v>
      </c>
    </row>
    <row r="16" spans="1:50" s="5" customFormat="1" hidden="1" x14ac:dyDescent="0.2">
      <c r="A16" s="60"/>
      <c r="B16" s="61" t="str">
        <f>IF(ELEMENT!AO13="","",MONTAGE!B15)</f>
        <v/>
      </c>
      <c r="C16" s="62" t="str">
        <f>IF(ELEMENT!AO13="","",IF(ELEMENT!AW13="JA",ELEMENT!V13,IF(ELEMENT!D13="","",CONCATENATE(ELEMENT!A13,"   ",ELEMENT!D13," x ",ELEMENT!E13,"mm  "))))</f>
        <v/>
      </c>
      <c r="D16" s="63">
        <f>IF(ELEMENT!AO13="",0,IF(ELEMENT!C13=0,Sprache!$B$86,ELEMENT!C13))</f>
        <v>0</v>
      </c>
      <c r="E16" s="67">
        <f>MONTAGE!F15*MONTAGE!C15</f>
        <v>0</v>
      </c>
      <c r="F16" s="67">
        <f>IF($D16="",,MONTAGE!X15)</f>
        <v>0</v>
      </c>
      <c r="G16" s="67">
        <f>IF($D16="",,MONTAGE!Z15)</f>
        <v>0</v>
      </c>
      <c r="H16" s="67">
        <f>IF($D16="",,MONTAGE!AB15)</f>
        <v>0</v>
      </c>
      <c r="I16" s="67">
        <f>IF($D16="",,MONTAGE!AD15)</f>
        <v>0</v>
      </c>
      <c r="J16" s="67">
        <f>IF($D16="",,MONTAGE!AF15)</f>
        <v>0</v>
      </c>
      <c r="K16" s="67">
        <f>IF($D16="",,MONTAGE!AH15)</f>
        <v>0</v>
      </c>
      <c r="L16" s="67">
        <f>IF($D16="",,MONTAGE!AJ15)</f>
        <v>0</v>
      </c>
      <c r="M16" s="67">
        <f>IF($D16="",,MONTAGE!AL15)</f>
        <v>0</v>
      </c>
      <c r="N16" s="67">
        <f>IF($D16="",,MONTAGE!AN15)</f>
        <v>0</v>
      </c>
      <c r="O16" s="67">
        <f>IF($D16="",,MONTAGE!AP15)</f>
        <v>0</v>
      </c>
      <c r="P16" s="67">
        <f>IF($D16="",,MONTAGE!AR15)</f>
        <v>0</v>
      </c>
      <c r="Q16" s="67">
        <f>IF($D16="",,MONTAGE!AT15)</f>
        <v>0</v>
      </c>
      <c r="R16" s="67">
        <f>IF($D16="",,MONTAGE!AV15)</f>
        <v>0</v>
      </c>
      <c r="S16" s="67">
        <f>IF($D16="",,MONTAGE!AX15)</f>
        <v>0</v>
      </c>
      <c r="T16" s="67">
        <f>IF($D16="",,MONTAGE!AZ15)</f>
        <v>0</v>
      </c>
      <c r="U16" s="67">
        <f>IF($D16="",,MONTAGE!BA15)</f>
        <v>0</v>
      </c>
      <c r="V16" s="67">
        <f>IF($D16="",,MONTAGE!BB15)</f>
        <v>0</v>
      </c>
      <c r="W16" s="67">
        <f>IF($D16="",,MONTAGE!BC15)</f>
        <v>0</v>
      </c>
      <c r="X16" s="67">
        <f>IF($D16="",,MONTAGE!BD15)</f>
        <v>0</v>
      </c>
      <c r="Y16" s="67">
        <f>IF($D16="",,MONTAGE!BE15)</f>
        <v>0</v>
      </c>
      <c r="Z16" s="67">
        <f>IF($D16="",,MONTAGE!BF15)</f>
        <v>0</v>
      </c>
      <c r="AA16" s="67">
        <f>IF($D16="",,MONTAGE!BG15)</f>
        <v>0</v>
      </c>
      <c r="AB16" s="67">
        <f>IF($D16="",,MONTAGE!BH15)</f>
        <v>0</v>
      </c>
      <c r="AC16" s="67">
        <f>IF($D16="",,MONTAGE!BI15)</f>
        <v>0</v>
      </c>
      <c r="AD16" s="67">
        <f>IF($D16="",,MONTAGE!BJ15)</f>
        <v>0</v>
      </c>
      <c r="AE16" s="67">
        <f>IF($D16="",,MONTAGE!BK15)</f>
        <v>0</v>
      </c>
      <c r="AF16" s="67">
        <f>IF($D16="",,MONTAGE!BL15)</f>
        <v>0</v>
      </c>
      <c r="AG16" s="67">
        <f>IF($D16="",,MONTAGE!BM15)</f>
        <v>0</v>
      </c>
      <c r="AH16" s="67">
        <f>IF($D16="",,MONTAGE!BN15)</f>
        <v>0</v>
      </c>
      <c r="AI16" s="67">
        <f>IF($D16="",,MONTAGE!BO15)</f>
        <v>0</v>
      </c>
      <c r="AJ16" s="67">
        <f>IF($D16="",,MONTAGE!BP15)</f>
        <v>0</v>
      </c>
      <c r="AK16" s="67">
        <f>IF($D16="",,MONTAGE!BQ15)</f>
        <v>0</v>
      </c>
      <c r="AL16" s="67">
        <f>IF($D16="",,MONTAGE!BR15)</f>
        <v>0</v>
      </c>
      <c r="AM16" s="67">
        <f>IF($D16="",,MONTAGE!BS15)</f>
        <v>0</v>
      </c>
      <c r="AN16" s="67">
        <f>IF($D16="",,MONTAGE!BT15)</f>
        <v>0</v>
      </c>
      <c r="AO16" s="67">
        <f>IF($D16="",,MONTAGE!BU15)</f>
        <v>0</v>
      </c>
      <c r="AP16" s="67">
        <f>IF($D16="",,MONTAGE!BV15)</f>
        <v>0</v>
      </c>
      <c r="AQ16" s="67">
        <f>IF($D16="",,MONTAGE!BW15)</f>
        <v>0</v>
      </c>
      <c r="AR16" s="67">
        <f>IF($D16="",,MONTAGE!BX15)</f>
        <v>0</v>
      </c>
      <c r="AS16" s="67">
        <f>IF($D16="",,MONTAGE!BY15)</f>
        <v>0</v>
      </c>
      <c r="AT16" s="67">
        <f>IF($D16="",,MONTAGE!BZ15)</f>
        <v>0</v>
      </c>
      <c r="AU16" s="67">
        <f>IF($D16="",,MONTAGE!CA15)</f>
        <v>0</v>
      </c>
      <c r="AV16" s="67">
        <f>IF($D16="",,MONTAGE!CB15)</f>
        <v>0</v>
      </c>
      <c r="AW16" s="67">
        <f>IF($D16="",,MONTAGE!CC15)</f>
        <v>0</v>
      </c>
      <c r="AX16" s="67">
        <f>IF($D16="",,MONTAGE!CD15)</f>
        <v>0</v>
      </c>
    </row>
    <row r="17" spans="1:50" s="5" customFormat="1" hidden="1" x14ac:dyDescent="0.2">
      <c r="A17" s="60"/>
      <c r="B17" s="61" t="str">
        <f>IF(ELEMENT!AO14="","",MONTAGE!B16)</f>
        <v/>
      </c>
      <c r="C17" s="62" t="str">
        <f>IF(ELEMENT!AO14="","",IF(ELEMENT!AW14="JA",ELEMENT!V14,IF(ELEMENT!D14="","",CONCATENATE(ELEMENT!A14,"   ",ELEMENT!D14," x ",ELEMENT!E14,"mm  "))))</f>
        <v/>
      </c>
      <c r="D17" s="63">
        <f>IF(ELEMENT!AO14="",0,IF(ELEMENT!C14=0,Sprache!$B$86,ELEMENT!C14))</f>
        <v>0</v>
      </c>
      <c r="E17" s="67">
        <f>MONTAGE!F16*MONTAGE!C16</f>
        <v>0</v>
      </c>
      <c r="F17" s="67">
        <f>IF($D17="",,MONTAGE!X16)</f>
        <v>0</v>
      </c>
      <c r="G17" s="67">
        <f>IF($D17="",,MONTAGE!Z16)</f>
        <v>0</v>
      </c>
      <c r="H17" s="67">
        <f>IF($D17="",,MONTAGE!AB16)</f>
        <v>0</v>
      </c>
      <c r="I17" s="67">
        <f>IF($D17="",,MONTAGE!AD16)</f>
        <v>0</v>
      </c>
      <c r="J17" s="67">
        <f>IF($D17="",,MONTAGE!AF16)</f>
        <v>0</v>
      </c>
      <c r="K17" s="67">
        <f>IF($D17="",,MONTAGE!AH16)</f>
        <v>0</v>
      </c>
      <c r="L17" s="67">
        <f>IF($D17="",,MONTAGE!AJ16)</f>
        <v>0</v>
      </c>
      <c r="M17" s="67">
        <f>IF($D17="",,MONTAGE!AL16)</f>
        <v>0</v>
      </c>
      <c r="N17" s="67">
        <f>IF($D17="",,MONTAGE!AN16)</f>
        <v>0</v>
      </c>
      <c r="O17" s="67">
        <f>IF($D17="",,MONTAGE!AP16)</f>
        <v>0</v>
      </c>
      <c r="P17" s="67">
        <f>IF($D17="",,MONTAGE!AR16)</f>
        <v>0</v>
      </c>
      <c r="Q17" s="67">
        <f>IF($D17="",,MONTAGE!AT16)</f>
        <v>0</v>
      </c>
      <c r="R17" s="67">
        <f>IF($D17="",,MONTAGE!AV16)</f>
        <v>0</v>
      </c>
      <c r="S17" s="67">
        <f>IF($D17="",,MONTAGE!AX16)</f>
        <v>0</v>
      </c>
      <c r="T17" s="67">
        <f>IF($D17="",,MONTAGE!AZ16)</f>
        <v>0</v>
      </c>
      <c r="U17" s="67">
        <f>IF($D17="",,MONTAGE!BA16)</f>
        <v>0</v>
      </c>
      <c r="V17" s="67">
        <f>IF($D17="",,MONTAGE!BB16)</f>
        <v>0</v>
      </c>
      <c r="W17" s="67">
        <f>IF($D17="",,MONTAGE!BC16)</f>
        <v>0</v>
      </c>
      <c r="X17" s="67">
        <f>IF($D17="",,MONTAGE!BD16)</f>
        <v>0</v>
      </c>
      <c r="Y17" s="67">
        <f>IF($D17="",,MONTAGE!BE16)</f>
        <v>0</v>
      </c>
      <c r="Z17" s="67">
        <f>IF($D17="",,MONTAGE!BF16)</f>
        <v>0</v>
      </c>
      <c r="AA17" s="67">
        <f>IF($D17="",,MONTAGE!BG16)</f>
        <v>0</v>
      </c>
      <c r="AB17" s="67">
        <f>IF($D17="",,MONTAGE!BH16)</f>
        <v>0</v>
      </c>
      <c r="AC17" s="67">
        <f>IF($D17="",,MONTAGE!BI16)</f>
        <v>0</v>
      </c>
      <c r="AD17" s="67">
        <f>IF($D17="",,MONTAGE!BJ16)</f>
        <v>0</v>
      </c>
      <c r="AE17" s="67">
        <f>IF($D17="",,MONTAGE!BK16)</f>
        <v>0</v>
      </c>
      <c r="AF17" s="67">
        <f>IF($D17="",,MONTAGE!BL16)</f>
        <v>0</v>
      </c>
      <c r="AG17" s="67">
        <f>IF($D17="",,MONTAGE!BM16)</f>
        <v>0</v>
      </c>
      <c r="AH17" s="67">
        <f>IF($D17="",,MONTAGE!BN16)</f>
        <v>0</v>
      </c>
      <c r="AI17" s="67">
        <f>IF($D17="",,MONTAGE!BO16)</f>
        <v>0</v>
      </c>
      <c r="AJ17" s="67">
        <f>IF($D17="",,MONTAGE!BP16)</f>
        <v>0</v>
      </c>
      <c r="AK17" s="67">
        <f>IF($D17="",,MONTAGE!BQ16)</f>
        <v>0</v>
      </c>
      <c r="AL17" s="67">
        <f>IF($D17="",,MONTAGE!BR16)</f>
        <v>0</v>
      </c>
      <c r="AM17" s="67">
        <f>IF($D17="",,MONTAGE!BS16)</f>
        <v>0</v>
      </c>
      <c r="AN17" s="67">
        <f>IF($D17="",,MONTAGE!BT16)</f>
        <v>0</v>
      </c>
      <c r="AO17" s="67">
        <f>IF($D17="",,MONTAGE!BU16)</f>
        <v>0</v>
      </c>
      <c r="AP17" s="67">
        <f>IF($D17="",,MONTAGE!BV16)</f>
        <v>0</v>
      </c>
      <c r="AQ17" s="67">
        <f>IF($D17="",,MONTAGE!BW16)</f>
        <v>0</v>
      </c>
      <c r="AR17" s="67">
        <f>IF($D17="",,MONTAGE!BX16)</f>
        <v>0</v>
      </c>
      <c r="AS17" s="67">
        <f>IF($D17="",,MONTAGE!BY16)</f>
        <v>0</v>
      </c>
      <c r="AT17" s="67">
        <f>IF($D17="",,MONTAGE!BZ16)</f>
        <v>0</v>
      </c>
      <c r="AU17" s="67">
        <f>IF($D17="",,MONTAGE!CA16)</f>
        <v>0</v>
      </c>
      <c r="AV17" s="67">
        <f>IF($D17="",,MONTAGE!CB16)</f>
        <v>0</v>
      </c>
      <c r="AW17" s="67">
        <f>IF($D17="",,MONTAGE!CC16)</f>
        <v>0</v>
      </c>
      <c r="AX17" s="67">
        <f>IF($D17="",,MONTAGE!CD16)</f>
        <v>0</v>
      </c>
    </row>
    <row r="18" spans="1:50" s="5" customFormat="1" hidden="1" x14ac:dyDescent="0.2">
      <c r="A18" s="60"/>
      <c r="B18" s="61" t="str">
        <f>IF(ELEMENT!AO15="","",MONTAGE!B17)</f>
        <v/>
      </c>
      <c r="C18" s="62" t="str">
        <f>IF(ELEMENT!AO15="","",IF(ELEMENT!AW15="JA",ELEMENT!V15,IF(ELEMENT!D15="","",CONCATENATE(ELEMENT!A15,"   ",ELEMENT!D15," x ",ELEMENT!E15,"mm  "))))</f>
        <v/>
      </c>
      <c r="D18" s="63">
        <f>IF(ELEMENT!AO15="",0,IF(ELEMENT!C15=0,Sprache!$B$86,ELEMENT!C15))</f>
        <v>0</v>
      </c>
      <c r="E18" s="67">
        <f>MONTAGE!F17*MONTAGE!C17</f>
        <v>0</v>
      </c>
      <c r="F18" s="67">
        <f>IF($D18="",,MONTAGE!X17)</f>
        <v>0</v>
      </c>
      <c r="G18" s="67">
        <f>IF($D18="",,MONTAGE!Z17)</f>
        <v>0</v>
      </c>
      <c r="H18" s="67">
        <f>IF($D18="",,MONTAGE!AB17)</f>
        <v>0</v>
      </c>
      <c r="I18" s="67">
        <f>IF($D18="",,MONTAGE!AD17)</f>
        <v>0</v>
      </c>
      <c r="J18" s="67">
        <f>IF($D18="",,MONTAGE!AF17)</f>
        <v>0</v>
      </c>
      <c r="K18" s="67">
        <f>IF($D18="",,MONTAGE!AH17)</f>
        <v>0</v>
      </c>
      <c r="L18" s="67">
        <f>IF($D18="",,MONTAGE!AJ17)</f>
        <v>0</v>
      </c>
      <c r="M18" s="67">
        <f>IF($D18="",,MONTAGE!AL17)</f>
        <v>0</v>
      </c>
      <c r="N18" s="67">
        <f>IF($D18="",,MONTAGE!AN17)</f>
        <v>0</v>
      </c>
      <c r="O18" s="67">
        <f>IF($D18="",,MONTAGE!AP17)</f>
        <v>0</v>
      </c>
      <c r="P18" s="67">
        <f>IF($D18="",,MONTAGE!AR17)</f>
        <v>0</v>
      </c>
      <c r="Q18" s="67">
        <f>IF($D18="",,MONTAGE!AT17)</f>
        <v>0</v>
      </c>
      <c r="R18" s="67">
        <f>IF($D18="",,MONTAGE!AV17)</f>
        <v>0</v>
      </c>
      <c r="S18" s="67">
        <f>IF($D18="",,MONTAGE!AX17)</f>
        <v>0</v>
      </c>
      <c r="T18" s="67">
        <f>IF($D18="",,MONTAGE!AZ17)</f>
        <v>0</v>
      </c>
      <c r="U18" s="67">
        <f>IF($D18="",,MONTAGE!BA17)</f>
        <v>0</v>
      </c>
      <c r="V18" s="67">
        <f>IF($D18="",,MONTAGE!BB17)</f>
        <v>0</v>
      </c>
      <c r="W18" s="67">
        <f>IF($D18="",,MONTAGE!BC17)</f>
        <v>0</v>
      </c>
      <c r="X18" s="67">
        <f>IF($D18="",,MONTAGE!BD17)</f>
        <v>0</v>
      </c>
      <c r="Y18" s="67">
        <f>IF($D18="",,MONTAGE!BE17)</f>
        <v>0</v>
      </c>
      <c r="Z18" s="67">
        <f>IF($D18="",,MONTAGE!BF17)</f>
        <v>0</v>
      </c>
      <c r="AA18" s="67">
        <f>IF($D18="",,MONTAGE!BG17)</f>
        <v>0</v>
      </c>
      <c r="AB18" s="67">
        <f>IF($D18="",,MONTAGE!BH17)</f>
        <v>0</v>
      </c>
      <c r="AC18" s="67">
        <f>IF($D18="",,MONTAGE!BI17)</f>
        <v>0</v>
      </c>
      <c r="AD18" s="67">
        <f>IF($D18="",,MONTAGE!BJ17)</f>
        <v>0</v>
      </c>
      <c r="AE18" s="67">
        <f>IF($D18="",,MONTAGE!BK17)</f>
        <v>0</v>
      </c>
      <c r="AF18" s="67">
        <f>IF($D18="",,MONTAGE!BL17)</f>
        <v>0</v>
      </c>
      <c r="AG18" s="67">
        <f>IF($D18="",,MONTAGE!BM17)</f>
        <v>0</v>
      </c>
      <c r="AH18" s="67">
        <f>IF($D18="",,MONTAGE!BN17)</f>
        <v>0</v>
      </c>
      <c r="AI18" s="67">
        <f>IF($D18="",,MONTAGE!BO17)</f>
        <v>0</v>
      </c>
      <c r="AJ18" s="67">
        <f>IF($D18="",,MONTAGE!BP17)</f>
        <v>0</v>
      </c>
      <c r="AK18" s="67">
        <f>IF($D18="",,MONTAGE!BQ17)</f>
        <v>0</v>
      </c>
      <c r="AL18" s="67">
        <f>IF($D18="",,MONTAGE!BR17)</f>
        <v>0</v>
      </c>
      <c r="AM18" s="67">
        <f>IF($D18="",,MONTAGE!BS17)</f>
        <v>0</v>
      </c>
      <c r="AN18" s="67">
        <f>IF($D18="",,MONTAGE!BT17)</f>
        <v>0</v>
      </c>
      <c r="AO18" s="67">
        <f>IF($D18="",,MONTAGE!BU17)</f>
        <v>0</v>
      </c>
      <c r="AP18" s="67">
        <f>IF($D18="",,MONTAGE!BV17)</f>
        <v>0</v>
      </c>
      <c r="AQ18" s="67">
        <f>IF($D18="",,MONTAGE!BW17)</f>
        <v>0</v>
      </c>
      <c r="AR18" s="67">
        <f>IF($D18="",,MONTAGE!BX17)</f>
        <v>0</v>
      </c>
      <c r="AS18" s="67">
        <f>IF($D18="",,MONTAGE!BY17)</f>
        <v>0</v>
      </c>
      <c r="AT18" s="67">
        <f>IF($D18="",,MONTAGE!BZ17)</f>
        <v>0</v>
      </c>
      <c r="AU18" s="67">
        <f>IF($D18="",,MONTAGE!CA17)</f>
        <v>0</v>
      </c>
      <c r="AV18" s="67">
        <f>IF($D18="",,MONTAGE!CB17)</f>
        <v>0</v>
      </c>
      <c r="AW18" s="67">
        <f>IF($D18="",,MONTAGE!CC17)</f>
        <v>0</v>
      </c>
      <c r="AX18" s="67">
        <f>IF($D18="",,MONTAGE!CD17)</f>
        <v>0</v>
      </c>
    </row>
    <row r="19" spans="1:50" s="5" customFormat="1" hidden="1" x14ac:dyDescent="0.2">
      <c r="A19" s="60"/>
      <c r="B19" s="61" t="str">
        <f>IF(ELEMENT!AO16="","",MONTAGE!B18)</f>
        <v/>
      </c>
      <c r="C19" s="62" t="str">
        <f>IF(ELEMENT!AO16="","",IF(ELEMENT!AW16="JA",ELEMENT!V16,IF(ELEMENT!D16="","",CONCATENATE(ELEMENT!A16,"   ",ELEMENT!D16," x ",ELEMENT!E16,"mm  "))))</f>
        <v/>
      </c>
      <c r="D19" s="63">
        <f>IF(ELEMENT!AO16="",0,IF(ELEMENT!C16=0,Sprache!$B$86,ELEMENT!C16))</f>
        <v>0</v>
      </c>
      <c r="E19" s="67">
        <f>MONTAGE!F18*MONTAGE!C18</f>
        <v>0</v>
      </c>
      <c r="F19" s="67">
        <f>IF($D19="",,MONTAGE!X18)</f>
        <v>0</v>
      </c>
      <c r="G19" s="67">
        <f>IF($D19="",,MONTAGE!Z18)</f>
        <v>0</v>
      </c>
      <c r="H19" s="67">
        <f>IF($D19="",,MONTAGE!AB18)</f>
        <v>0</v>
      </c>
      <c r="I19" s="67">
        <f>IF($D19="",,MONTAGE!AD18)</f>
        <v>0</v>
      </c>
      <c r="J19" s="67">
        <f>IF($D19="",,MONTAGE!AF18)</f>
        <v>0</v>
      </c>
      <c r="K19" s="67">
        <f>IF($D19="",,MONTAGE!AH18)</f>
        <v>0</v>
      </c>
      <c r="L19" s="67">
        <f>IF($D19="",,MONTAGE!AJ18)</f>
        <v>0</v>
      </c>
      <c r="M19" s="67">
        <f>IF($D19="",,MONTAGE!AL18)</f>
        <v>0</v>
      </c>
      <c r="N19" s="67">
        <f>IF($D19="",,MONTAGE!AN18)</f>
        <v>0</v>
      </c>
      <c r="O19" s="67">
        <f>IF($D19="",,MONTAGE!AP18)</f>
        <v>0</v>
      </c>
      <c r="P19" s="67">
        <f>IF($D19="",,MONTAGE!AR18)</f>
        <v>0</v>
      </c>
      <c r="Q19" s="67">
        <f>IF($D19="",,MONTAGE!AT18)</f>
        <v>0</v>
      </c>
      <c r="R19" s="67">
        <f>IF($D19="",,MONTAGE!AV18)</f>
        <v>0</v>
      </c>
      <c r="S19" s="67">
        <f>IF($D19="",,MONTAGE!AX18)</f>
        <v>0</v>
      </c>
      <c r="T19" s="67">
        <f>IF($D19="",,MONTAGE!AZ18)</f>
        <v>0</v>
      </c>
      <c r="U19" s="67">
        <f>IF($D19="",,MONTAGE!BA18)</f>
        <v>0</v>
      </c>
      <c r="V19" s="67">
        <f>IF($D19="",,MONTAGE!BB18)</f>
        <v>0</v>
      </c>
      <c r="W19" s="67">
        <f>IF($D19="",,MONTAGE!BC18)</f>
        <v>0</v>
      </c>
      <c r="X19" s="67">
        <f>IF($D19="",,MONTAGE!BD18)</f>
        <v>0</v>
      </c>
      <c r="Y19" s="67">
        <f>IF($D19="",,MONTAGE!BE18)</f>
        <v>0</v>
      </c>
      <c r="Z19" s="67">
        <f>IF($D19="",,MONTAGE!BF18)</f>
        <v>0</v>
      </c>
      <c r="AA19" s="67">
        <f>IF($D19="",,MONTAGE!BG18)</f>
        <v>0</v>
      </c>
      <c r="AB19" s="67">
        <f>IF($D19="",,MONTAGE!BH18)</f>
        <v>0</v>
      </c>
      <c r="AC19" s="67">
        <f>IF($D19="",,MONTAGE!BI18)</f>
        <v>0</v>
      </c>
      <c r="AD19" s="67">
        <f>IF($D19="",,MONTAGE!BJ18)</f>
        <v>0</v>
      </c>
      <c r="AE19" s="67">
        <f>IF($D19="",,MONTAGE!BK18)</f>
        <v>0</v>
      </c>
      <c r="AF19" s="67">
        <f>IF($D19="",,MONTAGE!BL18)</f>
        <v>0</v>
      </c>
      <c r="AG19" s="67">
        <f>IF($D19="",,MONTAGE!BM18)</f>
        <v>0</v>
      </c>
      <c r="AH19" s="67">
        <f>IF($D19="",,MONTAGE!BN18)</f>
        <v>0</v>
      </c>
      <c r="AI19" s="67">
        <f>IF($D19="",,MONTAGE!BO18)</f>
        <v>0</v>
      </c>
      <c r="AJ19" s="67">
        <f>IF($D19="",,MONTAGE!BP18)</f>
        <v>0</v>
      </c>
      <c r="AK19" s="67">
        <f>IF($D19="",,MONTAGE!BQ18)</f>
        <v>0</v>
      </c>
      <c r="AL19" s="67">
        <f>IF($D19="",,MONTAGE!BR18)</f>
        <v>0</v>
      </c>
      <c r="AM19" s="67">
        <f>IF($D19="",,MONTAGE!BS18)</f>
        <v>0</v>
      </c>
      <c r="AN19" s="67">
        <f>IF($D19="",,MONTAGE!BT18)</f>
        <v>0</v>
      </c>
      <c r="AO19" s="67">
        <f>IF($D19="",,MONTAGE!BU18)</f>
        <v>0</v>
      </c>
      <c r="AP19" s="67">
        <f>IF($D19="",,MONTAGE!BV18)</f>
        <v>0</v>
      </c>
      <c r="AQ19" s="67">
        <f>IF($D19="",,MONTAGE!BW18)</f>
        <v>0</v>
      </c>
      <c r="AR19" s="67">
        <f>IF($D19="",,MONTAGE!BX18)</f>
        <v>0</v>
      </c>
      <c r="AS19" s="67">
        <f>IF($D19="",,MONTAGE!BY18)</f>
        <v>0</v>
      </c>
      <c r="AT19" s="67">
        <f>IF($D19="",,MONTAGE!BZ18)</f>
        <v>0</v>
      </c>
      <c r="AU19" s="67">
        <f>IF($D19="",,MONTAGE!CA18)</f>
        <v>0</v>
      </c>
      <c r="AV19" s="67">
        <f>IF($D19="",,MONTAGE!CB18)</f>
        <v>0</v>
      </c>
      <c r="AW19" s="67">
        <f>IF($D19="",,MONTAGE!CC18)</f>
        <v>0</v>
      </c>
      <c r="AX19" s="67">
        <f>IF($D19="",,MONTAGE!CD18)</f>
        <v>0</v>
      </c>
    </row>
    <row r="20" spans="1:50" s="5" customFormat="1" hidden="1" x14ac:dyDescent="0.2">
      <c r="A20" s="60"/>
      <c r="B20" s="61" t="str">
        <f>IF(ELEMENT!AO17="","",MONTAGE!B19)</f>
        <v/>
      </c>
      <c r="C20" s="62" t="str">
        <f>IF(ELEMENT!AO17="","",IF(ELEMENT!AW17="JA",ELEMENT!V17,IF(ELEMENT!D17="","",CONCATENATE(ELEMENT!A17,"   ",ELEMENT!D17," x ",ELEMENT!E17,"mm  "))))</f>
        <v/>
      </c>
      <c r="D20" s="63">
        <f>IF(ELEMENT!AO17="",0,IF(ELEMENT!C17=0,Sprache!$B$86,ELEMENT!C17))</f>
        <v>0</v>
      </c>
      <c r="E20" s="67">
        <f>MONTAGE!F19*MONTAGE!C19</f>
        <v>0</v>
      </c>
      <c r="F20" s="67">
        <f>IF($D20="",,MONTAGE!X19)</f>
        <v>0</v>
      </c>
      <c r="G20" s="67">
        <f>IF($D20="",,MONTAGE!Z19)</f>
        <v>0</v>
      </c>
      <c r="H20" s="67">
        <f>IF($D20="",,MONTAGE!AB19)</f>
        <v>0</v>
      </c>
      <c r="I20" s="67">
        <f>IF($D20="",,MONTAGE!AD19)</f>
        <v>0</v>
      </c>
      <c r="J20" s="67">
        <f>IF($D20="",,MONTAGE!AF19)</f>
        <v>0</v>
      </c>
      <c r="K20" s="67">
        <f>IF($D20="",,MONTAGE!AH19)</f>
        <v>0</v>
      </c>
      <c r="L20" s="67">
        <f>IF($D20="",,MONTAGE!AJ19)</f>
        <v>0</v>
      </c>
      <c r="M20" s="67">
        <f>IF($D20="",,MONTAGE!AL19)</f>
        <v>0</v>
      </c>
      <c r="N20" s="67">
        <f>IF($D20="",,MONTAGE!AN19)</f>
        <v>0</v>
      </c>
      <c r="O20" s="67">
        <f>IF($D20="",,MONTAGE!AP19)</f>
        <v>0</v>
      </c>
      <c r="P20" s="67">
        <f>IF($D20="",,MONTAGE!AR19)</f>
        <v>0</v>
      </c>
      <c r="Q20" s="67">
        <f>IF($D20="",,MONTAGE!AT19)</f>
        <v>0</v>
      </c>
      <c r="R20" s="67">
        <f>IF($D20="",,MONTAGE!AV19)</f>
        <v>0</v>
      </c>
      <c r="S20" s="67">
        <f>IF($D20="",,MONTAGE!AX19)</f>
        <v>0</v>
      </c>
      <c r="T20" s="67">
        <f>IF($D20="",,MONTAGE!AZ19)</f>
        <v>0</v>
      </c>
      <c r="U20" s="67">
        <f>IF($D20="",,MONTAGE!BA19)</f>
        <v>0</v>
      </c>
      <c r="V20" s="67">
        <f>IF($D20="",,MONTAGE!BB19)</f>
        <v>0</v>
      </c>
      <c r="W20" s="67">
        <f>IF($D20="",,MONTAGE!BC19)</f>
        <v>0</v>
      </c>
      <c r="X20" s="67">
        <f>IF($D20="",,MONTAGE!BD19)</f>
        <v>0</v>
      </c>
      <c r="Y20" s="67">
        <f>IF($D20="",,MONTAGE!BE19)</f>
        <v>0</v>
      </c>
      <c r="Z20" s="67">
        <f>IF($D20="",,MONTAGE!BF19)</f>
        <v>0</v>
      </c>
      <c r="AA20" s="67">
        <f>IF($D20="",,MONTAGE!BG19)</f>
        <v>0</v>
      </c>
      <c r="AB20" s="67">
        <f>IF($D20="",,MONTAGE!BH19)</f>
        <v>0</v>
      </c>
      <c r="AC20" s="67">
        <f>IF($D20="",,MONTAGE!BI19)</f>
        <v>0</v>
      </c>
      <c r="AD20" s="67">
        <f>IF($D20="",,MONTAGE!BJ19)</f>
        <v>0</v>
      </c>
      <c r="AE20" s="67">
        <f>IF($D20="",,MONTAGE!BK19)</f>
        <v>0</v>
      </c>
      <c r="AF20" s="67">
        <f>IF($D20="",,MONTAGE!BL19)</f>
        <v>0</v>
      </c>
      <c r="AG20" s="67">
        <f>IF($D20="",,MONTAGE!BM19)</f>
        <v>0</v>
      </c>
      <c r="AH20" s="67">
        <f>IF($D20="",,MONTAGE!BN19)</f>
        <v>0</v>
      </c>
      <c r="AI20" s="67">
        <f>IF($D20="",,MONTAGE!BO19)</f>
        <v>0</v>
      </c>
      <c r="AJ20" s="67">
        <f>IF($D20="",,MONTAGE!BP19)</f>
        <v>0</v>
      </c>
      <c r="AK20" s="67">
        <f>IF($D20="",,MONTAGE!BQ19)</f>
        <v>0</v>
      </c>
      <c r="AL20" s="67">
        <f>IF($D20="",,MONTAGE!BR19)</f>
        <v>0</v>
      </c>
      <c r="AM20" s="67">
        <f>IF($D20="",,MONTAGE!BS19)</f>
        <v>0</v>
      </c>
      <c r="AN20" s="67">
        <f>IF($D20="",,MONTAGE!BT19)</f>
        <v>0</v>
      </c>
      <c r="AO20" s="67">
        <f>IF($D20="",,MONTAGE!BU19)</f>
        <v>0</v>
      </c>
      <c r="AP20" s="67">
        <f>IF($D20="",,MONTAGE!BV19)</f>
        <v>0</v>
      </c>
      <c r="AQ20" s="67">
        <f>IF($D20="",,MONTAGE!BW19)</f>
        <v>0</v>
      </c>
      <c r="AR20" s="67">
        <f>IF($D20="",,MONTAGE!BX19)</f>
        <v>0</v>
      </c>
      <c r="AS20" s="67">
        <f>IF($D20="",,MONTAGE!BY19)</f>
        <v>0</v>
      </c>
      <c r="AT20" s="67">
        <f>IF($D20="",,MONTAGE!BZ19)</f>
        <v>0</v>
      </c>
      <c r="AU20" s="67">
        <f>IF($D20="",,MONTAGE!CA19)</f>
        <v>0</v>
      </c>
      <c r="AV20" s="67">
        <f>IF($D20="",,MONTAGE!CB19)</f>
        <v>0</v>
      </c>
      <c r="AW20" s="67">
        <f>IF($D20="",,MONTAGE!CC19)</f>
        <v>0</v>
      </c>
      <c r="AX20" s="67">
        <f>IF($D20="",,MONTAGE!CD19)</f>
        <v>0</v>
      </c>
    </row>
    <row r="21" spans="1:50" s="5" customFormat="1" hidden="1" x14ac:dyDescent="0.2">
      <c r="A21" s="60"/>
      <c r="B21" s="61" t="str">
        <f>IF(ELEMENT!AO18="","",MONTAGE!B20)</f>
        <v/>
      </c>
      <c r="C21" s="62" t="str">
        <f>IF(ELEMENT!AO18="","",IF(ELEMENT!AW18="JA",ELEMENT!V18,IF(ELEMENT!D18="","",CONCATENATE(ELEMENT!A18,"   ",ELEMENT!D18," x ",ELEMENT!E18,"mm  "))))</f>
        <v/>
      </c>
      <c r="D21" s="63">
        <f>IF(ELEMENT!AO18="",0,IF(ELEMENT!C18=0,Sprache!$B$86,ELEMENT!C18))</f>
        <v>0</v>
      </c>
      <c r="E21" s="67">
        <f>MONTAGE!F20*MONTAGE!C20</f>
        <v>0</v>
      </c>
      <c r="F21" s="67">
        <f>IF($D21="",,MONTAGE!X20)</f>
        <v>0</v>
      </c>
      <c r="G21" s="67">
        <f>IF($D21="",,MONTAGE!Z20)</f>
        <v>0</v>
      </c>
      <c r="H21" s="67">
        <f>IF($D21="",,MONTAGE!AB20)</f>
        <v>0</v>
      </c>
      <c r="I21" s="67">
        <f>IF($D21="",,MONTAGE!AD20)</f>
        <v>0</v>
      </c>
      <c r="J21" s="67">
        <f>IF($D21="",,MONTAGE!AF20)</f>
        <v>0</v>
      </c>
      <c r="K21" s="67">
        <f>IF($D21="",,MONTAGE!AH20)</f>
        <v>0</v>
      </c>
      <c r="L21" s="67">
        <f>IF($D21="",,MONTAGE!AJ20)</f>
        <v>0</v>
      </c>
      <c r="M21" s="67">
        <f>IF($D21="",,MONTAGE!AL20)</f>
        <v>0</v>
      </c>
      <c r="N21" s="67">
        <f>IF($D21="",,MONTAGE!AN20)</f>
        <v>0</v>
      </c>
      <c r="O21" s="67">
        <f>IF($D21="",,MONTAGE!AP20)</f>
        <v>0</v>
      </c>
      <c r="P21" s="67">
        <f>IF($D21="",,MONTAGE!AR20)</f>
        <v>0</v>
      </c>
      <c r="Q21" s="67">
        <f>IF($D21="",,MONTAGE!AT20)</f>
        <v>0</v>
      </c>
      <c r="R21" s="67">
        <f>IF($D21="",,MONTAGE!AV20)</f>
        <v>0</v>
      </c>
      <c r="S21" s="67">
        <f>IF($D21="",,MONTAGE!AX20)</f>
        <v>0</v>
      </c>
      <c r="T21" s="67">
        <f>IF($D21="",,MONTAGE!AZ20)</f>
        <v>0</v>
      </c>
      <c r="U21" s="67">
        <f>IF($D21="",,MONTAGE!BA20)</f>
        <v>0</v>
      </c>
      <c r="V21" s="67">
        <f>IF($D21="",,MONTAGE!BB20)</f>
        <v>0</v>
      </c>
      <c r="W21" s="67">
        <f>IF($D21="",,MONTAGE!BC20)</f>
        <v>0</v>
      </c>
      <c r="X21" s="67">
        <f>IF($D21="",,MONTAGE!BD20)</f>
        <v>0</v>
      </c>
      <c r="Y21" s="67">
        <f>IF($D21="",,MONTAGE!BE20)</f>
        <v>0</v>
      </c>
      <c r="Z21" s="67">
        <f>IF($D21="",,MONTAGE!BF20)</f>
        <v>0</v>
      </c>
      <c r="AA21" s="67">
        <f>IF($D21="",,MONTAGE!BG20)</f>
        <v>0</v>
      </c>
      <c r="AB21" s="67">
        <f>IF($D21="",,MONTAGE!BH20)</f>
        <v>0</v>
      </c>
      <c r="AC21" s="67">
        <f>IF($D21="",,MONTAGE!BI20)</f>
        <v>0</v>
      </c>
      <c r="AD21" s="67">
        <f>IF($D21="",,MONTAGE!BJ20)</f>
        <v>0</v>
      </c>
      <c r="AE21" s="67">
        <f>IF($D21="",,MONTAGE!BK20)</f>
        <v>0</v>
      </c>
      <c r="AF21" s="67">
        <f>IF($D21="",,MONTAGE!BL20)</f>
        <v>0</v>
      </c>
      <c r="AG21" s="67">
        <f>IF($D21="",,MONTAGE!BM20)</f>
        <v>0</v>
      </c>
      <c r="AH21" s="67">
        <f>IF($D21="",,MONTAGE!BN20)</f>
        <v>0</v>
      </c>
      <c r="AI21" s="67">
        <f>IF($D21="",,MONTAGE!BO20)</f>
        <v>0</v>
      </c>
      <c r="AJ21" s="67">
        <f>IF($D21="",,MONTAGE!BP20)</f>
        <v>0</v>
      </c>
      <c r="AK21" s="67">
        <f>IF($D21="",,MONTAGE!BQ20)</f>
        <v>0</v>
      </c>
      <c r="AL21" s="67">
        <f>IF($D21="",,MONTAGE!BR20)</f>
        <v>0</v>
      </c>
      <c r="AM21" s="67">
        <f>IF($D21="",,MONTAGE!BS20)</f>
        <v>0</v>
      </c>
      <c r="AN21" s="67">
        <f>IF($D21="",,MONTAGE!BT20)</f>
        <v>0</v>
      </c>
      <c r="AO21" s="67">
        <f>IF($D21="",,MONTAGE!BU20)</f>
        <v>0</v>
      </c>
      <c r="AP21" s="67">
        <f>IF($D21="",,MONTAGE!BV20)</f>
        <v>0</v>
      </c>
      <c r="AQ21" s="67">
        <f>IF($D21="",,MONTAGE!BW20)</f>
        <v>0</v>
      </c>
      <c r="AR21" s="67">
        <f>IF($D21="",,MONTAGE!BX20)</f>
        <v>0</v>
      </c>
      <c r="AS21" s="67">
        <f>IF($D21="",,MONTAGE!BY20)</f>
        <v>0</v>
      </c>
      <c r="AT21" s="67">
        <f>IF($D21="",,MONTAGE!BZ20)</f>
        <v>0</v>
      </c>
      <c r="AU21" s="67">
        <f>IF($D21="",,MONTAGE!CA20)</f>
        <v>0</v>
      </c>
      <c r="AV21" s="67">
        <f>IF($D21="",,MONTAGE!CB20)</f>
        <v>0</v>
      </c>
      <c r="AW21" s="67">
        <f>IF($D21="",,MONTAGE!CC20)</f>
        <v>0</v>
      </c>
      <c r="AX21" s="67">
        <f>IF($D21="",,MONTAGE!CD20)</f>
        <v>0</v>
      </c>
    </row>
    <row r="22" spans="1:50" s="5" customFormat="1" hidden="1" x14ac:dyDescent="0.2">
      <c r="A22" s="60"/>
      <c r="B22" s="61" t="str">
        <f>IF(ELEMENT!AO19="","",MONTAGE!B21)</f>
        <v/>
      </c>
      <c r="C22" s="62" t="str">
        <f>IF(ELEMENT!AO19="","",IF(ELEMENT!AW19="JA",ELEMENT!V19,IF(ELEMENT!D19="","",CONCATENATE(ELEMENT!A19,"   ",ELEMENT!D19," x ",ELEMENT!E19,"mm  "))))</f>
        <v/>
      </c>
      <c r="D22" s="63">
        <f>IF(ELEMENT!AO19="",0,IF(ELEMENT!C19=0,Sprache!$B$86,ELEMENT!C19))</f>
        <v>0</v>
      </c>
      <c r="E22" s="67">
        <f>MONTAGE!F21*MONTAGE!C21</f>
        <v>0</v>
      </c>
      <c r="F22" s="67">
        <f>IF($D22="",,MONTAGE!X21)</f>
        <v>0</v>
      </c>
      <c r="G22" s="67">
        <f>IF($D22="",,MONTAGE!Z21)</f>
        <v>0</v>
      </c>
      <c r="H22" s="67">
        <f>IF($D22="",,MONTAGE!AB21)</f>
        <v>0</v>
      </c>
      <c r="I22" s="67">
        <f>IF($D22="",,MONTAGE!AD21)</f>
        <v>0</v>
      </c>
      <c r="J22" s="67">
        <f>IF($D22="",,MONTAGE!AF21)</f>
        <v>0</v>
      </c>
      <c r="K22" s="67">
        <f>IF($D22="",,MONTAGE!AH21)</f>
        <v>0</v>
      </c>
      <c r="L22" s="67">
        <f>IF($D22="",,MONTAGE!AJ21)</f>
        <v>0</v>
      </c>
      <c r="M22" s="67">
        <f>IF($D22="",,MONTAGE!AL21)</f>
        <v>0</v>
      </c>
      <c r="N22" s="67">
        <f>IF($D22="",,MONTAGE!AN21)</f>
        <v>0</v>
      </c>
      <c r="O22" s="67">
        <f>IF($D22="",,MONTAGE!AP21)</f>
        <v>0</v>
      </c>
      <c r="P22" s="67">
        <f>IF($D22="",,MONTAGE!AR21)</f>
        <v>0</v>
      </c>
      <c r="Q22" s="67">
        <f>IF($D22="",,MONTAGE!AT21)</f>
        <v>0</v>
      </c>
      <c r="R22" s="67">
        <f>IF($D22="",,MONTAGE!AV21)</f>
        <v>0</v>
      </c>
      <c r="S22" s="67">
        <f>IF($D22="",,MONTAGE!AX21)</f>
        <v>0</v>
      </c>
      <c r="T22" s="67">
        <f>IF($D22="",,MONTAGE!AZ21)</f>
        <v>0</v>
      </c>
      <c r="U22" s="67">
        <f>IF($D22="",,MONTAGE!BA21)</f>
        <v>0</v>
      </c>
      <c r="V22" s="67">
        <f>IF($D22="",,MONTAGE!BB21)</f>
        <v>0</v>
      </c>
      <c r="W22" s="67">
        <f>IF($D22="",,MONTAGE!BC21)</f>
        <v>0</v>
      </c>
      <c r="X22" s="67">
        <f>IF($D22="",,MONTAGE!BD21)</f>
        <v>0</v>
      </c>
      <c r="Y22" s="67">
        <f>IF($D22="",,MONTAGE!BE21)</f>
        <v>0</v>
      </c>
      <c r="Z22" s="67">
        <f>IF($D22="",,MONTAGE!BF21)</f>
        <v>0</v>
      </c>
      <c r="AA22" s="67">
        <f>IF($D22="",,MONTAGE!BG21)</f>
        <v>0</v>
      </c>
      <c r="AB22" s="67">
        <f>IF($D22="",,MONTAGE!BH21)</f>
        <v>0</v>
      </c>
      <c r="AC22" s="67">
        <f>IF($D22="",,MONTAGE!BI21)</f>
        <v>0</v>
      </c>
      <c r="AD22" s="67">
        <f>IF($D22="",,MONTAGE!BJ21)</f>
        <v>0</v>
      </c>
      <c r="AE22" s="67">
        <f>IF($D22="",,MONTAGE!BK21)</f>
        <v>0</v>
      </c>
      <c r="AF22" s="67">
        <f>IF($D22="",,MONTAGE!BL21)</f>
        <v>0</v>
      </c>
      <c r="AG22" s="67">
        <f>IF($D22="",,MONTAGE!BM21)</f>
        <v>0</v>
      </c>
      <c r="AH22" s="67">
        <f>IF($D22="",,MONTAGE!BN21)</f>
        <v>0</v>
      </c>
      <c r="AI22" s="67">
        <f>IF($D22="",,MONTAGE!BO21)</f>
        <v>0</v>
      </c>
      <c r="AJ22" s="67">
        <f>IF($D22="",,MONTAGE!BP21)</f>
        <v>0</v>
      </c>
      <c r="AK22" s="67">
        <f>IF($D22="",,MONTAGE!BQ21)</f>
        <v>0</v>
      </c>
      <c r="AL22" s="67">
        <f>IF($D22="",,MONTAGE!BR21)</f>
        <v>0</v>
      </c>
      <c r="AM22" s="67">
        <f>IF($D22="",,MONTAGE!BS21)</f>
        <v>0</v>
      </c>
      <c r="AN22" s="67">
        <f>IF($D22="",,MONTAGE!BT21)</f>
        <v>0</v>
      </c>
      <c r="AO22" s="67">
        <f>IF($D22="",,MONTAGE!BU21)</f>
        <v>0</v>
      </c>
      <c r="AP22" s="67">
        <f>IF($D22="",,MONTAGE!BV21)</f>
        <v>0</v>
      </c>
      <c r="AQ22" s="67">
        <f>IF($D22="",,MONTAGE!BW21)</f>
        <v>0</v>
      </c>
      <c r="AR22" s="67">
        <f>IF($D22="",,MONTAGE!BX21)</f>
        <v>0</v>
      </c>
      <c r="AS22" s="67">
        <f>IF($D22="",,MONTAGE!BY21)</f>
        <v>0</v>
      </c>
      <c r="AT22" s="67">
        <f>IF($D22="",,MONTAGE!BZ21)</f>
        <v>0</v>
      </c>
      <c r="AU22" s="67">
        <f>IF($D22="",,MONTAGE!CA21)</f>
        <v>0</v>
      </c>
      <c r="AV22" s="67">
        <f>IF($D22="",,MONTAGE!CB21)</f>
        <v>0</v>
      </c>
      <c r="AW22" s="67">
        <f>IF($D22="",,MONTAGE!CC21)</f>
        <v>0</v>
      </c>
      <c r="AX22" s="67">
        <f>IF($D22="",,MONTAGE!CD21)</f>
        <v>0</v>
      </c>
    </row>
    <row r="23" spans="1:50" s="5" customFormat="1" hidden="1" x14ac:dyDescent="0.2">
      <c r="A23" s="60"/>
      <c r="B23" s="61" t="str">
        <f>IF(ELEMENT!AO20="","",MONTAGE!B22)</f>
        <v/>
      </c>
      <c r="C23" s="62" t="str">
        <f>IF(ELEMENT!AO20="","",IF(ELEMENT!AW20="JA",ELEMENT!V20,IF(ELEMENT!D20="","",CONCATENATE(ELEMENT!A20,"   ",ELEMENT!D20," x ",ELEMENT!E20,"mm  "))))</f>
        <v/>
      </c>
      <c r="D23" s="63">
        <f>IF(ELEMENT!AO20="",0,IF(ELEMENT!C20=0,Sprache!$B$86,ELEMENT!C20))</f>
        <v>0</v>
      </c>
      <c r="E23" s="67">
        <f>MONTAGE!F22*MONTAGE!C22</f>
        <v>0</v>
      </c>
      <c r="F23" s="67">
        <f>IF($D23="",,MONTAGE!X22)</f>
        <v>0</v>
      </c>
      <c r="G23" s="67">
        <f>IF($D23="",,MONTAGE!Z22)</f>
        <v>0</v>
      </c>
      <c r="H23" s="67">
        <f>IF($D23="",,MONTAGE!AB22)</f>
        <v>0</v>
      </c>
      <c r="I23" s="67">
        <f>IF($D23="",,MONTAGE!AD22)</f>
        <v>0</v>
      </c>
      <c r="J23" s="67">
        <f>IF($D23="",,MONTAGE!AF22)</f>
        <v>0</v>
      </c>
      <c r="K23" s="67">
        <f>IF($D23="",,MONTAGE!AH22)</f>
        <v>0</v>
      </c>
      <c r="L23" s="67">
        <f>IF($D23="",,MONTAGE!AJ22)</f>
        <v>0</v>
      </c>
      <c r="M23" s="67">
        <f>IF($D23="",,MONTAGE!AL22)</f>
        <v>0</v>
      </c>
      <c r="N23" s="67">
        <f>IF($D23="",,MONTAGE!AN22)</f>
        <v>0</v>
      </c>
      <c r="O23" s="67">
        <f>IF($D23="",,MONTAGE!AP22)</f>
        <v>0</v>
      </c>
      <c r="P23" s="67">
        <f>IF($D23="",,MONTAGE!AR22)</f>
        <v>0</v>
      </c>
      <c r="Q23" s="67">
        <f>IF($D23="",,MONTAGE!AT22)</f>
        <v>0</v>
      </c>
      <c r="R23" s="67">
        <f>IF($D23="",,MONTAGE!AV22)</f>
        <v>0</v>
      </c>
      <c r="S23" s="67">
        <f>IF($D23="",,MONTAGE!AX22)</f>
        <v>0</v>
      </c>
      <c r="T23" s="67">
        <f>IF($D23="",,MONTAGE!AZ22)</f>
        <v>0</v>
      </c>
      <c r="U23" s="67">
        <f>IF($D23="",,MONTAGE!BA22)</f>
        <v>0</v>
      </c>
      <c r="V23" s="67">
        <f>IF($D23="",,MONTAGE!BB22)</f>
        <v>0</v>
      </c>
      <c r="W23" s="67">
        <f>IF($D23="",,MONTAGE!BC22)</f>
        <v>0</v>
      </c>
      <c r="X23" s="67">
        <f>IF($D23="",,MONTAGE!BD22)</f>
        <v>0</v>
      </c>
      <c r="Y23" s="67">
        <f>IF($D23="",,MONTAGE!BE22)</f>
        <v>0</v>
      </c>
      <c r="Z23" s="67">
        <f>IF($D23="",,MONTAGE!BF22)</f>
        <v>0</v>
      </c>
      <c r="AA23" s="67">
        <f>IF($D23="",,MONTAGE!BG22)</f>
        <v>0</v>
      </c>
      <c r="AB23" s="67">
        <f>IF($D23="",,MONTAGE!BH22)</f>
        <v>0</v>
      </c>
      <c r="AC23" s="67">
        <f>IF($D23="",,MONTAGE!BI22)</f>
        <v>0</v>
      </c>
      <c r="AD23" s="67">
        <f>IF($D23="",,MONTAGE!BJ22)</f>
        <v>0</v>
      </c>
      <c r="AE23" s="67">
        <f>IF($D23="",,MONTAGE!BK22)</f>
        <v>0</v>
      </c>
      <c r="AF23" s="67">
        <f>IF($D23="",,MONTAGE!BL22)</f>
        <v>0</v>
      </c>
      <c r="AG23" s="67">
        <f>IF($D23="",,MONTAGE!BM22)</f>
        <v>0</v>
      </c>
      <c r="AH23" s="67">
        <f>IF($D23="",,MONTAGE!BN22)</f>
        <v>0</v>
      </c>
      <c r="AI23" s="67">
        <f>IF($D23="",,MONTAGE!BO22)</f>
        <v>0</v>
      </c>
      <c r="AJ23" s="67">
        <f>IF($D23="",,MONTAGE!BP22)</f>
        <v>0</v>
      </c>
      <c r="AK23" s="67">
        <f>IF($D23="",,MONTAGE!BQ22)</f>
        <v>0</v>
      </c>
      <c r="AL23" s="67">
        <f>IF($D23="",,MONTAGE!BR22)</f>
        <v>0</v>
      </c>
      <c r="AM23" s="67">
        <f>IF($D23="",,MONTAGE!BS22)</f>
        <v>0</v>
      </c>
      <c r="AN23" s="67">
        <f>IF($D23="",,MONTAGE!BT22)</f>
        <v>0</v>
      </c>
      <c r="AO23" s="67">
        <f>IF($D23="",,MONTAGE!BU22)</f>
        <v>0</v>
      </c>
      <c r="AP23" s="67">
        <f>IF($D23="",,MONTAGE!BV22)</f>
        <v>0</v>
      </c>
      <c r="AQ23" s="67">
        <f>IF($D23="",,MONTAGE!BW22)</f>
        <v>0</v>
      </c>
      <c r="AR23" s="67">
        <f>IF($D23="",,MONTAGE!BX22)</f>
        <v>0</v>
      </c>
      <c r="AS23" s="67">
        <f>IF($D23="",,MONTAGE!BY22)</f>
        <v>0</v>
      </c>
      <c r="AT23" s="67">
        <f>IF($D23="",,MONTAGE!BZ22)</f>
        <v>0</v>
      </c>
      <c r="AU23" s="67">
        <f>IF($D23="",,MONTAGE!CA22)</f>
        <v>0</v>
      </c>
      <c r="AV23" s="67">
        <f>IF($D23="",,MONTAGE!CB22)</f>
        <v>0</v>
      </c>
      <c r="AW23" s="67">
        <f>IF($D23="",,MONTAGE!CC22)</f>
        <v>0</v>
      </c>
      <c r="AX23" s="67">
        <f>IF($D23="",,MONTAGE!CD22)</f>
        <v>0</v>
      </c>
    </row>
    <row r="24" spans="1:50" s="5" customFormat="1" hidden="1" x14ac:dyDescent="0.2">
      <c r="A24" s="60"/>
      <c r="B24" s="61" t="str">
        <f>IF(ELEMENT!AO21="","",MONTAGE!B23)</f>
        <v/>
      </c>
      <c r="C24" s="62" t="str">
        <f>IF(ELEMENT!AO21="","",IF(ELEMENT!AW21="JA",ELEMENT!V21,IF(ELEMENT!D21="","",CONCATENATE(ELEMENT!A21,"   ",ELEMENT!D21," x ",ELEMENT!E21,"mm  "))))</f>
        <v/>
      </c>
      <c r="D24" s="63">
        <f>IF(ELEMENT!AO21="",0,IF(ELEMENT!C21=0,Sprache!$B$86,ELEMENT!C21))</f>
        <v>0</v>
      </c>
      <c r="E24" s="67">
        <f>MONTAGE!F23*MONTAGE!C23</f>
        <v>0</v>
      </c>
      <c r="F24" s="67">
        <f>IF($D24="",,MONTAGE!X23)</f>
        <v>0</v>
      </c>
      <c r="G24" s="67">
        <f>IF($D24="",,MONTAGE!Z23)</f>
        <v>0</v>
      </c>
      <c r="H24" s="67">
        <f>IF($D24="",,MONTAGE!AB23)</f>
        <v>0</v>
      </c>
      <c r="I24" s="67">
        <f>IF($D24="",,MONTAGE!AD23)</f>
        <v>0</v>
      </c>
      <c r="J24" s="67">
        <f>IF($D24="",,MONTAGE!AF23)</f>
        <v>0</v>
      </c>
      <c r="K24" s="67">
        <f>IF($D24="",,MONTAGE!AH23)</f>
        <v>0</v>
      </c>
      <c r="L24" s="67">
        <f>IF($D24="",,MONTAGE!AJ23)</f>
        <v>0</v>
      </c>
      <c r="M24" s="67">
        <f>IF($D24="",,MONTAGE!AL23)</f>
        <v>0</v>
      </c>
      <c r="N24" s="67">
        <f>IF($D24="",,MONTAGE!AN23)</f>
        <v>0</v>
      </c>
      <c r="O24" s="67">
        <f>IF($D24="",,MONTAGE!AP23)</f>
        <v>0</v>
      </c>
      <c r="P24" s="67">
        <f>IF($D24="",,MONTAGE!AR23)</f>
        <v>0</v>
      </c>
      <c r="Q24" s="67">
        <f>IF($D24="",,MONTAGE!AT23)</f>
        <v>0</v>
      </c>
      <c r="R24" s="67">
        <f>IF($D24="",,MONTAGE!AV23)</f>
        <v>0</v>
      </c>
      <c r="S24" s="67">
        <f>IF($D24="",,MONTAGE!AX23)</f>
        <v>0</v>
      </c>
      <c r="T24" s="67">
        <f>IF($D24="",,MONTAGE!AZ23)</f>
        <v>0</v>
      </c>
      <c r="U24" s="67">
        <f>IF($D24="",,MONTAGE!BA23)</f>
        <v>0</v>
      </c>
      <c r="V24" s="67">
        <f>IF($D24="",,MONTAGE!BB23)</f>
        <v>0</v>
      </c>
      <c r="W24" s="67">
        <f>IF($D24="",,MONTAGE!BC23)</f>
        <v>0</v>
      </c>
      <c r="X24" s="67">
        <f>IF($D24="",,MONTAGE!BD23)</f>
        <v>0</v>
      </c>
      <c r="Y24" s="67">
        <f>IF($D24="",,MONTAGE!BE23)</f>
        <v>0</v>
      </c>
      <c r="Z24" s="67">
        <f>IF($D24="",,MONTAGE!BF23)</f>
        <v>0</v>
      </c>
      <c r="AA24" s="67">
        <f>IF($D24="",,MONTAGE!BG23)</f>
        <v>0</v>
      </c>
      <c r="AB24" s="67">
        <f>IF($D24="",,MONTAGE!BH23)</f>
        <v>0</v>
      </c>
      <c r="AC24" s="67">
        <f>IF($D24="",,MONTAGE!BI23)</f>
        <v>0</v>
      </c>
      <c r="AD24" s="67">
        <f>IF($D24="",,MONTAGE!BJ23)</f>
        <v>0</v>
      </c>
      <c r="AE24" s="67">
        <f>IF($D24="",,MONTAGE!BK23)</f>
        <v>0</v>
      </c>
      <c r="AF24" s="67">
        <f>IF($D24="",,MONTAGE!BL23)</f>
        <v>0</v>
      </c>
      <c r="AG24" s="67">
        <f>IF($D24="",,MONTAGE!BM23)</f>
        <v>0</v>
      </c>
      <c r="AH24" s="67">
        <f>IF($D24="",,MONTAGE!BN23)</f>
        <v>0</v>
      </c>
      <c r="AI24" s="67">
        <f>IF($D24="",,MONTAGE!BO23)</f>
        <v>0</v>
      </c>
      <c r="AJ24" s="67">
        <f>IF($D24="",,MONTAGE!BP23)</f>
        <v>0</v>
      </c>
      <c r="AK24" s="67">
        <f>IF($D24="",,MONTAGE!BQ23)</f>
        <v>0</v>
      </c>
      <c r="AL24" s="67">
        <f>IF($D24="",,MONTAGE!BR23)</f>
        <v>0</v>
      </c>
      <c r="AM24" s="67">
        <f>IF($D24="",,MONTAGE!BS23)</f>
        <v>0</v>
      </c>
      <c r="AN24" s="67">
        <f>IF($D24="",,MONTAGE!BT23)</f>
        <v>0</v>
      </c>
      <c r="AO24" s="67">
        <f>IF($D24="",,MONTAGE!BU23)</f>
        <v>0</v>
      </c>
      <c r="AP24" s="67">
        <f>IF($D24="",,MONTAGE!BV23)</f>
        <v>0</v>
      </c>
      <c r="AQ24" s="67">
        <f>IF($D24="",,MONTAGE!BW23)</f>
        <v>0</v>
      </c>
      <c r="AR24" s="67">
        <f>IF($D24="",,MONTAGE!BX23)</f>
        <v>0</v>
      </c>
      <c r="AS24" s="67">
        <f>IF($D24="",,MONTAGE!BY23)</f>
        <v>0</v>
      </c>
      <c r="AT24" s="67">
        <f>IF($D24="",,MONTAGE!BZ23)</f>
        <v>0</v>
      </c>
      <c r="AU24" s="67">
        <f>IF($D24="",,MONTAGE!CA23)</f>
        <v>0</v>
      </c>
      <c r="AV24" s="67">
        <f>IF($D24="",,MONTAGE!CB23)</f>
        <v>0</v>
      </c>
      <c r="AW24" s="67">
        <f>IF($D24="",,MONTAGE!CC23)</f>
        <v>0</v>
      </c>
      <c r="AX24" s="67">
        <f>IF($D24="",,MONTAGE!CD23)</f>
        <v>0</v>
      </c>
    </row>
    <row r="25" spans="1:50" s="5" customFormat="1" hidden="1" x14ac:dyDescent="0.2">
      <c r="A25" s="60"/>
      <c r="B25" s="61" t="str">
        <f>IF(ELEMENT!AO22="","",MONTAGE!B24)</f>
        <v/>
      </c>
      <c r="C25" s="62" t="str">
        <f>IF(ELEMENT!AO22="","",IF(ELEMENT!AW22="JA",ELEMENT!V22,IF(ELEMENT!D22="","",CONCATENATE(ELEMENT!A22,"   ",ELEMENT!D22," x ",ELEMENT!E22,"mm  "))))</f>
        <v/>
      </c>
      <c r="D25" s="63">
        <f>IF(ELEMENT!AO22="",0,IF(ELEMENT!C22=0,Sprache!$B$86,ELEMENT!C22))</f>
        <v>0</v>
      </c>
      <c r="E25" s="67">
        <f>MONTAGE!F24*MONTAGE!C24</f>
        <v>0</v>
      </c>
      <c r="F25" s="67">
        <f>IF($D25="",,MONTAGE!X24)</f>
        <v>0</v>
      </c>
      <c r="G25" s="67">
        <f>IF($D25="",,MONTAGE!Z24)</f>
        <v>0</v>
      </c>
      <c r="H25" s="67">
        <f>IF($D25="",,MONTAGE!AB24)</f>
        <v>0</v>
      </c>
      <c r="I25" s="67">
        <f>IF($D25="",,MONTAGE!AD24)</f>
        <v>0</v>
      </c>
      <c r="J25" s="67">
        <f>IF($D25="",,MONTAGE!AF24)</f>
        <v>0</v>
      </c>
      <c r="K25" s="67">
        <f>IF($D25="",,MONTAGE!AH24)</f>
        <v>0</v>
      </c>
      <c r="L25" s="67">
        <f>IF($D25="",,MONTAGE!AJ24)</f>
        <v>0</v>
      </c>
      <c r="M25" s="67">
        <f>IF($D25="",,MONTAGE!AL24)</f>
        <v>0</v>
      </c>
      <c r="N25" s="67">
        <f>IF($D25="",,MONTAGE!AN24)</f>
        <v>0</v>
      </c>
      <c r="O25" s="67">
        <f>IF($D25="",,MONTAGE!AP24)</f>
        <v>0</v>
      </c>
      <c r="P25" s="67">
        <f>IF($D25="",,MONTAGE!AR24)</f>
        <v>0</v>
      </c>
      <c r="Q25" s="67">
        <f>IF($D25="",,MONTAGE!AT24)</f>
        <v>0</v>
      </c>
      <c r="R25" s="67">
        <f>IF($D25="",,MONTAGE!AV24)</f>
        <v>0</v>
      </c>
      <c r="S25" s="67">
        <f>IF($D25="",,MONTAGE!AX24)</f>
        <v>0</v>
      </c>
      <c r="T25" s="67">
        <f>IF($D25="",,MONTAGE!AZ24)</f>
        <v>0</v>
      </c>
      <c r="U25" s="67">
        <f>IF($D25="",,MONTAGE!BA24)</f>
        <v>0</v>
      </c>
      <c r="V25" s="67">
        <f>IF($D25="",,MONTAGE!BB24)</f>
        <v>0</v>
      </c>
      <c r="W25" s="67">
        <f>IF($D25="",,MONTAGE!BC24)</f>
        <v>0</v>
      </c>
      <c r="X25" s="67">
        <f>IF($D25="",,MONTAGE!BD24)</f>
        <v>0</v>
      </c>
      <c r="Y25" s="67">
        <f>IF($D25="",,MONTAGE!BE24)</f>
        <v>0</v>
      </c>
      <c r="Z25" s="67">
        <f>IF($D25="",,MONTAGE!BF24)</f>
        <v>0</v>
      </c>
      <c r="AA25" s="67">
        <f>IF($D25="",,MONTAGE!BG24)</f>
        <v>0</v>
      </c>
      <c r="AB25" s="67">
        <f>IF($D25="",,MONTAGE!BH24)</f>
        <v>0</v>
      </c>
      <c r="AC25" s="67">
        <f>IF($D25="",,MONTAGE!BI24)</f>
        <v>0</v>
      </c>
      <c r="AD25" s="67">
        <f>IF($D25="",,MONTAGE!BJ24)</f>
        <v>0</v>
      </c>
      <c r="AE25" s="67">
        <f>IF($D25="",,MONTAGE!BK24)</f>
        <v>0</v>
      </c>
      <c r="AF25" s="67">
        <f>IF($D25="",,MONTAGE!BL24)</f>
        <v>0</v>
      </c>
      <c r="AG25" s="67">
        <f>IF($D25="",,MONTAGE!BM24)</f>
        <v>0</v>
      </c>
      <c r="AH25" s="67">
        <f>IF($D25="",,MONTAGE!BN24)</f>
        <v>0</v>
      </c>
      <c r="AI25" s="67">
        <f>IF($D25="",,MONTAGE!BO24)</f>
        <v>0</v>
      </c>
      <c r="AJ25" s="67">
        <f>IF($D25="",,MONTAGE!BP24)</f>
        <v>0</v>
      </c>
      <c r="AK25" s="67">
        <f>IF($D25="",,MONTAGE!BQ24)</f>
        <v>0</v>
      </c>
      <c r="AL25" s="67">
        <f>IF($D25="",,MONTAGE!BR24)</f>
        <v>0</v>
      </c>
      <c r="AM25" s="67">
        <f>IF($D25="",,MONTAGE!BS24)</f>
        <v>0</v>
      </c>
      <c r="AN25" s="67">
        <f>IF($D25="",,MONTAGE!BT24)</f>
        <v>0</v>
      </c>
      <c r="AO25" s="67">
        <f>IF($D25="",,MONTAGE!BU24)</f>
        <v>0</v>
      </c>
      <c r="AP25" s="67">
        <f>IF($D25="",,MONTAGE!BV24)</f>
        <v>0</v>
      </c>
      <c r="AQ25" s="67">
        <f>IF($D25="",,MONTAGE!BW24)</f>
        <v>0</v>
      </c>
      <c r="AR25" s="67">
        <f>IF($D25="",,MONTAGE!BX24)</f>
        <v>0</v>
      </c>
      <c r="AS25" s="67">
        <f>IF($D25="",,MONTAGE!BY24)</f>
        <v>0</v>
      </c>
      <c r="AT25" s="67">
        <f>IF($D25="",,MONTAGE!BZ24)</f>
        <v>0</v>
      </c>
      <c r="AU25" s="67">
        <f>IF($D25="",,MONTAGE!CA24)</f>
        <v>0</v>
      </c>
      <c r="AV25" s="67">
        <f>IF($D25="",,MONTAGE!CB24)</f>
        <v>0</v>
      </c>
      <c r="AW25" s="67">
        <f>IF($D25="",,MONTAGE!CC24)</f>
        <v>0</v>
      </c>
      <c r="AX25" s="67">
        <f>IF($D25="",,MONTAGE!CD24)</f>
        <v>0</v>
      </c>
    </row>
    <row r="26" spans="1:50" s="5" customFormat="1" hidden="1" x14ac:dyDescent="0.2">
      <c r="A26" s="60"/>
      <c r="B26" s="61" t="str">
        <f>IF(ELEMENT!AO23="","",MONTAGE!B25)</f>
        <v/>
      </c>
      <c r="C26" s="62" t="str">
        <f>IF(ELEMENT!AO23="","",IF(ELEMENT!AW23="JA",ELEMENT!V23,IF(ELEMENT!D23="","",CONCATENATE(ELEMENT!A23,"   ",ELEMENT!D23," x ",ELEMENT!E23,"mm  "))))</f>
        <v/>
      </c>
      <c r="D26" s="63">
        <f>IF(ELEMENT!AO23="",0,IF(ELEMENT!C23=0,Sprache!$B$86,ELEMENT!C23))</f>
        <v>0</v>
      </c>
      <c r="E26" s="67">
        <f>MONTAGE!F25*MONTAGE!C25</f>
        <v>0</v>
      </c>
      <c r="F26" s="67">
        <f>IF($D26="",,MONTAGE!X25)</f>
        <v>0</v>
      </c>
      <c r="G26" s="67">
        <f>IF($D26="",,MONTAGE!Z25)</f>
        <v>0</v>
      </c>
      <c r="H26" s="67">
        <f>IF($D26="",,MONTAGE!AB25)</f>
        <v>0</v>
      </c>
      <c r="I26" s="67">
        <f>IF($D26="",,MONTAGE!AD25)</f>
        <v>0</v>
      </c>
      <c r="J26" s="67">
        <f>IF($D26="",,MONTAGE!AF25)</f>
        <v>0</v>
      </c>
      <c r="K26" s="67">
        <f>IF($D26="",,MONTAGE!AH25)</f>
        <v>0</v>
      </c>
      <c r="L26" s="67">
        <f>IF($D26="",,MONTAGE!AJ25)</f>
        <v>0</v>
      </c>
      <c r="M26" s="67">
        <f>IF($D26="",,MONTAGE!AL25)</f>
        <v>0</v>
      </c>
      <c r="N26" s="67">
        <f>IF($D26="",,MONTAGE!AN25)</f>
        <v>0</v>
      </c>
      <c r="O26" s="67">
        <f>IF($D26="",,MONTAGE!AP25)</f>
        <v>0</v>
      </c>
      <c r="P26" s="67">
        <f>IF($D26="",,MONTAGE!AR25)</f>
        <v>0</v>
      </c>
      <c r="Q26" s="67">
        <f>IF($D26="",,MONTAGE!AT25)</f>
        <v>0</v>
      </c>
      <c r="R26" s="67">
        <f>IF($D26="",,MONTAGE!AV25)</f>
        <v>0</v>
      </c>
      <c r="S26" s="67">
        <f>IF($D26="",,MONTAGE!AX25)</f>
        <v>0</v>
      </c>
      <c r="T26" s="67">
        <f>IF($D26="",,MONTAGE!AZ25)</f>
        <v>0</v>
      </c>
      <c r="U26" s="67">
        <f>IF($D26="",,MONTAGE!BA25)</f>
        <v>0</v>
      </c>
      <c r="V26" s="67">
        <f>IF($D26="",,MONTAGE!BB25)</f>
        <v>0</v>
      </c>
      <c r="W26" s="67">
        <f>IF($D26="",,MONTAGE!BC25)</f>
        <v>0</v>
      </c>
      <c r="X26" s="67">
        <f>IF($D26="",,MONTAGE!BD25)</f>
        <v>0</v>
      </c>
      <c r="Y26" s="67">
        <f>IF($D26="",,MONTAGE!BE25)</f>
        <v>0</v>
      </c>
      <c r="Z26" s="67">
        <f>IF($D26="",,MONTAGE!BF25)</f>
        <v>0</v>
      </c>
      <c r="AA26" s="67">
        <f>IF($D26="",,MONTAGE!BG25)</f>
        <v>0</v>
      </c>
      <c r="AB26" s="67">
        <f>IF($D26="",,MONTAGE!BH25)</f>
        <v>0</v>
      </c>
      <c r="AC26" s="67">
        <f>IF($D26="",,MONTAGE!BI25)</f>
        <v>0</v>
      </c>
      <c r="AD26" s="67">
        <f>IF($D26="",,MONTAGE!BJ25)</f>
        <v>0</v>
      </c>
      <c r="AE26" s="67">
        <f>IF($D26="",,MONTAGE!BK25)</f>
        <v>0</v>
      </c>
      <c r="AF26" s="67">
        <f>IF($D26="",,MONTAGE!BL25)</f>
        <v>0</v>
      </c>
      <c r="AG26" s="67">
        <f>IF($D26="",,MONTAGE!BM25)</f>
        <v>0</v>
      </c>
      <c r="AH26" s="67">
        <f>IF($D26="",,MONTAGE!BN25)</f>
        <v>0</v>
      </c>
      <c r="AI26" s="67">
        <f>IF($D26="",,MONTAGE!BO25)</f>
        <v>0</v>
      </c>
      <c r="AJ26" s="67">
        <f>IF($D26="",,MONTAGE!BP25)</f>
        <v>0</v>
      </c>
      <c r="AK26" s="67">
        <f>IF($D26="",,MONTAGE!BQ25)</f>
        <v>0</v>
      </c>
      <c r="AL26" s="67">
        <f>IF($D26="",,MONTAGE!BR25)</f>
        <v>0</v>
      </c>
      <c r="AM26" s="67">
        <f>IF($D26="",,MONTAGE!BS25)</f>
        <v>0</v>
      </c>
      <c r="AN26" s="67">
        <f>IF($D26="",,MONTAGE!BT25)</f>
        <v>0</v>
      </c>
      <c r="AO26" s="67">
        <f>IF($D26="",,MONTAGE!BU25)</f>
        <v>0</v>
      </c>
      <c r="AP26" s="67">
        <f>IF($D26="",,MONTAGE!BV25)</f>
        <v>0</v>
      </c>
      <c r="AQ26" s="67">
        <f>IF($D26="",,MONTAGE!BW25)</f>
        <v>0</v>
      </c>
      <c r="AR26" s="67">
        <f>IF($D26="",,MONTAGE!BX25)</f>
        <v>0</v>
      </c>
      <c r="AS26" s="67">
        <f>IF($D26="",,MONTAGE!BY25)</f>
        <v>0</v>
      </c>
      <c r="AT26" s="67">
        <f>IF($D26="",,MONTAGE!BZ25)</f>
        <v>0</v>
      </c>
      <c r="AU26" s="67">
        <f>IF($D26="",,MONTAGE!CA25)</f>
        <v>0</v>
      </c>
      <c r="AV26" s="67">
        <f>IF($D26="",,MONTAGE!CB25)</f>
        <v>0</v>
      </c>
      <c r="AW26" s="67">
        <f>IF($D26="",,MONTAGE!CC25)</f>
        <v>0</v>
      </c>
      <c r="AX26" s="67">
        <f>IF($D26="",,MONTAGE!CD25)</f>
        <v>0</v>
      </c>
    </row>
    <row r="27" spans="1:50" s="5" customFormat="1" hidden="1" x14ac:dyDescent="0.2">
      <c r="A27" s="60"/>
      <c r="B27" s="61" t="str">
        <f>IF(ELEMENT!AO24="","",MONTAGE!B26)</f>
        <v/>
      </c>
      <c r="C27" s="62" t="str">
        <f>IF(ELEMENT!AO24="","",IF(ELEMENT!AW24="JA",ELEMENT!V24,IF(ELEMENT!D24="","",CONCATENATE(ELEMENT!A24,"   ",ELEMENT!D24," x ",ELEMENT!E24,"mm  "))))</f>
        <v/>
      </c>
      <c r="D27" s="63">
        <f>IF(ELEMENT!AO24="",0,IF(ELEMENT!C24=0,Sprache!$B$86,ELEMENT!C24))</f>
        <v>0</v>
      </c>
      <c r="E27" s="67">
        <f>MONTAGE!F26*MONTAGE!C26</f>
        <v>0</v>
      </c>
      <c r="F27" s="67">
        <f>IF($D27="",,MONTAGE!X26)</f>
        <v>0</v>
      </c>
      <c r="G27" s="67">
        <f>IF($D27="",,MONTAGE!Z26)</f>
        <v>0</v>
      </c>
      <c r="H27" s="67">
        <f>IF($D27="",,MONTAGE!AB26)</f>
        <v>0</v>
      </c>
      <c r="I27" s="67">
        <f>IF($D27="",,MONTAGE!AD26)</f>
        <v>0</v>
      </c>
      <c r="J27" s="67">
        <f>IF($D27="",,MONTAGE!AF26)</f>
        <v>0</v>
      </c>
      <c r="K27" s="67">
        <f>IF($D27="",,MONTAGE!AH26)</f>
        <v>0</v>
      </c>
      <c r="L27" s="67">
        <f>IF($D27="",,MONTAGE!AJ26)</f>
        <v>0</v>
      </c>
      <c r="M27" s="67">
        <f>IF($D27="",,MONTAGE!AL26)</f>
        <v>0</v>
      </c>
      <c r="N27" s="67">
        <f>IF($D27="",,MONTAGE!AN26)</f>
        <v>0</v>
      </c>
      <c r="O27" s="67">
        <f>IF($D27="",,MONTAGE!AP26)</f>
        <v>0</v>
      </c>
      <c r="P27" s="67">
        <f>IF($D27="",,MONTAGE!AR26)</f>
        <v>0</v>
      </c>
      <c r="Q27" s="67">
        <f>IF($D27="",,MONTAGE!AT26)</f>
        <v>0</v>
      </c>
      <c r="R27" s="67">
        <f>IF($D27="",,MONTAGE!AV26)</f>
        <v>0</v>
      </c>
      <c r="S27" s="67">
        <f>IF($D27="",,MONTAGE!AX26)</f>
        <v>0</v>
      </c>
      <c r="T27" s="67">
        <f>IF($D27="",,MONTAGE!AZ26)</f>
        <v>0</v>
      </c>
      <c r="U27" s="67">
        <f>IF($D27="",,MONTAGE!BA26)</f>
        <v>0</v>
      </c>
      <c r="V27" s="67">
        <f>IF($D27="",,MONTAGE!BB26)</f>
        <v>0</v>
      </c>
      <c r="W27" s="67">
        <f>IF($D27="",,MONTAGE!BC26)</f>
        <v>0</v>
      </c>
      <c r="X27" s="67">
        <f>IF($D27="",,MONTAGE!BD26)</f>
        <v>0</v>
      </c>
      <c r="Y27" s="67">
        <f>IF($D27="",,MONTAGE!BE26)</f>
        <v>0</v>
      </c>
      <c r="Z27" s="67">
        <f>IF($D27="",,MONTAGE!BF26)</f>
        <v>0</v>
      </c>
      <c r="AA27" s="67">
        <f>IF($D27="",,MONTAGE!BG26)</f>
        <v>0</v>
      </c>
      <c r="AB27" s="67">
        <f>IF($D27="",,MONTAGE!BH26)</f>
        <v>0</v>
      </c>
      <c r="AC27" s="67">
        <f>IF($D27="",,MONTAGE!BI26)</f>
        <v>0</v>
      </c>
      <c r="AD27" s="67">
        <f>IF($D27="",,MONTAGE!BJ26)</f>
        <v>0</v>
      </c>
      <c r="AE27" s="67">
        <f>IF($D27="",,MONTAGE!BK26)</f>
        <v>0</v>
      </c>
      <c r="AF27" s="67">
        <f>IF($D27="",,MONTAGE!BL26)</f>
        <v>0</v>
      </c>
      <c r="AG27" s="67">
        <f>IF($D27="",,MONTAGE!BM26)</f>
        <v>0</v>
      </c>
      <c r="AH27" s="67">
        <f>IF($D27="",,MONTAGE!BN26)</f>
        <v>0</v>
      </c>
      <c r="AI27" s="67">
        <f>IF($D27="",,MONTAGE!BO26)</f>
        <v>0</v>
      </c>
      <c r="AJ27" s="67">
        <f>IF($D27="",,MONTAGE!BP26)</f>
        <v>0</v>
      </c>
      <c r="AK27" s="67">
        <f>IF($D27="",,MONTAGE!BQ26)</f>
        <v>0</v>
      </c>
      <c r="AL27" s="67">
        <f>IF($D27="",,MONTAGE!BR26)</f>
        <v>0</v>
      </c>
      <c r="AM27" s="67">
        <f>IF($D27="",,MONTAGE!BS26)</f>
        <v>0</v>
      </c>
      <c r="AN27" s="67">
        <f>IF($D27="",,MONTAGE!BT26)</f>
        <v>0</v>
      </c>
      <c r="AO27" s="67">
        <f>IF($D27="",,MONTAGE!BU26)</f>
        <v>0</v>
      </c>
      <c r="AP27" s="67">
        <f>IF($D27="",,MONTAGE!BV26)</f>
        <v>0</v>
      </c>
      <c r="AQ27" s="67">
        <f>IF($D27="",,MONTAGE!BW26)</f>
        <v>0</v>
      </c>
      <c r="AR27" s="67">
        <f>IF($D27="",,MONTAGE!BX26)</f>
        <v>0</v>
      </c>
      <c r="AS27" s="67">
        <f>IF($D27="",,MONTAGE!BY26)</f>
        <v>0</v>
      </c>
      <c r="AT27" s="67">
        <f>IF($D27="",,MONTAGE!BZ26)</f>
        <v>0</v>
      </c>
      <c r="AU27" s="67">
        <f>IF($D27="",,MONTAGE!CA26)</f>
        <v>0</v>
      </c>
      <c r="AV27" s="67">
        <f>IF($D27="",,MONTAGE!CB26)</f>
        <v>0</v>
      </c>
      <c r="AW27" s="67">
        <f>IF($D27="",,MONTAGE!CC26)</f>
        <v>0</v>
      </c>
      <c r="AX27" s="67">
        <f>IF($D27="",,MONTAGE!CD26)</f>
        <v>0</v>
      </c>
    </row>
    <row r="28" spans="1:50" s="5" customFormat="1" hidden="1" x14ac:dyDescent="0.2">
      <c r="A28" s="60"/>
      <c r="B28" s="61" t="str">
        <f>IF(ELEMENT!AO25="","",MONTAGE!B27)</f>
        <v/>
      </c>
      <c r="C28" s="62" t="str">
        <f>IF(ELEMENT!AO25="","",IF(ELEMENT!AW25="JA",ELEMENT!V25,IF(ELEMENT!D25="","",CONCATENATE(ELEMENT!A25,"   ",ELEMENT!D25," x ",ELEMENT!E25,"mm  "))))</f>
        <v/>
      </c>
      <c r="D28" s="63">
        <f>IF(ELEMENT!AO25="",0,IF(ELEMENT!C25=0,Sprache!$B$86,ELEMENT!C25))</f>
        <v>0</v>
      </c>
      <c r="E28" s="67">
        <f>MONTAGE!F27*MONTAGE!C27</f>
        <v>0</v>
      </c>
      <c r="F28" s="67">
        <f>IF($D28="",,MONTAGE!X27)</f>
        <v>0</v>
      </c>
      <c r="G28" s="67">
        <f>IF($D28="",,MONTAGE!Z27)</f>
        <v>0</v>
      </c>
      <c r="H28" s="67">
        <f>IF($D28="",,MONTAGE!AB27)</f>
        <v>0</v>
      </c>
      <c r="I28" s="67">
        <f>IF($D28="",,MONTAGE!AD27)</f>
        <v>0</v>
      </c>
      <c r="J28" s="67">
        <f>IF($D28="",,MONTAGE!AF27)</f>
        <v>0</v>
      </c>
      <c r="K28" s="67">
        <f>IF($D28="",,MONTAGE!AH27)</f>
        <v>0</v>
      </c>
      <c r="L28" s="67">
        <f>IF($D28="",,MONTAGE!AJ27)</f>
        <v>0</v>
      </c>
      <c r="M28" s="67">
        <f>IF($D28="",,MONTAGE!AL27)</f>
        <v>0</v>
      </c>
      <c r="N28" s="67">
        <f>IF($D28="",,MONTAGE!AN27)</f>
        <v>0</v>
      </c>
      <c r="O28" s="67">
        <f>IF($D28="",,MONTAGE!AP27)</f>
        <v>0</v>
      </c>
      <c r="P28" s="67">
        <f>IF($D28="",,MONTAGE!AR27)</f>
        <v>0</v>
      </c>
      <c r="Q28" s="67">
        <f>IF($D28="",,MONTAGE!AT27)</f>
        <v>0</v>
      </c>
      <c r="R28" s="67">
        <f>IF($D28="",,MONTAGE!AV27)</f>
        <v>0</v>
      </c>
      <c r="S28" s="67">
        <f>IF($D28="",,MONTAGE!AX27)</f>
        <v>0</v>
      </c>
      <c r="T28" s="67">
        <f>IF($D28="",,MONTAGE!AZ27)</f>
        <v>0</v>
      </c>
      <c r="U28" s="67">
        <f>IF($D28="",,MONTAGE!BA27)</f>
        <v>0</v>
      </c>
      <c r="V28" s="67">
        <f>IF($D28="",,MONTAGE!BB27)</f>
        <v>0</v>
      </c>
      <c r="W28" s="67">
        <f>IF($D28="",,MONTAGE!BC27)</f>
        <v>0</v>
      </c>
      <c r="X28" s="67">
        <f>IF($D28="",,MONTAGE!BD27)</f>
        <v>0</v>
      </c>
      <c r="Y28" s="67">
        <f>IF($D28="",,MONTAGE!BE27)</f>
        <v>0</v>
      </c>
      <c r="Z28" s="67">
        <f>IF($D28="",,MONTAGE!BF27)</f>
        <v>0</v>
      </c>
      <c r="AA28" s="67">
        <f>IF($D28="",,MONTAGE!BG27)</f>
        <v>0</v>
      </c>
      <c r="AB28" s="67">
        <f>IF($D28="",,MONTAGE!BH27)</f>
        <v>0</v>
      </c>
      <c r="AC28" s="67">
        <f>IF($D28="",,MONTAGE!BI27)</f>
        <v>0</v>
      </c>
      <c r="AD28" s="67">
        <f>IF($D28="",,MONTAGE!BJ27)</f>
        <v>0</v>
      </c>
      <c r="AE28" s="67">
        <f>IF($D28="",,MONTAGE!BK27)</f>
        <v>0</v>
      </c>
      <c r="AF28" s="67">
        <f>IF($D28="",,MONTAGE!BL27)</f>
        <v>0</v>
      </c>
      <c r="AG28" s="67">
        <f>IF($D28="",,MONTAGE!BM27)</f>
        <v>0</v>
      </c>
      <c r="AH28" s="67">
        <f>IF($D28="",,MONTAGE!BN27)</f>
        <v>0</v>
      </c>
      <c r="AI28" s="67">
        <f>IF($D28="",,MONTAGE!BO27)</f>
        <v>0</v>
      </c>
      <c r="AJ28" s="67">
        <f>IF($D28="",,MONTAGE!BP27)</f>
        <v>0</v>
      </c>
      <c r="AK28" s="67">
        <f>IF($D28="",,MONTAGE!BQ27)</f>
        <v>0</v>
      </c>
      <c r="AL28" s="67">
        <f>IF($D28="",,MONTAGE!BR27)</f>
        <v>0</v>
      </c>
      <c r="AM28" s="67">
        <f>IF($D28="",,MONTAGE!BS27)</f>
        <v>0</v>
      </c>
      <c r="AN28" s="67">
        <f>IF($D28="",,MONTAGE!BT27)</f>
        <v>0</v>
      </c>
      <c r="AO28" s="67">
        <f>IF($D28="",,MONTAGE!BU27)</f>
        <v>0</v>
      </c>
      <c r="AP28" s="67">
        <f>IF($D28="",,MONTAGE!BV27)</f>
        <v>0</v>
      </c>
      <c r="AQ28" s="67">
        <f>IF($D28="",,MONTAGE!BW27)</f>
        <v>0</v>
      </c>
      <c r="AR28" s="67">
        <f>IF($D28="",,MONTAGE!BX27)</f>
        <v>0</v>
      </c>
      <c r="AS28" s="67">
        <f>IF($D28="",,MONTAGE!BY27)</f>
        <v>0</v>
      </c>
      <c r="AT28" s="67">
        <f>IF($D28="",,MONTAGE!BZ27)</f>
        <v>0</v>
      </c>
      <c r="AU28" s="67">
        <f>IF($D28="",,MONTAGE!CA27)</f>
        <v>0</v>
      </c>
      <c r="AV28" s="67">
        <f>IF($D28="",,MONTAGE!CB27)</f>
        <v>0</v>
      </c>
      <c r="AW28" s="67">
        <f>IF($D28="",,MONTAGE!CC27)</f>
        <v>0</v>
      </c>
      <c r="AX28" s="67">
        <f>IF($D28="",,MONTAGE!CD27)</f>
        <v>0</v>
      </c>
    </row>
    <row r="29" spans="1:50" s="5" customFormat="1" hidden="1" x14ac:dyDescent="0.2">
      <c r="A29" s="60"/>
      <c r="B29" s="61" t="str">
        <f>IF(ELEMENT!AO26="","",MONTAGE!B28)</f>
        <v/>
      </c>
      <c r="C29" s="62" t="str">
        <f>IF(ELEMENT!AO26="","",IF(ELEMENT!AW26="JA",ELEMENT!V26,IF(ELEMENT!D26="","",CONCATENATE(ELEMENT!A26,"   ",ELEMENT!D26," x ",ELEMENT!E26,"mm  "))))</f>
        <v/>
      </c>
      <c r="D29" s="63">
        <f>IF(ELEMENT!AO26="",0,IF(ELEMENT!C26=0,Sprache!$B$86,ELEMENT!C26))</f>
        <v>0</v>
      </c>
      <c r="E29" s="67">
        <f>MONTAGE!F28*MONTAGE!C28</f>
        <v>0</v>
      </c>
      <c r="F29" s="67">
        <f>IF($D29="",,MONTAGE!X28)</f>
        <v>0</v>
      </c>
      <c r="G29" s="67">
        <f>IF($D29="",,MONTAGE!Z28)</f>
        <v>0</v>
      </c>
      <c r="H29" s="67">
        <f>IF($D29="",,MONTAGE!AB28)</f>
        <v>0</v>
      </c>
      <c r="I29" s="67">
        <f>IF($D29="",,MONTAGE!AD28)</f>
        <v>0</v>
      </c>
      <c r="J29" s="67">
        <f>IF($D29="",,MONTAGE!AF28)</f>
        <v>0</v>
      </c>
      <c r="K29" s="67">
        <f>IF($D29="",,MONTAGE!AH28)</f>
        <v>0</v>
      </c>
      <c r="L29" s="67">
        <f>IF($D29="",,MONTAGE!AJ28)</f>
        <v>0</v>
      </c>
      <c r="M29" s="67">
        <f>IF($D29="",,MONTAGE!AL28)</f>
        <v>0</v>
      </c>
      <c r="N29" s="67">
        <f>IF($D29="",,MONTAGE!AN28)</f>
        <v>0</v>
      </c>
      <c r="O29" s="67">
        <f>IF($D29="",,MONTAGE!AP28)</f>
        <v>0</v>
      </c>
      <c r="P29" s="67">
        <f>IF($D29="",,MONTAGE!AR28)</f>
        <v>0</v>
      </c>
      <c r="Q29" s="67">
        <f>IF($D29="",,MONTAGE!AT28)</f>
        <v>0</v>
      </c>
      <c r="R29" s="67">
        <f>IF($D29="",,MONTAGE!AV28)</f>
        <v>0</v>
      </c>
      <c r="S29" s="67">
        <f>IF($D29="",,MONTAGE!AX28)</f>
        <v>0</v>
      </c>
      <c r="T29" s="67">
        <f>IF($D29="",,MONTAGE!AZ28)</f>
        <v>0</v>
      </c>
      <c r="U29" s="67">
        <f>IF($D29="",,MONTAGE!BA28)</f>
        <v>0</v>
      </c>
      <c r="V29" s="67">
        <f>IF($D29="",,MONTAGE!BB28)</f>
        <v>0</v>
      </c>
      <c r="W29" s="67">
        <f>IF($D29="",,MONTAGE!BC28)</f>
        <v>0</v>
      </c>
      <c r="X29" s="67">
        <f>IF($D29="",,MONTAGE!BD28)</f>
        <v>0</v>
      </c>
      <c r="Y29" s="67">
        <f>IF($D29="",,MONTAGE!BE28)</f>
        <v>0</v>
      </c>
      <c r="Z29" s="67">
        <f>IF($D29="",,MONTAGE!BF28)</f>
        <v>0</v>
      </c>
      <c r="AA29" s="67">
        <f>IF($D29="",,MONTAGE!BG28)</f>
        <v>0</v>
      </c>
      <c r="AB29" s="67">
        <f>IF($D29="",,MONTAGE!BH28)</f>
        <v>0</v>
      </c>
      <c r="AC29" s="67">
        <f>IF($D29="",,MONTAGE!BI28)</f>
        <v>0</v>
      </c>
      <c r="AD29" s="67">
        <f>IF($D29="",,MONTAGE!BJ28)</f>
        <v>0</v>
      </c>
      <c r="AE29" s="67">
        <f>IF($D29="",,MONTAGE!BK28)</f>
        <v>0</v>
      </c>
      <c r="AF29" s="67">
        <f>IF($D29="",,MONTAGE!BL28)</f>
        <v>0</v>
      </c>
      <c r="AG29" s="67">
        <f>IF($D29="",,MONTAGE!BM28)</f>
        <v>0</v>
      </c>
      <c r="AH29" s="67">
        <f>IF($D29="",,MONTAGE!BN28)</f>
        <v>0</v>
      </c>
      <c r="AI29" s="67">
        <f>IF($D29="",,MONTAGE!BO28)</f>
        <v>0</v>
      </c>
      <c r="AJ29" s="67">
        <f>IF($D29="",,MONTAGE!BP28)</f>
        <v>0</v>
      </c>
      <c r="AK29" s="67">
        <f>IF($D29="",,MONTAGE!BQ28)</f>
        <v>0</v>
      </c>
      <c r="AL29" s="67">
        <f>IF($D29="",,MONTAGE!BR28)</f>
        <v>0</v>
      </c>
      <c r="AM29" s="67">
        <f>IF($D29="",,MONTAGE!BS28)</f>
        <v>0</v>
      </c>
      <c r="AN29" s="67">
        <f>IF($D29="",,MONTAGE!BT28)</f>
        <v>0</v>
      </c>
      <c r="AO29" s="67">
        <f>IF($D29="",,MONTAGE!BU28)</f>
        <v>0</v>
      </c>
      <c r="AP29" s="67">
        <f>IF($D29="",,MONTAGE!BV28)</f>
        <v>0</v>
      </c>
      <c r="AQ29" s="67">
        <f>IF($D29="",,MONTAGE!BW28)</f>
        <v>0</v>
      </c>
      <c r="AR29" s="67">
        <f>IF($D29="",,MONTAGE!BX28)</f>
        <v>0</v>
      </c>
      <c r="AS29" s="67">
        <f>IF($D29="",,MONTAGE!BY28)</f>
        <v>0</v>
      </c>
      <c r="AT29" s="67">
        <f>IF($D29="",,MONTAGE!BZ28)</f>
        <v>0</v>
      </c>
      <c r="AU29" s="67">
        <f>IF($D29="",,MONTAGE!CA28)</f>
        <v>0</v>
      </c>
      <c r="AV29" s="67">
        <f>IF($D29="",,MONTAGE!CB28)</f>
        <v>0</v>
      </c>
      <c r="AW29" s="67">
        <f>IF($D29="",,MONTAGE!CC28)</f>
        <v>0</v>
      </c>
      <c r="AX29" s="67">
        <f>IF($D29="",,MONTAGE!CD28)</f>
        <v>0</v>
      </c>
    </row>
    <row r="30" spans="1:50" s="5" customFormat="1" hidden="1" x14ac:dyDescent="0.2">
      <c r="A30" s="60"/>
      <c r="B30" s="61" t="str">
        <f>IF(ELEMENT!AO27="","",MONTAGE!B29)</f>
        <v/>
      </c>
      <c r="C30" s="62" t="str">
        <f>IF(ELEMENT!AO27="","",IF(ELEMENT!AW27="JA",ELEMENT!V27,IF(ELEMENT!D27="","",CONCATENATE(ELEMENT!A27,"   ",ELEMENT!D27," x ",ELEMENT!E27,"mm  "))))</f>
        <v/>
      </c>
      <c r="D30" s="63">
        <f>IF(ELEMENT!AO27="",0,IF(ELEMENT!C27=0,Sprache!$B$86,ELEMENT!C27))</f>
        <v>0</v>
      </c>
      <c r="E30" s="67">
        <f>MONTAGE!F29*MONTAGE!C29</f>
        <v>0</v>
      </c>
      <c r="F30" s="67">
        <f>IF($D30="",,MONTAGE!X29)</f>
        <v>0</v>
      </c>
      <c r="G30" s="67">
        <f>IF($D30="",,MONTAGE!Z29)</f>
        <v>0</v>
      </c>
      <c r="H30" s="67">
        <f>IF($D30="",,MONTAGE!AB29)</f>
        <v>0</v>
      </c>
      <c r="I30" s="67">
        <f>IF($D30="",,MONTAGE!AD29)</f>
        <v>0</v>
      </c>
      <c r="J30" s="67">
        <f>IF($D30="",,MONTAGE!AF29)</f>
        <v>0</v>
      </c>
      <c r="K30" s="67">
        <f>IF($D30="",,MONTAGE!AH29)</f>
        <v>0</v>
      </c>
      <c r="L30" s="67">
        <f>IF($D30="",,MONTAGE!AJ29)</f>
        <v>0</v>
      </c>
      <c r="M30" s="67">
        <f>IF($D30="",,MONTAGE!AL29)</f>
        <v>0</v>
      </c>
      <c r="N30" s="67">
        <f>IF($D30="",,MONTAGE!AN29)</f>
        <v>0</v>
      </c>
      <c r="O30" s="67">
        <f>IF($D30="",,MONTAGE!AP29)</f>
        <v>0</v>
      </c>
      <c r="P30" s="67">
        <f>IF($D30="",,MONTAGE!AR29)</f>
        <v>0</v>
      </c>
      <c r="Q30" s="67">
        <f>IF($D30="",,MONTAGE!AT29)</f>
        <v>0</v>
      </c>
      <c r="R30" s="67">
        <f>IF($D30="",,MONTAGE!AV29)</f>
        <v>0</v>
      </c>
      <c r="S30" s="67">
        <f>IF($D30="",,MONTAGE!AX29)</f>
        <v>0</v>
      </c>
      <c r="T30" s="67">
        <f>IF($D30="",,MONTAGE!AZ29)</f>
        <v>0</v>
      </c>
      <c r="U30" s="67">
        <f>IF($D30="",,MONTAGE!BA29)</f>
        <v>0</v>
      </c>
      <c r="V30" s="67">
        <f>IF($D30="",,MONTAGE!BB29)</f>
        <v>0</v>
      </c>
      <c r="W30" s="67">
        <f>IF($D30="",,MONTAGE!BC29)</f>
        <v>0</v>
      </c>
      <c r="X30" s="67">
        <f>IF($D30="",,MONTAGE!BD29)</f>
        <v>0</v>
      </c>
      <c r="Y30" s="67">
        <f>IF($D30="",,MONTAGE!BE29)</f>
        <v>0</v>
      </c>
      <c r="Z30" s="67">
        <f>IF($D30="",,MONTAGE!BF29)</f>
        <v>0</v>
      </c>
      <c r="AA30" s="67">
        <f>IF($D30="",,MONTAGE!BG29)</f>
        <v>0</v>
      </c>
      <c r="AB30" s="67">
        <f>IF($D30="",,MONTAGE!BH29)</f>
        <v>0</v>
      </c>
      <c r="AC30" s="67">
        <f>IF($D30="",,MONTAGE!BI29)</f>
        <v>0</v>
      </c>
      <c r="AD30" s="67">
        <f>IF($D30="",,MONTAGE!BJ29)</f>
        <v>0</v>
      </c>
      <c r="AE30" s="67">
        <f>IF($D30="",,MONTAGE!BK29)</f>
        <v>0</v>
      </c>
      <c r="AF30" s="67">
        <f>IF($D30="",,MONTAGE!BL29)</f>
        <v>0</v>
      </c>
      <c r="AG30" s="67">
        <f>IF($D30="",,MONTAGE!BM29)</f>
        <v>0</v>
      </c>
      <c r="AH30" s="67">
        <f>IF($D30="",,MONTAGE!BN29)</f>
        <v>0</v>
      </c>
      <c r="AI30" s="67">
        <f>IF($D30="",,MONTAGE!BO29)</f>
        <v>0</v>
      </c>
      <c r="AJ30" s="67">
        <f>IF($D30="",,MONTAGE!BP29)</f>
        <v>0</v>
      </c>
      <c r="AK30" s="67">
        <f>IF($D30="",,MONTAGE!BQ29)</f>
        <v>0</v>
      </c>
      <c r="AL30" s="67">
        <f>IF($D30="",,MONTAGE!BR29)</f>
        <v>0</v>
      </c>
      <c r="AM30" s="67">
        <f>IF($D30="",,MONTAGE!BS29)</f>
        <v>0</v>
      </c>
      <c r="AN30" s="67">
        <f>IF($D30="",,MONTAGE!BT29)</f>
        <v>0</v>
      </c>
      <c r="AO30" s="67">
        <f>IF($D30="",,MONTAGE!BU29)</f>
        <v>0</v>
      </c>
      <c r="AP30" s="67">
        <f>IF($D30="",,MONTAGE!BV29)</f>
        <v>0</v>
      </c>
      <c r="AQ30" s="67">
        <f>IF($D30="",,MONTAGE!BW29)</f>
        <v>0</v>
      </c>
      <c r="AR30" s="67">
        <f>IF($D30="",,MONTAGE!BX29)</f>
        <v>0</v>
      </c>
      <c r="AS30" s="67">
        <f>IF($D30="",,MONTAGE!BY29)</f>
        <v>0</v>
      </c>
      <c r="AT30" s="67">
        <f>IF($D30="",,MONTAGE!BZ29)</f>
        <v>0</v>
      </c>
      <c r="AU30" s="67">
        <f>IF($D30="",,MONTAGE!CA29)</f>
        <v>0</v>
      </c>
      <c r="AV30" s="67">
        <f>IF($D30="",,MONTAGE!CB29)</f>
        <v>0</v>
      </c>
      <c r="AW30" s="67">
        <f>IF($D30="",,MONTAGE!CC29)</f>
        <v>0</v>
      </c>
      <c r="AX30" s="67">
        <f>IF($D30="",,MONTAGE!CD29)</f>
        <v>0</v>
      </c>
    </row>
    <row r="31" spans="1:50" s="5" customFormat="1" hidden="1" x14ac:dyDescent="0.2">
      <c r="A31" s="60"/>
      <c r="B31" s="61" t="str">
        <f>IF(ELEMENT!AO28="","",MONTAGE!B30)</f>
        <v/>
      </c>
      <c r="C31" s="62" t="str">
        <f>IF(ELEMENT!AO28="","",IF(ELEMENT!AW28="JA",ELEMENT!V28,IF(ELEMENT!D28="","",CONCATENATE(ELEMENT!A28,"   ",ELEMENT!D28," x ",ELEMENT!E28,"mm  "))))</f>
        <v/>
      </c>
      <c r="D31" s="63">
        <f>IF(ELEMENT!AO28="",0,IF(ELEMENT!C28=0,Sprache!$B$86,ELEMENT!C28))</f>
        <v>0</v>
      </c>
      <c r="E31" s="67">
        <f>MONTAGE!F30*MONTAGE!C30</f>
        <v>0</v>
      </c>
      <c r="F31" s="67">
        <f>IF($D31="",,MONTAGE!X30)</f>
        <v>0</v>
      </c>
      <c r="G31" s="67">
        <f>IF($D31="",,MONTAGE!Z30)</f>
        <v>0</v>
      </c>
      <c r="H31" s="67">
        <f>IF($D31="",,MONTAGE!AB30)</f>
        <v>0</v>
      </c>
      <c r="I31" s="67">
        <f>IF($D31="",,MONTAGE!AD30)</f>
        <v>0</v>
      </c>
      <c r="J31" s="67">
        <f>IF($D31="",,MONTAGE!AF30)</f>
        <v>0</v>
      </c>
      <c r="K31" s="67">
        <f>IF($D31="",,MONTAGE!AH30)</f>
        <v>0</v>
      </c>
      <c r="L31" s="67">
        <f>IF($D31="",,MONTAGE!AJ30)</f>
        <v>0</v>
      </c>
      <c r="M31" s="67">
        <f>IF($D31="",,MONTAGE!AL30)</f>
        <v>0</v>
      </c>
      <c r="N31" s="67">
        <f>IF($D31="",,MONTAGE!AN30)</f>
        <v>0</v>
      </c>
      <c r="O31" s="67">
        <f>IF($D31="",,MONTAGE!AP30)</f>
        <v>0</v>
      </c>
      <c r="P31" s="67">
        <f>IF($D31="",,MONTAGE!AR30)</f>
        <v>0</v>
      </c>
      <c r="Q31" s="67">
        <f>IF($D31="",,MONTAGE!AT30)</f>
        <v>0</v>
      </c>
      <c r="R31" s="67">
        <f>IF($D31="",,MONTAGE!AV30)</f>
        <v>0</v>
      </c>
      <c r="S31" s="67">
        <f>IF($D31="",,MONTAGE!AX30)</f>
        <v>0</v>
      </c>
      <c r="T31" s="67">
        <f>IF($D31="",,MONTAGE!AZ30)</f>
        <v>0</v>
      </c>
      <c r="U31" s="67">
        <f>IF($D31="",,MONTAGE!BA30)</f>
        <v>0</v>
      </c>
      <c r="V31" s="67">
        <f>IF($D31="",,MONTAGE!BB30)</f>
        <v>0</v>
      </c>
      <c r="W31" s="67">
        <f>IF($D31="",,MONTAGE!BC30)</f>
        <v>0</v>
      </c>
      <c r="X31" s="67">
        <f>IF($D31="",,MONTAGE!BD30)</f>
        <v>0</v>
      </c>
      <c r="Y31" s="67">
        <f>IF($D31="",,MONTAGE!BE30)</f>
        <v>0</v>
      </c>
      <c r="Z31" s="67">
        <f>IF($D31="",,MONTAGE!BF30)</f>
        <v>0</v>
      </c>
      <c r="AA31" s="67">
        <f>IF($D31="",,MONTAGE!BG30)</f>
        <v>0</v>
      </c>
      <c r="AB31" s="67">
        <f>IF($D31="",,MONTAGE!BH30)</f>
        <v>0</v>
      </c>
      <c r="AC31" s="67">
        <f>IF($D31="",,MONTAGE!BI30)</f>
        <v>0</v>
      </c>
      <c r="AD31" s="67">
        <f>IF($D31="",,MONTAGE!BJ30)</f>
        <v>0</v>
      </c>
      <c r="AE31" s="67">
        <f>IF($D31="",,MONTAGE!BK30)</f>
        <v>0</v>
      </c>
      <c r="AF31" s="67">
        <f>IF($D31="",,MONTAGE!BL30)</f>
        <v>0</v>
      </c>
      <c r="AG31" s="67">
        <f>IF($D31="",,MONTAGE!BM30)</f>
        <v>0</v>
      </c>
      <c r="AH31" s="67">
        <f>IF($D31="",,MONTAGE!BN30)</f>
        <v>0</v>
      </c>
      <c r="AI31" s="67">
        <f>IF($D31="",,MONTAGE!BO30)</f>
        <v>0</v>
      </c>
      <c r="AJ31" s="67">
        <f>IF($D31="",,MONTAGE!BP30)</f>
        <v>0</v>
      </c>
      <c r="AK31" s="67">
        <f>IF($D31="",,MONTAGE!BQ30)</f>
        <v>0</v>
      </c>
      <c r="AL31" s="67">
        <f>IF($D31="",,MONTAGE!BR30)</f>
        <v>0</v>
      </c>
      <c r="AM31" s="67">
        <f>IF($D31="",,MONTAGE!BS30)</f>
        <v>0</v>
      </c>
      <c r="AN31" s="67">
        <f>IF($D31="",,MONTAGE!BT30)</f>
        <v>0</v>
      </c>
      <c r="AO31" s="67">
        <f>IF($D31="",,MONTAGE!BU30)</f>
        <v>0</v>
      </c>
      <c r="AP31" s="67">
        <f>IF($D31="",,MONTAGE!BV30)</f>
        <v>0</v>
      </c>
      <c r="AQ31" s="67">
        <f>IF($D31="",,MONTAGE!BW30)</f>
        <v>0</v>
      </c>
      <c r="AR31" s="67">
        <f>IF($D31="",,MONTAGE!BX30)</f>
        <v>0</v>
      </c>
      <c r="AS31" s="67">
        <f>IF($D31="",,MONTAGE!BY30)</f>
        <v>0</v>
      </c>
      <c r="AT31" s="67">
        <f>IF($D31="",,MONTAGE!BZ30)</f>
        <v>0</v>
      </c>
      <c r="AU31" s="67">
        <f>IF($D31="",,MONTAGE!CA30)</f>
        <v>0</v>
      </c>
      <c r="AV31" s="67">
        <f>IF($D31="",,MONTAGE!CB30)</f>
        <v>0</v>
      </c>
      <c r="AW31" s="67">
        <f>IF($D31="",,MONTAGE!CC30)</f>
        <v>0</v>
      </c>
      <c r="AX31" s="67">
        <f>IF($D31="",,MONTAGE!CD30)</f>
        <v>0</v>
      </c>
    </row>
    <row r="32" spans="1:50" s="5" customFormat="1" hidden="1" x14ac:dyDescent="0.2">
      <c r="A32" s="60"/>
      <c r="B32" s="61" t="str">
        <f>IF(ELEMENT!AO29="","",MONTAGE!B31)</f>
        <v/>
      </c>
      <c r="C32" s="62" t="str">
        <f>IF(ELEMENT!AO29="","",IF(ELEMENT!AW29="JA",ELEMENT!V29,IF(ELEMENT!D29="","",CONCATENATE(ELEMENT!A29,"   ",ELEMENT!D29," x ",ELEMENT!E29,"mm  "))))</f>
        <v/>
      </c>
      <c r="D32" s="63">
        <f>IF(ELEMENT!AO29="",0,IF(ELEMENT!C29=0,Sprache!$B$86,ELEMENT!C29))</f>
        <v>0</v>
      </c>
      <c r="E32" s="67">
        <f>MONTAGE!F31*MONTAGE!C31</f>
        <v>0</v>
      </c>
      <c r="F32" s="67">
        <f>IF($D32="",,MONTAGE!X31)</f>
        <v>0</v>
      </c>
      <c r="G32" s="67">
        <f>IF($D32="",,MONTAGE!Z31)</f>
        <v>0</v>
      </c>
      <c r="H32" s="67">
        <f>IF($D32="",,MONTAGE!AB31)</f>
        <v>0</v>
      </c>
      <c r="I32" s="67">
        <f>IF($D32="",,MONTAGE!AD31)</f>
        <v>0</v>
      </c>
      <c r="J32" s="67">
        <f>IF($D32="",,MONTAGE!AF31)</f>
        <v>0</v>
      </c>
      <c r="K32" s="67">
        <f>IF($D32="",,MONTAGE!AH31)</f>
        <v>0</v>
      </c>
      <c r="L32" s="67">
        <f>IF($D32="",,MONTAGE!AJ31)</f>
        <v>0</v>
      </c>
      <c r="M32" s="67">
        <f>IF($D32="",,MONTAGE!AL31)</f>
        <v>0</v>
      </c>
      <c r="N32" s="67">
        <f>IF($D32="",,MONTAGE!AN31)</f>
        <v>0</v>
      </c>
      <c r="O32" s="67">
        <f>IF($D32="",,MONTAGE!AP31)</f>
        <v>0</v>
      </c>
      <c r="P32" s="67">
        <f>IF($D32="",,MONTAGE!AR31)</f>
        <v>0</v>
      </c>
      <c r="Q32" s="67">
        <f>IF($D32="",,MONTAGE!AT31)</f>
        <v>0</v>
      </c>
      <c r="R32" s="67">
        <f>IF($D32="",,MONTAGE!AV31)</f>
        <v>0</v>
      </c>
      <c r="S32" s="67">
        <f>IF($D32="",,MONTAGE!AX31)</f>
        <v>0</v>
      </c>
      <c r="T32" s="67">
        <f>IF($D32="",,MONTAGE!AZ31)</f>
        <v>0</v>
      </c>
      <c r="U32" s="67">
        <f>IF($D32="",,MONTAGE!BA31)</f>
        <v>0</v>
      </c>
      <c r="V32" s="67">
        <f>IF($D32="",,MONTAGE!BB31)</f>
        <v>0</v>
      </c>
      <c r="W32" s="67">
        <f>IF($D32="",,MONTAGE!BC31)</f>
        <v>0</v>
      </c>
      <c r="X32" s="67">
        <f>IF($D32="",,MONTAGE!BD31)</f>
        <v>0</v>
      </c>
      <c r="Y32" s="67">
        <f>IF($D32="",,MONTAGE!BE31)</f>
        <v>0</v>
      </c>
      <c r="Z32" s="67">
        <f>IF($D32="",,MONTAGE!BF31)</f>
        <v>0</v>
      </c>
      <c r="AA32" s="67">
        <f>IF($D32="",,MONTAGE!BG31)</f>
        <v>0</v>
      </c>
      <c r="AB32" s="67">
        <f>IF($D32="",,MONTAGE!BH31)</f>
        <v>0</v>
      </c>
      <c r="AC32" s="67">
        <f>IF($D32="",,MONTAGE!BI31)</f>
        <v>0</v>
      </c>
      <c r="AD32" s="67">
        <f>IF($D32="",,MONTAGE!BJ31)</f>
        <v>0</v>
      </c>
      <c r="AE32" s="67">
        <f>IF($D32="",,MONTAGE!BK31)</f>
        <v>0</v>
      </c>
      <c r="AF32" s="67">
        <f>IF($D32="",,MONTAGE!BL31)</f>
        <v>0</v>
      </c>
      <c r="AG32" s="67">
        <f>IF($D32="",,MONTAGE!BM31)</f>
        <v>0</v>
      </c>
      <c r="AH32" s="67">
        <f>IF($D32="",,MONTAGE!BN31)</f>
        <v>0</v>
      </c>
      <c r="AI32" s="67">
        <f>IF($D32="",,MONTAGE!BO31)</f>
        <v>0</v>
      </c>
      <c r="AJ32" s="67">
        <f>IF($D32="",,MONTAGE!BP31)</f>
        <v>0</v>
      </c>
      <c r="AK32" s="67">
        <f>IF($D32="",,MONTAGE!BQ31)</f>
        <v>0</v>
      </c>
      <c r="AL32" s="67">
        <f>IF($D32="",,MONTAGE!BR31)</f>
        <v>0</v>
      </c>
      <c r="AM32" s="67">
        <f>IF($D32="",,MONTAGE!BS31)</f>
        <v>0</v>
      </c>
      <c r="AN32" s="67">
        <f>IF($D32="",,MONTAGE!BT31)</f>
        <v>0</v>
      </c>
      <c r="AO32" s="67">
        <f>IF($D32="",,MONTAGE!BU31)</f>
        <v>0</v>
      </c>
      <c r="AP32" s="67">
        <f>IF($D32="",,MONTAGE!BV31)</f>
        <v>0</v>
      </c>
      <c r="AQ32" s="67">
        <f>IF($D32="",,MONTAGE!BW31)</f>
        <v>0</v>
      </c>
      <c r="AR32" s="67">
        <f>IF($D32="",,MONTAGE!BX31)</f>
        <v>0</v>
      </c>
      <c r="AS32" s="67">
        <f>IF($D32="",,MONTAGE!BY31)</f>
        <v>0</v>
      </c>
      <c r="AT32" s="67">
        <f>IF($D32="",,MONTAGE!BZ31)</f>
        <v>0</v>
      </c>
      <c r="AU32" s="67">
        <f>IF($D32="",,MONTAGE!CA31)</f>
        <v>0</v>
      </c>
      <c r="AV32" s="67">
        <f>IF($D32="",,MONTAGE!CB31)</f>
        <v>0</v>
      </c>
      <c r="AW32" s="67">
        <f>IF($D32="",,MONTAGE!CC31)</f>
        <v>0</v>
      </c>
      <c r="AX32" s="67">
        <f>IF($D32="",,MONTAGE!CD31)</f>
        <v>0</v>
      </c>
    </row>
    <row r="33" spans="1:50" s="5" customFormat="1" hidden="1" x14ac:dyDescent="0.2">
      <c r="A33" s="60"/>
      <c r="B33" s="61" t="str">
        <f>IF(ELEMENT!AO30="","",MONTAGE!B32)</f>
        <v/>
      </c>
      <c r="C33" s="62" t="str">
        <f>IF(ELEMENT!AO30="","",IF(ELEMENT!AW30="JA",ELEMENT!V30,IF(ELEMENT!D30="","",CONCATENATE(ELEMENT!A30,"   ",ELEMENT!D30," x ",ELEMENT!E30,"mm  "))))</f>
        <v/>
      </c>
      <c r="D33" s="63">
        <f>IF(ELEMENT!AO30="",0,IF(ELEMENT!C30=0,Sprache!$B$86,ELEMENT!C30))</f>
        <v>0</v>
      </c>
      <c r="E33" s="67">
        <f>MONTAGE!F32*MONTAGE!C32</f>
        <v>0</v>
      </c>
      <c r="F33" s="67">
        <f>IF($D33="",,MONTAGE!X32)</f>
        <v>0</v>
      </c>
      <c r="G33" s="67">
        <f>IF($D33="",,MONTAGE!Z32)</f>
        <v>0</v>
      </c>
      <c r="H33" s="67">
        <f>IF($D33="",,MONTAGE!AB32)</f>
        <v>0</v>
      </c>
      <c r="I33" s="67">
        <f>IF($D33="",,MONTAGE!AD32)</f>
        <v>0</v>
      </c>
      <c r="J33" s="67">
        <f>IF($D33="",,MONTAGE!AF32)</f>
        <v>0</v>
      </c>
      <c r="K33" s="67">
        <f>IF($D33="",,MONTAGE!AH32)</f>
        <v>0</v>
      </c>
      <c r="L33" s="67">
        <f>IF($D33="",,MONTAGE!AJ32)</f>
        <v>0</v>
      </c>
      <c r="M33" s="67">
        <f>IF($D33="",,MONTAGE!AL32)</f>
        <v>0</v>
      </c>
      <c r="N33" s="67">
        <f>IF($D33="",,MONTAGE!AN32)</f>
        <v>0</v>
      </c>
      <c r="O33" s="67">
        <f>IF($D33="",,MONTAGE!AP32)</f>
        <v>0</v>
      </c>
      <c r="P33" s="67">
        <f>IF($D33="",,MONTAGE!AR32)</f>
        <v>0</v>
      </c>
      <c r="Q33" s="67">
        <f>IF($D33="",,MONTAGE!AT32)</f>
        <v>0</v>
      </c>
      <c r="R33" s="67">
        <f>IF($D33="",,MONTAGE!AV32)</f>
        <v>0</v>
      </c>
      <c r="S33" s="67">
        <f>IF($D33="",,MONTAGE!AX32)</f>
        <v>0</v>
      </c>
      <c r="T33" s="67">
        <f>IF($D33="",,MONTAGE!AZ32)</f>
        <v>0</v>
      </c>
      <c r="U33" s="67">
        <f>IF($D33="",,MONTAGE!BA32)</f>
        <v>0</v>
      </c>
      <c r="V33" s="67">
        <f>IF($D33="",,MONTAGE!BB32)</f>
        <v>0</v>
      </c>
      <c r="W33" s="67">
        <f>IF($D33="",,MONTAGE!BC32)</f>
        <v>0</v>
      </c>
      <c r="X33" s="67">
        <f>IF($D33="",,MONTAGE!BD32)</f>
        <v>0</v>
      </c>
      <c r="Y33" s="67">
        <f>IF($D33="",,MONTAGE!BE32)</f>
        <v>0</v>
      </c>
      <c r="Z33" s="67">
        <f>IF($D33="",,MONTAGE!BF32)</f>
        <v>0</v>
      </c>
      <c r="AA33" s="67">
        <f>IF($D33="",,MONTAGE!BG32)</f>
        <v>0</v>
      </c>
      <c r="AB33" s="67">
        <f>IF($D33="",,MONTAGE!BH32)</f>
        <v>0</v>
      </c>
      <c r="AC33" s="67">
        <f>IF($D33="",,MONTAGE!BI32)</f>
        <v>0</v>
      </c>
      <c r="AD33" s="67">
        <f>IF($D33="",,MONTAGE!BJ32)</f>
        <v>0</v>
      </c>
      <c r="AE33" s="67">
        <f>IF($D33="",,MONTAGE!BK32)</f>
        <v>0</v>
      </c>
      <c r="AF33" s="67">
        <f>IF($D33="",,MONTAGE!BL32)</f>
        <v>0</v>
      </c>
      <c r="AG33" s="67">
        <f>IF($D33="",,MONTAGE!BM32)</f>
        <v>0</v>
      </c>
      <c r="AH33" s="67">
        <f>IF($D33="",,MONTAGE!BN32)</f>
        <v>0</v>
      </c>
      <c r="AI33" s="67">
        <f>IF($D33="",,MONTAGE!BO32)</f>
        <v>0</v>
      </c>
      <c r="AJ33" s="67">
        <f>IF($D33="",,MONTAGE!BP32)</f>
        <v>0</v>
      </c>
      <c r="AK33" s="67">
        <f>IF($D33="",,MONTAGE!BQ32)</f>
        <v>0</v>
      </c>
      <c r="AL33" s="67">
        <f>IF($D33="",,MONTAGE!BR32)</f>
        <v>0</v>
      </c>
      <c r="AM33" s="67">
        <f>IF($D33="",,MONTAGE!BS32)</f>
        <v>0</v>
      </c>
      <c r="AN33" s="67">
        <f>IF($D33="",,MONTAGE!BT32)</f>
        <v>0</v>
      </c>
      <c r="AO33" s="67">
        <f>IF($D33="",,MONTAGE!BU32)</f>
        <v>0</v>
      </c>
      <c r="AP33" s="67">
        <f>IF($D33="",,MONTAGE!BV32)</f>
        <v>0</v>
      </c>
      <c r="AQ33" s="67">
        <f>IF($D33="",,MONTAGE!BW32)</f>
        <v>0</v>
      </c>
      <c r="AR33" s="67">
        <f>IF($D33="",,MONTAGE!BX32)</f>
        <v>0</v>
      </c>
      <c r="AS33" s="67">
        <f>IF($D33="",,MONTAGE!BY32)</f>
        <v>0</v>
      </c>
      <c r="AT33" s="67">
        <f>IF($D33="",,MONTAGE!BZ32)</f>
        <v>0</v>
      </c>
      <c r="AU33" s="67">
        <f>IF($D33="",,MONTAGE!CA32)</f>
        <v>0</v>
      </c>
      <c r="AV33" s="67">
        <f>IF($D33="",,MONTAGE!CB32)</f>
        <v>0</v>
      </c>
      <c r="AW33" s="67">
        <f>IF($D33="",,MONTAGE!CC32)</f>
        <v>0</v>
      </c>
      <c r="AX33" s="67">
        <f>IF($D33="",,MONTAGE!CD32)</f>
        <v>0</v>
      </c>
    </row>
    <row r="34" spans="1:50" s="5" customFormat="1" hidden="1" x14ac:dyDescent="0.2">
      <c r="A34" s="60"/>
      <c r="B34" s="61" t="str">
        <f>IF(ELEMENT!AO31="","",MONTAGE!B33)</f>
        <v/>
      </c>
      <c r="C34" s="62" t="str">
        <f>IF(ELEMENT!AO31="","",IF(ELEMENT!AW31="JA",ELEMENT!V31,IF(ELEMENT!D31="","",CONCATENATE(ELEMENT!A31,"   ",ELEMENT!D31," x ",ELEMENT!E31,"mm  "))))</f>
        <v/>
      </c>
      <c r="D34" s="63">
        <f>IF(ELEMENT!AO31="",0,IF(ELEMENT!C31=0,Sprache!$B$86,ELEMENT!C31))</f>
        <v>0</v>
      </c>
      <c r="E34" s="67">
        <f>MONTAGE!F33*MONTAGE!C33</f>
        <v>0</v>
      </c>
      <c r="F34" s="67">
        <f>IF($D34="",,MONTAGE!X33)</f>
        <v>0</v>
      </c>
      <c r="G34" s="67">
        <f>IF($D34="",,MONTAGE!Z33)</f>
        <v>0</v>
      </c>
      <c r="H34" s="67">
        <f>IF($D34="",,MONTAGE!AB33)</f>
        <v>0</v>
      </c>
      <c r="I34" s="67">
        <f>IF($D34="",,MONTAGE!AD33)</f>
        <v>0</v>
      </c>
      <c r="J34" s="67">
        <f>IF($D34="",,MONTAGE!AF33)</f>
        <v>0</v>
      </c>
      <c r="K34" s="67">
        <f>IF($D34="",,MONTAGE!AH33)</f>
        <v>0</v>
      </c>
      <c r="L34" s="67">
        <f>IF($D34="",,MONTAGE!AJ33)</f>
        <v>0</v>
      </c>
      <c r="M34" s="67">
        <f>IF($D34="",,MONTAGE!AL33)</f>
        <v>0</v>
      </c>
      <c r="N34" s="67">
        <f>IF($D34="",,MONTAGE!AN33)</f>
        <v>0</v>
      </c>
      <c r="O34" s="67">
        <f>IF($D34="",,MONTAGE!AP33)</f>
        <v>0</v>
      </c>
      <c r="P34" s="67">
        <f>IF($D34="",,MONTAGE!AR33)</f>
        <v>0</v>
      </c>
      <c r="Q34" s="67">
        <f>IF($D34="",,MONTAGE!AT33)</f>
        <v>0</v>
      </c>
      <c r="R34" s="67">
        <f>IF($D34="",,MONTAGE!AV33)</f>
        <v>0</v>
      </c>
      <c r="S34" s="67">
        <f>IF($D34="",,MONTAGE!AX33)</f>
        <v>0</v>
      </c>
      <c r="T34" s="67">
        <f>IF($D34="",,MONTAGE!AZ33)</f>
        <v>0</v>
      </c>
      <c r="U34" s="67">
        <f>IF($D34="",,MONTAGE!BA33)</f>
        <v>0</v>
      </c>
      <c r="V34" s="67">
        <f>IF($D34="",,MONTAGE!BB33)</f>
        <v>0</v>
      </c>
      <c r="W34" s="67">
        <f>IF($D34="",,MONTAGE!BC33)</f>
        <v>0</v>
      </c>
      <c r="X34" s="67">
        <f>IF($D34="",,MONTAGE!BD33)</f>
        <v>0</v>
      </c>
      <c r="Y34" s="67">
        <f>IF($D34="",,MONTAGE!BE33)</f>
        <v>0</v>
      </c>
      <c r="Z34" s="67">
        <f>IF($D34="",,MONTAGE!BF33)</f>
        <v>0</v>
      </c>
      <c r="AA34" s="67">
        <f>IF($D34="",,MONTAGE!BG33)</f>
        <v>0</v>
      </c>
      <c r="AB34" s="67">
        <f>IF($D34="",,MONTAGE!BH33)</f>
        <v>0</v>
      </c>
      <c r="AC34" s="67">
        <f>IF($D34="",,MONTAGE!BI33)</f>
        <v>0</v>
      </c>
      <c r="AD34" s="67">
        <f>IF($D34="",,MONTAGE!BJ33)</f>
        <v>0</v>
      </c>
      <c r="AE34" s="67">
        <f>IF($D34="",,MONTAGE!BK33)</f>
        <v>0</v>
      </c>
      <c r="AF34" s="67">
        <f>IF($D34="",,MONTAGE!BL33)</f>
        <v>0</v>
      </c>
      <c r="AG34" s="67">
        <f>IF($D34="",,MONTAGE!BM33)</f>
        <v>0</v>
      </c>
      <c r="AH34" s="67">
        <f>IF($D34="",,MONTAGE!BN33)</f>
        <v>0</v>
      </c>
      <c r="AI34" s="67">
        <f>IF($D34="",,MONTAGE!BO33)</f>
        <v>0</v>
      </c>
      <c r="AJ34" s="67">
        <f>IF($D34="",,MONTAGE!BP33)</f>
        <v>0</v>
      </c>
      <c r="AK34" s="67">
        <f>IF($D34="",,MONTAGE!BQ33)</f>
        <v>0</v>
      </c>
      <c r="AL34" s="67">
        <f>IF($D34="",,MONTAGE!BR33)</f>
        <v>0</v>
      </c>
      <c r="AM34" s="67">
        <f>IF($D34="",,MONTAGE!BS33)</f>
        <v>0</v>
      </c>
      <c r="AN34" s="67">
        <f>IF($D34="",,MONTAGE!BT33)</f>
        <v>0</v>
      </c>
      <c r="AO34" s="67">
        <f>IF($D34="",,MONTAGE!BU33)</f>
        <v>0</v>
      </c>
      <c r="AP34" s="67">
        <f>IF($D34="",,MONTAGE!BV33)</f>
        <v>0</v>
      </c>
      <c r="AQ34" s="67">
        <f>IF($D34="",,MONTAGE!BW33)</f>
        <v>0</v>
      </c>
      <c r="AR34" s="67">
        <f>IF($D34="",,MONTAGE!BX33)</f>
        <v>0</v>
      </c>
      <c r="AS34" s="67">
        <f>IF($D34="",,MONTAGE!BY33)</f>
        <v>0</v>
      </c>
      <c r="AT34" s="67">
        <f>IF($D34="",,MONTAGE!BZ33)</f>
        <v>0</v>
      </c>
      <c r="AU34" s="67">
        <f>IF($D34="",,MONTAGE!CA33)</f>
        <v>0</v>
      </c>
      <c r="AV34" s="67">
        <f>IF($D34="",,MONTAGE!CB33)</f>
        <v>0</v>
      </c>
      <c r="AW34" s="67">
        <f>IF($D34="",,MONTAGE!CC33)</f>
        <v>0</v>
      </c>
      <c r="AX34" s="67">
        <f>IF($D34="",,MONTAGE!CD33)</f>
        <v>0</v>
      </c>
    </row>
    <row r="35" spans="1:50" s="5" customFormat="1" hidden="1" x14ac:dyDescent="0.2">
      <c r="A35" s="60"/>
      <c r="B35" s="61" t="str">
        <f>IF(ELEMENT!AO32="","",MONTAGE!B34)</f>
        <v/>
      </c>
      <c r="C35" s="62" t="str">
        <f>IF(ELEMENT!AO32="","",IF(ELEMENT!AW32="JA",ELEMENT!V32,IF(ELEMENT!D32="","",CONCATENATE(ELEMENT!A32,"   ",ELEMENT!D32," x ",ELEMENT!E32,"mm  "))))</f>
        <v/>
      </c>
      <c r="D35" s="63">
        <f>IF(ELEMENT!AO32="",0,IF(ELEMENT!C32=0,Sprache!$B$86,ELEMENT!C32))</f>
        <v>0</v>
      </c>
      <c r="E35" s="67">
        <f>MONTAGE!F34*MONTAGE!C34</f>
        <v>0</v>
      </c>
      <c r="F35" s="67">
        <f>IF($D35="",,MONTAGE!X34)</f>
        <v>0</v>
      </c>
      <c r="G35" s="67">
        <f>IF($D35="",,MONTAGE!Z34)</f>
        <v>0</v>
      </c>
      <c r="H35" s="67">
        <f>IF($D35="",,MONTAGE!AB34)</f>
        <v>0</v>
      </c>
      <c r="I35" s="67">
        <f>IF($D35="",,MONTAGE!AD34)</f>
        <v>0</v>
      </c>
      <c r="J35" s="67">
        <f>IF($D35="",,MONTAGE!AF34)</f>
        <v>0</v>
      </c>
      <c r="K35" s="67">
        <f>IF($D35="",,MONTAGE!AH34)</f>
        <v>0</v>
      </c>
      <c r="L35" s="67">
        <f>IF($D35="",,MONTAGE!AJ34)</f>
        <v>0</v>
      </c>
      <c r="M35" s="67">
        <f>IF($D35="",,MONTAGE!AL34)</f>
        <v>0</v>
      </c>
      <c r="N35" s="67">
        <f>IF($D35="",,MONTAGE!AN34)</f>
        <v>0</v>
      </c>
      <c r="O35" s="67">
        <f>IF($D35="",,MONTAGE!AP34)</f>
        <v>0</v>
      </c>
      <c r="P35" s="67">
        <f>IF($D35="",,MONTAGE!AR34)</f>
        <v>0</v>
      </c>
      <c r="Q35" s="67">
        <f>IF($D35="",,MONTAGE!AT34)</f>
        <v>0</v>
      </c>
      <c r="R35" s="67">
        <f>IF($D35="",,MONTAGE!AV34)</f>
        <v>0</v>
      </c>
      <c r="S35" s="67">
        <f>IF($D35="",,MONTAGE!AX34)</f>
        <v>0</v>
      </c>
      <c r="T35" s="67">
        <f>IF($D35="",,MONTAGE!AZ34)</f>
        <v>0</v>
      </c>
      <c r="U35" s="67">
        <f>IF($D35="",,MONTAGE!BA34)</f>
        <v>0</v>
      </c>
      <c r="V35" s="67">
        <f>IF($D35="",,MONTAGE!BB34)</f>
        <v>0</v>
      </c>
      <c r="W35" s="67">
        <f>IF($D35="",,MONTAGE!BC34)</f>
        <v>0</v>
      </c>
      <c r="X35" s="67">
        <f>IF($D35="",,MONTAGE!BD34)</f>
        <v>0</v>
      </c>
      <c r="Y35" s="67">
        <f>IF($D35="",,MONTAGE!BE34)</f>
        <v>0</v>
      </c>
      <c r="Z35" s="67">
        <f>IF($D35="",,MONTAGE!BF34)</f>
        <v>0</v>
      </c>
      <c r="AA35" s="67">
        <f>IF($D35="",,MONTAGE!BG34)</f>
        <v>0</v>
      </c>
      <c r="AB35" s="67">
        <f>IF($D35="",,MONTAGE!BH34)</f>
        <v>0</v>
      </c>
      <c r="AC35" s="67">
        <f>IF($D35="",,MONTAGE!BI34)</f>
        <v>0</v>
      </c>
      <c r="AD35" s="67">
        <f>IF($D35="",,MONTAGE!BJ34)</f>
        <v>0</v>
      </c>
      <c r="AE35" s="67">
        <f>IF($D35="",,MONTAGE!BK34)</f>
        <v>0</v>
      </c>
      <c r="AF35" s="67">
        <f>IF($D35="",,MONTAGE!BL34)</f>
        <v>0</v>
      </c>
      <c r="AG35" s="67">
        <f>IF($D35="",,MONTAGE!BM34)</f>
        <v>0</v>
      </c>
      <c r="AH35" s="67">
        <f>IF($D35="",,MONTAGE!BN34)</f>
        <v>0</v>
      </c>
      <c r="AI35" s="67">
        <f>IF($D35="",,MONTAGE!BO34)</f>
        <v>0</v>
      </c>
      <c r="AJ35" s="67">
        <f>IF($D35="",,MONTAGE!BP34)</f>
        <v>0</v>
      </c>
      <c r="AK35" s="67">
        <f>IF($D35="",,MONTAGE!BQ34)</f>
        <v>0</v>
      </c>
      <c r="AL35" s="67">
        <f>IF($D35="",,MONTAGE!BR34)</f>
        <v>0</v>
      </c>
      <c r="AM35" s="67">
        <f>IF($D35="",,MONTAGE!BS34)</f>
        <v>0</v>
      </c>
      <c r="AN35" s="67">
        <f>IF($D35="",,MONTAGE!BT34)</f>
        <v>0</v>
      </c>
      <c r="AO35" s="67">
        <f>IF($D35="",,MONTAGE!BU34)</f>
        <v>0</v>
      </c>
      <c r="AP35" s="67">
        <f>IF($D35="",,MONTAGE!BV34)</f>
        <v>0</v>
      </c>
      <c r="AQ35" s="67">
        <f>IF($D35="",,MONTAGE!BW34)</f>
        <v>0</v>
      </c>
      <c r="AR35" s="67">
        <f>IF($D35="",,MONTAGE!BX34)</f>
        <v>0</v>
      </c>
      <c r="AS35" s="67">
        <f>IF($D35="",,MONTAGE!BY34)</f>
        <v>0</v>
      </c>
      <c r="AT35" s="67">
        <f>IF($D35="",,MONTAGE!BZ34)</f>
        <v>0</v>
      </c>
      <c r="AU35" s="67">
        <f>IF($D35="",,MONTAGE!CA34)</f>
        <v>0</v>
      </c>
      <c r="AV35" s="67">
        <f>IF($D35="",,MONTAGE!CB34)</f>
        <v>0</v>
      </c>
      <c r="AW35" s="67">
        <f>IF($D35="",,MONTAGE!CC34)</f>
        <v>0</v>
      </c>
      <c r="AX35" s="67">
        <f>IF($D35="",,MONTAGE!CD34)</f>
        <v>0</v>
      </c>
    </row>
    <row r="36" spans="1:50" s="5" customFormat="1" hidden="1" x14ac:dyDescent="0.2">
      <c r="A36" s="60"/>
      <c r="B36" s="61" t="str">
        <f>IF(ELEMENT!AO33="","",MONTAGE!B35)</f>
        <v/>
      </c>
      <c r="C36" s="62" t="str">
        <f>IF(ELEMENT!AO33="","",IF(ELEMENT!AW33="JA",ELEMENT!V33,IF(ELEMENT!D33="","",CONCATENATE(ELEMENT!A33,"   ",ELEMENT!D33," x ",ELEMENT!E33,"mm  "))))</f>
        <v/>
      </c>
      <c r="D36" s="63">
        <f>IF(ELEMENT!AO33="",0,IF(ELEMENT!C33=0,Sprache!$B$86,ELEMENT!C33))</f>
        <v>0</v>
      </c>
      <c r="E36" s="67">
        <f>MONTAGE!F35*MONTAGE!C35</f>
        <v>0</v>
      </c>
      <c r="F36" s="67">
        <f>IF($D36="",,MONTAGE!X35)</f>
        <v>0</v>
      </c>
      <c r="G36" s="67">
        <f>IF($D36="",,MONTAGE!Z35)</f>
        <v>0</v>
      </c>
      <c r="H36" s="67">
        <f>IF($D36="",,MONTAGE!AB35)</f>
        <v>0</v>
      </c>
      <c r="I36" s="67">
        <f>IF($D36="",,MONTAGE!AD35)</f>
        <v>0</v>
      </c>
      <c r="J36" s="67">
        <f>IF($D36="",,MONTAGE!AF35)</f>
        <v>0</v>
      </c>
      <c r="K36" s="67">
        <f>IF($D36="",,MONTAGE!AH35)</f>
        <v>0</v>
      </c>
      <c r="L36" s="67">
        <f>IF($D36="",,MONTAGE!AJ35)</f>
        <v>0</v>
      </c>
      <c r="M36" s="67">
        <f>IF($D36="",,MONTAGE!AL35)</f>
        <v>0</v>
      </c>
      <c r="N36" s="67">
        <f>IF($D36="",,MONTAGE!AN35)</f>
        <v>0</v>
      </c>
      <c r="O36" s="67">
        <f>IF($D36="",,MONTAGE!AP35)</f>
        <v>0</v>
      </c>
      <c r="P36" s="67">
        <f>IF($D36="",,MONTAGE!AR35)</f>
        <v>0</v>
      </c>
      <c r="Q36" s="67">
        <f>IF($D36="",,MONTAGE!AT35)</f>
        <v>0</v>
      </c>
      <c r="R36" s="67">
        <f>IF($D36="",,MONTAGE!AV35)</f>
        <v>0</v>
      </c>
      <c r="S36" s="67">
        <f>IF($D36="",,MONTAGE!AX35)</f>
        <v>0</v>
      </c>
      <c r="T36" s="67">
        <f>IF($D36="",,MONTAGE!AZ35)</f>
        <v>0</v>
      </c>
      <c r="U36" s="67">
        <f>IF($D36="",,MONTAGE!BA35)</f>
        <v>0</v>
      </c>
      <c r="V36" s="67">
        <f>IF($D36="",,MONTAGE!BB35)</f>
        <v>0</v>
      </c>
      <c r="W36" s="67">
        <f>IF($D36="",,MONTAGE!BC35)</f>
        <v>0</v>
      </c>
      <c r="X36" s="67">
        <f>IF($D36="",,MONTAGE!BD35)</f>
        <v>0</v>
      </c>
      <c r="Y36" s="67">
        <f>IF($D36="",,MONTAGE!BE35)</f>
        <v>0</v>
      </c>
      <c r="Z36" s="67">
        <f>IF($D36="",,MONTAGE!BF35)</f>
        <v>0</v>
      </c>
      <c r="AA36" s="67">
        <f>IF($D36="",,MONTAGE!BG35)</f>
        <v>0</v>
      </c>
      <c r="AB36" s="67">
        <f>IF($D36="",,MONTAGE!BH35)</f>
        <v>0</v>
      </c>
      <c r="AC36" s="67">
        <f>IF($D36="",,MONTAGE!BI35)</f>
        <v>0</v>
      </c>
      <c r="AD36" s="67">
        <f>IF($D36="",,MONTAGE!BJ35)</f>
        <v>0</v>
      </c>
      <c r="AE36" s="67">
        <f>IF($D36="",,MONTAGE!BK35)</f>
        <v>0</v>
      </c>
      <c r="AF36" s="67">
        <f>IF($D36="",,MONTAGE!BL35)</f>
        <v>0</v>
      </c>
      <c r="AG36" s="67">
        <f>IF($D36="",,MONTAGE!BM35)</f>
        <v>0</v>
      </c>
      <c r="AH36" s="67">
        <f>IF($D36="",,MONTAGE!BN35)</f>
        <v>0</v>
      </c>
      <c r="AI36" s="67">
        <f>IF($D36="",,MONTAGE!BO35)</f>
        <v>0</v>
      </c>
      <c r="AJ36" s="67">
        <f>IF($D36="",,MONTAGE!BP35)</f>
        <v>0</v>
      </c>
      <c r="AK36" s="67">
        <f>IF($D36="",,MONTAGE!BQ35)</f>
        <v>0</v>
      </c>
      <c r="AL36" s="67">
        <f>IF($D36="",,MONTAGE!BR35)</f>
        <v>0</v>
      </c>
      <c r="AM36" s="67">
        <f>IF($D36="",,MONTAGE!BS35)</f>
        <v>0</v>
      </c>
      <c r="AN36" s="67">
        <f>IF($D36="",,MONTAGE!BT35)</f>
        <v>0</v>
      </c>
      <c r="AO36" s="67">
        <f>IF($D36="",,MONTAGE!BU35)</f>
        <v>0</v>
      </c>
      <c r="AP36" s="67">
        <f>IF($D36="",,MONTAGE!BV35)</f>
        <v>0</v>
      </c>
      <c r="AQ36" s="67">
        <f>IF($D36="",,MONTAGE!BW35)</f>
        <v>0</v>
      </c>
      <c r="AR36" s="67">
        <f>IF($D36="",,MONTAGE!BX35)</f>
        <v>0</v>
      </c>
      <c r="AS36" s="67">
        <f>IF($D36="",,MONTAGE!BY35)</f>
        <v>0</v>
      </c>
      <c r="AT36" s="67">
        <f>IF($D36="",,MONTAGE!BZ35)</f>
        <v>0</v>
      </c>
      <c r="AU36" s="67">
        <f>IF($D36="",,MONTAGE!CA35)</f>
        <v>0</v>
      </c>
      <c r="AV36" s="67">
        <f>IF($D36="",,MONTAGE!CB35)</f>
        <v>0</v>
      </c>
      <c r="AW36" s="67">
        <f>IF($D36="",,MONTAGE!CC35)</f>
        <v>0</v>
      </c>
      <c r="AX36" s="67">
        <f>IF($D36="",,MONTAGE!CD35)</f>
        <v>0</v>
      </c>
    </row>
    <row r="37" spans="1:50" s="5" customFormat="1" hidden="1" x14ac:dyDescent="0.2">
      <c r="A37" s="60"/>
      <c r="B37" s="61" t="str">
        <f>IF(ELEMENT!AO34="","",MONTAGE!B36)</f>
        <v/>
      </c>
      <c r="C37" s="62" t="str">
        <f>IF(ELEMENT!AO34="","",IF(ELEMENT!AW34="JA",ELEMENT!V34,IF(ELEMENT!D34="","",CONCATENATE(ELEMENT!A34,"   ",ELEMENT!D34," x ",ELEMENT!E34,"mm  "))))</f>
        <v/>
      </c>
      <c r="D37" s="63">
        <f>IF(ELEMENT!AO34="",0,IF(ELEMENT!C34=0,Sprache!$B$86,ELEMENT!C34))</f>
        <v>0</v>
      </c>
      <c r="E37" s="67">
        <f>MONTAGE!F36*MONTAGE!C36</f>
        <v>0</v>
      </c>
      <c r="F37" s="67">
        <f>IF($D37="",,MONTAGE!X36)</f>
        <v>0</v>
      </c>
      <c r="G37" s="67">
        <f>IF($D37="",,MONTAGE!Z36)</f>
        <v>0</v>
      </c>
      <c r="H37" s="67">
        <f>IF($D37="",,MONTAGE!AB36)</f>
        <v>0</v>
      </c>
      <c r="I37" s="67">
        <f>IF($D37="",,MONTAGE!AD36)</f>
        <v>0</v>
      </c>
      <c r="J37" s="67">
        <f>IF($D37="",,MONTAGE!AF36)</f>
        <v>0</v>
      </c>
      <c r="K37" s="67">
        <f>IF($D37="",,MONTAGE!AH36)</f>
        <v>0</v>
      </c>
      <c r="L37" s="67">
        <f>IF($D37="",,MONTAGE!AJ36)</f>
        <v>0</v>
      </c>
      <c r="M37" s="67">
        <f>IF($D37="",,MONTAGE!AL36)</f>
        <v>0</v>
      </c>
      <c r="N37" s="67">
        <f>IF($D37="",,MONTAGE!AN36)</f>
        <v>0</v>
      </c>
      <c r="O37" s="67">
        <f>IF($D37="",,MONTAGE!AP36)</f>
        <v>0</v>
      </c>
      <c r="P37" s="67">
        <f>IF($D37="",,MONTAGE!AR36)</f>
        <v>0</v>
      </c>
      <c r="Q37" s="67">
        <f>IF($D37="",,MONTAGE!AT36)</f>
        <v>0</v>
      </c>
      <c r="R37" s="67">
        <f>IF($D37="",,MONTAGE!AV36)</f>
        <v>0</v>
      </c>
      <c r="S37" s="67">
        <f>IF($D37="",,MONTAGE!AX36)</f>
        <v>0</v>
      </c>
      <c r="T37" s="67">
        <f>IF($D37="",,MONTAGE!AZ36)</f>
        <v>0</v>
      </c>
      <c r="U37" s="67">
        <f>IF($D37="",,MONTAGE!BA36)</f>
        <v>0</v>
      </c>
      <c r="V37" s="67">
        <f>IF($D37="",,MONTAGE!BB36)</f>
        <v>0</v>
      </c>
      <c r="W37" s="67">
        <f>IF($D37="",,MONTAGE!BC36)</f>
        <v>0</v>
      </c>
      <c r="X37" s="67">
        <f>IF($D37="",,MONTAGE!BD36)</f>
        <v>0</v>
      </c>
      <c r="Y37" s="67">
        <f>IF($D37="",,MONTAGE!BE36)</f>
        <v>0</v>
      </c>
      <c r="Z37" s="67">
        <f>IF($D37="",,MONTAGE!BF36)</f>
        <v>0</v>
      </c>
      <c r="AA37" s="67">
        <f>IF($D37="",,MONTAGE!BG36)</f>
        <v>0</v>
      </c>
      <c r="AB37" s="67">
        <f>IF($D37="",,MONTAGE!BH36)</f>
        <v>0</v>
      </c>
      <c r="AC37" s="67">
        <f>IF($D37="",,MONTAGE!BI36)</f>
        <v>0</v>
      </c>
      <c r="AD37" s="67">
        <f>IF($D37="",,MONTAGE!BJ36)</f>
        <v>0</v>
      </c>
      <c r="AE37" s="67">
        <f>IF($D37="",,MONTAGE!BK36)</f>
        <v>0</v>
      </c>
      <c r="AF37" s="67">
        <f>IF($D37="",,MONTAGE!BL36)</f>
        <v>0</v>
      </c>
      <c r="AG37" s="67">
        <f>IF($D37="",,MONTAGE!BM36)</f>
        <v>0</v>
      </c>
      <c r="AH37" s="67">
        <f>IF($D37="",,MONTAGE!BN36)</f>
        <v>0</v>
      </c>
      <c r="AI37" s="67">
        <f>IF($D37="",,MONTAGE!BO36)</f>
        <v>0</v>
      </c>
      <c r="AJ37" s="67">
        <f>IF($D37="",,MONTAGE!BP36)</f>
        <v>0</v>
      </c>
      <c r="AK37" s="67">
        <f>IF($D37="",,MONTAGE!BQ36)</f>
        <v>0</v>
      </c>
      <c r="AL37" s="67">
        <f>IF($D37="",,MONTAGE!BR36)</f>
        <v>0</v>
      </c>
      <c r="AM37" s="67">
        <f>IF($D37="",,MONTAGE!BS36)</f>
        <v>0</v>
      </c>
      <c r="AN37" s="67">
        <f>IF($D37="",,MONTAGE!BT36)</f>
        <v>0</v>
      </c>
      <c r="AO37" s="67">
        <f>IF($D37="",,MONTAGE!BU36)</f>
        <v>0</v>
      </c>
      <c r="AP37" s="67">
        <f>IF($D37="",,MONTAGE!BV36)</f>
        <v>0</v>
      </c>
      <c r="AQ37" s="67">
        <f>IF($D37="",,MONTAGE!BW36)</f>
        <v>0</v>
      </c>
      <c r="AR37" s="67">
        <f>IF($D37="",,MONTAGE!BX36)</f>
        <v>0</v>
      </c>
      <c r="AS37" s="67">
        <f>IF($D37="",,MONTAGE!BY36)</f>
        <v>0</v>
      </c>
      <c r="AT37" s="67">
        <f>IF($D37="",,MONTAGE!BZ36)</f>
        <v>0</v>
      </c>
      <c r="AU37" s="67">
        <f>IF($D37="",,MONTAGE!CA36)</f>
        <v>0</v>
      </c>
      <c r="AV37" s="67">
        <f>IF($D37="",,MONTAGE!CB36)</f>
        <v>0</v>
      </c>
      <c r="AW37" s="67">
        <f>IF($D37="",,MONTAGE!CC36)</f>
        <v>0</v>
      </c>
      <c r="AX37" s="67">
        <f>IF($D37="",,MONTAGE!CD36)</f>
        <v>0</v>
      </c>
    </row>
    <row r="38" spans="1:50" s="5" customFormat="1" hidden="1" x14ac:dyDescent="0.2">
      <c r="A38" s="60"/>
      <c r="B38" s="61" t="str">
        <f>IF(ELEMENT!AO35="","",MONTAGE!B37)</f>
        <v/>
      </c>
      <c r="C38" s="62" t="str">
        <f>IF(ELEMENT!AO35="","",IF(ELEMENT!AW35="JA",ELEMENT!V35,IF(ELEMENT!D35="","",CONCATENATE(ELEMENT!A35,"   ",ELEMENT!D35," x ",ELEMENT!E35,"mm  "))))</f>
        <v/>
      </c>
      <c r="D38" s="63">
        <f>IF(ELEMENT!AO35="",0,IF(ELEMENT!C35=0,Sprache!$B$86,ELEMENT!C35))</f>
        <v>0</v>
      </c>
      <c r="E38" s="67">
        <f>MONTAGE!F37*MONTAGE!C37</f>
        <v>0</v>
      </c>
      <c r="F38" s="67">
        <f>IF($D38="",,MONTAGE!X37)</f>
        <v>0</v>
      </c>
      <c r="G38" s="67">
        <f>IF($D38="",,MONTAGE!Z37)</f>
        <v>0</v>
      </c>
      <c r="H38" s="67">
        <f>IF($D38="",,MONTAGE!AB37)</f>
        <v>0</v>
      </c>
      <c r="I38" s="67">
        <f>IF($D38="",,MONTAGE!AD37)</f>
        <v>0</v>
      </c>
      <c r="J38" s="67">
        <f>IF($D38="",,MONTAGE!AF37)</f>
        <v>0</v>
      </c>
      <c r="K38" s="67">
        <f>IF($D38="",,MONTAGE!AH37)</f>
        <v>0</v>
      </c>
      <c r="L38" s="67">
        <f>IF($D38="",,MONTAGE!AJ37)</f>
        <v>0</v>
      </c>
      <c r="M38" s="67">
        <f>IF($D38="",,MONTAGE!AL37)</f>
        <v>0</v>
      </c>
      <c r="N38" s="67">
        <f>IF($D38="",,MONTAGE!AN37)</f>
        <v>0</v>
      </c>
      <c r="O38" s="67">
        <f>IF($D38="",,MONTAGE!AP37)</f>
        <v>0</v>
      </c>
      <c r="P38" s="67">
        <f>IF($D38="",,MONTAGE!AR37)</f>
        <v>0</v>
      </c>
      <c r="Q38" s="67">
        <f>IF($D38="",,MONTAGE!AT37)</f>
        <v>0</v>
      </c>
      <c r="R38" s="67">
        <f>IF($D38="",,MONTAGE!AV37)</f>
        <v>0</v>
      </c>
      <c r="S38" s="67">
        <f>IF($D38="",,MONTAGE!AX37)</f>
        <v>0</v>
      </c>
      <c r="T38" s="67">
        <f>IF($D38="",,MONTAGE!AZ37)</f>
        <v>0</v>
      </c>
      <c r="U38" s="67">
        <f>IF($D38="",,MONTAGE!BA37)</f>
        <v>0</v>
      </c>
      <c r="V38" s="67">
        <f>IF($D38="",,MONTAGE!BB37)</f>
        <v>0</v>
      </c>
      <c r="W38" s="67">
        <f>IF($D38="",,MONTAGE!BC37)</f>
        <v>0</v>
      </c>
      <c r="X38" s="67">
        <f>IF($D38="",,MONTAGE!BD37)</f>
        <v>0</v>
      </c>
      <c r="Y38" s="67">
        <f>IF($D38="",,MONTAGE!BE37)</f>
        <v>0</v>
      </c>
      <c r="Z38" s="67">
        <f>IF($D38="",,MONTAGE!BF37)</f>
        <v>0</v>
      </c>
      <c r="AA38" s="67">
        <f>IF($D38="",,MONTAGE!BG37)</f>
        <v>0</v>
      </c>
      <c r="AB38" s="67">
        <f>IF($D38="",,MONTAGE!BH37)</f>
        <v>0</v>
      </c>
      <c r="AC38" s="67">
        <f>IF($D38="",,MONTAGE!BI37)</f>
        <v>0</v>
      </c>
      <c r="AD38" s="67">
        <f>IF($D38="",,MONTAGE!BJ37)</f>
        <v>0</v>
      </c>
      <c r="AE38" s="67">
        <f>IF($D38="",,MONTAGE!BK37)</f>
        <v>0</v>
      </c>
      <c r="AF38" s="67">
        <f>IF($D38="",,MONTAGE!BL37)</f>
        <v>0</v>
      </c>
      <c r="AG38" s="67">
        <f>IF($D38="",,MONTAGE!BM37)</f>
        <v>0</v>
      </c>
      <c r="AH38" s="67">
        <f>IF($D38="",,MONTAGE!BN37)</f>
        <v>0</v>
      </c>
      <c r="AI38" s="67">
        <f>IF($D38="",,MONTAGE!BO37)</f>
        <v>0</v>
      </c>
      <c r="AJ38" s="67">
        <f>IF($D38="",,MONTAGE!BP37)</f>
        <v>0</v>
      </c>
      <c r="AK38" s="67">
        <f>IF($D38="",,MONTAGE!BQ37)</f>
        <v>0</v>
      </c>
      <c r="AL38" s="67">
        <f>IF($D38="",,MONTAGE!BR37)</f>
        <v>0</v>
      </c>
      <c r="AM38" s="67">
        <f>IF($D38="",,MONTAGE!BS37)</f>
        <v>0</v>
      </c>
      <c r="AN38" s="67">
        <f>IF($D38="",,MONTAGE!BT37)</f>
        <v>0</v>
      </c>
      <c r="AO38" s="67">
        <f>IF($D38="",,MONTAGE!BU37)</f>
        <v>0</v>
      </c>
      <c r="AP38" s="67">
        <f>IF($D38="",,MONTAGE!BV37)</f>
        <v>0</v>
      </c>
      <c r="AQ38" s="67">
        <f>IF($D38="",,MONTAGE!BW37)</f>
        <v>0</v>
      </c>
      <c r="AR38" s="67">
        <f>IF($D38="",,MONTAGE!BX37)</f>
        <v>0</v>
      </c>
      <c r="AS38" s="67">
        <f>IF($D38="",,MONTAGE!BY37)</f>
        <v>0</v>
      </c>
      <c r="AT38" s="67">
        <f>IF($D38="",,MONTAGE!BZ37)</f>
        <v>0</v>
      </c>
      <c r="AU38" s="67">
        <f>IF($D38="",,MONTAGE!CA37)</f>
        <v>0</v>
      </c>
      <c r="AV38" s="67">
        <f>IF($D38="",,MONTAGE!CB37)</f>
        <v>0</v>
      </c>
      <c r="AW38" s="67">
        <f>IF($D38="",,MONTAGE!CC37)</f>
        <v>0</v>
      </c>
      <c r="AX38" s="67">
        <f>IF($D38="",,MONTAGE!CD37)</f>
        <v>0</v>
      </c>
    </row>
    <row r="39" spans="1:50" s="5" customFormat="1" hidden="1" x14ac:dyDescent="0.2">
      <c r="A39" s="60"/>
      <c r="B39" s="61" t="str">
        <f>IF(ELEMENT!AO36="","",MONTAGE!B38)</f>
        <v/>
      </c>
      <c r="C39" s="62" t="str">
        <f>IF(ELEMENT!AO36="","",IF(ELEMENT!AW36="JA",ELEMENT!V36,IF(ELEMENT!D36="","",CONCATENATE(ELEMENT!A36,"   ",ELEMENT!D36," x ",ELEMENT!E36,"mm  "))))</f>
        <v/>
      </c>
      <c r="D39" s="63">
        <f>IF(ELEMENT!AO36="",0,IF(ELEMENT!C36=0,Sprache!$B$86,ELEMENT!C36))</f>
        <v>0</v>
      </c>
      <c r="E39" s="67">
        <f>MONTAGE!F38*MONTAGE!C38</f>
        <v>0</v>
      </c>
      <c r="F39" s="67">
        <f>IF($D39="",,MONTAGE!X38)</f>
        <v>0</v>
      </c>
      <c r="G39" s="67">
        <f>IF($D39="",,MONTAGE!Z38)</f>
        <v>0</v>
      </c>
      <c r="H39" s="67">
        <f>IF($D39="",,MONTAGE!AB38)</f>
        <v>0</v>
      </c>
      <c r="I39" s="67">
        <f>IF($D39="",,MONTAGE!AD38)</f>
        <v>0</v>
      </c>
      <c r="J39" s="67">
        <f>IF($D39="",,MONTAGE!AF38)</f>
        <v>0</v>
      </c>
      <c r="K39" s="67">
        <f>IF($D39="",,MONTAGE!AH38)</f>
        <v>0</v>
      </c>
      <c r="L39" s="67">
        <f>IF($D39="",,MONTAGE!AJ38)</f>
        <v>0</v>
      </c>
      <c r="M39" s="67">
        <f>IF($D39="",,MONTAGE!AL38)</f>
        <v>0</v>
      </c>
      <c r="N39" s="67">
        <f>IF($D39="",,MONTAGE!AN38)</f>
        <v>0</v>
      </c>
      <c r="O39" s="67">
        <f>IF($D39="",,MONTAGE!AP38)</f>
        <v>0</v>
      </c>
      <c r="P39" s="67">
        <f>IF($D39="",,MONTAGE!AR38)</f>
        <v>0</v>
      </c>
      <c r="Q39" s="67">
        <f>IF($D39="",,MONTAGE!AT38)</f>
        <v>0</v>
      </c>
      <c r="R39" s="67">
        <f>IF($D39="",,MONTAGE!AV38)</f>
        <v>0</v>
      </c>
      <c r="S39" s="67">
        <f>IF($D39="",,MONTAGE!AX38)</f>
        <v>0</v>
      </c>
      <c r="T39" s="67">
        <f>IF($D39="",,MONTAGE!AZ38)</f>
        <v>0</v>
      </c>
      <c r="U39" s="67">
        <f>IF($D39="",,MONTAGE!BA38)</f>
        <v>0</v>
      </c>
      <c r="V39" s="67">
        <f>IF($D39="",,MONTAGE!BB38)</f>
        <v>0</v>
      </c>
      <c r="W39" s="67">
        <f>IF($D39="",,MONTAGE!BC38)</f>
        <v>0</v>
      </c>
      <c r="X39" s="67">
        <f>IF($D39="",,MONTAGE!BD38)</f>
        <v>0</v>
      </c>
      <c r="Y39" s="67">
        <f>IF($D39="",,MONTAGE!BE38)</f>
        <v>0</v>
      </c>
      <c r="Z39" s="67">
        <f>IF($D39="",,MONTAGE!BF38)</f>
        <v>0</v>
      </c>
      <c r="AA39" s="67">
        <f>IF($D39="",,MONTAGE!BG38)</f>
        <v>0</v>
      </c>
      <c r="AB39" s="67">
        <f>IF($D39="",,MONTAGE!BH38)</f>
        <v>0</v>
      </c>
      <c r="AC39" s="67">
        <f>IF($D39="",,MONTAGE!BI38)</f>
        <v>0</v>
      </c>
      <c r="AD39" s="67">
        <f>IF($D39="",,MONTAGE!BJ38)</f>
        <v>0</v>
      </c>
      <c r="AE39" s="67">
        <f>IF($D39="",,MONTAGE!BK38)</f>
        <v>0</v>
      </c>
      <c r="AF39" s="67">
        <f>IF($D39="",,MONTAGE!BL38)</f>
        <v>0</v>
      </c>
      <c r="AG39" s="67">
        <f>IF($D39="",,MONTAGE!BM38)</f>
        <v>0</v>
      </c>
      <c r="AH39" s="67">
        <f>IF($D39="",,MONTAGE!BN38)</f>
        <v>0</v>
      </c>
      <c r="AI39" s="67">
        <f>IF($D39="",,MONTAGE!BO38)</f>
        <v>0</v>
      </c>
      <c r="AJ39" s="67">
        <f>IF($D39="",,MONTAGE!BP38)</f>
        <v>0</v>
      </c>
      <c r="AK39" s="67">
        <f>IF($D39="",,MONTAGE!BQ38)</f>
        <v>0</v>
      </c>
      <c r="AL39" s="67">
        <f>IF($D39="",,MONTAGE!BR38)</f>
        <v>0</v>
      </c>
      <c r="AM39" s="67">
        <f>IF($D39="",,MONTAGE!BS38)</f>
        <v>0</v>
      </c>
      <c r="AN39" s="67">
        <f>IF($D39="",,MONTAGE!BT38)</f>
        <v>0</v>
      </c>
      <c r="AO39" s="67">
        <f>IF($D39="",,MONTAGE!BU38)</f>
        <v>0</v>
      </c>
      <c r="AP39" s="67">
        <f>IF($D39="",,MONTAGE!BV38)</f>
        <v>0</v>
      </c>
      <c r="AQ39" s="67">
        <f>IF($D39="",,MONTAGE!BW38)</f>
        <v>0</v>
      </c>
      <c r="AR39" s="67">
        <f>IF($D39="",,MONTAGE!BX38)</f>
        <v>0</v>
      </c>
      <c r="AS39" s="67">
        <f>IF($D39="",,MONTAGE!BY38)</f>
        <v>0</v>
      </c>
      <c r="AT39" s="67">
        <f>IF($D39="",,MONTAGE!BZ38)</f>
        <v>0</v>
      </c>
      <c r="AU39" s="67">
        <f>IF($D39="",,MONTAGE!CA38)</f>
        <v>0</v>
      </c>
      <c r="AV39" s="67">
        <f>IF($D39="",,MONTAGE!CB38)</f>
        <v>0</v>
      </c>
      <c r="AW39" s="67">
        <f>IF($D39="",,MONTAGE!CC38)</f>
        <v>0</v>
      </c>
      <c r="AX39" s="67">
        <f>IF($D39="",,MONTAGE!CD38)</f>
        <v>0</v>
      </c>
    </row>
    <row r="40" spans="1:50" s="5" customFormat="1" hidden="1" x14ac:dyDescent="0.2">
      <c r="A40" s="60"/>
      <c r="B40" s="61" t="str">
        <f>IF(ELEMENT!AO37="","",MONTAGE!B39)</f>
        <v/>
      </c>
      <c r="C40" s="62" t="str">
        <f>IF(ELEMENT!AO37="","",IF(ELEMENT!AW37="JA",ELEMENT!V37,IF(ELEMENT!D37="","",CONCATENATE(ELEMENT!A37,"   ",ELEMENT!D37," x ",ELEMENT!E37,"mm  "))))</f>
        <v/>
      </c>
      <c r="D40" s="63">
        <f>IF(ELEMENT!AO37="",0,IF(ELEMENT!C37=0,Sprache!$B$86,ELEMENT!C37))</f>
        <v>0</v>
      </c>
      <c r="E40" s="67">
        <f>MONTAGE!F39*MONTAGE!C39</f>
        <v>0</v>
      </c>
      <c r="F40" s="67">
        <f>IF($D40="",,MONTAGE!X39)</f>
        <v>0</v>
      </c>
      <c r="G40" s="67">
        <f>IF($D40="",,MONTAGE!Z39)</f>
        <v>0</v>
      </c>
      <c r="H40" s="67">
        <f>IF($D40="",,MONTAGE!AB39)</f>
        <v>0</v>
      </c>
      <c r="I40" s="67">
        <f>IF($D40="",,MONTAGE!AD39)</f>
        <v>0</v>
      </c>
      <c r="J40" s="67">
        <f>IF($D40="",,MONTAGE!AF39)</f>
        <v>0</v>
      </c>
      <c r="K40" s="67">
        <f>IF($D40="",,MONTAGE!AH39)</f>
        <v>0</v>
      </c>
      <c r="L40" s="67">
        <f>IF($D40="",,MONTAGE!AJ39)</f>
        <v>0</v>
      </c>
      <c r="M40" s="67">
        <f>IF($D40="",,MONTAGE!AL39)</f>
        <v>0</v>
      </c>
      <c r="N40" s="67">
        <f>IF($D40="",,MONTAGE!AN39)</f>
        <v>0</v>
      </c>
      <c r="O40" s="67">
        <f>IF($D40="",,MONTAGE!AP39)</f>
        <v>0</v>
      </c>
      <c r="P40" s="67">
        <f>IF($D40="",,MONTAGE!AR39)</f>
        <v>0</v>
      </c>
      <c r="Q40" s="67">
        <f>IF($D40="",,MONTAGE!AT39)</f>
        <v>0</v>
      </c>
      <c r="R40" s="67">
        <f>IF($D40="",,MONTAGE!AV39)</f>
        <v>0</v>
      </c>
      <c r="S40" s="67">
        <f>IF($D40="",,MONTAGE!AX39)</f>
        <v>0</v>
      </c>
      <c r="T40" s="67">
        <f>IF($D40="",,MONTAGE!AZ39)</f>
        <v>0</v>
      </c>
      <c r="U40" s="67">
        <f>IF($D40="",,MONTAGE!BA39)</f>
        <v>0</v>
      </c>
      <c r="V40" s="67">
        <f>IF($D40="",,MONTAGE!BB39)</f>
        <v>0</v>
      </c>
      <c r="W40" s="67">
        <f>IF($D40="",,MONTAGE!BC39)</f>
        <v>0</v>
      </c>
      <c r="X40" s="67">
        <f>IF($D40="",,MONTAGE!BD39)</f>
        <v>0</v>
      </c>
      <c r="Y40" s="67">
        <f>IF($D40="",,MONTAGE!BE39)</f>
        <v>0</v>
      </c>
      <c r="Z40" s="67">
        <f>IF($D40="",,MONTAGE!BF39)</f>
        <v>0</v>
      </c>
      <c r="AA40" s="67">
        <f>IF($D40="",,MONTAGE!BG39)</f>
        <v>0</v>
      </c>
      <c r="AB40" s="67">
        <f>IF($D40="",,MONTAGE!BH39)</f>
        <v>0</v>
      </c>
      <c r="AC40" s="67">
        <f>IF($D40="",,MONTAGE!BI39)</f>
        <v>0</v>
      </c>
      <c r="AD40" s="67">
        <f>IF($D40="",,MONTAGE!BJ39)</f>
        <v>0</v>
      </c>
      <c r="AE40" s="67">
        <f>IF($D40="",,MONTAGE!BK39)</f>
        <v>0</v>
      </c>
      <c r="AF40" s="67">
        <f>IF($D40="",,MONTAGE!BL39)</f>
        <v>0</v>
      </c>
      <c r="AG40" s="67">
        <f>IF($D40="",,MONTAGE!BM39)</f>
        <v>0</v>
      </c>
      <c r="AH40" s="67">
        <f>IF($D40="",,MONTAGE!BN39)</f>
        <v>0</v>
      </c>
      <c r="AI40" s="67">
        <f>IF($D40="",,MONTAGE!BO39)</f>
        <v>0</v>
      </c>
      <c r="AJ40" s="67">
        <f>IF($D40="",,MONTAGE!BP39)</f>
        <v>0</v>
      </c>
      <c r="AK40" s="67">
        <f>IF($D40="",,MONTAGE!BQ39)</f>
        <v>0</v>
      </c>
      <c r="AL40" s="67">
        <f>IF($D40="",,MONTAGE!BR39)</f>
        <v>0</v>
      </c>
      <c r="AM40" s="67">
        <f>IF($D40="",,MONTAGE!BS39)</f>
        <v>0</v>
      </c>
      <c r="AN40" s="67">
        <f>IF($D40="",,MONTAGE!BT39)</f>
        <v>0</v>
      </c>
      <c r="AO40" s="67">
        <f>IF($D40="",,MONTAGE!BU39)</f>
        <v>0</v>
      </c>
      <c r="AP40" s="67">
        <f>IF($D40="",,MONTAGE!BV39)</f>
        <v>0</v>
      </c>
      <c r="AQ40" s="67">
        <f>IF($D40="",,MONTAGE!BW39)</f>
        <v>0</v>
      </c>
      <c r="AR40" s="67">
        <f>IF($D40="",,MONTAGE!BX39)</f>
        <v>0</v>
      </c>
      <c r="AS40" s="67">
        <f>IF($D40="",,MONTAGE!BY39)</f>
        <v>0</v>
      </c>
      <c r="AT40" s="67">
        <f>IF($D40="",,MONTAGE!BZ39)</f>
        <v>0</v>
      </c>
      <c r="AU40" s="67">
        <f>IF($D40="",,MONTAGE!CA39)</f>
        <v>0</v>
      </c>
      <c r="AV40" s="67">
        <f>IF($D40="",,MONTAGE!CB39)</f>
        <v>0</v>
      </c>
      <c r="AW40" s="67">
        <f>IF($D40="",,MONTAGE!CC39)</f>
        <v>0</v>
      </c>
      <c r="AX40" s="67">
        <f>IF($D40="",,MONTAGE!CD39)</f>
        <v>0</v>
      </c>
    </row>
    <row r="41" spans="1:50" s="5" customFormat="1" hidden="1" x14ac:dyDescent="0.2">
      <c r="A41" s="60"/>
      <c r="B41" s="61" t="str">
        <f>IF(ELEMENT!AO38="","",MONTAGE!B40)</f>
        <v/>
      </c>
      <c r="C41" s="62" t="str">
        <f>IF(ELEMENT!AO38="","",IF(ELEMENT!AW38="JA",ELEMENT!V38,IF(ELEMENT!D38="","",CONCATENATE(ELEMENT!A38,"   ",ELEMENT!D38," x ",ELEMENT!E38,"mm  "))))</f>
        <v/>
      </c>
      <c r="D41" s="63">
        <f>IF(ELEMENT!AO38="",0,IF(ELEMENT!C38=0,Sprache!$B$86,ELEMENT!C38))</f>
        <v>0</v>
      </c>
      <c r="E41" s="67">
        <f>MONTAGE!F40*MONTAGE!C40</f>
        <v>0</v>
      </c>
      <c r="F41" s="67">
        <f>IF($D41="",,MONTAGE!X40)</f>
        <v>0</v>
      </c>
      <c r="G41" s="67">
        <f>IF($D41="",,MONTAGE!Z40)</f>
        <v>0</v>
      </c>
      <c r="H41" s="67">
        <f>IF($D41="",,MONTAGE!AB40)</f>
        <v>0</v>
      </c>
      <c r="I41" s="67">
        <f>IF($D41="",,MONTAGE!AD40)</f>
        <v>0</v>
      </c>
      <c r="J41" s="67">
        <f>IF($D41="",,MONTAGE!AF40)</f>
        <v>0</v>
      </c>
      <c r="K41" s="67">
        <f>IF($D41="",,MONTAGE!AH40)</f>
        <v>0</v>
      </c>
      <c r="L41" s="67">
        <f>IF($D41="",,MONTAGE!AJ40)</f>
        <v>0</v>
      </c>
      <c r="M41" s="67">
        <f>IF($D41="",,MONTAGE!AL40)</f>
        <v>0</v>
      </c>
      <c r="N41" s="67">
        <f>IF($D41="",,MONTAGE!AN40)</f>
        <v>0</v>
      </c>
      <c r="O41" s="67">
        <f>IF($D41="",,MONTAGE!AP40)</f>
        <v>0</v>
      </c>
      <c r="P41" s="67">
        <f>IF($D41="",,MONTAGE!AR40)</f>
        <v>0</v>
      </c>
      <c r="Q41" s="67">
        <f>IF($D41="",,MONTAGE!AT40)</f>
        <v>0</v>
      </c>
      <c r="R41" s="67">
        <f>IF($D41="",,MONTAGE!AV40)</f>
        <v>0</v>
      </c>
      <c r="S41" s="67">
        <f>IF($D41="",,MONTAGE!AX40)</f>
        <v>0</v>
      </c>
      <c r="T41" s="67">
        <f>IF($D41="",,MONTAGE!AZ40)</f>
        <v>0</v>
      </c>
      <c r="U41" s="67">
        <f>IF($D41="",,MONTAGE!BA40)</f>
        <v>0</v>
      </c>
      <c r="V41" s="67">
        <f>IF($D41="",,MONTAGE!BB40)</f>
        <v>0</v>
      </c>
      <c r="W41" s="67">
        <f>IF($D41="",,MONTAGE!BC40)</f>
        <v>0</v>
      </c>
      <c r="X41" s="67">
        <f>IF($D41="",,MONTAGE!BD40)</f>
        <v>0</v>
      </c>
      <c r="Y41" s="67">
        <f>IF($D41="",,MONTAGE!BE40)</f>
        <v>0</v>
      </c>
      <c r="Z41" s="67">
        <f>IF($D41="",,MONTAGE!BF40)</f>
        <v>0</v>
      </c>
      <c r="AA41" s="67">
        <f>IF($D41="",,MONTAGE!BG40)</f>
        <v>0</v>
      </c>
      <c r="AB41" s="67">
        <f>IF($D41="",,MONTAGE!BH40)</f>
        <v>0</v>
      </c>
      <c r="AC41" s="67">
        <f>IF($D41="",,MONTAGE!BI40)</f>
        <v>0</v>
      </c>
      <c r="AD41" s="67">
        <f>IF($D41="",,MONTAGE!BJ40)</f>
        <v>0</v>
      </c>
      <c r="AE41" s="67">
        <f>IF($D41="",,MONTAGE!BK40)</f>
        <v>0</v>
      </c>
      <c r="AF41" s="67">
        <f>IF($D41="",,MONTAGE!BL40)</f>
        <v>0</v>
      </c>
      <c r="AG41" s="67">
        <f>IF($D41="",,MONTAGE!BM40)</f>
        <v>0</v>
      </c>
      <c r="AH41" s="67">
        <f>IF($D41="",,MONTAGE!BN40)</f>
        <v>0</v>
      </c>
      <c r="AI41" s="67">
        <f>IF($D41="",,MONTAGE!BO40)</f>
        <v>0</v>
      </c>
      <c r="AJ41" s="67">
        <f>IF($D41="",,MONTAGE!BP40)</f>
        <v>0</v>
      </c>
      <c r="AK41" s="67">
        <f>IF($D41="",,MONTAGE!BQ40)</f>
        <v>0</v>
      </c>
      <c r="AL41" s="67">
        <f>IF($D41="",,MONTAGE!BR40)</f>
        <v>0</v>
      </c>
      <c r="AM41" s="67">
        <f>IF($D41="",,MONTAGE!BS40)</f>
        <v>0</v>
      </c>
      <c r="AN41" s="67">
        <f>IF($D41="",,MONTAGE!BT40)</f>
        <v>0</v>
      </c>
      <c r="AO41" s="67">
        <f>IF($D41="",,MONTAGE!BU40)</f>
        <v>0</v>
      </c>
      <c r="AP41" s="67">
        <f>IF($D41="",,MONTAGE!BV40)</f>
        <v>0</v>
      </c>
      <c r="AQ41" s="67">
        <f>IF($D41="",,MONTAGE!BW40)</f>
        <v>0</v>
      </c>
      <c r="AR41" s="67">
        <f>IF($D41="",,MONTAGE!BX40)</f>
        <v>0</v>
      </c>
      <c r="AS41" s="67">
        <f>IF($D41="",,MONTAGE!BY40)</f>
        <v>0</v>
      </c>
      <c r="AT41" s="67">
        <f>IF($D41="",,MONTAGE!BZ40)</f>
        <v>0</v>
      </c>
      <c r="AU41" s="67">
        <f>IF($D41="",,MONTAGE!CA40)</f>
        <v>0</v>
      </c>
      <c r="AV41" s="67">
        <f>IF($D41="",,MONTAGE!CB40)</f>
        <v>0</v>
      </c>
      <c r="AW41" s="67">
        <f>IF($D41="",,MONTAGE!CC40)</f>
        <v>0</v>
      </c>
      <c r="AX41" s="67">
        <f>IF($D41="",,MONTAGE!CD40)</f>
        <v>0</v>
      </c>
    </row>
    <row r="42" spans="1:50" s="5" customFormat="1" hidden="1" x14ac:dyDescent="0.2">
      <c r="A42" s="60"/>
      <c r="B42" s="61" t="str">
        <f>IF(ELEMENT!AO39="","",MONTAGE!B41)</f>
        <v/>
      </c>
      <c r="C42" s="62" t="str">
        <f>IF(ELEMENT!AO39="","",IF(ELEMENT!AW39="JA",ELEMENT!V39,IF(ELEMENT!D39="","",CONCATENATE(ELEMENT!A39,"   ",ELEMENT!D39," x ",ELEMENT!E39,"mm  "))))</f>
        <v/>
      </c>
      <c r="D42" s="63">
        <f>IF(ELEMENT!AO39="",0,IF(ELEMENT!C39=0,Sprache!$B$86,ELEMENT!C39))</f>
        <v>0</v>
      </c>
      <c r="E42" s="67">
        <f>MONTAGE!F41*MONTAGE!C41</f>
        <v>0</v>
      </c>
      <c r="F42" s="67">
        <f>IF($D42="",,MONTAGE!X41)</f>
        <v>0</v>
      </c>
      <c r="G42" s="67">
        <f>IF($D42="",,MONTAGE!Z41)</f>
        <v>0</v>
      </c>
      <c r="H42" s="67">
        <f>IF($D42="",,MONTAGE!AB41)</f>
        <v>0</v>
      </c>
      <c r="I42" s="67">
        <f>IF($D42="",,MONTAGE!AD41)</f>
        <v>0</v>
      </c>
      <c r="J42" s="67">
        <f>IF($D42="",,MONTAGE!AF41)</f>
        <v>0</v>
      </c>
      <c r="K42" s="67">
        <f>IF($D42="",,MONTAGE!AH41)</f>
        <v>0</v>
      </c>
      <c r="L42" s="67">
        <f>IF($D42="",,MONTAGE!AJ41)</f>
        <v>0</v>
      </c>
      <c r="M42" s="67">
        <f>IF($D42="",,MONTAGE!AL41)</f>
        <v>0</v>
      </c>
      <c r="N42" s="67">
        <f>IF($D42="",,MONTAGE!AN41)</f>
        <v>0</v>
      </c>
      <c r="O42" s="67">
        <f>IF($D42="",,MONTAGE!AP41)</f>
        <v>0</v>
      </c>
      <c r="P42" s="67">
        <f>IF($D42="",,MONTAGE!AR41)</f>
        <v>0</v>
      </c>
      <c r="Q42" s="67">
        <f>IF($D42="",,MONTAGE!AT41)</f>
        <v>0</v>
      </c>
      <c r="R42" s="67">
        <f>IF($D42="",,MONTAGE!AV41)</f>
        <v>0</v>
      </c>
      <c r="S42" s="67">
        <f>IF($D42="",,MONTAGE!AX41)</f>
        <v>0</v>
      </c>
      <c r="T42" s="67">
        <f>IF($D42="",,MONTAGE!AZ41)</f>
        <v>0</v>
      </c>
      <c r="U42" s="67">
        <f>IF($D42="",,MONTAGE!BA41)</f>
        <v>0</v>
      </c>
      <c r="V42" s="67">
        <f>IF($D42="",,MONTAGE!BB41)</f>
        <v>0</v>
      </c>
      <c r="W42" s="67">
        <f>IF($D42="",,MONTAGE!BC41)</f>
        <v>0</v>
      </c>
      <c r="X42" s="67">
        <f>IF($D42="",,MONTAGE!BD41)</f>
        <v>0</v>
      </c>
      <c r="Y42" s="67">
        <f>IF($D42="",,MONTAGE!BE41)</f>
        <v>0</v>
      </c>
      <c r="Z42" s="67">
        <f>IF($D42="",,MONTAGE!BF41)</f>
        <v>0</v>
      </c>
      <c r="AA42" s="67">
        <f>IF($D42="",,MONTAGE!BG41)</f>
        <v>0</v>
      </c>
      <c r="AB42" s="67">
        <f>IF($D42="",,MONTAGE!BH41)</f>
        <v>0</v>
      </c>
      <c r="AC42" s="67">
        <f>IF($D42="",,MONTAGE!BI41)</f>
        <v>0</v>
      </c>
      <c r="AD42" s="67">
        <f>IF($D42="",,MONTAGE!BJ41)</f>
        <v>0</v>
      </c>
      <c r="AE42" s="67">
        <f>IF($D42="",,MONTAGE!BK41)</f>
        <v>0</v>
      </c>
      <c r="AF42" s="67">
        <f>IF($D42="",,MONTAGE!BL41)</f>
        <v>0</v>
      </c>
      <c r="AG42" s="67">
        <f>IF($D42="",,MONTAGE!BM41)</f>
        <v>0</v>
      </c>
      <c r="AH42" s="67">
        <f>IF($D42="",,MONTAGE!BN41)</f>
        <v>0</v>
      </c>
      <c r="AI42" s="67">
        <f>IF($D42="",,MONTAGE!BO41)</f>
        <v>0</v>
      </c>
      <c r="AJ42" s="67">
        <f>IF($D42="",,MONTAGE!BP41)</f>
        <v>0</v>
      </c>
      <c r="AK42" s="67">
        <f>IF($D42="",,MONTAGE!BQ41)</f>
        <v>0</v>
      </c>
      <c r="AL42" s="67">
        <f>IF($D42="",,MONTAGE!BR41)</f>
        <v>0</v>
      </c>
      <c r="AM42" s="67">
        <f>IF($D42="",,MONTAGE!BS41)</f>
        <v>0</v>
      </c>
      <c r="AN42" s="67">
        <f>IF($D42="",,MONTAGE!BT41)</f>
        <v>0</v>
      </c>
      <c r="AO42" s="67">
        <f>IF($D42="",,MONTAGE!BU41)</f>
        <v>0</v>
      </c>
      <c r="AP42" s="67">
        <f>IF($D42="",,MONTAGE!BV41)</f>
        <v>0</v>
      </c>
      <c r="AQ42" s="67">
        <f>IF($D42="",,MONTAGE!BW41)</f>
        <v>0</v>
      </c>
      <c r="AR42" s="67">
        <f>IF($D42="",,MONTAGE!BX41)</f>
        <v>0</v>
      </c>
      <c r="AS42" s="67">
        <f>IF($D42="",,MONTAGE!BY41)</f>
        <v>0</v>
      </c>
      <c r="AT42" s="67">
        <f>IF($D42="",,MONTAGE!BZ41)</f>
        <v>0</v>
      </c>
      <c r="AU42" s="67">
        <f>IF($D42="",,MONTAGE!CA41)</f>
        <v>0</v>
      </c>
      <c r="AV42" s="67">
        <f>IF($D42="",,MONTAGE!CB41)</f>
        <v>0</v>
      </c>
      <c r="AW42" s="67">
        <f>IF($D42="",,MONTAGE!CC41)</f>
        <v>0</v>
      </c>
      <c r="AX42" s="67">
        <f>IF($D42="",,MONTAGE!CD41)</f>
        <v>0</v>
      </c>
    </row>
    <row r="43" spans="1:50" s="5" customFormat="1" hidden="1" x14ac:dyDescent="0.2">
      <c r="A43" s="60"/>
      <c r="B43" s="61" t="str">
        <f>IF(ELEMENT!AO40="","",MONTAGE!B42)</f>
        <v/>
      </c>
      <c r="C43" s="62" t="str">
        <f>IF(ELEMENT!AO40="","",IF(ELEMENT!AW40="JA",ELEMENT!V40,IF(ELEMENT!D40="","",CONCATENATE(ELEMENT!A40,"   ",ELEMENT!D40," x ",ELEMENT!E40,"mm  "))))</f>
        <v/>
      </c>
      <c r="D43" s="63">
        <f>IF(ELEMENT!AO40="",0,IF(ELEMENT!C40=0,Sprache!$B$86,ELEMENT!C40))</f>
        <v>0</v>
      </c>
      <c r="E43" s="67">
        <f>MONTAGE!F42*MONTAGE!C42</f>
        <v>0</v>
      </c>
      <c r="F43" s="67">
        <f>IF($D43="",,MONTAGE!X42)</f>
        <v>0</v>
      </c>
      <c r="G43" s="67">
        <f>IF($D43="",,MONTAGE!Z42)</f>
        <v>0</v>
      </c>
      <c r="H43" s="67">
        <f>IF($D43="",,MONTAGE!AB42)</f>
        <v>0</v>
      </c>
      <c r="I43" s="67">
        <f>IF($D43="",,MONTAGE!AD42)</f>
        <v>0</v>
      </c>
      <c r="J43" s="67">
        <f>IF($D43="",,MONTAGE!AF42)</f>
        <v>0</v>
      </c>
      <c r="K43" s="67">
        <f>IF($D43="",,MONTAGE!AH42)</f>
        <v>0</v>
      </c>
      <c r="L43" s="67">
        <f>IF($D43="",,MONTAGE!AJ42)</f>
        <v>0</v>
      </c>
      <c r="M43" s="67">
        <f>IF($D43="",,MONTAGE!AL42)</f>
        <v>0</v>
      </c>
      <c r="N43" s="67">
        <f>IF($D43="",,MONTAGE!AN42)</f>
        <v>0</v>
      </c>
      <c r="O43" s="67">
        <f>IF($D43="",,MONTAGE!AP42)</f>
        <v>0</v>
      </c>
      <c r="P43" s="67">
        <f>IF($D43="",,MONTAGE!AR42)</f>
        <v>0</v>
      </c>
      <c r="Q43" s="67">
        <f>IF($D43="",,MONTAGE!AT42)</f>
        <v>0</v>
      </c>
      <c r="R43" s="67">
        <f>IF($D43="",,MONTAGE!AV42)</f>
        <v>0</v>
      </c>
      <c r="S43" s="67">
        <f>IF($D43="",,MONTAGE!AX42)</f>
        <v>0</v>
      </c>
      <c r="T43" s="67">
        <f>IF($D43="",,MONTAGE!AZ42)</f>
        <v>0</v>
      </c>
      <c r="U43" s="67">
        <f>IF($D43="",,MONTAGE!BA42)</f>
        <v>0</v>
      </c>
      <c r="V43" s="67">
        <f>IF($D43="",,MONTAGE!BB42)</f>
        <v>0</v>
      </c>
      <c r="W43" s="67">
        <f>IF($D43="",,MONTAGE!BC42)</f>
        <v>0</v>
      </c>
      <c r="X43" s="67">
        <f>IF($D43="",,MONTAGE!BD42)</f>
        <v>0</v>
      </c>
      <c r="Y43" s="67">
        <f>IF($D43="",,MONTAGE!BE42)</f>
        <v>0</v>
      </c>
      <c r="Z43" s="67">
        <f>IF($D43="",,MONTAGE!BF42)</f>
        <v>0</v>
      </c>
      <c r="AA43" s="67">
        <f>IF($D43="",,MONTAGE!BG42)</f>
        <v>0</v>
      </c>
      <c r="AB43" s="67">
        <f>IF($D43="",,MONTAGE!BH42)</f>
        <v>0</v>
      </c>
      <c r="AC43" s="67">
        <f>IF($D43="",,MONTAGE!BI42)</f>
        <v>0</v>
      </c>
      <c r="AD43" s="67">
        <f>IF($D43="",,MONTAGE!BJ42)</f>
        <v>0</v>
      </c>
      <c r="AE43" s="67">
        <f>IF($D43="",,MONTAGE!BK42)</f>
        <v>0</v>
      </c>
      <c r="AF43" s="67">
        <f>IF($D43="",,MONTAGE!BL42)</f>
        <v>0</v>
      </c>
      <c r="AG43" s="67">
        <f>IF($D43="",,MONTAGE!BM42)</f>
        <v>0</v>
      </c>
      <c r="AH43" s="67">
        <f>IF($D43="",,MONTAGE!BN42)</f>
        <v>0</v>
      </c>
      <c r="AI43" s="67">
        <f>IF($D43="",,MONTAGE!BO42)</f>
        <v>0</v>
      </c>
      <c r="AJ43" s="67">
        <f>IF($D43="",,MONTAGE!BP42)</f>
        <v>0</v>
      </c>
      <c r="AK43" s="67">
        <f>IF($D43="",,MONTAGE!BQ42)</f>
        <v>0</v>
      </c>
      <c r="AL43" s="67">
        <f>IF($D43="",,MONTAGE!BR42)</f>
        <v>0</v>
      </c>
      <c r="AM43" s="67">
        <f>IF($D43="",,MONTAGE!BS42)</f>
        <v>0</v>
      </c>
      <c r="AN43" s="67">
        <f>IF($D43="",,MONTAGE!BT42)</f>
        <v>0</v>
      </c>
      <c r="AO43" s="67">
        <f>IF($D43="",,MONTAGE!BU42)</f>
        <v>0</v>
      </c>
      <c r="AP43" s="67">
        <f>IF($D43="",,MONTAGE!BV42)</f>
        <v>0</v>
      </c>
      <c r="AQ43" s="67">
        <f>IF($D43="",,MONTAGE!BW42)</f>
        <v>0</v>
      </c>
      <c r="AR43" s="67">
        <f>IF($D43="",,MONTAGE!BX42)</f>
        <v>0</v>
      </c>
      <c r="AS43" s="67">
        <f>IF($D43="",,MONTAGE!BY42)</f>
        <v>0</v>
      </c>
      <c r="AT43" s="67">
        <f>IF($D43="",,MONTAGE!BZ42)</f>
        <v>0</v>
      </c>
      <c r="AU43" s="67">
        <f>IF($D43="",,MONTAGE!CA42)</f>
        <v>0</v>
      </c>
      <c r="AV43" s="67">
        <f>IF($D43="",,MONTAGE!CB42)</f>
        <v>0</v>
      </c>
      <c r="AW43" s="67">
        <f>IF($D43="",,MONTAGE!CC42)</f>
        <v>0</v>
      </c>
      <c r="AX43" s="67">
        <f>IF($D43="",,MONTAGE!CD42)</f>
        <v>0</v>
      </c>
    </row>
    <row r="44" spans="1:50" s="5" customFormat="1" hidden="1" x14ac:dyDescent="0.2">
      <c r="A44" s="60"/>
      <c r="B44" s="61" t="str">
        <f>IF(ELEMENT!AO41="","",MONTAGE!B43)</f>
        <v/>
      </c>
      <c r="C44" s="62" t="str">
        <f>IF(ELEMENT!AO41="","",IF(ELEMENT!AW41="JA",ELEMENT!V41,IF(ELEMENT!D41="","",CONCATENATE(ELEMENT!A41,"   ",ELEMENT!D41," x ",ELEMENT!E41,"mm  "))))</f>
        <v/>
      </c>
      <c r="D44" s="63">
        <f>IF(ELEMENT!AO41="",0,IF(ELEMENT!C41=0,Sprache!$B$86,ELEMENT!C41))</f>
        <v>0</v>
      </c>
      <c r="E44" s="67">
        <f>MONTAGE!F43*MONTAGE!C43</f>
        <v>0</v>
      </c>
      <c r="F44" s="67">
        <f>IF($D44="",,MONTAGE!X43)</f>
        <v>0</v>
      </c>
      <c r="G44" s="67">
        <f>IF($D44="",,MONTAGE!Z43)</f>
        <v>0</v>
      </c>
      <c r="H44" s="67">
        <f>IF($D44="",,MONTAGE!AB43)</f>
        <v>0</v>
      </c>
      <c r="I44" s="67">
        <f>IF($D44="",,MONTAGE!AD43)</f>
        <v>0</v>
      </c>
      <c r="J44" s="67">
        <f>IF($D44="",,MONTAGE!AF43)</f>
        <v>0</v>
      </c>
      <c r="K44" s="67">
        <f>IF($D44="",,MONTAGE!AH43)</f>
        <v>0</v>
      </c>
      <c r="L44" s="67">
        <f>IF($D44="",,MONTAGE!AJ43)</f>
        <v>0</v>
      </c>
      <c r="M44" s="67">
        <f>IF($D44="",,MONTAGE!AL43)</f>
        <v>0</v>
      </c>
      <c r="N44" s="67">
        <f>IF($D44="",,MONTAGE!AN43)</f>
        <v>0</v>
      </c>
      <c r="O44" s="67">
        <f>IF($D44="",,MONTAGE!AP43)</f>
        <v>0</v>
      </c>
      <c r="P44" s="67">
        <f>IF($D44="",,MONTAGE!AR43)</f>
        <v>0</v>
      </c>
      <c r="Q44" s="67">
        <f>IF($D44="",,MONTAGE!AT43)</f>
        <v>0</v>
      </c>
      <c r="R44" s="67">
        <f>IF($D44="",,MONTAGE!AV43)</f>
        <v>0</v>
      </c>
      <c r="S44" s="67">
        <f>IF($D44="",,MONTAGE!AX43)</f>
        <v>0</v>
      </c>
      <c r="T44" s="67">
        <f>IF($D44="",,MONTAGE!AZ43)</f>
        <v>0</v>
      </c>
      <c r="U44" s="67">
        <f>IF($D44="",,MONTAGE!BA43)</f>
        <v>0</v>
      </c>
      <c r="V44" s="67">
        <f>IF($D44="",,MONTAGE!BB43)</f>
        <v>0</v>
      </c>
      <c r="W44" s="67">
        <f>IF($D44="",,MONTAGE!BC43)</f>
        <v>0</v>
      </c>
      <c r="X44" s="67">
        <f>IF($D44="",,MONTAGE!BD43)</f>
        <v>0</v>
      </c>
      <c r="Y44" s="67">
        <f>IF($D44="",,MONTAGE!BE43)</f>
        <v>0</v>
      </c>
      <c r="Z44" s="67">
        <f>IF($D44="",,MONTAGE!BF43)</f>
        <v>0</v>
      </c>
      <c r="AA44" s="67">
        <f>IF($D44="",,MONTAGE!BG43)</f>
        <v>0</v>
      </c>
      <c r="AB44" s="67">
        <f>IF($D44="",,MONTAGE!BH43)</f>
        <v>0</v>
      </c>
      <c r="AC44" s="67">
        <f>IF($D44="",,MONTAGE!BI43)</f>
        <v>0</v>
      </c>
      <c r="AD44" s="67">
        <f>IF($D44="",,MONTAGE!BJ43)</f>
        <v>0</v>
      </c>
      <c r="AE44" s="67">
        <f>IF($D44="",,MONTAGE!BK43)</f>
        <v>0</v>
      </c>
      <c r="AF44" s="67">
        <f>IF($D44="",,MONTAGE!BL43)</f>
        <v>0</v>
      </c>
      <c r="AG44" s="67">
        <f>IF($D44="",,MONTAGE!BM43)</f>
        <v>0</v>
      </c>
      <c r="AH44" s="67">
        <f>IF($D44="",,MONTAGE!BN43)</f>
        <v>0</v>
      </c>
      <c r="AI44" s="67">
        <f>IF($D44="",,MONTAGE!BO43)</f>
        <v>0</v>
      </c>
      <c r="AJ44" s="67">
        <f>IF($D44="",,MONTAGE!BP43)</f>
        <v>0</v>
      </c>
      <c r="AK44" s="67">
        <f>IF($D44="",,MONTAGE!BQ43)</f>
        <v>0</v>
      </c>
      <c r="AL44" s="67">
        <f>IF($D44="",,MONTAGE!BR43)</f>
        <v>0</v>
      </c>
      <c r="AM44" s="67">
        <f>IF($D44="",,MONTAGE!BS43)</f>
        <v>0</v>
      </c>
      <c r="AN44" s="67">
        <f>IF($D44="",,MONTAGE!BT43)</f>
        <v>0</v>
      </c>
      <c r="AO44" s="67">
        <f>IF($D44="",,MONTAGE!BU43)</f>
        <v>0</v>
      </c>
      <c r="AP44" s="67">
        <f>IF($D44="",,MONTAGE!BV43)</f>
        <v>0</v>
      </c>
      <c r="AQ44" s="67">
        <f>IF($D44="",,MONTAGE!BW43)</f>
        <v>0</v>
      </c>
      <c r="AR44" s="67">
        <f>IF($D44="",,MONTAGE!BX43)</f>
        <v>0</v>
      </c>
      <c r="AS44" s="67">
        <f>IF($D44="",,MONTAGE!BY43)</f>
        <v>0</v>
      </c>
      <c r="AT44" s="67">
        <f>IF($D44="",,MONTAGE!BZ43)</f>
        <v>0</v>
      </c>
      <c r="AU44" s="67">
        <f>IF($D44="",,MONTAGE!CA43)</f>
        <v>0</v>
      </c>
      <c r="AV44" s="67">
        <f>IF($D44="",,MONTAGE!CB43)</f>
        <v>0</v>
      </c>
      <c r="AW44" s="67">
        <f>IF($D44="",,MONTAGE!CC43)</f>
        <v>0</v>
      </c>
      <c r="AX44" s="67">
        <f>IF($D44="",,MONTAGE!CD43)</f>
        <v>0</v>
      </c>
    </row>
    <row r="45" spans="1:50" s="5" customFormat="1" hidden="1" x14ac:dyDescent="0.2">
      <c r="A45" s="60"/>
      <c r="B45" s="61" t="str">
        <f>IF(ELEMENT!AO42="","",MONTAGE!B44)</f>
        <v/>
      </c>
      <c r="C45" s="62" t="str">
        <f>IF(ELEMENT!AO42="","",IF(ELEMENT!AW42="JA",ELEMENT!V42,IF(ELEMENT!D42="","",CONCATENATE(ELEMENT!A42,"   ",ELEMENT!D42," x ",ELEMENT!E42,"mm  "))))</f>
        <v/>
      </c>
      <c r="D45" s="63">
        <f>IF(ELEMENT!AO42="",0,IF(ELEMENT!C42=0,Sprache!$B$86,ELEMENT!C42))</f>
        <v>0</v>
      </c>
      <c r="E45" s="67">
        <f>MONTAGE!F44*MONTAGE!C44</f>
        <v>0</v>
      </c>
      <c r="F45" s="67">
        <f>IF($D45="",,MONTAGE!X44)</f>
        <v>0</v>
      </c>
      <c r="G45" s="67">
        <f>IF($D45="",,MONTAGE!Z44)</f>
        <v>0</v>
      </c>
      <c r="H45" s="67">
        <f>IF($D45="",,MONTAGE!AB44)</f>
        <v>0</v>
      </c>
      <c r="I45" s="67">
        <f>IF($D45="",,MONTAGE!AD44)</f>
        <v>0</v>
      </c>
      <c r="J45" s="67">
        <f>IF($D45="",,MONTAGE!AF44)</f>
        <v>0</v>
      </c>
      <c r="K45" s="67">
        <f>IF($D45="",,MONTAGE!AH44)</f>
        <v>0</v>
      </c>
      <c r="L45" s="67">
        <f>IF($D45="",,MONTAGE!AJ44)</f>
        <v>0</v>
      </c>
      <c r="M45" s="67">
        <f>IF($D45="",,MONTAGE!AL44)</f>
        <v>0</v>
      </c>
      <c r="N45" s="67">
        <f>IF($D45="",,MONTAGE!AN44)</f>
        <v>0</v>
      </c>
      <c r="O45" s="67">
        <f>IF($D45="",,MONTAGE!AP44)</f>
        <v>0</v>
      </c>
      <c r="P45" s="67">
        <f>IF($D45="",,MONTAGE!AR44)</f>
        <v>0</v>
      </c>
      <c r="Q45" s="67">
        <f>IF($D45="",,MONTAGE!AT44)</f>
        <v>0</v>
      </c>
      <c r="R45" s="67">
        <f>IF($D45="",,MONTAGE!AV44)</f>
        <v>0</v>
      </c>
      <c r="S45" s="67">
        <f>IF($D45="",,MONTAGE!AX44)</f>
        <v>0</v>
      </c>
      <c r="T45" s="67">
        <f>IF($D45="",,MONTAGE!AZ44)</f>
        <v>0</v>
      </c>
      <c r="U45" s="67">
        <f>IF($D45="",,MONTAGE!BA44)</f>
        <v>0</v>
      </c>
      <c r="V45" s="67">
        <f>IF($D45="",,MONTAGE!BB44)</f>
        <v>0</v>
      </c>
      <c r="W45" s="67">
        <f>IF($D45="",,MONTAGE!BC44)</f>
        <v>0</v>
      </c>
      <c r="X45" s="67">
        <f>IF($D45="",,MONTAGE!BD44)</f>
        <v>0</v>
      </c>
      <c r="Y45" s="67">
        <f>IF($D45="",,MONTAGE!BE44)</f>
        <v>0</v>
      </c>
      <c r="Z45" s="67">
        <f>IF($D45="",,MONTAGE!BF44)</f>
        <v>0</v>
      </c>
      <c r="AA45" s="67">
        <f>IF($D45="",,MONTAGE!BG44)</f>
        <v>0</v>
      </c>
      <c r="AB45" s="67">
        <f>IF($D45="",,MONTAGE!BH44)</f>
        <v>0</v>
      </c>
      <c r="AC45" s="67">
        <f>IF($D45="",,MONTAGE!BI44)</f>
        <v>0</v>
      </c>
      <c r="AD45" s="67">
        <f>IF($D45="",,MONTAGE!BJ44)</f>
        <v>0</v>
      </c>
      <c r="AE45" s="67">
        <f>IF($D45="",,MONTAGE!BK44)</f>
        <v>0</v>
      </c>
      <c r="AF45" s="67">
        <f>IF($D45="",,MONTAGE!BL44)</f>
        <v>0</v>
      </c>
      <c r="AG45" s="67">
        <f>IF($D45="",,MONTAGE!BM44)</f>
        <v>0</v>
      </c>
      <c r="AH45" s="67">
        <f>IF($D45="",,MONTAGE!BN44)</f>
        <v>0</v>
      </c>
      <c r="AI45" s="67">
        <f>IF($D45="",,MONTAGE!BO44)</f>
        <v>0</v>
      </c>
      <c r="AJ45" s="67">
        <f>IF($D45="",,MONTAGE!BP44)</f>
        <v>0</v>
      </c>
      <c r="AK45" s="67">
        <f>IF($D45="",,MONTAGE!BQ44)</f>
        <v>0</v>
      </c>
      <c r="AL45" s="67">
        <f>IF($D45="",,MONTAGE!BR44)</f>
        <v>0</v>
      </c>
      <c r="AM45" s="67">
        <f>IF($D45="",,MONTAGE!BS44)</f>
        <v>0</v>
      </c>
      <c r="AN45" s="67">
        <f>IF($D45="",,MONTAGE!BT44)</f>
        <v>0</v>
      </c>
      <c r="AO45" s="67">
        <f>IF($D45="",,MONTAGE!BU44)</f>
        <v>0</v>
      </c>
      <c r="AP45" s="67">
        <f>IF($D45="",,MONTAGE!BV44)</f>
        <v>0</v>
      </c>
      <c r="AQ45" s="67">
        <f>IF($D45="",,MONTAGE!BW44)</f>
        <v>0</v>
      </c>
      <c r="AR45" s="67">
        <f>IF($D45="",,MONTAGE!BX44)</f>
        <v>0</v>
      </c>
      <c r="AS45" s="67">
        <f>IF($D45="",,MONTAGE!BY44)</f>
        <v>0</v>
      </c>
      <c r="AT45" s="67">
        <f>IF($D45="",,MONTAGE!BZ44)</f>
        <v>0</v>
      </c>
      <c r="AU45" s="67">
        <f>IF($D45="",,MONTAGE!CA44)</f>
        <v>0</v>
      </c>
      <c r="AV45" s="67">
        <f>IF($D45="",,MONTAGE!CB44)</f>
        <v>0</v>
      </c>
      <c r="AW45" s="67">
        <f>IF($D45="",,MONTAGE!CC44)</f>
        <v>0</v>
      </c>
      <c r="AX45" s="67">
        <f>IF($D45="",,MONTAGE!CD44)</f>
        <v>0</v>
      </c>
    </row>
    <row r="46" spans="1:50" s="5" customFormat="1" hidden="1" x14ac:dyDescent="0.2">
      <c r="A46" s="60"/>
      <c r="B46" s="61" t="str">
        <f>IF(ELEMENT!AO43="","",MONTAGE!B45)</f>
        <v/>
      </c>
      <c r="C46" s="62" t="str">
        <f>IF(ELEMENT!AO43="","",IF(ELEMENT!AW43="JA",ELEMENT!V43,IF(ELEMENT!D43="","",CONCATENATE(ELEMENT!A43,"   ",ELEMENT!D43," x ",ELEMENT!E43,"mm  "))))</f>
        <v/>
      </c>
      <c r="D46" s="63">
        <f>IF(ELEMENT!AO43="",0,IF(ELEMENT!C43=0,Sprache!$B$86,ELEMENT!C43))</f>
        <v>0</v>
      </c>
      <c r="E46" s="67">
        <f>MONTAGE!F45*MONTAGE!C45</f>
        <v>0</v>
      </c>
      <c r="F46" s="67">
        <f>IF($D46="",,MONTAGE!X45)</f>
        <v>0</v>
      </c>
      <c r="G46" s="67">
        <f>IF($D46="",,MONTAGE!Z45)</f>
        <v>0</v>
      </c>
      <c r="H46" s="67">
        <f>IF($D46="",,MONTAGE!AB45)</f>
        <v>0</v>
      </c>
      <c r="I46" s="67">
        <f>IF($D46="",,MONTAGE!AD45)</f>
        <v>0</v>
      </c>
      <c r="J46" s="67">
        <f>IF($D46="",,MONTAGE!AF45)</f>
        <v>0</v>
      </c>
      <c r="K46" s="67">
        <f>IF($D46="",,MONTAGE!AH45)</f>
        <v>0</v>
      </c>
      <c r="L46" s="67">
        <f>IF($D46="",,MONTAGE!AJ45)</f>
        <v>0</v>
      </c>
      <c r="M46" s="67">
        <f>IF($D46="",,MONTAGE!AL45)</f>
        <v>0</v>
      </c>
      <c r="N46" s="67">
        <f>IF($D46="",,MONTAGE!AN45)</f>
        <v>0</v>
      </c>
      <c r="O46" s="67">
        <f>IF($D46="",,MONTAGE!AP45)</f>
        <v>0</v>
      </c>
      <c r="P46" s="67">
        <f>IF($D46="",,MONTAGE!AR45)</f>
        <v>0</v>
      </c>
      <c r="Q46" s="67">
        <f>IF($D46="",,MONTAGE!AT45)</f>
        <v>0</v>
      </c>
      <c r="R46" s="67">
        <f>IF($D46="",,MONTAGE!AV45)</f>
        <v>0</v>
      </c>
      <c r="S46" s="67">
        <f>IF($D46="",,MONTAGE!AX45)</f>
        <v>0</v>
      </c>
      <c r="T46" s="67">
        <f>IF($D46="",,MONTAGE!AZ45)</f>
        <v>0</v>
      </c>
      <c r="U46" s="67">
        <f>IF($D46="",,MONTAGE!BA45)</f>
        <v>0</v>
      </c>
      <c r="V46" s="67">
        <f>IF($D46="",,MONTAGE!BB45)</f>
        <v>0</v>
      </c>
      <c r="W46" s="67">
        <f>IF($D46="",,MONTAGE!BC45)</f>
        <v>0</v>
      </c>
      <c r="X46" s="67">
        <f>IF($D46="",,MONTAGE!BD45)</f>
        <v>0</v>
      </c>
      <c r="Y46" s="67">
        <f>IF($D46="",,MONTAGE!BE45)</f>
        <v>0</v>
      </c>
      <c r="Z46" s="67">
        <f>IF($D46="",,MONTAGE!BF45)</f>
        <v>0</v>
      </c>
      <c r="AA46" s="67">
        <f>IF($D46="",,MONTAGE!BG45)</f>
        <v>0</v>
      </c>
      <c r="AB46" s="67">
        <f>IF($D46="",,MONTAGE!BH45)</f>
        <v>0</v>
      </c>
      <c r="AC46" s="67">
        <f>IF($D46="",,MONTAGE!BI45)</f>
        <v>0</v>
      </c>
      <c r="AD46" s="67">
        <f>IF($D46="",,MONTAGE!BJ45)</f>
        <v>0</v>
      </c>
      <c r="AE46" s="67">
        <f>IF($D46="",,MONTAGE!BK45)</f>
        <v>0</v>
      </c>
      <c r="AF46" s="67">
        <f>IF($D46="",,MONTAGE!BL45)</f>
        <v>0</v>
      </c>
      <c r="AG46" s="67">
        <f>IF($D46="",,MONTAGE!BM45)</f>
        <v>0</v>
      </c>
      <c r="AH46" s="67">
        <f>IF($D46="",,MONTAGE!BN45)</f>
        <v>0</v>
      </c>
      <c r="AI46" s="67">
        <f>IF($D46="",,MONTAGE!BO45)</f>
        <v>0</v>
      </c>
      <c r="AJ46" s="67">
        <f>IF($D46="",,MONTAGE!BP45)</f>
        <v>0</v>
      </c>
      <c r="AK46" s="67">
        <f>IF($D46="",,MONTAGE!BQ45)</f>
        <v>0</v>
      </c>
      <c r="AL46" s="67">
        <f>IF($D46="",,MONTAGE!BR45)</f>
        <v>0</v>
      </c>
      <c r="AM46" s="67">
        <f>IF($D46="",,MONTAGE!BS45)</f>
        <v>0</v>
      </c>
      <c r="AN46" s="67">
        <f>IF($D46="",,MONTAGE!BT45)</f>
        <v>0</v>
      </c>
      <c r="AO46" s="67">
        <f>IF($D46="",,MONTAGE!BU45)</f>
        <v>0</v>
      </c>
      <c r="AP46" s="67">
        <f>IF($D46="",,MONTAGE!BV45)</f>
        <v>0</v>
      </c>
      <c r="AQ46" s="67">
        <f>IF($D46="",,MONTAGE!BW45)</f>
        <v>0</v>
      </c>
      <c r="AR46" s="67">
        <f>IF($D46="",,MONTAGE!BX45)</f>
        <v>0</v>
      </c>
      <c r="AS46" s="67">
        <f>IF($D46="",,MONTAGE!BY45)</f>
        <v>0</v>
      </c>
      <c r="AT46" s="67">
        <f>IF($D46="",,MONTAGE!BZ45)</f>
        <v>0</v>
      </c>
      <c r="AU46" s="67">
        <f>IF($D46="",,MONTAGE!CA45)</f>
        <v>0</v>
      </c>
      <c r="AV46" s="67">
        <f>IF($D46="",,MONTAGE!CB45)</f>
        <v>0</v>
      </c>
      <c r="AW46" s="67">
        <f>IF($D46="",,MONTAGE!CC45)</f>
        <v>0</v>
      </c>
      <c r="AX46" s="67">
        <f>IF($D46="",,MONTAGE!CD45)</f>
        <v>0</v>
      </c>
    </row>
    <row r="47" spans="1:50" s="5" customFormat="1" hidden="1" x14ac:dyDescent="0.2">
      <c r="A47" s="60"/>
      <c r="B47" s="61" t="str">
        <f>IF(ELEMENT!AO44="","",MONTAGE!B46)</f>
        <v/>
      </c>
      <c r="C47" s="62" t="str">
        <f>IF(ELEMENT!AO44="","",IF(ELEMENT!AW44="JA",ELEMENT!V44,IF(ELEMENT!D44="","",CONCATENATE(ELEMENT!A44,"   ",ELEMENT!D44," x ",ELEMENT!E44,"mm  "))))</f>
        <v/>
      </c>
      <c r="D47" s="63">
        <f>IF(ELEMENT!AO44="",0,IF(ELEMENT!C44=0,Sprache!$B$86,ELEMENT!C44))</f>
        <v>0</v>
      </c>
      <c r="E47" s="67">
        <f>MONTAGE!F46*MONTAGE!C46</f>
        <v>0</v>
      </c>
      <c r="F47" s="67">
        <f>IF($D47="",,MONTAGE!X46)</f>
        <v>0</v>
      </c>
      <c r="G47" s="67">
        <f>IF($D47="",,MONTAGE!Z46)</f>
        <v>0</v>
      </c>
      <c r="H47" s="67">
        <f>IF($D47="",,MONTAGE!AB46)</f>
        <v>0</v>
      </c>
      <c r="I47" s="67">
        <f>IF($D47="",,MONTAGE!AD46)</f>
        <v>0</v>
      </c>
      <c r="J47" s="67">
        <f>IF($D47="",,MONTAGE!AF46)</f>
        <v>0</v>
      </c>
      <c r="K47" s="67">
        <f>IF($D47="",,MONTAGE!AH46)</f>
        <v>0</v>
      </c>
      <c r="L47" s="67">
        <f>IF($D47="",,MONTAGE!AJ46)</f>
        <v>0</v>
      </c>
      <c r="M47" s="67">
        <f>IF($D47="",,MONTAGE!AL46)</f>
        <v>0</v>
      </c>
      <c r="N47" s="67">
        <f>IF($D47="",,MONTAGE!AN46)</f>
        <v>0</v>
      </c>
      <c r="O47" s="67">
        <f>IF($D47="",,MONTAGE!AP46)</f>
        <v>0</v>
      </c>
      <c r="P47" s="67">
        <f>IF($D47="",,MONTAGE!AR46)</f>
        <v>0</v>
      </c>
      <c r="Q47" s="67">
        <f>IF($D47="",,MONTAGE!AT46)</f>
        <v>0</v>
      </c>
      <c r="R47" s="67">
        <f>IF($D47="",,MONTAGE!AV46)</f>
        <v>0</v>
      </c>
      <c r="S47" s="67">
        <f>IF($D47="",,MONTAGE!AX46)</f>
        <v>0</v>
      </c>
      <c r="T47" s="67">
        <f>IF($D47="",,MONTAGE!AZ46)</f>
        <v>0</v>
      </c>
      <c r="U47" s="67">
        <f>IF($D47="",,MONTAGE!BA46)</f>
        <v>0</v>
      </c>
      <c r="V47" s="67">
        <f>IF($D47="",,MONTAGE!BB46)</f>
        <v>0</v>
      </c>
      <c r="W47" s="67">
        <f>IF($D47="",,MONTAGE!BC46)</f>
        <v>0</v>
      </c>
      <c r="X47" s="67">
        <f>IF($D47="",,MONTAGE!BD46)</f>
        <v>0</v>
      </c>
      <c r="Y47" s="67">
        <f>IF($D47="",,MONTAGE!BE46)</f>
        <v>0</v>
      </c>
      <c r="Z47" s="67">
        <f>IF($D47="",,MONTAGE!BF46)</f>
        <v>0</v>
      </c>
      <c r="AA47" s="67">
        <f>IF($D47="",,MONTAGE!BG46)</f>
        <v>0</v>
      </c>
      <c r="AB47" s="67">
        <f>IF($D47="",,MONTAGE!BH46)</f>
        <v>0</v>
      </c>
      <c r="AC47" s="67">
        <f>IF($D47="",,MONTAGE!BI46)</f>
        <v>0</v>
      </c>
      <c r="AD47" s="67">
        <f>IF($D47="",,MONTAGE!BJ46)</f>
        <v>0</v>
      </c>
      <c r="AE47" s="67">
        <f>IF($D47="",,MONTAGE!BK46)</f>
        <v>0</v>
      </c>
      <c r="AF47" s="67">
        <f>IF($D47="",,MONTAGE!BL46)</f>
        <v>0</v>
      </c>
      <c r="AG47" s="67">
        <f>IF($D47="",,MONTAGE!BM46)</f>
        <v>0</v>
      </c>
      <c r="AH47" s="67">
        <f>IF($D47="",,MONTAGE!BN46)</f>
        <v>0</v>
      </c>
      <c r="AI47" s="67">
        <f>IF($D47="",,MONTAGE!BO46)</f>
        <v>0</v>
      </c>
      <c r="AJ47" s="67">
        <f>IF($D47="",,MONTAGE!BP46)</f>
        <v>0</v>
      </c>
      <c r="AK47" s="67">
        <f>IF($D47="",,MONTAGE!BQ46)</f>
        <v>0</v>
      </c>
      <c r="AL47" s="67">
        <f>IF($D47="",,MONTAGE!BR46)</f>
        <v>0</v>
      </c>
      <c r="AM47" s="67">
        <f>IF($D47="",,MONTAGE!BS46)</f>
        <v>0</v>
      </c>
      <c r="AN47" s="67">
        <f>IF($D47="",,MONTAGE!BT46)</f>
        <v>0</v>
      </c>
      <c r="AO47" s="67">
        <f>IF($D47="",,MONTAGE!BU46)</f>
        <v>0</v>
      </c>
      <c r="AP47" s="67">
        <f>IF($D47="",,MONTAGE!BV46)</f>
        <v>0</v>
      </c>
      <c r="AQ47" s="67">
        <f>IF($D47="",,MONTAGE!BW46)</f>
        <v>0</v>
      </c>
      <c r="AR47" s="67">
        <f>IF($D47="",,MONTAGE!BX46)</f>
        <v>0</v>
      </c>
      <c r="AS47" s="67">
        <f>IF($D47="",,MONTAGE!BY46)</f>
        <v>0</v>
      </c>
      <c r="AT47" s="67">
        <f>IF($D47="",,MONTAGE!BZ46)</f>
        <v>0</v>
      </c>
      <c r="AU47" s="67">
        <f>IF($D47="",,MONTAGE!CA46)</f>
        <v>0</v>
      </c>
      <c r="AV47" s="67">
        <f>IF($D47="",,MONTAGE!CB46)</f>
        <v>0</v>
      </c>
      <c r="AW47" s="67">
        <f>IF($D47="",,MONTAGE!CC46)</f>
        <v>0</v>
      </c>
      <c r="AX47" s="67">
        <f>IF($D47="",,MONTAGE!CD46)</f>
        <v>0</v>
      </c>
    </row>
    <row r="48" spans="1:50" s="5" customFormat="1" ht="13.5" hidden="1" thickBot="1" x14ac:dyDescent="0.25">
      <c r="A48" s="60"/>
      <c r="B48" s="61" t="str">
        <f>IF(ELEMENT!AO45="","",MONTAGE!B47)</f>
        <v/>
      </c>
      <c r="C48" s="62" t="str">
        <f>IF(ELEMENT!AO45="","",IF(ELEMENT!AW45="JA",ELEMENT!V45,IF(ELEMENT!D45="","",CONCATENATE(ELEMENT!A45,"   ",ELEMENT!D45," x ",ELEMENT!E45,"mm  "))))</f>
        <v/>
      </c>
      <c r="D48" s="63">
        <f>IF(ELEMENT!AO45="",0,IF(ELEMENT!C45=0,Sprache!$B$86,ELEMENT!C45))</f>
        <v>0</v>
      </c>
      <c r="E48" s="67">
        <f>MONTAGE!F47*MONTAGE!C47</f>
        <v>0</v>
      </c>
      <c r="F48" s="67">
        <f>IF($D48="",,MONTAGE!X47)</f>
        <v>0</v>
      </c>
      <c r="G48" s="67">
        <f>IF($D48="",,MONTAGE!Z47)</f>
        <v>0</v>
      </c>
      <c r="H48" s="67">
        <f>IF($D48="",,MONTAGE!AB47)</f>
        <v>0</v>
      </c>
      <c r="I48" s="67">
        <f>IF($D48="",,MONTAGE!AD47)</f>
        <v>0</v>
      </c>
      <c r="J48" s="67">
        <f>IF($D48="",,MONTAGE!AF47)</f>
        <v>0</v>
      </c>
      <c r="K48" s="67">
        <f>IF($D48="",,MONTAGE!AH47)</f>
        <v>0</v>
      </c>
      <c r="L48" s="67">
        <f>IF($D48="",,MONTAGE!AJ47)</f>
        <v>0</v>
      </c>
      <c r="M48" s="67">
        <f>IF($D48="",,MONTAGE!AL47)</f>
        <v>0</v>
      </c>
      <c r="N48" s="67">
        <f>IF($D48="",,MONTAGE!AN47)</f>
        <v>0</v>
      </c>
      <c r="O48" s="67">
        <f>IF($D48="",,MONTAGE!AP47)</f>
        <v>0</v>
      </c>
      <c r="P48" s="67">
        <f>IF($D48="",,MONTAGE!AR47)</f>
        <v>0</v>
      </c>
      <c r="Q48" s="67">
        <f>IF($D48="",,MONTAGE!AT47)</f>
        <v>0</v>
      </c>
      <c r="R48" s="67">
        <f>IF($D48="",,MONTAGE!AV47)</f>
        <v>0</v>
      </c>
      <c r="S48" s="67">
        <f>IF($D48="",,MONTAGE!AX47)</f>
        <v>0</v>
      </c>
      <c r="T48" s="67">
        <f>IF($D48="",,MONTAGE!AZ47)</f>
        <v>0</v>
      </c>
      <c r="U48" s="67">
        <f>IF($D48="",,MONTAGE!BA47)</f>
        <v>0</v>
      </c>
      <c r="V48" s="67">
        <f>IF($D48="",,MONTAGE!BB47)</f>
        <v>0</v>
      </c>
      <c r="W48" s="67">
        <f>IF($D48="",,MONTAGE!BC47)</f>
        <v>0</v>
      </c>
      <c r="X48" s="67">
        <f>IF($D48="",,MONTAGE!BD47)</f>
        <v>0</v>
      </c>
      <c r="Y48" s="67">
        <f>IF($D48="",,MONTAGE!BE47)</f>
        <v>0</v>
      </c>
      <c r="Z48" s="67">
        <f>IF($D48="",,MONTAGE!BF47)</f>
        <v>0</v>
      </c>
      <c r="AA48" s="67">
        <f>IF($D48="",,MONTAGE!BG47)</f>
        <v>0</v>
      </c>
      <c r="AB48" s="67">
        <f>IF($D48="",,MONTAGE!BH47)</f>
        <v>0</v>
      </c>
      <c r="AC48" s="67">
        <f>IF($D48="",,MONTAGE!BI47)</f>
        <v>0</v>
      </c>
      <c r="AD48" s="67">
        <f>IF($D48="",,MONTAGE!BJ47)</f>
        <v>0</v>
      </c>
      <c r="AE48" s="67">
        <f>IF($D48="",,MONTAGE!BK47)</f>
        <v>0</v>
      </c>
      <c r="AF48" s="67">
        <f>IF($D48="",,MONTAGE!BL47)</f>
        <v>0</v>
      </c>
      <c r="AG48" s="67">
        <f>IF($D48="",,MONTAGE!BM47)</f>
        <v>0</v>
      </c>
      <c r="AH48" s="67">
        <f>IF($D48="",,MONTAGE!BN47)</f>
        <v>0</v>
      </c>
      <c r="AI48" s="67">
        <f>IF($D48="",,MONTAGE!BO47)</f>
        <v>0</v>
      </c>
      <c r="AJ48" s="67">
        <f>IF($D48="",,MONTAGE!BP47)</f>
        <v>0</v>
      </c>
      <c r="AK48" s="67">
        <f>IF($D48="",,MONTAGE!BQ47)</f>
        <v>0</v>
      </c>
      <c r="AL48" s="67">
        <f>IF($D48="",,MONTAGE!BR47)</f>
        <v>0</v>
      </c>
      <c r="AM48" s="67">
        <f>IF($D48="",,MONTAGE!BS47)</f>
        <v>0</v>
      </c>
      <c r="AN48" s="67">
        <f>IF($D48="",,MONTAGE!BT47)</f>
        <v>0</v>
      </c>
      <c r="AO48" s="67">
        <f>IF($D48="",,MONTAGE!BU47)</f>
        <v>0</v>
      </c>
      <c r="AP48" s="67">
        <f>IF($D48="",,MONTAGE!BV47)</f>
        <v>0</v>
      </c>
      <c r="AQ48" s="67">
        <f>IF($D48="",,MONTAGE!BW47)</f>
        <v>0</v>
      </c>
      <c r="AR48" s="67">
        <f>IF($D48="",,MONTAGE!BX47)</f>
        <v>0</v>
      </c>
      <c r="AS48" s="67">
        <f>IF($D48="",,MONTAGE!BY47)</f>
        <v>0</v>
      </c>
      <c r="AT48" s="67">
        <f>IF($D48="",,MONTAGE!BZ47)</f>
        <v>0</v>
      </c>
      <c r="AU48" s="67">
        <f>IF($D48="",,MONTAGE!CA47)</f>
        <v>0</v>
      </c>
      <c r="AV48" s="67">
        <f>IF($D48="",,MONTAGE!CB47)</f>
        <v>0</v>
      </c>
      <c r="AW48" s="67">
        <f>IF($D48="",,MONTAGE!CC47)</f>
        <v>0</v>
      </c>
      <c r="AX48" s="67">
        <f>IF($D48="",,MONTAGE!CD47)</f>
        <v>0</v>
      </c>
    </row>
    <row r="49" spans="1:50" ht="13.5" thickBot="1" x14ac:dyDescent="0.25">
      <c r="A49" s="57"/>
      <c r="B49" s="476" t="str">
        <f>Sprache!B155</f>
        <v>Summary Sky-Frame options</v>
      </c>
      <c r="C49" s="476"/>
      <c r="D49" s="64">
        <f t="shared" ref="D49:L49" si="0">SUM(D8:D48)</f>
        <v>0</v>
      </c>
      <c r="E49" s="65">
        <f t="shared" si="0"/>
        <v>0</v>
      </c>
      <c r="F49" s="65">
        <f t="shared" si="0"/>
        <v>0</v>
      </c>
      <c r="G49" s="65">
        <f t="shared" si="0"/>
        <v>0</v>
      </c>
      <c r="H49" s="65">
        <f t="shared" si="0"/>
        <v>0</v>
      </c>
      <c r="I49" s="65">
        <f t="shared" si="0"/>
        <v>0</v>
      </c>
      <c r="J49" s="65">
        <f t="shared" si="0"/>
        <v>0</v>
      </c>
      <c r="K49" s="65">
        <f t="shared" si="0"/>
        <v>0</v>
      </c>
      <c r="L49" s="65">
        <f t="shared" si="0"/>
        <v>0</v>
      </c>
      <c r="M49" s="65">
        <f t="shared" ref="M49:T49" si="1">SUM(M8:M48)</f>
        <v>0</v>
      </c>
      <c r="N49" s="65">
        <f t="shared" si="1"/>
        <v>0</v>
      </c>
      <c r="O49" s="65">
        <f t="shared" si="1"/>
        <v>0</v>
      </c>
      <c r="P49" s="65">
        <f t="shared" si="1"/>
        <v>0</v>
      </c>
      <c r="Q49" s="65">
        <f t="shared" si="1"/>
        <v>0</v>
      </c>
      <c r="R49" s="65">
        <f t="shared" si="1"/>
        <v>0</v>
      </c>
      <c r="S49" s="65">
        <f t="shared" si="1"/>
        <v>0</v>
      </c>
      <c r="T49" s="65">
        <f t="shared" si="1"/>
        <v>0</v>
      </c>
      <c r="U49" s="65">
        <f t="shared" ref="U49:AJ49" si="2">SUM(U8:U48)</f>
        <v>0</v>
      </c>
      <c r="V49" s="65">
        <f t="shared" si="2"/>
        <v>0</v>
      </c>
      <c r="W49" s="65">
        <f t="shared" si="2"/>
        <v>0</v>
      </c>
      <c r="X49" s="65">
        <f t="shared" si="2"/>
        <v>0</v>
      </c>
      <c r="Y49" s="65">
        <f t="shared" si="2"/>
        <v>0</v>
      </c>
      <c r="Z49" s="65">
        <f t="shared" si="2"/>
        <v>0</v>
      </c>
      <c r="AA49" s="65">
        <f t="shared" si="2"/>
        <v>0</v>
      </c>
      <c r="AB49" s="65">
        <f t="shared" si="2"/>
        <v>0</v>
      </c>
      <c r="AC49" s="65">
        <f t="shared" si="2"/>
        <v>0</v>
      </c>
      <c r="AD49" s="65">
        <f t="shared" si="2"/>
        <v>0</v>
      </c>
      <c r="AE49" s="65">
        <f t="shared" si="2"/>
        <v>0</v>
      </c>
      <c r="AF49" s="65">
        <f t="shared" si="2"/>
        <v>0</v>
      </c>
      <c r="AG49" s="65">
        <f t="shared" si="2"/>
        <v>0</v>
      </c>
      <c r="AH49" s="65">
        <f t="shared" si="2"/>
        <v>0</v>
      </c>
      <c r="AI49" s="65">
        <f t="shared" si="2"/>
        <v>0</v>
      </c>
      <c r="AJ49" s="65">
        <f t="shared" si="2"/>
        <v>0</v>
      </c>
      <c r="AK49" s="65">
        <f t="shared" ref="AK49:AX49" si="3">SUM(AK8:AK48)</f>
        <v>0</v>
      </c>
      <c r="AL49" s="65">
        <f t="shared" si="3"/>
        <v>0</v>
      </c>
      <c r="AM49" s="65">
        <f t="shared" si="3"/>
        <v>0</v>
      </c>
      <c r="AN49" s="65">
        <f t="shared" si="3"/>
        <v>0</v>
      </c>
      <c r="AO49" s="65">
        <f t="shared" si="3"/>
        <v>0</v>
      </c>
      <c r="AP49" s="65">
        <f t="shared" si="3"/>
        <v>0</v>
      </c>
      <c r="AQ49" s="65">
        <f t="shared" si="3"/>
        <v>0</v>
      </c>
      <c r="AR49" s="65">
        <f t="shared" si="3"/>
        <v>0</v>
      </c>
      <c r="AS49" s="65">
        <f t="shared" si="3"/>
        <v>0</v>
      </c>
      <c r="AT49" s="65">
        <f t="shared" si="3"/>
        <v>0</v>
      </c>
      <c r="AU49" s="65">
        <f t="shared" si="3"/>
        <v>0</v>
      </c>
      <c r="AV49" s="65">
        <f t="shared" si="3"/>
        <v>0</v>
      </c>
      <c r="AW49" s="65">
        <f t="shared" si="3"/>
        <v>0</v>
      </c>
      <c r="AX49" s="65">
        <f t="shared" si="3"/>
        <v>0</v>
      </c>
    </row>
    <row r="50" spans="1:50" x14ac:dyDescent="0.2">
      <c r="D50" s="66"/>
    </row>
    <row r="51" spans="1:50" x14ac:dyDescent="0.2">
      <c r="D51" s="66"/>
    </row>
    <row r="52" spans="1:50" x14ac:dyDescent="0.2">
      <c r="D52" s="66"/>
    </row>
    <row r="53" spans="1:50" x14ac:dyDescent="0.2">
      <c r="D53" s="66"/>
    </row>
    <row r="54" spans="1:50" x14ac:dyDescent="0.2">
      <c r="D54" s="66"/>
    </row>
    <row r="55" spans="1:50" x14ac:dyDescent="0.2">
      <c r="D55" s="66"/>
    </row>
    <row r="56" spans="1:50" x14ac:dyDescent="0.2">
      <c r="D56" s="66"/>
    </row>
    <row r="57" spans="1:50" x14ac:dyDescent="0.2">
      <c r="D57" s="66"/>
    </row>
    <row r="58" spans="1:50" x14ac:dyDescent="0.2">
      <c r="D58" s="66"/>
    </row>
    <row r="59" spans="1:50" x14ac:dyDescent="0.2">
      <c r="D59" s="66"/>
    </row>
    <row r="60" spans="1:50" x14ac:dyDescent="0.2">
      <c r="D60" s="66"/>
    </row>
    <row r="61" spans="1:50" x14ac:dyDescent="0.2">
      <c r="D61" s="66"/>
    </row>
    <row r="62" spans="1:50" x14ac:dyDescent="0.2">
      <c r="D62" s="66"/>
    </row>
    <row r="63" spans="1:50" x14ac:dyDescent="0.2">
      <c r="D63" s="66"/>
    </row>
    <row r="64" spans="1:50" x14ac:dyDescent="0.2">
      <c r="D64" s="66"/>
    </row>
    <row r="65" spans="4:4" x14ac:dyDescent="0.2">
      <c r="D65" s="66"/>
    </row>
    <row r="66" spans="4:4" x14ac:dyDescent="0.2">
      <c r="D66" s="66"/>
    </row>
    <row r="67" spans="4:4" x14ac:dyDescent="0.2">
      <c r="D67" s="66"/>
    </row>
    <row r="68" spans="4:4" x14ac:dyDescent="0.2">
      <c r="D68" s="66"/>
    </row>
  </sheetData>
  <sheetProtection formatColumns="0" formatRows="0" selectLockedCells="1"/>
  <mergeCells count="3">
    <mergeCell ref="B5:J5"/>
    <mergeCell ref="B3:I3"/>
    <mergeCell ref="B49:C49"/>
  </mergeCells>
  <phoneticPr fontId="0" type="noConversion"/>
  <pageMargins left="0.39370078740157483" right="0.39370078740157483" top="0.35433070866141736" bottom="0.47244094488188981" header="0.31496062992125984" footer="0.23622047244094491"/>
  <pageSetup paperSize="9" scale="90" fitToHeight="0" orientation="landscape" horizontalDpi="4294967293" r:id="rId1"/>
  <headerFooter>
    <oddHeader>&amp;L&amp;G</oddHeader>
    <oddFooter>&amp;LSeite &amp;P von &amp;N&amp;R&amp;D</oddFoot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7"/>
  <dimension ref="B1:BB80"/>
  <sheetViews>
    <sheetView zoomScale="85" zoomScaleNormal="85" workbookViewId="0">
      <selection sqref="A1:IV65536"/>
    </sheetView>
  </sheetViews>
  <sheetFormatPr defaultColWidth="10.85546875" defaultRowHeight="12.75" x14ac:dyDescent="0.2"/>
  <cols>
    <col min="1" max="1" width="3.7109375" customWidth="1"/>
    <col min="2" max="2" width="5.42578125" customWidth="1"/>
    <col min="3" max="3" width="46.42578125" customWidth="1"/>
    <col min="4" max="4" width="5.42578125" customWidth="1"/>
    <col min="5" max="5" width="16.42578125" customWidth="1"/>
    <col min="6" max="13" width="15.42578125" customWidth="1"/>
    <col min="14" max="14" width="36.42578125" customWidth="1"/>
    <col min="15" max="15" width="12.7109375" customWidth="1"/>
    <col min="16" max="16" width="36" customWidth="1"/>
    <col min="17" max="17" width="42.7109375" customWidth="1"/>
    <col min="18" max="18" width="12.5703125" customWidth="1"/>
    <col min="19" max="21" width="19.42578125" customWidth="1"/>
    <col min="22" max="25" width="37.7109375" customWidth="1"/>
    <col min="26" max="26" width="26.28515625" customWidth="1"/>
    <col min="27" max="31" width="20" customWidth="1"/>
    <col min="32" max="32" width="28.7109375" customWidth="1"/>
    <col min="33" max="33" width="20" customWidth="1"/>
    <col min="34" max="34" width="14.28515625" customWidth="1"/>
    <col min="35" max="35" width="13.7109375" customWidth="1"/>
    <col min="36" max="36" width="23.7109375" customWidth="1"/>
    <col min="37" max="37" width="26.5703125" customWidth="1"/>
    <col min="38" max="39" width="5" customWidth="1"/>
    <col min="40" max="40" width="38.28515625" customWidth="1"/>
    <col min="41" max="41" width="22.42578125" customWidth="1"/>
    <col min="42" max="42" width="22.7109375" customWidth="1"/>
    <col min="43" max="43" width="15.5703125" customWidth="1"/>
    <col min="52" max="52" width="42" customWidth="1"/>
    <col min="58" max="58" width="20.42578125" bestFit="1" customWidth="1"/>
    <col min="61" max="61" width="25" customWidth="1"/>
  </cols>
  <sheetData>
    <row r="1" spans="2:54" x14ac:dyDescent="0.2">
      <c r="AY1">
        <f>AY3</f>
        <v>304</v>
      </c>
      <c r="AZ1" t="str">
        <f>INT(ROUND((AY1/2.54),0)/12)&amp;"' "&amp;MOD(ROUND((AY1/2.54),0),12)&amp;""""</f>
        <v>10' 0"</v>
      </c>
    </row>
    <row r="2" spans="2:54" x14ac:dyDescent="0.2">
      <c r="AS2">
        <v>244</v>
      </c>
      <c r="AV2" t="str">
        <f>IF(ROUND(MOD(AS2,2.54)/2.54*16,0)=0,TEXT(INT(AS2/2.54),"0"),TEXT(AS2/2.54,"# ?/"&amp;INDEX({16;8;16;4;16;8;16;2;16;8;16;4;16;8;16},MOD(ROUND(AS2/2.54*16,0),16))))&amp;CHAR(34)</f>
        <v>96 1/16"</v>
      </c>
      <c r="AY2">
        <f>AY3</f>
        <v>304</v>
      </c>
      <c r="AZ2" t="str">
        <f>IF(ROUND(MOD(AY2,2.54)/2.54*16,0)=0,TEXT(INT(AY2/2.54),"0"),TEXT(AY2/2.54,"# ?/"&amp;INDEX({16;8;16;4;16;8;16;2;16;8;16;4;16;8;16},MOD(ROUND(AY2/2.54*16,0),16))))&amp;CHAR(34)</f>
        <v>119 11/16"</v>
      </c>
    </row>
    <row r="3" spans="2:54" x14ac:dyDescent="0.2">
      <c r="B3" t="str">
        <f>Sprache!D1</f>
        <v>Company… (please adapt in Sprache D1)</v>
      </c>
      <c r="AY3">
        <f>AY8</f>
        <v>304</v>
      </c>
      <c r="AZ3" t="str">
        <f>INT(AY3/2.54/12)&amp;"' "&amp;
IF(ROUND(MOD((MOD((AY3/2.54),12)*2.54),2.54)/2.54*16,0)=0,TEXT(INT((MOD((AY3/2.54),12)*2.54)/2.54),"0"),TEXT((MOD((AY3/2.54),12)*2.54)/2.54,"# ?/"&amp;INDEX({16;8;16;4;16;8;16;2;16;8;16;4;16;8;16},MOD(ROUND((MOD((AY3/2.54),12)*2.54)/2.54*16,0),16))))&amp;CHAR(34)&amp;""</f>
        <v>9' 11 11/16"</v>
      </c>
    </row>
    <row r="6" spans="2:54" x14ac:dyDescent="0.2">
      <c r="B6" t="str">
        <f>CONCATENATE(ELEMENT!C2)</f>
        <v/>
      </c>
      <c r="AA6" t="str">
        <f>ELEMENT!CU51</f>
        <v>U-factor</v>
      </c>
      <c r="AB6" t="str">
        <f>ELEMENT!CU53</f>
        <v>SHGC / VT</v>
      </c>
    </row>
    <row r="7" spans="2:54" x14ac:dyDescent="0.2">
      <c r="AA7" t="str">
        <f>IF(ELEMENT!$CU$50=0,"",ELEMENT!$CU$50)</f>
        <v/>
      </c>
      <c r="AS7">
        <v>249</v>
      </c>
      <c r="AV7" t="str">
        <f>IF(ROUND(MOD(AS7,2.54)/2.54*16,0)=0,TEXT(INT(AS7/2.54),"0"),TEXT(AS7/2.54,"# ?/"&amp;INDEX({16;8;16;4;16;8;16;2;16;8;16;4;16;8;16},MOD(ROUND(AS7/2.54*16,0),16))))&amp;CHAR(34)</f>
        <v>98 1/16"</v>
      </c>
      <c r="AY7">
        <f>AY3</f>
        <v>304</v>
      </c>
      <c r="AZ7" t="str">
        <f>INT(ROUND((AY7/2.54),0)/12)&amp;"' "&amp;
MOD((AY7/2.54),12)&amp;""""</f>
        <v>10' 11.6850393700787"</v>
      </c>
      <c r="BA7" t="s">
        <v>604</v>
      </c>
    </row>
    <row r="8" spans="2:54" x14ac:dyDescent="0.2">
      <c r="B8" t="str">
        <f>CONCATENATE(Sprache!B9)</f>
        <v>item</v>
      </c>
      <c r="C8" t="str">
        <f>CONCATENATE(Sprache!B88)</f>
        <v>text</v>
      </c>
      <c r="D8" t="str">
        <f>CONCATENATE(Sprache!B12)</f>
        <v>unit</v>
      </c>
      <c r="E8" t="str">
        <f>CONCATENATE(MONTAGE!$P$3,"/",Sprache!$B$12," ")</f>
        <v xml:space="preserve">USD/unit </v>
      </c>
      <c r="F8" t="str">
        <f>CONCATENATE(Sprache!$B$31," ",MONTAGE!$P$3)</f>
        <v>total USD</v>
      </c>
      <c r="N8" t="s">
        <v>150</v>
      </c>
      <c r="P8" t="s">
        <v>199</v>
      </c>
      <c r="Q8" t="s">
        <v>45</v>
      </c>
      <c r="R8" t="s">
        <v>32</v>
      </c>
      <c r="S8" t="s">
        <v>2</v>
      </c>
      <c r="T8" t="s">
        <v>14</v>
      </c>
      <c r="U8" t="s">
        <v>33</v>
      </c>
      <c r="V8" t="s">
        <v>75</v>
      </c>
      <c r="W8" t="s">
        <v>142</v>
      </c>
      <c r="X8" t="s">
        <v>603</v>
      </c>
      <c r="Y8" t="s">
        <v>191</v>
      </c>
      <c r="Z8" t="s">
        <v>3</v>
      </c>
      <c r="AA8" t="s">
        <v>46</v>
      </c>
      <c r="AB8" t="s">
        <v>155</v>
      </c>
      <c r="AC8" t="s">
        <v>192</v>
      </c>
      <c r="AD8" t="s">
        <v>44</v>
      </c>
      <c r="AE8" t="s">
        <v>42</v>
      </c>
      <c r="AF8" t="s">
        <v>171</v>
      </c>
      <c r="AG8" t="s">
        <v>193</v>
      </c>
      <c r="AH8" t="s">
        <v>77</v>
      </c>
      <c r="AI8" t="s">
        <v>251</v>
      </c>
      <c r="AJ8" t="s">
        <v>343</v>
      </c>
      <c r="AK8" t="s">
        <v>412</v>
      </c>
      <c r="AS8">
        <v>250</v>
      </c>
      <c r="AV8" t="str">
        <f>IF(ROUND(MOD(AS8,2.54)/2.54*16,0)=0,TEXT(INT(AS8/2.54),"0"),TEXT(AS8/2.54,"# ?/"&amp;INDEX({16;8;16;4;16;8;16;2;16;8;16;4;16;8;16},MOD(ROUND(AS8/2.54*16,0),16))))&amp;CHAR(34)</f>
        <v>98 7/16"</v>
      </c>
      <c r="AY8">
        <v>304</v>
      </c>
      <c r="AZ8" t="str">
        <f>INT(AY8/2.54/12)&amp;"' "&amp;
IF(ROUND(MOD((MOD((AY8/2.54),12)*2.54),2.54)/2.54*16,0)=0,TEXT(INT((MOD((AY8/2.54),12)*2.54)/2.54),"0"),TEXT((MOD((AY8/2.54),12)*2.54)/2.54,"# ?/"&amp;INDEX({16;8;16;4;16;8;16;2;16;8;16;4;16;8;16},MOD(ROUND((MOD((AY8/2.54),12)*2.54)/2.54*16,0),16))))&amp;CHAR(34)&amp;""</f>
        <v>9' 11 11/16"</v>
      </c>
    </row>
    <row r="9" spans="2:54" ht="110.25" customHeight="1" x14ac:dyDescent="0.2">
      <c r="B9">
        <f>IF(MONTAGE!B7="","",MONTAGE!B7)</f>
        <v>0</v>
      </c>
      <c r="C9" t="str">
        <f ca="1">CONCATENATE(IF(ELEMENT!D5="",ELEMENT!V5,IF(ELEMENT!AC5=0,"",
CONCATENATE(P9,Q9,R9,S9,T9,U9,V9,W9,Y9))))</f>
        <v>o/a frame size: 0 x 0mm  
(0' 0" x 0' 0")
2-tracks double glazed,  0 # of panel
0</v>
      </c>
      <c r="D9" t="str">
        <f>IF(MONTAGE!C7=0,Sprache!$B$86,SUM(MONTAGE!C7))</f>
        <v>per</v>
      </c>
      <c r="E9">
        <f ca="1">IF(ELEMENT!AW5="JA",ELEMENT!U5,SUM(MONTAGE!T7))</f>
        <v>0</v>
      </c>
      <c r="F9">
        <f ca="1">IF(ELEMENT!AW5="JA",IF(ELEMENT!C5=0,,ELEMENT!U5*ELEMENT!C5),SUM(MONTAGE!U7))</f>
        <v>0</v>
      </c>
      <c r="N9" t="s">
        <v>190</v>
      </c>
      <c r="O9" t="e">
        <f ca="1">SUM(F9/ELEMENT!AA5)</f>
        <v>#DIV/0!</v>
      </c>
      <c r="P9" t="str">
        <f>IF(ELEMENT!A5="","",CONCATENATE(ELEMENT!A5,"
"))</f>
        <v/>
      </c>
      <c r="Q9" t="str">
        <f>IF(ELEMENT!$AS5="","",CONCATENATE(
IF(ELEMENT!$L$47=ELEMENT!$CK$55,Sprache!$B$79,Sprache!$B$78),
IF(ELEMENT!BC5&gt;0,CONCATENATE(" ",Sprache!$B$147),),": ",ROUND(ELEMENT!D5,0)," x ",ROUND(ELEMENT!E5,0),"mm "," ",
IF(OR(ELEMENT!$X$47=ELEMENT!$CS$65,ELEMENT!$X$47=ELEMENT!$CR$65),VZ!X9," "),"
"))</f>
        <v xml:space="preserve">o/a frame size: 0 x 0mm  
(0' 0" x 0' 0")
</v>
      </c>
      <c r="R9" t="str">
        <f>IF(ELEMENT!$AS5="","",CONCATENATE(ELEMENT!AR5,Sprache!$B$81,",","  "))</f>
        <v xml:space="preserve">2-tracks double glazed,  </v>
      </c>
      <c r="S9" t="str">
        <f>IF(ELEMENT!$AS5="","",CONCATENATE(ELEMENT!Z5," ",Sprache!$B$84,"
"))</f>
        <v xml:space="preserve">0 # of panel
</v>
      </c>
      <c r="T9" t="str">
        <f>IF(OR(ELEMENT!$AS5="",ELEMENT!R5+ELEMENT!S5+ELEMENT!T5+ELEMENT!X5=0),"",
CONCATENATE(IF(ELEMENT!X5="",0,ELEMENT!X5)," ",Sprache!$B$11," ",Sprache!$B$85,",  "))</f>
        <v/>
      </c>
      <c r="U9" t="str">
        <f>IF(OR(ELEMENT!$AS5="",ELEMENT!R5+ELEMENT!S5+ELEMENT!T5+ELEMENT!X5=0),"",
CONCATENATE(SUM(ELEMENT!R5:S5)," ",Sprache!$B$11," ",IF(SUM(ELEMENT!R5:S5)&lt;2,Sprache!$B$69,Sprache!$B$70),"
"))</f>
        <v/>
      </c>
      <c r="V9" t="str">
        <f>IF(ELEMENT!X5=0,"",IF(ELEMENT!EK5&gt;ELEMENT!EJ5,Sprache!$B$99&amp;"
",""))</f>
        <v/>
      </c>
      <c r="W9" t="str">
        <f>IF(ELEMENT!G5=ELEMENT!$CK$59,CONCATENATE(Sprache!$B$123,"
"),IF(ELEMENT!G5=ELEMENT!$CL$59,CONCATENATE(Sprache!$B$124,"
"),""))</f>
        <v/>
      </c>
      <c r="X9" t="str">
        <f>IFERROR(CONCATENATE("
","(",AZ9," x ",BB9,")",""),"")</f>
        <v xml:space="preserve">
(0' 0" x 0' 0")</v>
      </c>
      <c r="Y9">
        <f ca="1">IF(1=Sprache!$Z$1,
IF(ELEMENT!AC5="",,CONCATENATE(AD9,AE9,AF9,AG9,AI9,AJ9,AK9,Sprache!$B$87,":",LS,Z9,AH9)),
IF(ELEMENT!AC5="",,CONCATENATE(AD9,AE9,AF9,AG9,AI9,AJ9,AK9,Sprache!$B$87,":",LS,Z9,"
",AA9,LS,LS,AB9,"
",Sprache!$B$91," ",AC9,AH9)))</f>
        <v>0</v>
      </c>
      <c r="Z9">
        <f>ELEMENT!DP5</f>
        <v>0</v>
      </c>
      <c r="AA9" t="e">
        <f>ELEMENT!$CU$51&amp;LS&amp;ELEMENT!DR5&amp;LS&amp;$AA$7</f>
        <v>#N/A</v>
      </c>
      <c r="AB9" t="e">
        <f>ELEMENT!$CU$53&amp;"   "&amp;ELEMENT!DO5</f>
        <v>#N/A</v>
      </c>
      <c r="AC9" t="str">
        <f>ELEMENT!$B$47</f>
        <v>E6 EV1 (20my)</v>
      </c>
      <c r="AD9" t="str">
        <f>IF(ELEMENT!BB5=0,"",CONCATENATE(ELEMENT!BB5," ",Sprache!$B$12," ",Sprache!$B$98,"
"))</f>
        <v/>
      </c>
      <c r="AE9" t="str">
        <f>IF(ELEMENT!BA5=0,"",CONCATENATE(ELEMENT!BA5," ",Sprache!$B$71,"
"))</f>
        <v/>
      </c>
      <c r="AF9" t="str">
        <f>CONCATENATE(IF(ELEMENT!BD120=1,CONCATENATE(Sprache!$B$137," ",Sprache!$B$145,"
"),""),
IF(ELEMENT!BE120=1,CONCATENATE(Sprache!$B$137," ",Sprache!$B$146,"
"),""))</f>
        <v/>
      </c>
      <c r="AG9" t="str">
        <f>IF(ELEMENT!BD5=0,"",CONCATENATE(ELEMENT!BD5," ",Sprache!$B$11," ",Sprache!$B$138,"
"))</f>
        <v/>
      </c>
      <c r="AH9" t="str">
        <f>IF(ELEMENT!AX5="","",CONCATENATE("
",ELEMENT!AX5))</f>
        <v/>
      </c>
      <c r="AI9" t="str">
        <f>IF(ELEMENT!AP5=2,CONCATENATE(Sprache!$B$149,"
"),
IF(ELEMENT!AP5=1,CONCATENATE(Sprache!$B$148,"
"),""))</f>
        <v/>
      </c>
      <c r="AJ9" t="str">
        <f>IF(ELEMENT!AW5=ELEMENT!$CJ$73,"",IF(ELEMENT!AW5=ELEMENT!$CK$73,CONCATENATE(Sprache!$B$150,"
"),
IF(ELEMENT!AW5=ELEMENT!$CL$73,CONCATENATE(Sprache!$B$151,"
"),
IF(ELEMENT!AW5=ELEMENT!$CM$73,CONCATENATE(Sprache!$B$152,"
"),
IF(ELEMENT!AW5=ELEMENT!$CN$73,CONCATENATE(Sprache!$B$151,"
",Sprache!$B$152,"
"),"")))))</f>
        <v/>
      </c>
      <c r="AK9" t="str">
        <f>IF(ELEMENT!BA120=1,CONCATENATE(Sprache!$B$161,"
"),"")</f>
        <v/>
      </c>
      <c r="AO9" t="str">
        <f ca="1">IF(ELEMENT!$AG$48=TODAY(),CONCATENATE("
",Sprache!$B$126),"")</f>
        <v/>
      </c>
      <c r="AS9">
        <f>ELEMENT!D5/10</f>
        <v>0</v>
      </c>
      <c r="AT9">
        <f>ELEMENT!E5</f>
        <v>0</v>
      </c>
      <c r="AV9" t="str">
        <f>IF(ROUND(MOD(AS9,2.54)/2.54*16,0)=0,TEXT(INT(AS9/2.54),"0"),TEXT(AS9/2.54,"# ?/"&amp;INDEX({16;8;16;4;16;8;16;2;16;8;16;4;16;8;16},MOD(ROUND(AS9/2.54*16,0),16))))&amp;CHAR(34)</f>
        <v>0"</v>
      </c>
      <c r="AW9" t="str">
        <f>IF(ROUND(MOD(AT9,2.54)/2.54*16,0)=0,TEXT(INT(AT9/2.54),"0"),TEXT(AT9/2.54,"# ?/"&amp;INDEX({16;8;16;4;16;8;16;2;16;8;16;4;16;8;16},MOD(ROUND(AT9/2.54*16,0),16))))&amp;CHAR(34)</f>
        <v>0"</v>
      </c>
      <c r="AY9">
        <f>ELEMENT!D5/10</f>
        <v>0</v>
      </c>
      <c r="AZ9" t="str">
        <f>INT(AY9/2.54/12)&amp;"' "&amp;
IF(ROUND(MOD((MOD((AY9/2.54),12)*2.54),2.54)/2.54*16,0)=0,TEXT(INT((MOD((AY9/2.54),12)*2.54)/2.54),"0"),TEXT((MOD((AY9/2.54),12)*2.54)/2.54,"# ?/"&amp;INDEX({16;8;16;4;16;8;16;2;16;8;16;4;16;8;16},MOD(ROUND((MOD((AY9/2.54),12)*2.54)/2.54*16,0),16))))&amp;CHAR(34)&amp;""</f>
        <v>0' 0"</v>
      </c>
      <c r="BA9">
        <f>ELEMENT!E5/10</f>
        <v>0</v>
      </c>
      <c r="BB9" t="str">
        <f>INT(BA9/2.54/12)&amp;"' "&amp;
IF(ROUND(MOD((MOD((BA9/2.54),12)*2.54),2.54)/2.54*16,0)=0,TEXT(INT((MOD((BA9/2.54),12)*2.54)/2.54),"0"),TEXT((MOD((BA9/2.54),12)*2.54)/2.54,"# ?/"&amp;INDEX({16;8;16;4;16;8;16;2;16;8;16;4;16;8;16},MOD(ROUND((MOD((BA9/2.54),12)*2.54)/2.54*16,0),16))))&amp;CHAR(34)&amp;""</f>
        <v>0' 0"</v>
      </c>
    </row>
    <row r="10" spans="2:54" x14ac:dyDescent="0.2">
      <c r="B10">
        <f>IF(MONTAGE!B8="","",MONTAGE!B8)</f>
        <v>0</v>
      </c>
      <c r="C10" t="str">
        <f ca="1">CONCATENATE(IF(ELEMENT!D6="",ELEMENT!V6,IF(ELEMENT!AC6=0,"",
CONCATENATE(P10,Q10,R10,S10,T10,U10,V10,W10,Y10))))</f>
        <v>o/a frame size: 0 x 0mm  
(0' 0" x 0' 0")
2-tracks double glazed,  0 # of panel
0</v>
      </c>
      <c r="D10" t="str">
        <f>IF(MONTAGE!C8=0,Sprache!$B$86,SUM(MONTAGE!C8))</f>
        <v>per</v>
      </c>
      <c r="E10">
        <f ca="1">IF(ELEMENT!AW6="JA",ELEMENT!U6,SUM(MONTAGE!T8))</f>
        <v>0</v>
      </c>
      <c r="F10">
        <f ca="1">IF(ELEMENT!AW6="JA",IF(ELEMENT!C6=0,,ELEMENT!U6*ELEMENT!C6),SUM(MONTAGE!U8))</f>
        <v>0</v>
      </c>
      <c r="O10" t="e">
        <f ca="1">SUM(F10/ELEMENT!AA6)</f>
        <v>#DIV/0!</v>
      </c>
      <c r="P10" t="str">
        <f>IF(ELEMENT!A6="","",CONCATENATE(ELEMENT!A6,"
"))</f>
        <v/>
      </c>
      <c r="Q10" t="str">
        <f>IF(ELEMENT!$AS6="","",CONCATENATE(
IF(ELEMENT!$L$47=ELEMENT!$CK$55,Sprache!$B$79,Sprache!$B$78),
IF(ELEMENT!BC6&gt;0,CONCATENATE(" ",Sprache!$B$147),),": ",ROUND(ELEMENT!D6,0)," x ",ROUND(ELEMENT!E6,0),"mm "," ",
IF(OR(ELEMENT!$X$47=ELEMENT!$CS$65,ELEMENT!$X$47=ELEMENT!$CR$65),VZ!X10," "),"
"))</f>
        <v xml:space="preserve">o/a frame size: 0 x 0mm  
(0' 0" x 0' 0")
</v>
      </c>
      <c r="R10" t="str">
        <f>IF(ELEMENT!$AS6="","",CONCATENATE(ELEMENT!AR6,Sprache!$B$81,",","  "))</f>
        <v xml:space="preserve">2-tracks double glazed,  </v>
      </c>
      <c r="S10" t="str">
        <f>IF(ELEMENT!$D6="","",CONCATENATE(ELEMENT!Z6," ",Sprache!$B$84,"
"))</f>
        <v xml:space="preserve">0 # of panel
</v>
      </c>
      <c r="T10" t="str">
        <f>IF(OR(ELEMENT!$AS6="",ELEMENT!R6+ELEMENT!S6+ELEMENT!T6+ELEMENT!X6=0),"",
CONCATENATE(IF(ELEMENT!X6="",0,ELEMENT!X6)," ",Sprache!$B$11," ",Sprache!$B$85,",  "))</f>
        <v/>
      </c>
      <c r="U10" t="str">
        <f>IF(OR(ELEMENT!$AS6="",ELEMENT!R6+ELEMENT!S6+ELEMENT!T6+ELEMENT!X6=0),"",
CONCATENATE(SUM(ELEMENT!R6:S6)," ",Sprache!$B$11," ",IF(SUM(ELEMENT!R6:S6)&lt;2,Sprache!$B$69,Sprache!$B$70),"
"))</f>
        <v/>
      </c>
      <c r="V10" t="str">
        <f>IF(ELEMENT!X6=0,"",IF(ELEMENT!EK6&gt;ELEMENT!EJ6,Sprache!$B$99&amp;"
",""))</f>
        <v/>
      </c>
      <c r="W10" t="str">
        <f>IF(ELEMENT!G6=ELEMENT!$CK$59,CONCATENATE(Sprache!$B$123,"
"),IF(ELEMENT!G6=ELEMENT!$CL$59,CONCATENATE(Sprache!$B$124,"
"),""))</f>
        <v/>
      </c>
      <c r="X10" t="str">
        <f>IFERROR(CONCATENATE("
","(",AZ10," x ",BB10,")",""),"")</f>
        <v xml:space="preserve">
(0' 0" x 0' 0")</v>
      </c>
      <c r="Y10">
        <f ca="1">IF(1=Sprache!$Z$1,
IF(ELEMENT!AC6="",,CONCATENATE(AD10,AE10,AF10,AG10,AI10,AJ10,AK10,Sprache!$B$87,":",LS,Z10,AH10)),
IF(ELEMENT!AC6="",,CONCATENATE(AD10,AE10,AF10,AG10,AI10,AJ10,AK10,Sprache!$B$87,":",LS,Z10,"
",AA10,LS,LS,AB10,"
",Sprache!$B$91," ",AC10,AH10)))</f>
        <v>0</v>
      </c>
      <c r="Z10">
        <f>ELEMENT!DP6</f>
        <v>0</v>
      </c>
      <c r="AA10" t="e">
        <f>ELEMENT!$CU$51&amp;LS&amp;ELEMENT!DR6&amp;LS&amp;$AA$7</f>
        <v>#N/A</v>
      </c>
      <c r="AB10" t="e">
        <f>ELEMENT!$CU$53&amp;"   "&amp;ELEMENT!DO6</f>
        <v>#N/A</v>
      </c>
      <c r="AC10" t="str">
        <f>ELEMENT!$B$47</f>
        <v>E6 EV1 (20my)</v>
      </c>
      <c r="AD10" t="str">
        <f>IF(ELEMENT!BB6=0,"",CONCATENATE(ELEMENT!BB6," ",Sprache!$B$12," ",Sprache!$B$98,"
"))</f>
        <v/>
      </c>
      <c r="AE10" t="str">
        <f>IF(ELEMENT!BA6=0,"",CONCATENATE(ELEMENT!BA6," ",Sprache!$B$71,"
"))</f>
        <v/>
      </c>
      <c r="AF10" t="str">
        <f>CONCATENATE(IF(ELEMENT!BD121=1,CONCATENATE(Sprache!$B$137," ",Sprache!$B$145,"
"),""),
IF(ELEMENT!BE121=1,CONCATENATE(Sprache!$B$137," ",Sprache!$B$146,"
"),""))</f>
        <v/>
      </c>
      <c r="AG10" t="str">
        <f>IF(ELEMENT!BD6=0,"",CONCATENATE(ELEMENT!BD6," ",Sprache!$B$11," ",Sprache!$B$138,"
"))</f>
        <v/>
      </c>
      <c r="AH10" t="str">
        <f>IF(ELEMENT!AX6="","",CONCATENATE("
",ELEMENT!AX6))</f>
        <v/>
      </c>
      <c r="AI10" t="str">
        <f>IF(ELEMENT!AP6=2,CONCATENATE(Sprache!$B$149,"
"),
IF(ELEMENT!AP6=1,CONCATENATE(Sprache!$B$148,"
"),""))</f>
        <v/>
      </c>
      <c r="AJ10" t="str">
        <f>IF(ELEMENT!AW6=ELEMENT!$CJ$73,"",IF(ELEMENT!AW6=ELEMENT!$CK$73,CONCATENATE(Sprache!$B$150,"
"),
IF(ELEMENT!AW6=ELEMENT!$CL$73,CONCATENATE(Sprache!$B$151,"
"),
IF(ELEMENT!AW6=ELEMENT!$CM$73,CONCATENATE(Sprache!$B$152,"
"),
IF(ELEMENT!AW6=ELEMENT!$CN$73,CONCATENATE(Sprache!$B$151,"
",Sprache!$B$152,"
"),"")))))</f>
        <v/>
      </c>
      <c r="AK10" t="str">
        <f>IF(ELEMENT!BA121=1,CONCATENATE(Sprache!$B$161,"
"),"")</f>
        <v/>
      </c>
      <c r="AO10" t="str">
        <f ca="1">IF(ELEMENT!$AG$48=TODAY(),CONCATENATE("
",Sprache!$B$126),"")</f>
        <v/>
      </c>
      <c r="AY10">
        <f>ELEMENT!D6/10</f>
        <v>0</v>
      </c>
      <c r="AZ10" t="str">
        <f>INT(AY10/2.54/12)&amp;"' "&amp;
IF(ROUND(MOD((MOD((AY10/2.54),12)*2.54),2.54)/2.54*16,0)=0,TEXT(INT((MOD((AY10/2.54),12)*2.54)/2.54),"0"),TEXT((MOD((AY10/2.54),12)*2.54)/2.54,"# ?/"&amp;INDEX({16;8;16;4;16;8;16;2;16;8;16;4;16;8;16},MOD(ROUND((MOD((AY10/2.54),12)*2.54)/2.54*16,0),16))))&amp;CHAR(34)&amp;""</f>
        <v>0' 0"</v>
      </c>
      <c r="BA10">
        <f>ELEMENT!E6/10</f>
        <v>0</v>
      </c>
      <c r="BB10" t="str">
        <f>INT(BA10/2.54/12)&amp;"' "&amp;
IF(ROUND(MOD((MOD((BA10/2.54),12)*2.54),2.54)/2.54*16,0)=0,TEXT(INT((MOD((BA10/2.54),12)*2.54)/2.54),"0"),TEXT((MOD((BA10/2.54),12)*2.54)/2.54,"# ?/"&amp;INDEX({16;8;16;4;16;8;16;2;16;8;16;4;16;8;16},MOD(ROUND((MOD((BA10/2.54),12)*2.54)/2.54*16,0),16))))&amp;CHAR(34)&amp;""</f>
        <v>0' 0"</v>
      </c>
    </row>
    <row r="11" spans="2:54" x14ac:dyDescent="0.2">
      <c r="B11">
        <f>IF(MONTAGE!B9="","",MONTAGE!B9)</f>
        <v>0</v>
      </c>
      <c r="C11" t="str">
        <f ca="1">CONCATENATE(IF(ELEMENT!D7="",ELEMENT!V7,IF(ELEMENT!AC7=0,"",
CONCATENATE(P11,Q11,R11,S11,T11,U11,V11,W11,Y11))))</f>
        <v>o/a frame size: 0 x 0mm  
(0' 0" x 0' 0")
2-tracks double glazed,  0 # of panel
0</v>
      </c>
      <c r="D11" t="str">
        <f>IF(MONTAGE!C9=0,Sprache!$B$86,SUM(MONTAGE!C9))</f>
        <v>per</v>
      </c>
      <c r="E11">
        <f ca="1">IF(ELEMENT!AW7="JA",ELEMENT!U7,SUM(MONTAGE!T9))</f>
        <v>0</v>
      </c>
      <c r="F11">
        <f ca="1">IF(ELEMENT!AW7="JA",IF(ELEMENT!C7=0,,ELEMENT!U7*ELEMENT!C7),SUM(MONTAGE!U9))</f>
        <v>0</v>
      </c>
      <c r="O11" t="e">
        <f ca="1">SUM(F11/ELEMENT!AA7)</f>
        <v>#DIV/0!</v>
      </c>
      <c r="P11" t="str">
        <f>IF(ELEMENT!A7="","",CONCATENATE(ELEMENT!A7,"
"))</f>
        <v/>
      </c>
      <c r="Q11" t="str">
        <f>IF(ELEMENT!$AS7="","",CONCATENATE(
IF(ELEMENT!$L$47=ELEMENT!$CK$55,Sprache!$B$79,Sprache!$B$78),
IF(ELEMENT!BC7&gt;0,CONCATENATE(" ",Sprache!$B$147),),": ",ROUND(ELEMENT!D7,0)," x ",ROUND(ELEMENT!E7,0),"mm "," ",
IF(OR(ELEMENT!$X$47=ELEMENT!$CS$65,ELEMENT!$X$47=ELEMENT!$CR$65),VZ!X11," "),"
"))</f>
        <v xml:space="preserve">o/a frame size: 0 x 0mm  
(0' 0" x 0' 0")
</v>
      </c>
      <c r="R11" t="str">
        <f>IF(ELEMENT!$AS7="","",CONCATENATE(ELEMENT!AR7,Sprache!$B$81,",","  "))</f>
        <v xml:space="preserve">2-tracks double glazed,  </v>
      </c>
      <c r="S11" t="str">
        <f>IF(ELEMENT!$D7="","",CONCATENATE(ELEMENT!Z7," ",Sprache!$B$84,"
"))</f>
        <v xml:space="preserve">0 # of panel
</v>
      </c>
      <c r="T11" t="str">
        <f>IF(OR(ELEMENT!$AS7="",ELEMENT!R7+ELEMENT!S7+ELEMENT!T7+ELEMENT!X7=0),"",
CONCATENATE(IF(ELEMENT!X7="",0,ELEMENT!X7)," ",Sprache!$B$11," ",Sprache!$B$85,",  "))</f>
        <v/>
      </c>
      <c r="U11" t="str">
        <f>IF(OR(ELEMENT!$AS7="",ELEMENT!R7+ELEMENT!S7+ELEMENT!T7+ELEMENT!X7=0),"",
CONCATENATE(SUM(ELEMENT!R7:S7)," ",Sprache!$B$11," ",IF(SUM(ELEMENT!R7:S7)&lt;2,Sprache!$B$69,Sprache!$B$70),"
"))</f>
        <v/>
      </c>
      <c r="V11" t="str">
        <f>IF(ELEMENT!X7=0,"",IF(ELEMENT!EK7&gt;ELEMENT!EJ7,Sprache!$B$99&amp;"
",""))</f>
        <v/>
      </c>
      <c r="W11" t="str">
        <f>IF(ELEMENT!G7=ELEMENT!$CK$59,CONCATENATE(Sprache!$B$123,"
"),IF(ELEMENT!G7=ELEMENT!$CL$59,CONCATENATE(Sprache!$B$124,"
"),""))</f>
        <v/>
      </c>
      <c r="X11" t="str">
        <f t="shared" ref="X11:X49" si="0">IFERROR(CONCATENATE("
","(",AZ11," x ",BB11,")",""),"")</f>
        <v xml:space="preserve">
(0' 0" x 0' 0")</v>
      </c>
      <c r="Y11">
        <f ca="1">IF(1=Sprache!$Z$1,
IF(ELEMENT!AC7="",,CONCATENATE(AD11,AE11,AF11,AG11,AI11,AJ11,AK11,Sprache!$B$87,":",LS,Z11,AH11)),
IF(ELEMENT!AC7="",,CONCATENATE(AD11,AE11,AF11,AG11,AI11,AJ11,AK11,Sprache!$B$87,":",LS,Z11,"
",AA11,LS,LS,AB11,"
",Sprache!$B$91," ",AC11,AH11)))</f>
        <v>0</v>
      </c>
      <c r="Z11">
        <f>ELEMENT!DP7</f>
        <v>0</v>
      </c>
      <c r="AA11" t="e">
        <f>ELEMENT!$CU$51&amp;LS&amp;ELEMENT!DR7&amp;LS&amp;$AA$7</f>
        <v>#N/A</v>
      </c>
      <c r="AB11" t="e">
        <f>ELEMENT!$CU$53&amp;"   "&amp;ELEMENT!DO7</f>
        <v>#N/A</v>
      </c>
      <c r="AC11" t="str">
        <f>ELEMENT!$B$47</f>
        <v>E6 EV1 (20my)</v>
      </c>
      <c r="AD11" t="str">
        <f>IF(ELEMENT!BB7=0,"",CONCATENATE(ELEMENT!BB7," ",Sprache!$B$12," ",Sprache!$B$98,"
"))</f>
        <v/>
      </c>
      <c r="AE11" t="str">
        <f>IF(ELEMENT!BA7=0,"",CONCATENATE(ELEMENT!BA7," ",Sprache!$B$71,"
"))</f>
        <v/>
      </c>
      <c r="AF11" t="str">
        <f>CONCATENATE(IF(ELEMENT!BD122=1,CONCATENATE(Sprache!$B$137," ",Sprache!$B$145,"
"),""),
IF(ELEMENT!BE122=1,CONCATENATE(Sprache!$B$137," ",Sprache!$B$146,"
"),""))</f>
        <v/>
      </c>
      <c r="AG11" t="str">
        <f>IF(ELEMENT!BD7=0,"",CONCATENATE(ELEMENT!BD7," ",Sprache!$B$11," ",Sprache!$B$138,"
"))</f>
        <v/>
      </c>
      <c r="AH11" t="str">
        <f>IF(ELEMENT!AX7="","",CONCATENATE("
",ELEMENT!AX7))</f>
        <v/>
      </c>
      <c r="AI11" t="str">
        <f>IF(ELEMENT!AP7=2,CONCATENATE(Sprache!$B$149,"
"),
IF(ELEMENT!AP7=1,CONCATENATE(Sprache!$B$148,"
"),""))</f>
        <v/>
      </c>
      <c r="AJ11" t="str">
        <f>IF(ELEMENT!AW7=ELEMENT!$CJ$73,"",IF(ELEMENT!AW7=ELEMENT!$CK$73,CONCATENATE(Sprache!$B$150,"
"),
IF(ELEMENT!AW7=ELEMENT!$CL$73,CONCATENATE(Sprache!$B$151,"
"),
IF(ELEMENT!AW7=ELEMENT!$CM$73,CONCATENATE(Sprache!$B$152,"
"),
IF(ELEMENT!AW7=ELEMENT!$CN$73,CONCATENATE(Sprache!$B$151,"
",Sprache!$B$152,"
"),"")))))</f>
        <v/>
      </c>
      <c r="AK11" t="str">
        <f>IF(ELEMENT!BA122=1,CONCATENATE(Sprache!$B$161,"
"),"")</f>
        <v/>
      </c>
      <c r="AO11" t="str">
        <f ca="1">IF(ELEMENT!$AG$48=TODAY(),CONCATENATE("
",Sprache!$B$126),"")</f>
        <v/>
      </c>
      <c r="AY11">
        <f>ELEMENT!D7/10</f>
        <v>0</v>
      </c>
      <c r="AZ11" t="str">
        <f>INT(AY11/2.54/12)&amp;"' "&amp;
IF(ROUND(MOD((MOD((AY11/2.54),12)*2.54),2.54)/2.54*16,0)=0,TEXT(INT((MOD((AY11/2.54),12)*2.54)/2.54),"0"),TEXT((MOD((AY11/2.54),12)*2.54)/2.54,"# ?/"&amp;INDEX({16;8;16;4;16;8;16;2;16;8;16;4;16;8;16},MOD(ROUND((MOD((AY11/2.54),12)*2.54)/2.54*16,0),16))))&amp;CHAR(34)&amp;""</f>
        <v>0' 0"</v>
      </c>
      <c r="BA11">
        <f>ELEMENT!E7/10</f>
        <v>0</v>
      </c>
      <c r="BB11" t="str">
        <f>INT(BA11/2.54/12)&amp;"' "&amp;
IF(ROUND(MOD((MOD((BA11/2.54),12)*2.54),2.54)/2.54*16,0)=0,TEXT(INT((MOD((BA11/2.54),12)*2.54)/2.54),"0"),TEXT((MOD((BA11/2.54),12)*2.54)/2.54,"# ?/"&amp;INDEX({16;8;16;4;16;8;16;2;16;8;16;4;16;8;16},MOD(ROUND((MOD((BA11/2.54),12)*2.54)/2.54*16,0),16))))&amp;CHAR(34)&amp;""</f>
        <v>0' 0"</v>
      </c>
    </row>
    <row r="12" spans="2:54" x14ac:dyDescent="0.2">
      <c r="B12">
        <f>IF(MONTAGE!B10="","",MONTAGE!B10)</f>
        <v>0</v>
      </c>
      <c r="C12" t="str">
        <f ca="1">CONCATENATE(IF(ELEMENT!D8="",ELEMENT!V8,IF(ELEMENT!AC8=0,"",
CONCATENATE(P12,Q12,R12,S12,T12,U12,V12,W12,Y12))))</f>
        <v>o/a frame size: 0 x 0mm  
(0' 0" x 0' 0")
2-tracks double glazed,  0 # of panel
0</v>
      </c>
      <c r="D12" t="str">
        <f>IF(MONTAGE!C10=0,Sprache!$B$86,SUM(MONTAGE!C10))</f>
        <v>per</v>
      </c>
      <c r="E12">
        <f ca="1">IF(ELEMENT!AW8="JA",ELEMENT!U8,SUM(MONTAGE!T10))</f>
        <v>0</v>
      </c>
      <c r="F12">
        <f ca="1">IF(ELEMENT!AW8="JA",IF(ELEMENT!C8=0,,ELEMENT!U8*ELEMENT!C8),SUM(MONTAGE!U10))</f>
        <v>0</v>
      </c>
      <c r="O12" t="e">
        <f ca="1">SUM(F12/ELEMENT!AA8)</f>
        <v>#DIV/0!</v>
      </c>
      <c r="P12" t="str">
        <f>IF(ELEMENT!A8="","",CONCATENATE(ELEMENT!A8,"
"))</f>
        <v/>
      </c>
      <c r="Q12" t="str">
        <f>IF(ELEMENT!$AS8="","",CONCATENATE(
IF(ELEMENT!$L$47=ELEMENT!$CK$55,Sprache!$B$79,Sprache!$B$78),
IF(ELEMENT!BC8&gt;0,CONCATENATE(" ",Sprache!$B$147),),": ",ROUND(ELEMENT!D8,0)," x ",ROUND(ELEMENT!E8,0),"mm "," ",
IF(OR(ELEMENT!$X$47=ELEMENT!$CS$65,ELEMENT!$X$47=ELEMENT!$CR$65),VZ!X12," "),"
"))</f>
        <v xml:space="preserve">o/a frame size: 0 x 0mm  
(0' 0" x 0' 0")
</v>
      </c>
      <c r="R12" t="str">
        <f>IF(ELEMENT!$AS8="","",CONCATENATE(ELEMENT!AR8,Sprache!$B$81,",","  "))</f>
        <v xml:space="preserve">2-tracks double glazed,  </v>
      </c>
      <c r="S12" t="str">
        <f>IF(ELEMENT!$D8="","",CONCATENATE(ELEMENT!Z8," ",Sprache!$B$84,"
"))</f>
        <v xml:space="preserve">0 # of panel
</v>
      </c>
      <c r="T12" t="str">
        <f>IF(OR(ELEMENT!$AS8="",ELEMENT!R8+ELEMENT!S8+ELEMENT!T8+ELEMENT!X8=0),"",
CONCATENATE(IF(ELEMENT!X8="",0,ELEMENT!X8)," ",Sprache!$B$11," ",Sprache!$B$85,",  "))</f>
        <v/>
      </c>
      <c r="U12" t="str">
        <f>IF(OR(ELEMENT!$AS8="",ELEMENT!R8+ELEMENT!S8+ELEMENT!T8+ELEMENT!X8=0),"",
CONCATENATE(SUM(ELEMENT!R8:S8)," ",Sprache!$B$11," ",IF(SUM(ELEMENT!R8:S8)&lt;2,Sprache!$B$69,Sprache!$B$70),"
"))</f>
        <v/>
      </c>
      <c r="V12" t="str">
        <f>IF(ELEMENT!X8=0,"",IF(ELEMENT!EK8&gt;ELEMENT!EJ8,Sprache!$B$99&amp;"
",""))</f>
        <v/>
      </c>
      <c r="W12" t="str">
        <f>IF(ELEMENT!G8=ELEMENT!$CK$59,CONCATENATE(Sprache!$B$123,"
"),IF(ELEMENT!G8=ELEMENT!$CL$59,CONCATENATE(Sprache!$B$124,"
"),""))</f>
        <v/>
      </c>
      <c r="X12" t="str">
        <f t="shared" si="0"/>
        <v xml:space="preserve">
(0' 0" x 0' 0")</v>
      </c>
      <c r="Y12">
        <f ca="1">IF(1=Sprache!$Z$1,
IF(ELEMENT!AC8="",,CONCATENATE(AD12,AE12,AF12,AG12,AI12,AJ12,AK12,Sprache!$B$87,":",LS,Z12,AH12)),
IF(ELEMENT!AC8="",,CONCATENATE(AD12,AE12,AF12,AG12,AI12,AJ12,AK12,Sprache!$B$87,":",LS,Z12,"
",AA12,LS,LS,AB12,"
",Sprache!$B$91," ",AC12,AH12)))</f>
        <v>0</v>
      </c>
      <c r="Z12">
        <f>ELEMENT!DP8</f>
        <v>0</v>
      </c>
      <c r="AA12" t="e">
        <f>ELEMENT!$CU$51&amp;LS&amp;ELEMENT!DR8&amp;LS&amp;$AA$7</f>
        <v>#N/A</v>
      </c>
      <c r="AB12" t="e">
        <f>ELEMENT!$CU$53&amp;"   "&amp;ELEMENT!DO8</f>
        <v>#N/A</v>
      </c>
      <c r="AC12" t="str">
        <f>ELEMENT!$B$47</f>
        <v>E6 EV1 (20my)</v>
      </c>
      <c r="AD12" t="str">
        <f>IF(ELEMENT!BB8=0,"",CONCATENATE(ELEMENT!BB8," ",Sprache!$B$12," ",Sprache!$B$98,"
"))</f>
        <v/>
      </c>
      <c r="AE12" t="str">
        <f>IF(ELEMENT!BA8=0,"",CONCATENATE(ELEMENT!BA8," ",Sprache!$B$71,"
"))</f>
        <v/>
      </c>
      <c r="AF12" t="str">
        <f>CONCATENATE(IF(ELEMENT!BD123=1,CONCATENATE(Sprache!$B$137," ",Sprache!$B$145,"
"),""),
IF(ELEMENT!BE123=1,CONCATENATE(Sprache!$B$137," ",Sprache!$B$146,"
"),""))</f>
        <v/>
      </c>
      <c r="AG12" t="str">
        <f>IF(ELEMENT!BD8=0,"",CONCATENATE(ELEMENT!BD8," ",Sprache!$B$11," ",Sprache!$B$138,"
"))</f>
        <v/>
      </c>
      <c r="AH12" t="str">
        <f>IF(ELEMENT!AX8="","",CONCATENATE("
",ELEMENT!AX8))</f>
        <v/>
      </c>
      <c r="AI12" t="str">
        <f>IF(ELEMENT!AP8=2,CONCATENATE(Sprache!$B$149,"
"),
IF(ELEMENT!AP8=1,CONCATENATE(Sprache!$B$148,"
"),""))</f>
        <v/>
      </c>
      <c r="AJ12" t="str">
        <f>IF(ELEMENT!AW8=ELEMENT!$CJ$73,"",IF(ELEMENT!AW8=ELEMENT!$CK$73,CONCATENATE(Sprache!$B$150,"
"),
IF(ELEMENT!AW8=ELEMENT!$CL$73,CONCATENATE(Sprache!$B$151,"
"),
IF(ELEMENT!AW8=ELEMENT!$CM$73,CONCATENATE(Sprache!$B$152,"
"),
IF(ELEMENT!AW8=ELEMENT!$CN$73,CONCATENATE(Sprache!$B$151,"
",Sprache!$B$152,"
"),"")))))</f>
        <v/>
      </c>
      <c r="AK12" t="str">
        <f>IF(ELEMENT!BA123=1,CONCATENATE(Sprache!$B$161,"
"),"")</f>
        <v/>
      </c>
      <c r="AO12" t="str">
        <f ca="1">IF(ELEMENT!$AG$48=TODAY(),CONCATENATE("
",Sprache!$B$126),"")</f>
        <v/>
      </c>
      <c r="AY12">
        <f>ELEMENT!D8/10</f>
        <v>0</v>
      </c>
      <c r="AZ12" t="str">
        <f>INT(AY12/2.54/12)&amp;"' "&amp;
IF(ROUND(MOD((MOD((AY12/2.54),12)*2.54),2.54)/2.54*16,0)=0,TEXT(INT((MOD((AY12/2.54),12)*2.54)/2.54),"0"),TEXT((MOD((AY12/2.54),12)*2.54)/2.54,"# ?/"&amp;INDEX({16;8;16;4;16;8;16;2;16;8;16;4;16;8;16},MOD(ROUND((MOD((AY12/2.54),12)*2.54)/2.54*16,0),16))))&amp;CHAR(34)&amp;""</f>
        <v>0' 0"</v>
      </c>
      <c r="BA12">
        <f>ELEMENT!E8/10</f>
        <v>0</v>
      </c>
      <c r="BB12" t="str">
        <f>INT(BA12/2.54/12)&amp;"' "&amp;
IF(ROUND(MOD((MOD((BA12/2.54),12)*2.54),2.54)/2.54*16,0)=0,TEXT(INT((MOD((BA12/2.54),12)*2.54)/2.54),"0"),TEXT((MOD((BA12/2.54),12)*2.54)/2.54,"# ?/"&amp;INDEX({16;8;16;4;16;8;16;2;16;8;16;4;16;8;16},MOD(ROUND((MOD((BA12/2.54),12)*2.54)/2.54*16,0),16))))&amp;CHAR(34)&amp;""</f>
        <v>0' 0"</v>
      </c>
    </row>
    <row r="13" spans="2:54" x14ac:dyDescent="0.2">
      <c r="B13">
        <f>IF(MONTAGE!B11="","",MONTAGE!B11)</f>
        <v>0</v>
      </c>
      <c r="C13" t="str">
        <f ca="1">CONCATENATE(IF(ELEMENT!D9="",ELEMENT!V9,IF(ELEMENT!AC9=0,"",
CONCATENATE(P13,Q13,R13,S13,T13,U13,V13,W13,Y13))))</f>
        <v>o/a frame size: 0 x 0mm  
(0' 0" x 0' 0")
2-tracks double glazed,  0 # of panel
0</v>
      </c>
      <c r="D13" t="str">
        <f>IF(MONTAGE!C11=0,Sprache!$B$86,SUM(MONTAGE!C11))</f>
        <v>per</v>
      </c>
      <c r="E13">
        <f ca="1">IF(ELEMENT!AW9="JA",ELEMENT!U9,SUM(MONTAGE!T11))</f>
        <v>0</v>
      </c>
      <c r="F13">
        <f ca="1">IF(ELEMENT!AW9="JA",IF(ELEMENT!C9=0,,ELEMENT!U9*ELEMENT!C9),SUM(MONTAGE!U11))</f>
        <v>0</v>
      </c>
      <c r="O13" t="e">
        <f ca="1">SUM(F13/ELEMENT!AA9)</f>
        <v>#DIV/0!</v>
      </c>
      <c r="P13" t="str">
        <f>IF(ELEMENT!A9="","",CONCATENATE(ELEMENT!A9,"
"))</f>
        <v/>
      </c>
      <c r="Q13" t="str">
        <f>IF(ELEMENT!$AS9="","",CONCATENATE(
IF(ELEMENT!$L$47=ELEMENT!$CK$55,Sprache!$B$79,Sprache!$B$78),
IF(ELEMENT!BC9&gt;0,CONCATENATE(" ",Sprache!$B$147),),": ",ROUND(ELEMENT!D9,0)," x ",ROUND(ELEMENT!E9,0),"mm "," ",
IF(OR(ELEMENT!$X$47=ELEMENT!$CS$65,ELEMENT!$X$47=ELEMENT!$CR$65),VZ!X13," "),"
"))</f>
        <v xml:space="preserve">o/a frame size: 0 x 0mm  
(0' 0" x 0' 0")
</v>
      </c>
      <c r="R13" t="str">
        <f>IF(ELEMENT!$AS9="","",CONCATENATE(ELEMENT!AR9,Sprache!$B$81,",","  "))</f>
        <v xml:space="preserve">2-tracks double glazed,  </v>
      </c>
      <c r="S13" t="str">
        <f>IF(ELEMENT!$D9="","",CONCATENATE(ELEMENT!Z9," ",Sprache!$B$84,"
"))</f>
        <v xml:space="preserve">0 # of panel
</v>
      </c>
      <c r="T13" t="str">
        <f>IF(OR(ELEMENT!$AS9="",ELEMENT!R9+ELEMENT!S9+ELEMENT!T9+ELEMENT!X9=0),"",
CONCATENATE(IF(ELEMENT!X9="",0,ELEMENT!X9)," ",Sprache!$B$11," ",Sprache!$B$85,",  "))</f>
        <v/>
      </c>
      <c r="U13" t="str">
        <f>IF(OR(ELEMENT!$AS9="",ELEMENT!R9+ELEMENT!S9+ELEMENT!T9+ELEMENT!X9=0),"",
CONCATENATE(SUM(ELEMENT!R9:S9)," ",Sprache!$B$11," ",IF(SUM(ELEMENT!R9:S9)&lt;2,Sprache!$B$69,Sprache!$B$70),"
"))</f>
        <v/>
      </c>
      <c r="V13" t="str">
        <f>IF(ELEMENT!X9=0,"",IF(ELEMENT!EK9&gt;ELEMENT!EJ9,Sprache!$B$99&amp;"
",""))</f>
        <v/>
      </c>
      <c r="W13" t="str">
        <f>IF(ELEMENT!G9=ELEMENT!$CK$59,CONCATENATE(Sprache!$B$123,"
"),IF(ELEMENT!G9=ELEMENT!$CL$59,CONCATENATE(Sprache!$B$124,"
"),""))</f>
        <v/>
      </c>
      <c r="X13" t="str">
        <f t="shared" si="0"/>
        <v xml:space="preserve">
(0' 0" x 0' 0")</v>
      </c>
      <c r="Y13">
        <f ca="1">IF(1=Sprache!$Z$1,
IF(ELEMENT!AC9="",,CONCATENATE(AD13,AE13,AF13,AG13,AI13,AJ13,AK13,Sprache!$B$87,":",LS,Z13,AH13)),
IF(ELEMENT!AC9="",,CONCATENATE(AD13,AE13,AF13,AG13,AI13,AJ13,AK13,Sprache!$B$87,":",LS,Z13,"
",AA13,LS,LS,AB13,"
",Sprache!$B$91," ",AC13,AH13)))</f>
        <v>0</v>
      </c>
      <c r="Z13">
        <f>ELEMENT!DP9</f>
        <v>0</v>
      </c>
      <c r="AA13" t="e">
        <f>ELEMENT!$CU$51&amp;LS&amp;ELEMENT!DR9&amp;LS&amp;$AA$7</f>
        <v>#N/A</v>
      </c>
      <c r="AB13" t="e">
        <f>ELEMENT!$CU$53&amp;"   "&amp;ELEMENT!DO9</f>
        <v>#N/A</v>
      </c>
      <c r="AC13" t="str">
        <f>ELEMENT!$B$47</f>
        <v>E6 EV1 (20my)</v>
      </c>
      <c r="AD13" t="str">
        <f>IF(ELEMENT!BB9=0,"",CONCATENATE(ELEMENT!BB9," ",Sprache!$B$12," ",Sprache!$B$98,"
"))</f>
        <v/>
      </c>
      <c r="AE13" t="str">
        <f>IF(ELEMENT!BA9=0,"",CONCATENATE(ELEMENT!BA9," ",Sprache!$B$71,"
"))</f>
        <v/>
      </c>
      <c r="AF13" t="str">
        <f>CONCATENATE(IF(ELEMENT!BD124=1,CONCATENATE(Sprache!$B$137," ",Sprache!$B$145,"
"),""),
IF(ELEMENT!BE124=1,CONCATENATE(Sprache!$B$137," ",Sprache!$B$146,"
"),""))</f>
        <v/>
      </c>
      <c r="AG13" t="str">
        <f>IF(ELEMENT!BD9=0,"",CONCATENATE(ELEMENT!BD9," ",Sprache!$B$11," ",Sprache!$B$138,"
"))</f>
        <v/>
      </c>
      <c r="AH13" t="str">
        <f>IF(ELEMENT!AX9="","",CONCATENATE("
",ELEMENT!AX9))</f>
        <v/>
      </c>
      <c r="AI13" t="str">
        <f>IF(ELEMENT!AP9=2,CONCATENATE(Sprache!$B$149,"
"),
IF(ELEMENT!AP9=1,CONCATENATE(Sprache!$B$148,"
"),""))</f>
        <v/>
      </c>
      <c r="AJ13" t="str">
        <f>IF(ELEMENT!AW9=ELEMENT!$CJ$73,"",IF(ELEMENT!AW9=ELEMENT!$CK$73,CONCATENATE(Sprache!$B$150,"
"),
IF(ELEMENT!AW9=ELEMENT!$CL$73,CONCATENATE(Sprache!$B$151,"
"),
IF(ELEMENT!AW9=ELEMENT!$CM$73,CONCATENATE(Sprache!$B$152,"
"),
IF(ELEMENT!AW9=ELEMENT!$CN$73,CONCATENATE(Sprache!$B$151,"
",Sprache!$B$152,"
"),"")))))</f>
        <v/>
      </c>
      <c r="AK13" t="str">
        <f>IF(ELEMENT!BA124=1,CONCATENATE(Sprache!$B$161,"
"),"")</f>
        <v/>
      </c>
      <c r="AO13" t="str">
        <f ca="1">IF(ELEMENT!$AG$48=TODAY(),CONCATENATE("
",Sprache!$B$126),"")</f>
        <v/>
      </c>
      <c r="AY13">
        <f>ELEMENT!D9/10</f>
        <v>0</v>
      </c>
      <c r="AZ13" t="str">
        <f>INT(AY13/2.54/12)&amp;"' "&amp;
IF(ROUND(MOD((MOD((AY13/2.54),12)*2.54),2.54)/2.54*16,0)=0,TEXT(INT((MOD((AY13/2.54),12)*2.54)/2.54),"0"),TEXT((MOD((AY13/2.54),12)*2.54)/2.54,"# ?/"&amp;INDEX({16;8;16;4;16;8;16;2;16;8;16;4;16;8;16},MOD(ROUND((MOD((AY13/2.54),12)*2.54)/2.54*16,0),16))))&amp;CHAR(34)&amp;""</f>
        <v>0' 0"</v>
      </c>
      <c r="BA13">
        <f>ELEMENT!E9/10</f>
        <v>0</v>
      </c>
      <c r="BB13" t="str">
        <f>INT(BA13/2.54/12)&amp;"' "&amp;
IF(ROUND(MOD((MOD((BA13/2.54),12)*2.54),2.54)/2.54*16,0)=0,TEXT(INT((MOD((BA13/2.54),12)*2.54)/2.54),"0"),TEXT((MOD((BA13/2.54),12)*2.54)/2.54,"# ?/"&amp;INDEX({16;8;16;4;16;8;16;2;16;8;16;4;16;8;16},MOD(ROUND((MOD((BA13/2.54),12)*2.54)/2.54*16,0),16))))&amp;CHAR(34)&amp;""</f>
        <v>0' 0"</v>
      </c>
    </row>
    <row r="14" spans="2:54" x14ac:dyDescent="0.2">
      <c r="B14">
        <f>IF(MONTAGE!B12="","",MONTAGE!B12)</f>
        <v>0</v>
      </c>
      <c r="C14" t="str">
        <f ca="1">CONCATENATE(IF(ELEMENT!D10="",ELEMENT!V10,IF(ELEMENT!AC10=0,"",
CONCATENATE(P14,Q14,R14,S14,T14,U14,V14,W14,Y14))))</f>
        <v>o/a frame size: 0 x 0mm  
(0' 0" x 0' 0")
2-tracks double glazed,  0 # of panel
0</v>
      </c>
      <c r="D14" t="str">
        <f>IF(MONTAGE!C12=0,Sprache!$B$86,SUM(MONTAGE!C12))</f>
        <v>per</v>
      </c>
      <c r="E14">
        <f ca="1">IF(ELEMENT!AW10="JA",ELEMENT!U10,SUM(MONTAGE!T12))</f>
        <v>0</v>
      </c>
      <c r="F14">
        <f ca="1">IF(ELEMENT!AW10="JA",IF(ELEMENT!C10=0,,ELEMENT!U10*ELEMENT!C10),SUM(MONTAGE!U12))</f>
        <v>0</v>
      </c>
      <c r="O14" t="e">
        <f ca="1">SUM(F14/ELEMENT!AA10)</f>
        <v>#DIV/0!</v>
      </c>
      <c r="P14" t="str">
        <f>IF(ELEMENT!A10="","",CONCATENATE(ELEMENT!A10,"
"))</f>
        <v/>
      </c>
      <c r="Q14" t="str">
        <f>IF(ELEMENT!$AS10="","",CONCATENATE(
IF(ELEMENT!$L$47=ELEMENT!$CK$55,Sprache!$B$79,Sprache!$B$78),
IF(ELEMENT!BC10&gt;0,CONCATENATE(" ",Sprache!$B$147),),": ",ROUND(ELEMENT!D10,0)," x ",ROUND(ELEMENT!E10,0),"mm "," ",
IF(OR(ELEMENT!$X$47=ELEMENT!$CS$65,ELEMENT!$X$47=ELEMENT!$CR$65),VZ!X14," "),"
"))</f>
        <v xml:space="preserve">o/a frame size: 0 x 0mm  
(0' 0" x 0' 0")
</v>
      </c>
      <c r="R14" t="str">
        <f>IF(ELEMENT!$AS10="","",CONCATENATE(ELEMENT!AR10,Sprache!$B$81,",","  "))</f>
        <v xml:space="preserve">2-tracks double glazed,  </v>
      </c>
      <c r="S14" t="str">
        <f>IF(ELEMENT!$D10="","",CONCATENATE(ELEMENT!Z10," ",Sprache!$B$84,"
"))</f>
        <v xml:space="preserve">0 # of panel
</v>
      </c>
      <c r="T14" t="str">
        <f>IF(OR(ELEMENT!$AS10="",ELEMENT!R10+ELEMENT!S10+ELEMENT!T10+ELEMENT!X10=0),"",
CONCATENATE(IF(ELEMENT!X10="",0,ELEMENT!X10)," ",Sprache!$B$11," ",Sprache!$B$85,",  "))</f>
        <v/>
      </c>
      <c r="U14" t="str">
        <f>IF(OR(ELEMENT!$AS10="",ELEMENT!R10+ELEMENT!S10+ELEMENT!T10+ELEMENT!X10=0),"",
CONCATENATE(SUM(ELEMENT!R10:S10)," ",Sprache!$B$11," ",IF(SUM(ELEMENT!R10:S10)&lt;2,Sprache!$B$69,Sprache!$B$70),"
"))</f>
        <v/>
      </c>
      <c r="V14" t="str">
        <f>IF(ELEMENT!X10=0,"",IF(ELEMENT!EK10&gt;ELEMENT!EJ10,Sprache!$B$99&amp;"
",""))</f>
        <v/>
      </c>
      <c r="W14" t="str">
        <f>IF(ELEMENT!G10=ELEMENT!$CK$59,CONCATENATE(Sprache!$B$123,"
"),IF(ELEMENT!G10=ELEMENT!$CL$59,CONCATENATE(Sprache!$B$124,"
"),""))</f>
        <v/>
      </c>
      <c r="X14" t="str">
        <f t="shared" si="0"/>
        <v xml:space="preserve">
(0' 0" x 0' 0")</v>
      </c>
      <c r="Y14">
        <f ca="1">IF(1=Sprache!$Z$1,
IF(ELEMENT!AC10="",,CONCATENATE(AD14,AE14,AF14,AG14,AI14,AJ14,AK14,Sprache!$B$87,":",LS,Z14,AH14)),
IF(ELEMENT!AC10="",,CONCATENATE(AD14,AE14,AF14,AG14,AI14,AJ14,AK14,Sprache!$B$87,":",LS,Z14,"
",AA14,LS,LS,AB14,"
",Sprache!$B$91," ",AC14,AH14)))</f>
        <v>0</v>
      </c>
      <c r="Z14">
        <f>ELEMENT!DP10</f>
        <v>0</v>
      </c>
      <c r="AA14" t="e">
        <f>ELEMENT!$CU$51&amp;LS&amp;ELEMENT!DR10&amp;LS&amp;$AA$7</f>
        <v>#N/A</v>
      </c>
      <c r="AB14" t="e">
        <f>ELEMENT!$CU$53&amp;"   "&amp;ELEMENT!DO10</f>
        <v>#N/A</v>
      </c>
      <c r="AC14" t="str">
        <f>ELEMENT!$B$47</f>
        <v>E6 EV1 (20my)</v>
      </c>
      <c r="AD14" t="str">
        <f>IF(ELEMENT!BB10=0,"",CONCATENATE(ELEMENT!BB10," ",Sprache!$B$12," ",Sprache!$B$98,"
"))</f>
        <v/>
      </c>
      <c r="AE14" t="str">
        <f>IF(ELEMENT!BA10=0,"",CONCATENATE(ELEMENT!BA10," ",Sprache!$B$71,"
"))</f>
        <v/>
      </c>
      <c r="AF14" t="str">
        <f>CONCATENATE(IF(ELEMENT!BD125=1,CONCATENATE(Sprache!$B$137," ",Sprache!$B$145,"
"),""),
IF(ELEMENT!BE125=1,CONCATENATE(Sprache!$B$137," ",Sprache!$B$146,"
"),""))</f>
        <v/>
      </c>
      <c r="AG14" t="str">
        <f>IF(ELEMENT!BD10=0,"",CONCATENATE(ELEMENT!BD10," ",Sprache!$B$11," ",Sprache!$B$138,"
"))</f>
        <v/>
      </c>
      <c r="AH14" t="str">
        <f>IF(ELEMENT!AX10="","",CONCATENATE("
",ELEMENT!AX10))</f>
        <v/>
      </c>
      <c r="AI14" t="str">
        <f>IF(ELEMENT!AP10=2,CONCATENATE(Sprache!$B$149,"
"),
IF(ELEMENT!AP10=1,CONCATENATE(Sprache!$B$148,"
"),""))</f>
        <v/>
      </c>
      <c r="AJ14" t="str">
        <f>IF(ELEMENT!AW10=ELEMENT!$CJ$73,"",IF(ELEMENT!AW10=ELEMENT!$CK$73,CONCATENATE(Sprache!$B$150,"
"),
IF(ELEMENT!AW10=ELEMENT!$CL$73,CONCATENATE(Sprache!$B$151,"
"),
IF(ELEMENT!AW10=ELEMENT!$CM$73,CONCATENATE(Sprache!$B$152,"
"),
IF(ELEMENT!AW10=ELEMENT!$CN$73,CONCATENATE(Sprache!$B$151,"
",Sprache!$B$152,"
"),"")))))</f>
        <v/>
      </c>
      <c r="AK14" t="str">
        <f>IF(ELEMENT!BA125=1,CONCATENATE(Sprache!$B$161,"
"),"")</f>
        <v/>
      </c>
      <c r="AO14" t="str">
        <f ca="1">IF(ELEMENT!$AG$48=TODAY(),CONCATENATE("
",Sprache!$B$126),"")</f>
        <v/>
      </c>
      <c r="AY14">
        <f>ELEMENT!D10/10</f>
        <v>0</v>
      </c>
      <c r="AZ14" t="str">
        <f>INT(AY14/2.54/12)&amp;"' "&amp;
IF(ROUND(MOD((MOD((AY14/2.54),12)*2.54),2.54)/2.54*16,0)=0,TEXT(INT((MOD((AY14/2.54),12)*2.54)/2.54),"0"),TEXT((MOD((AY14/2.54),12)*2.54)/2.54,"# ?/"&amp;INDEX({16;8;16;4;16;8;16;2;16;8;16;4;16;8;16},MOD(ROUND((MOD((AY14/2.54),12)*2.54)/2.54*16,0),16))))&amp;CHAR(34)&amp;""</f>
        <v>0' 0"</v>
      </c>
      <c r="BA14">
        <f>ELEMENT!E10/10</f>
        <v>0</v>
      </c>
      <c r="BB14" t="str">
        <f>INT(BA14/2.54/12)&amp;"' "&amp;
IF(ROUND(MOD((MOD((BA14/2.54),12)*2.54),2.54)/2.54*16,0)=0,TEXT(INT((MOD((BA14/2.54),12)*2.54)/2.54),"0"),TEXT((MOD((BA14/2.54),12)*2.54)/2.54,"# ?/"&amp;INDEX({16;8;16;4;16;8;16;2;16;8;16;4;16;8;16},MOD(ROUND((MOD((BA14/2.54),12)*2.54)/2.54*16,0),16))))&amp;CHAR(34)&amp;""</f>
        <v>0' 0"</v>
      </c>
    </row>
    <row r="15" spans="2:54" x14ac:dyDescent="0.2">
      <c r="B15">
        <f>IF(MONTAGE!B13="","",MONTAGE!B13)</f>
        <v>0</v>
      </c>
      <c r="C15" t="str">
        <f ca="1">CONCATENATE(IF(ELEMENT!D11="",ELEMENT!V11,IF(ELEMENT!AC11=0,"",
CONCATENATE(P15,Q15,R15,S15,T15,U15,V15,W15,Y15))))</f>
        <v>o/a frame size: 0 x 0mm  
(0' 0" x 0' 0")
2-tracks double glazed,  0 # of panel
0</v>
      </c>
      <c r="D15" t="str">
        <f>IF(MONTAGE!C13=0,Sprache!$B$86,SUM(MONTAGE!C13))</f>
        <v>per</v>
      </c>
      <c r="E15">
        <f ca="1">IF(ELEMENT!AW11="JA",ELEMENT!U11,SUM(MONTAGE!T13))</f>
        <v>0</v>
      </c>
      <c r="F15">
        <f ca="1">IF(ELEMENT!AW11="JA",IF(ELEMENT!C11=0,,ELEMENT!U11*ELEMENT!C11),SUM(MONTAGE!U13))</f>
        <v>0</v>
      </c>
      <c r="O15" t="e">
        <f ca="1">SUM(F15/ELEMENT!AA11)</f>
        <v>#DIV/0!</v>
      </c>
      <c r="P15" t="str">
        <f>IF(ELEMENT!A11="","",CONCATENATE(ELEMENT!A11,"
"))</f>
        <v/>
      </c>
      <c r="Q15" t="str">
        <f>IF(ELEMENT!$AS11="","",CONCATENATE(
IF(ELEMENT!$L$47=ELEMENT!$CK$55,Sprache!$B$79,Sprache!$B$78),
IF(ELEMENT!BC11&gt;0,CONCATENATE(" ",Sprache!$B$147),),": ",ROUND(ELEMENT!D11,0)," x ",ROUND(ELEMENT!E11,0),"mm "," ",
IF(OR(ELEMENT!$X$47=ELEMENT!$CS$65,ELEMENT!$X$47=ELEMENT!$CR$65),VZ!X15," "),"
"))</f>
        <v xml:space="preserve">o/a frame size: 0 x 0mm  
(0' 0" x 0' 0")
</v>
      </c>
      <c r="R15" t="str">
        <f>IF(ELEMENT!$AS11="","",CONCATENATE(ELEMENT!AR11,Sprache!$B$81,",","  "))</f>
        <v xml:space="preserve">2-tracks double glazed,  </v>
      </c>
      <c r="S15" t="str">
        <f>IF(ELEMENT!$D11="","",CONCATENATE(ELEMENT!Z11," ",Sprache!$B$84,"
"))</f>
        <v xml:space="preserve">0 # of panel
</v>
      </c>
      <c r="T15" t="str">
        <f>IF(OR(ELEMENT!$AS11="",ELEMENT!R11+ELEMENT!S11+ELEMENT!T11+ELEMENT!X11=0),"",
CONCATENATE(IF(ELEMENT!X11="",0,ELEMENT!X11)," ",Sprache!$B$11," ",Sprache!$B$85,",  "))</f>
        <v/>
      </c>
      <c r="U15" t="str">
        <f>IF(OR(ELEMENT!$AS11="",ELEMENT!R11+ELEMENT!S11+ELEMENT!T11+ELEMENT!X11=0),"",
CONCATENATE(SUM(ELEMENT!R11:S11)," ",Sprache!$B$11," ",IF(SUM(ELEMENT!R11:S11)&lt;2,Sprache!$B$69,Sprache!$B$70),"
"))</f>
        <v/>
      </c>
      <c r="V15" t="str">
        <f>IF(ELEMENT!X11=0,"",IF(ELEMENT!EK11&gt;ELEMENT!EJ11,Sprache!$B$99&amp;"
",""))</f>
        <v/>
      </c>
      <c r="W15" t="str">
        <f>IF(ELEMENT!G11=ELEMENT!$CK$59,CONCATENATE(Sprache!$B$123,"
"),IF(ELEMENT!G11=ELEMENT!$CL$59,CONCATENATE(Sprache!$B$124,"
"),""))</f>
        <v/>
      </c>
      <c r="X15" t="str">
        <f t="shared" si="0"/>
        <v xml:space="preserve">
(0' 0" x 0' 0")</v>
      </c>
      <c r="Y15">
        <f ca="1">IF(1=Sprache!$Z$1,
IF(ELEMENT!AC11="",,CONCATENATE(AD15,AE15,AF15,AG15,AI15,AJ15,AK15,Sprache!$B$87,":",LS,Z15,AH15)),
IF(ELEMENT!AC11="",,CONCATENATE(AD15,AE15,AF15,AG15,AI15,AJ15,AK15,Sprache!$B$87,":",LS,Z15,"
",AA15,LS,LS,AB15,"
",Sprache!$B$91," ",AC15,AH15)))</f>
        <v>0</v>
      </c>
      <c r="Z15">
        <f>ELEMENT!DP11</f>
        <v>0</v>
      </c>
      <c r="AA15" t="e">
        <f>ELEMENT!$CU$51&amp;LS&amp;ELEMENT!DR11&amp;LS&amp;$AA$7</f>
        <v>#N/A</v>
      </c>
      <c r="AB15" t="e">
        <f>ELEMENT!$CU$53&amp;"   "&amp;ELEMENT!DO11</f>
        <v>#N/A</v>
      </c>
      <c r="AC15" t="str">
        <f>ELEMENT!$B$47</f>
        <v>E6 EV1 (20my)</v>
      </c>
      <c r="AD15" t="str">
        <f>IF(ELEMENT!BB11=0,"",CONCATENATE(ELEMENT!BB11," ",Sprache!$B$12," ",Sprache!$B$98,"
"))</f>
        <v/>
      </c>
      <c r="AE15" t="str">
        <f>IF(ELEMENT!BA11=0,"",CONCATENATE(ELEMENT!BA11," ",Sprache!$B$71,"
"))</f>
        <v/>
      </c>
      <c r="AF15" t="str">
        <f>CONCATENATE(IF(ELEMENT!BD126=1,CONCATENATE(Sprache!$B$137," ",Sprache!$B$145,"
"),""),
IF(ELEMENT!BE126=1,CONCATENATE(Sprache!$B$137," ",Sprache!$B$146,"
"),""))</f>
        <v/>
      </c>
      <c r="AG15" t="str">
        <f>IF(ELEMENT!BD11=0,"",CONCATENATE(ELEMENT!BD11," ",Sprache!$B$11," ",Sprache!$B$138,"
"))</f>
        <v/>
      </c>
      <c r="AH15" t="str">
        <f>IF(ELEMENT!AX11="","",CONCATENATE("
",ELEMENT!AX11))</f>
        <v/>
      </c>
      <c r="AI15" t="str">
        <f>IF(ELEMENT!AP11=2,CONCATENATE(Sprache!$B$149,"
"),
IF(ELEMENT!AP11=1,CONCATENATE(Sprache!$B$148,"
"),""))</f>
        <v/>
      </c>
      <c r="AJ15" t="str">
        <f>IF(ELEMENT!AW11=ELEMENT!$CJ$73,"",IF(ELEMENT!AW11=ELEMENT!$CK$73,CONCATENATE(Sprache!$B$150,"
"),
IF(ELEMENT!AW11=ELEMENT!$CL$73,CONCATENATE(Sprache!$B$151,"
"),
IF(ELEMENT!AW11=ELEMENT!$CM$73,CONCATENATE(Sprache!$B$152,"
"),
IF(ELEMENT!AW11=ELEMENT!$CN$73,CONCATENATE(Sprache!$B$151,"
",Sprache!$B$152,"
"),"")))))</f>
        <v/>
      </c>
      <c r="AK15" t="str">
        <f>IF(ELEMENT!BA126=1,CONCATENATE(Sprache!$B$161,"
"),"")</f>
        <v/>
      </c>
      <c r="AO15" t="str">
        <f ca="1">IF(ELEMENT!$AG$48=TODAY(),CONCATENATE("
",Sprache!$B$126),"")</f>
        <v/>
      </c>
      <c r="AY15">
        <f>ELEMENT!D11/10</f>
        <v>0</v>
      </c>
      <c r="AZ15" t="str">
        <f>INT(AY15/2.54/12)&amp;"' "&amp;
IF(ROUND(MOD((MOD((AY15/2.54),12)*2.54),2.54)/2.54*16,0)=0,TEXT(INT((MOD((AY15/2.54),12)*2.54)/2.54),"0"),TEXT((MOD((AY15/2.54),12)*2.54)/2.54,"# ?/"&amp;INDEX({16;8;16;4;16;8;16;2;16;8;16;4;16;8;16},MOD(ROUND((MOD((AY15/2.54),12)*2.54)/2.54*16,0),16))))&amp;CHAR(34)&amp;""</f>
        <v>0' 0"</v>
      </c>
      <c r="BA15">
        <f>ELEMENT!E11/10</f>
        <v>0</v>
      </c>
      <c r="BB15" t="str">
        <f>INT(BA15/2.54/12)&amp;"' "&amp;
IF(ROUND(MOD((MOD((BA15/2.54),12)*2.54),2.54)/2.54*16,0)=0,TEXT(INT((MOD((BA15/2.54),12)*2.54)/2.54),"0"),TEXT((MOD((BA15/2.54),12)*2.54)/2.54,"# ?/"&amp;INDEX({16;8;16;4;16;8;16;2;16;8;16;4;16;8;16},MOD(ROUND((MOD((BA15/2.54),12)*2.54)/2.54*16,0),16))))&amp;CHAR(34)&amp;""</f>
        <v>0' 0"</v>
      </c>
    </row>
    <row r="16" spans="2:54" x14ac:dyDescent="0.2">
      <c r="B16">
        <f>IF(MONTAGE!B14="","",MONTAGE!B14)</f>
        <v>0</v>
      </c>
      <c r="C16" t="str">
        <f ca="1">CONCATENATE(IF(ELEMENT!D12="",ELEMENT!V12,IF(ELEMENT!AC12=0,"",
CONCATENATE(P16,Q16,R16,S16,T16,U16,V16,W16,Y16))))</f>
        <v>o/a frame size: 0 x 0mm  
(0' 0" x 0' 0")
2-tracks double glazed,  0 # of panel
0</v>
      </c>
      <c r="D16" t="str">
        <f>IF(MONTAGE!C14=0,Sprache!$B$86,SUM(MONTAGE!C14))</f>
        <v>per</v>
      </c>
      <c r="E16">
        <f ca="1">IF(ELEMENT!AW12="JA",ELEMENT!U12,SUM(MONTAGE!T14))</f>
        <v>0</v>
      </c>
      <c r="F16">
        <f ca="1">IF(ELEMENT!AW12="JA",IF(ELEMENT!C12=0,,ELEMENT!U12*ELEMENT!C12),SUM(MONTAGE!U14))</f>
        <v>0</v>
      </c>
      <c r="O16" t="e">
        <f ca="1">SUM(F16/ELEMENT!AA12)</f>
        <v>#DIV/0!</v>
      </c>
      <c r="P16" t="str">
        <f>IF(ELEMENT!A12="","",CONCATENATE(ELEMENT!A12,"
"))</f>
        <v/>
      </c>
      <c r="Q16" t="str">
        <f>IF(ELEMENT!$AS12="","",CONCATENATE(
IF(ELEMENT!$L$47=ELEMENT!$CK$55,Sprache!$B$79,Sprache!$B$78),
IF(ELEMENT!BC12&gt;0,CONCATENATE(" ",Sprache!$B$147),),": ",ROUND(ELEMENT!D12,0)," x ",ROUND(ELEMENT!E12,0),"mm "," ",
IF(OR(ELEMENT!$X$47=ELEMENT!$CS$65,ELEMENT!$X$47=ELEMENT!$CR$65),VZ!X16," "),"
"))</f>
        <v xml:space="preserve">o/a frame size: 0 x 0mm  
(0' 0" x 0' 0")
</v>
      </c>
      <c r="R16" t="str">
        <f>IF(ELEMENT!$AS12="","",CONCATENATE(ELEMENT!AR12,Sprache!$B$81,",","  "))</f>
        <v xml:space="preserve">2-tracks double glazed,  </v>
      </c>
      <c r="S16" t="str">
        <f>IF(ELEMENT!$D12="","",CONCATENATE(ELEMENT!Z12," ",Sprache!$B$84,"
"))</f>
        <v xml:space="preserve">0 # of panel
</v>
      </c>
      <c r="T16" t="str">
        <f>IF(OR(ELEMENT!$AS12="",ELEMENT!R12+ELEMENT!S12+ELEMENT!T12+ELEMENT!X12=0),"",
CONCATENATE(IF(ELEMENT!X12="",0,ELEMENT!X12)," ",Sprache!$B$11," ",Sprache!$B$85,",  "))</f>
        <v/>
      </c>
      <c r="U16" t="str">
        <f>IF(OR(ELEMENT!$AS12="",ELEMENT!R12+ELEMENT!S12+ELEMENT!T12+ELEMENT!X12=0),"",
CONCATENATE(SUM(ELEMENT!R12:S12)," ",Sprache!$B$11," ",IF(SUM(ELEMENT!R12:S12)&lt;2,Sprache!$B$69,Sprache!$B$70),"
"))</f>
        <v/>
      </c>
      <c r="V16" t="str">
        <f>IF(ELEMENT!X12=0,"",IF(ELEMENT!EK12&gt;ELEMENT!EJ12,Sprache!$B$99&amp;"
",""))</f>
        <v/>
      </c>
      <c r="W16" t="str">
        <f>IF(ELEMENT!G12=ELEMENT!$CK$59,CONCATENATE(Sprache!$B$123,"
"),IF(ELEMENT!G12=ELEMENT!$CL$59,CONCATENATE(Sprache!$B$124,"
"),""))</f>
        <v/>
      </c>
      <c r="X16" t="str">
        <f t="shared" si="0"/>
        <v xml:space="preserve">
(0' 0" x 0' 0")</v>
      </c>
      <c r="Y16">
        <f ca="1">IF(1=Sprache!$Z$1,
IF(ELEMENT!AC12="",,CONCATENATE(AD16,AE16,AF16,AG16,AI16,AJ16,AK16,Sprache!$B$87,":",LS,Z16,AH16)),
IF(ELEMENT!AC12="",,CONCATENATE(AD16,AE16,AF16,AG16,AI16,AJ16,AK16,Sprache!$B$87,":",LS,Z16,"
",AA16,LS,LS,AB16,"
",Sprache!$B$91," ",AC16,AH16)))</f>
        <v>0</v>
      </c>
      <c r="Z16">
        <f>ELEMENT!DP12</f>
        <v>0</v>
      </c>
      <c r="AA16" t="e">
        <f>ELEMENT!$CU$51&amp;LS&amp;ELEMENT!DR12&amp;LS&amp;$AA$7</f>
        <v>#N/A</v>
      </c>
      <c r="AB16" t="e">
        <f>ELEMENT!$CU$53&amp;"   "&amp;ELEMENT!DO12</f>
        <v>#N/A</v>
      </c>
      <c r="AC16" t="str">
        <f>ELEMENT!$B$47</f>
        <v>E6 EV1 (20my)</v>
      </c>
      <c r="AD16" t="str">
        <f>IF(ELEMENT!BB12=0,"",CONCATENATE(ELEMENT!BB12," ",Sprache!$B$12," ",Sprache!$B$98,"
"))</f>
        <v/>
      </c>
      <c r="AE16" t="str">
        <f>IF(ELEMENT!BA12=0,"",CONCATENATE(ELEMENT!BA12," ",Sprache!$B$71,"
"))</f>
        <v/>
      </c>
      <c r="AF16" t="str">
        <f>CONCATENATE(IF(ELEMENT!BD127=1,CONCATENATE(Sprache!$B$137," ",Sprache!$B$145,"
"),""),
IF(ELEMENT!BE127=1,CONCATENATE(Sprache!$B$137," ",Sprache!$B$146,"
"),""))</f>
        <v/>
      </c>
      <c r="AG16" t="str">
        <f>IF(ELEMENT!BD12=0,"",CONCATENATE(ELEMENT!BD12," ",Sprache!$B$11," ",Sprache!$B$138,"
"))</f>
        <v/>
      </c>
      <c r="AH16" t="str">
        <f>IF(ELEMENT!AX12="","",CONCATENATE("
",ELEMENT!AX12))</f>
        <v/>
      </c>
      <c r="AI16" t="str">
        <f>IF(ELEMENT!AP12=2,CONCATENATE(Sprache!$B$149,"
"),
IF(ELEMENT!AP12=1,CONCATENATE(Sprache!$B$148,"
"),""))</f>
        <v/>
      </c>
      <c r="AJ16" t="str">
        <f>IF(ELEMENT!AW12=ELEMENT!$CJ$73,"",IF(ELEMENT!AW12=ELEMENT!$CK$73,CONCATENATE(Sprache!$B$150,"
"),
IF(ELEMENT!AW12=ELEMENT!$CL$73,CONCATENATE(Sprache!$B$151,"
"),
IF(ELEMENT!AW12=ELEMENT!$CM$73,CONCATENATE(Sprache!$B$152,"
"),
IF(ELEMENT!AW12=ELEMENT!$CN$73,CONCATENATE(Sprache!$B$151,"
",Sprache!$B$152,"
"),"")))))</f>
        <v/>
      </c>
      <c r="AK16" t="str">
        <f>IF(ELEMENT!BA127=1,CONCATENATE(Sprache!$B$161,"
"),"")</f>
        <v/>
      </c>
      <c r="AO16" t="str">
        <f ca="1">IF(ELEMENT!$AG$48=TODAY(),CONCATENATE("
",Sprache!$B$126),"")</f>
        <v/>
      </c>
      <c r="AY16">
        <f>ELEMENT!D12/10</f>
        <v>0</v>
      </c>
      <c r="AZ16" t="str">
        <f>INT(AY16/2.54/12)&amp;"' "&amp;
IF(ROUND(MOD((MOD((AY16/2.54),12)*2.54),2.54)/2.54*16,0)=0,TEXT(INT((MOD((AY16/2.54),12)*2.54)/2.54),"0"),TEXT((MOD((AY16/2.54),12)*2.54)/2.54,"# ?/"&amp;INDEX({16;8;16;4;16;8;16;2;16;8;16;4;16;8;16},MOD(ROUND((MOD((AY16/2.54),12)*2.54)/2.54*16,0),16))))&amp;CHAR(34)&amp;""</f>
        <v>0' 0"</v>
      </c>
      <c r="BA16">
        <f>ELEMENT!E12/10</f>
        <v>0</v>
      </c>
      <c r="BB16" t="str">
        <f>INT(BA16/2.54/12)&amp;"' "&amp;
IF(ROUND(MOD((MOD((BA16/2.54),12)*2.54),2.54)/2.54*16,0)=0,TEXT(INT((MOD((BA16/2.54),12)*2.54)/2.54),"0"),TEXT((MOD((BA16/2.54),12)*2.54)/2.54,"# ?/"&amp;INDEX({16;8;16;4;16;8;16;2;16;8;16;4;16;8;16},MOD(ROUND((MOD((BA16/2.54),12)*2.54)/2.54*16,0),16))))&amp;CHAR(34)&amp;""</f>
        <v>0' 0"</v>
      </c>
    </row>
    <row r="17" spans="2:54" x14ac:dyDescent="0.2">
      <c r="B17">
        <f>IF(MONTAGE!B15="","",MONTAGE!B15)</f>
        <v>0</v>
      </c>
      <c r="C17" t="str">
        <f ca="1">CONCATENATE(IF(ELEMENT!D13="",ELEMENT!V13,IF(ELEMENT!AC13=0,"",
CONCATENATE(P17,Q17,R17,S17,T17,U17,V17,W17,Y17))))</f>
        <v>o/a frame size: 0 x 0mm  
(0' 0" x 0' 0")
2-tracks double glazed,  0 # of panel
0</v>
      </c>
      <c r="D17" t="str">
        <f>IF(MONTAGE!C15=0,Sprache!$B$86,SUM(MONTAGE!C15))</f>
        <v>per</v>
      </c>
      <c r="E17">
        <f ca="1">IF(ELEMENT!AW13="JA",ELEMENT!U13,SUM(MONTAGE!T15))</f>
        <v>0</v>
      </c>
      <c r="F17">
        <f ca="1">IF(ELEMENT!AW13="JA",IF(ELEMENT!C13=0,,ELEMENT!U13*ELEMENT!C13),SUM(MONTAGE!U15))</f>
        <v>0</v>
      </c>
      <c r="O17" t="e">
        <f ca="1">SUM(F17/ELEMENT!AA13)</f>
        <v>#DIV/0!</v>
      </c>
      <c r="P17" t="str">
        <f>IF(ELEMENT!A13="","",CONCATENATE(ELEMENT!A13,"
"))</f>
        <v/>
      </c>
      <c r="Q17" t="str">
        <f>IF(ELEMENT!$AS13="","",CONCATENATE(
IF(ELEMENT!$L$47=ELEMENT!$CK$55,Sprache!$B$79,Sprache!$B$78),
IF(ELEMENT!BC13&gt;0,CONCATENATE(" ",Sprache!$B$147),),": ",ROUND(ELEMENT!D13,0)," x ",ROUND(ELEMENT!E13,0),"mm "," ",
IF(OR(ELEMENT!$X$47=ELEMENT!$CS$65,ELEMENT!$X$47=ELEMENT!$CR$65),VZ!X17," "),"
"))</f>
        <v xml:space="preserve">o/a frame size: 0 x 0mm  
(0' 0" x 0' 0")
</v>
      </c>
      <c r="R17" t="str">
        <f>IF(ELEMENT!$AS13="","",CONCATENATE(ELEMENT!AR13,Sprache!$B$81,",","  "))</f>
        <v xml:space="preserve">2-tracks double glazed,  </v>
      </c>
      <c r="S17" t="str">
        <f>IF(ELEMENT!$D13="","",CONCATENATE(ELEMENT!Z13," ",Sprache!$B$84,"
"))</f>
        <v xml:space="preserve">0 # of panel
</v>
      </c>
      <c r="T17" t="str">
        <f>IF(OR(ELEMENT!$AS13="",ELEMENT!R13+ELEMENT!S13+ELEMENT!T13+ELEMENT!X13=0),"",
CONCATENATE(IF(ELEMENT!X13="",0,ELEMENT!X13)," ",Sprache!$B$11," ",Sprache!$B$85,",  "))</f>
        <v/>
      </c>
      <c r="U17" t="str">
        <f>IF(OR(ELEMENT!$AS13="",ELEMENT!R13+ELEMENT!S13+ELEMENT!T13+ELEMENT!X13=0),"",
CONCATENATE(SUM(ELEMENT!R13:S13)," ",Sprache!$B$11," ",IF(SUM(ELEMENT!R13:S13)&lt;2,Sprache!$B$69,Sprache!$B$70),"
"))</f>
        <v/>
      </c>
      <c r="V17" t="str">
        <f>IF(ELEMENT!X13=0,"",IF(ELEMENT!EK13&gt;ELEMENT!EJ13,Sprache!$B$99&amp;"
",""))</f>
        <v/>
      </c>
      <c r="W17" t="str">
        <f>IF(ELEMENT!G13=ELEMENT!$CK$59,CONCATENATE(Sprache!$B$123,"
"),IF(ELEMENT!G13=ELEMENT!$CL$59,CONCATENATE(Sprache!$B$124,"
"),""))</f>
        <v/>
      </c>
      <c r="X17" t="str">
        <f t="shared" si="0"/>
        <v xml:space="preserve">
(0' 0" x 0' 0")</v>
      </c>
      <c r="Y17">
        <f ca="1">IF(1=Sprache!$Z$1,
IF(ELEMENT!AC13="",,CONCATENATE(AD17,AE17,AF17,AG17,AI17,AJ17,AK17,Sprache!$B$87,":",LS,Z17,AH17)),
IF(ELEMENT!AC13="",,CONCATENATE(AD17,AE17,AF17,AG17,AI17,AJ17,AK17,Sprache!$B$87,":",LS,Z17,"
",AA17,LS,LS,AB17,"
",Sprache!$B$91," ",AC17,AH17)))</f>
        <v>0</v>
      </c>
      <c r="Z17">
        <f>ELEMENT!DP13</f>
        <v>0</v>
      </c>
      <c r="AA17" t="e">
        <f>ELEMENT!$CU$51&amp;LS&amp;ELEMENT!DR13&amp;LS&amp;$AA$7</f>
        <v>#N/A</v>
      </c>
      <c r="AB17" t="e">
        <f>ELEMENT!$CU$53&amp;"   "&amp;ELEMENT!DO13</f>
        <v>#N/A</v>
      </c>
      <c r="AC17" t="str">
        <f>ELEMENT!$B$47</f>
        <v>E6 EV1 (20my)</v>
      </c>
      <c r="AD17" t="str">
        <f>IF(ELEMENT!BB13=0,"",CONCATENATE(ELEMENT!BB13," ",Sprache!$B$12," ",Sprache!$B$98,"
"))</f>
        <v/>
      </c>
      <c r="AE17" t="str">
        <f>IF(ELEMENT!BA13=0,"",CONCATENATE(ELEMENT!BA13," ",Sprache!$B$71,"
"))</f>
        <v/>
      </c>
      <c r="AF17" t="str">
        <f>CONCATENATE(IF(ELEMENT!BD128=1,CONCATENATE(Sprache!$B$137," ",Sprache!$B$145,"
"),""),
IF(ELEMENT!BE128=1,CONCATENATE(Sprache!$B$137," ",Sprache!$B$146,"
"),""))</f>
        <v/>
      </c>
      <c r="AG17" t="str">
        <f>IF(ELEMENT!BD13=0,"",CONCATENATE(ELEMENT!BD13," ",Sprache!$B$11," ",Sprache!$B$138,"
"))</f>
        <v/>
      </c>
      <c r="AH17" t="str">
        <f>IF(ELEMENT!AX13="","",CONCATENATE("
",ELEMENT!AX13))</f>
        <v/>
      </c>
      <c r="AI17" t="str">
        <f>IF(ELEMENT!AP13=2,CONCATENATE(Sprache!$B$149,"
"),
IF(ELEMENT!AP13=1,CONCATENATE(Sprache!$B$148,"
"),""))</f>
        <v/>
      </c>
      <c r="AJ17" t="str">
        <f>IF(ELEMENT!AW13=ELEMENT!$CJ$73,"",IF(ELEMENT!AW13=ELEMENT!$CK$73,CONCATENATE(Sprache!$B$150,"
"),
IF(ELEMENT!AW13=ELEMENT!$CL$73,CONCATENATE(Sprache!$B$151,"
"),
IF(ELEMENT!AW13=ELEMENT!$CM$73,CONCATENATE(Sprache!$B$152,"
"),
IF(ELEMENT!AW13=ELEMENT!$CN$73,CONCATENATE(Sprache!$B$151,"
",Sprache!$B$152,"
"),"")))))</f>
        <v/>
      </c>
      <c r="AK17" t="str">
        <f>IF(ELEMENT!BA128=1,CONCATENATE(Sprache!$B$161,"
"),"")</f>
        <v/>
      </c>
      <c r="AO17" t="str">
        <f ca="1">IF(ELEMENT!$AG$48=TODAY(),CONCATENATE("
",Sprache!$B$126),"")</f>
        <v/>
      </c>
      <c r="AY17">
        <f>ELEMENT!D13/10</f>
        <v>0</v>
      </c>
      <c r="AZ17" t="str">
        <f>INT(AY17/2.54/12)&amp;"' "&amp;
IF(ROUND(MOD((MOD((AY17/2.54),12)*2.54),2.54)/2.54*16,0)=0,TEXT(INT((MOD((AY17/2.54),12)*2.54)/2.54),"0"),TEXT((MOD((AY17/2.54),12)*2.54)/2.54,"# ?/"&amp;INDEX({16;8;16;4;16;8;16;2;16;8;16;4;16;8;16},MOD(ROUND((MOD((AY17/2.54),12)*2.54)/2.54*16,0),16))))&amp;CHAR(34)&amp;""</f>
        <v>0' 0"</v>
      </c>
      <c r="BA17">
        <f>ELEMENT!E13/10</f>
        <v>0</v>
      </c>
      <c r="BB17" t="str">
        <f>INT(BA17/2.54/12)&amp;"' "&amp;
IF(ROUND(MOD((MOD((BA17/2.54),12)*2.54),2.54)/2.54*16,0)=0,TEXT(INT((MOD((BA17/2.54),12)*2.54)/2.54),"0"),TEXT((MOD((BA17/2.54),12)*2.54)/2.54,"# ?/"&amp;INDEX({16;8;16;4;16;8;16;2;16;8;16;4;16;8;16},MOD(ROUND((MOD((BA17/2.54),12)*2.54)/2.54*16,0),16))))&amp;CHAR(34)&amp;""</f>
        <v>0' 0"</v>
      </c>
    </row>
    <row r="18" spans="2:54" x14ac:dyDescent="0.2">
      <c r="B18">
        <f>IF(MONTAGE!B16="","",MONTAGE!B16)</f>
        <v>0</v>
      </c>
      <c r="C18" t="str">
        <f ca="1">CONCATENATE(IF(ELEMENT!D14="",ELEMENT!V14,IF(ELEMENT!AC14=0,"",
CONCATENATE(P18,Q18,R18,S18,T18,U18,V18,W18,Y18))))</f>
        <v>o/a frame size: 0 x 0mm  
(0' 0" x 0' 0")
2-tracks double glazed,  0 # of panel
0</v>
      </c>
      <c r="D18" t="str">
        <f>IF(MONTAGE!C16=0,Sprache!$B$86,SUM(MONTAGE!C16))</f>
        <v>per</v>
      </c>
      <c r="E18">
        <f ca="1">IF(ELEMENT!AW14="JA",ELEMENT!U14,SUM(MONTAGE!T16))</f>
        <v>0</v>
      </c>
      <c r="F18">
        <f ca="1">IF(ELEMENT!AW14="JA",IF(ELEMENT!C14=0,,ELEMENT!U14*ELEMENT!C14),SUM(MONTAGE!U16))</f>
        <v>0</v>
      </c>
      <c r="O18" t="e">
        <f ca="1">SUM(F18/ELEMENT!AA14)</f>
        <v>#DIV/0!</v>
      </c>
      <c r="P18" t="str">
        <f>IF(ELEMENT!A14="","",CONCATENATE(ELEMENT!A14,"
"))</f>
        <v/>
      </c>
      <c r="Q18" t="str">
        <f>IF(ELEMENT!$AS14="","",CONCATENATE(
IF(ELEMENT!$L$47=ELEMENT!$CK$55,Sprache!$B$79,Sprache!$B$78),
IF(ELEMENT!BC14&gt;0,CONCATENATE(" ",Sprache!$B$147),),": ",ROUND(ELEMENT!D14,0)," x ",ROUND(ELEMENT!E14,0),"mm "," ",
IF(OR(ELEMENT!$X$47=ELEMENT!$CS$65,ELEMENT!$X$47=ELEMENT!$CR$65),VZ!X18," "),"
"))</f>
        <v xml:space="preserve">o/a frame size: 0 x 0mm  
(0' 0" x 0' 0")
</v>
      </c>
      <c r="R18" t="str">
        <f>IF(ELEMENT!$AS14="","",CONCATENATE(ELEMENT!AR14,Sprache!$B$81,",","  "))</f>
        <v xml:space="preserve">2-tracks double glazed,  </v>
      </c>
      <c r="S18" t="str">
        <f>IF(ELEMENT!$D14="","",CONCATENATE(ELEMENT!Z14," ",Sprache!$B$84,"
"))</f>
        <v xml:space="preserve">0 # of panel
</v>
      </c>
      <c r="T18" t="str">
        <f>IF(OR(ELEMENT!$AS14="",ELEMENT!R14+ELEMENT!S14+ELEMENT!T14+ELEMENT!X14=0),"",
CONCATENATE(IF(ELEMENT!X14="",0,ELEMENT!X14)," ",Sprache!$B$11," ",Sprache!$B$85,",  "))</f>
        <v/>
      </c>
      <c r="U18" t="str">
        <f>IF(OR(ELEMENT!$AS14="",ELEMENT!R14+ELEMENT!S14+ELEMENT!T14+ELEMENT!X14=0),"",
CONCATENATE(SUM(ELEMENT!R14:S14)," ",Sprache!$B$11," ",IF(SUM(ELEMENT!R14:S14)&lt;2,Sprache!$B$69,Sprache!$B$70),"
"))</f>
        <v/>
      </c>
      <c r="V18" t="str">
        <f>IF(ELEMENT!X14=0,"",IF(ELEMENT!EK14&gt;ELEMENT!EJ14,Sprache!$B$99&amp;"
",""))</f>
        <v/>
      </c>
      <c r="W18" t="str">
        <f>IF(ELEMENT!G14=ELEMENT!$CK$59,CONCATENATE(Sprache!$B$123,"
"),IF(ELEMENT!G14=ELEMENT!$CL$59,CONCATENATE(Sprache!$B$124,"
"),""))</f>
        <v/>
      </c>
      <c r="X18" t="str">
        <f t="shared" si="0"/>
        <v xml:space="preserve">
(0' 0" x 0' 0")</v>
      </c>
      <c r="Y18">
        <f ca="1">IF(1=Sprache!$Z$1,
IF(ELEMENT!AC14="",,CONCATENATE(AD18,AE18,AF18,AG18,AI18,AJ18,AK18,Sprache!$B$87,":",LS,Z18,AH18)),
IF(ELEMENT!AC14="",,CONCATENATE(AD18,AE18,AF18,AG18,AI18,AJ18,AK18,Sprache!$B$87,":",LS,Z18,"
",AA18,LS,LS,AB18,"
",Sprache!$B$91," ",AC18,AH18)))</f>
        <v>0</v>
      </c>
      <c r="Z18">
        <f>ELEMENT!DP14</f>
        <v>0</v>
      </c>
      <c r="AA18" t="e">
        <f>ELEMENT!$CU$51&amp;LS&amp;ELEMENT!DR14&amp;LS&amp;$AA$7</f>
        <v>#N/A</v>
      </c>
      <c r="AB18" t="e">
        <f>ELEMENT!$CU$53&amp;"   "&amp;ELEMENT!DO14</f>
        <v>#N/A</v>
      </c>
      <c r="AC18" t="str">
        <f>ELEMENT!$B$47</f>
        <v>E6 EV1 (20my)</v>
      </c>
      <c r="AD18" t="str">
        <f>IF(ELEMENT!BB14=0,"",CONCATENATE(ELEMENT!BB14," ",Sprache!$B$12," ",Sprache!$B$98,"
"))</f>
        <v/>
      </c>
      <c r="AE18" t="str">
        <f>IF(ELEMENT!BA14=0,"",CONCATENATE(ELEMENT!BA14," ",Sprache!$B$71,"
"))</f>
        <v/>
      </c>
      <c r="AF18" t="str">
        <f>CONCATENATE(IF(ELEMENT!BD129=1,CONCATENATE(Sprache!$B$137," ",Sprache!$B$145,"
"),""),
IF(ELEMENT!BE129=1,CONCATENATE(Sprache!$B$137," ",Sprache!$B$146,"
"),""))</f>
        <v/>
      </c>
      <c r="AG18" t="str">
        <f>IF(ELEMENT!BD14=0,"",CONCATENATE(ELEMENT!BD14," ",Sprache!$B$11," ",Sprache!$B$138,"
"))</f>
        <v/>
      </c>
      <c r="AH18" t="str">
        <f>IF(ELEMENT!AX14="","",CONCATENATE("
",ELEMENT!AX14))</f>
        <v/>
      </c>
      <c r="AI18" t="str">
        <f>IF(ELEMENT!AP14=2,CONCATENATE(Sprache!$B$149,"
"),
IF(ELEMENT!AP14=1,CONCATENATE(Sprache!$B$148,"
"),""))</f>
        <v/>
      </c>
      <c r="AJ18" t="str">
        <f>IF(ELEMENT!AW14=ELEMENT!$CJ$73,"",IF(ELEMENT!AW14=ELEMENT!$CK$73,CONCATENATE(Sprache!$B$150,"
"),
IF(ELEMENT!AW14=ELEMENT!$CL$73,CONCATENATE(Sprache!$B$151,"
"),
IF(ELEMENT!AW14=ELEMENT!$CM$73,CONCATENATE(Sprache!$B$152,"
"),
IF(ELEMENT!AW14=ELEMENT!$CN$73,CONCATENATE(Sprache!$B$151,"
",Sprache!$B$152,"
"),"")))))</f>
        <v/>
      </c>
      <c r="AK18" t="str">
        <f>IF(ELEMENT!BA129=1,CONCATENATE(Sprache!$B$161,"
"),"")</f>
        <v/>
      </c>
      <c r="AO18" t="str">
        <f ca="1">IF(ELEMENT!$AG$48=TODAY(),CONCATENATE("
",Sprache!$B$126),"")</f>
        <v/>
      </c>
      <c r="AY18">
        <f>ELEMENT!D14/10</f>
        <v>0</v>
      </c>
      <c r="AZ18" t="str">
        <f>INT(AY18/2.54/12)&amp;"' "&amp;
IF(ROUND(MOD((MOD((AY18/2.54),12)*2.54),2.54)/2.54*16,0)=0,TEXT(INT((MOD((AY18/2.54),12)*2.54)/2.54),"0"),TEXT((MOD((AY18/2.54),12)*2.54)/2.54,"# ?/"&amp;INDEX({16;8;16;4;16;8;16;2;16;8;16;4;16;8;16},MOD(ROUND((MOD((AY18/2.54),12)*2.54)/2.54*16,0),16))))&amp;CHAR(34)&amp;""</f>
        <v>0' 0"</v>
      </c>
      <c r="BA18">
        <f>ELEMENT!E14/10</f>
        <v>0</v>
      </c>
      <c r="BB18" t="str">
        <f>INT(BA18/2.54/12)&amp;"' "&amp;
IF(ROUND(MOD((MOD((BA18/2.54),12)*2.54),2.54)/2.54*16,0)=0,TEXT(INT((MOD((BA18/2.54),12)*2.54)/2.54),"0"),TEXT((MOD((BA18/2.54),12)*2.54)/2.54,"# ?/"&amp;INDEX({16;8;16;4;16;8;16;2;16;8;16;4;16;8;16},MOD(ROUND((MOD((BA18/2.54),12)*2.54)/2.54*16,0),16))))&amp;CHAR(34)&amp;""</f>
        <v>0' 0"</v>
      </c>
    </row>
    <row r="19" spans="2:54" x14ac:dyDescent="0.2">
      <c r="B19">
        <f>IF(MONTAGE!B17="","",MONTAGE!B17)</f>
        <v>0</v>
      </c>
      <c r="C19" t="str">
        <f ca="1">CONCATENATE(IF(ELEMENT!D15="",ELEMENT!V15,IF(ELEMENT!AC15=0,"",
CONCATENATE(P19,Q19,R19,S19,T19,U19,V19,W19,Y19))))</f>
        <v>o/a frame size: 0 x 0mm  
(0' 0" x 0' 0")
2-tracks double glazed,  0 # of panel
0</v>
      </c>
      <c r="D19" t="str">
        <f>IF(MONTAGE!C17=0,Sprache!$B$86,SUM(MONTAGE!C17))</f>
        <v>per</v>
      </c>
      <c r="E19">
        <f ca="1">IF(ELEMENT!AW15="JA",ELEMENT!U15,SUM(MONTAGE!T17))</f>
        <v>0</v>
      </c>
      <c r="F19">
        <f ca="1">IF(ELEMENT!AW15="JA",IF(ELEMENT!C15=0,,ELEMENT!U15*ELEMENT!C15),SUM(MONTAGE!U17))</f>
        <v>0</v>
      </c>
      <c r="O19" t="e">
        <f ca="1">SUM(F19/ELEMENT!AA15)</f>
        <v>#DIV/0!</v>
      </c>
      <c r="P19" t="str">
        <f>IF(ELEMENT!A15="","",CONCATENATE(ELEMENT!A15,"
"))</f>
        <v/>
      </c>
      <c r="Q19" t="str">
        <f>IF(ELEMENT!$AS15="","",CONCATENATE(
IF(ELEMENT!$L$47=ELEMENT!$CK$55,Sprache!$B$79,Sprache!$B$78),
IF(ELEMENT!BC15&gt;0,CONCATENATE(" ",Sprache!$B$147),),": ",ROUND(ELEMENT!D15,0)," x ",ROUND(ELEMENT!E15,0),"mm "," ",
IF(OR(ELEMENT!$X$47=ELEMENT!$CS$65,ELEMENT!$X$47=ELEMENT!$CR$65),VZ!X19," "),"
"))</f>
        <v xml:space="preserve">o/a frame size: 0 x 0mm  
(0' 0" x 0' 0")
</v>
      </c>
      <c r="R19" t="str">
        <f>IF(ELEMENT!$AS15="","",CONCATENATE(ELEMENT!AR15,Sprache!$B$81,",","  "))</f>
        <v xml:space="preserve">2-tracks double glazed,  </v>
      </c>
      <c r="S19" t="str">
        <f>IF(ELEMENT!$D15="","",CONCATENATE(ELEMENT!Z15," ",Sprache!$B$84,"
"))</f>
        <v xml:space="preserve">0 # of panel
</v>
      </c>
      <c r="T19" t="str">
        <f>IF(OR(ELEMENT!$AS15="",ELEMENT!R15+ELEMENT!S15+ELEMENT!T15+ELEMENT!X15=0),"",
CONCATENATE(IF(ELEMENT!X15="",0,ELEMENT!X15)," ",Sprache!$B$11," ",Sprache!$B$85,",  "))</f>
        <v/>
      </c>
      <c r="U19" t="str">
        <f>IF(OR(ELEMENT!$AS15="",ELEMENT!R15+ELEMENT!S15+ELEMENT!T15+ELEMENT!X15=0),"",
CONCATENATE(SUM(ELEMENT!R15:S15)," ",Sprache!$B$11," ",IF(SUM(ELEMENT!R15:S15)&lt;2,Sprache!$B$69,Sprache!$B$70),"
"))</f>
        <v/>
      </c>
      <c r="V19" t="str">
        <f>IF(ELEMENT!X15=0,"",IF(ELEMENT!EK15&gt;ELEMENT!EJ15,Sprache!$B$99&amp;"
",""))</f>
        <v/>
      </c>
      <c r="W19" t="str">
        <f>IF(ELEMENT!G15=ELEMENT!$CK$59,CONCATENATE(Sprache!$B$123,"
"),IF(ELEMENT!G15=ELEMENT!$CL$59,CONCATENATE(Sprache!$B$124,"
"),""))</f>
        <v/>
      </c>
      <c r="X19" t="str">
        <f t="shared" si="0"/>
        <v xml:space="preserve">
(0' 0" x 0' 0")</v>
      </c>
      <c r="Y19">
        <f ca="1">IF(1=Sprache!$Z$1,
IF(ELEMENT!AC15="",,CONCATENATE(AD19,AE19,AF19,AG19,AI19,AJ19,AK19,Sprache!$B$87,":",LS,Z19,AH19)),
IF(ELEMENT!AC15="",,CONCATENATE(AD19,AE19,AF19,AG19,AI19,AJ19,AK19,Sprache!$B$87,":",LS,Z19,"
",AA19,LS,LS,AB19,"
",Sprache!$B$91," ",AC19,AH19)))</f>
        <v>0</v>
      </c>
      <c r="Z19">
        <f>ELEMENT!DP15</f>
        <v>0</v>
      </c>
      <c r="AA19" t="e">
        <f>ELEMENT!$CU$51&amp;LS&amp;ELEMENT!DR15&amp;LS&amp;$AA$7</f>
        <v>#N/A</v>
      </c>
      <c r="AB19" t="e">
        <f>ELEMENT!$CU$53&amp;"   "&amp;ELEMENT!DO15</f>
        <v>#N/A</v>
      </c>
      <c r="AC19" t="str">
        <f>ELEMENT!$B$47</f>
        <v>E6 EV1 (20my)</v>
      </c>
      <c r="AD19" t="str">
        <f>IF(ELEMENT!BB15=0,"",CONCATENATE(ELEMENT!BB15," ",Sprache!$B$12," ",Sprache!$B$98,"
"))</f>
        <v/>
      </c>
      <c r="AE19" t="str">
        <f>IF(ELEMENT!BA15=0,"",CONCATENATE(ELEMENT!BA15," ",Sprache!$B$71,"
"))</f>
        <v/>
      </c>
      <c r="AF19" t="str">
        <f>CONCATENATE(IF(ELEMENT!BD130=1,CONCATENATE(Sprache!$B$137," ",Sprache!$B$145,"
"),""),
IF(ELEMENT!BE130=1,CONCATENATE(Sprache!$B$137," ",Sprache!$B$146,"
"),""))</f>
        <v/>
      </c>
      <c r="AG19" t="str">
        <f>IF(ELEMENT!BD15=0,"",CONCATENATE(ELEMENT!BD15," ",Sprache!$B$11," ",Sprache!$B$138,"
"))</f>
        <v/>
      </c>
      <c r="AH19" t="str">
        <f>IF(ELEMENT!AX15="","",CONCATENATE("
",ELEMENT!AX15))</f>
        <v/>
      </c>
      <c r="AI19" t="str">
        <f>IF(ELEMENT!AP15=2,CONCATENATE(Sprache!$B$149,"
"),
IF(ELEMENT!AP15=1,CONCATENATE(Sprache!$B$148,"
"),""))</f>
        <v/>
      </c>
      <c r="AJ19" t="str">
        <f>IF(ELEMENT!AW15=ELEMENT!$CJ$73,"",IF(ELEMENT!AW15=ELEMENT!$CK$73,CONCATENATE(Sprache!$B$150,"
"),
IF(ELEMENT!AW15=ELEMENT!$CL$73,CONCATENATE(Sprache!$B$151,"
"),
IF(ELEMENT!AW15=ELEMENT!$CM$73,CONCATENATE(Sprache!$B$152,"
"),
IF(ELEMENT!AW15=ELEMENT!$CN$73,CONCATENATE(Sprache!$B$151,"
",Sprache!$B$152,"
"),"")))))</f>
        <v/>
      </c>
      <c r="AK19" t="str">
        <f>IF(ELEMENT!BA130=1,CONCATENATE(Sprache!$B$161,"
"),"")</f>
        <v/>
      </c>
      <c r="AO19" t="str">
        <f ca="1">IF(ELEMENT!$AG$48=TODAY(),CONCATENATE("
",Sprache!$B$126),"")</f>
        <v/>
      </c>
      <c r="AY19">
        <f>ELEMENT!D15/10</f>
        <v>0</v>
      </c>
      <c r="AZ19" t="str">
        <f>INT(AY19/2.54/12)&amp;"' "&amp;
IF(ROUND(MOD((MOD((AY19/2.54),12)*2.54),2.54)/2.54*16,0)=0,TEXT(INT((MOD((AY19/2.54),12)*2.54)/2.54),"0"),TEXT((MOD((AY19/2.54),12)*2.54)/2.54,"# ?/"&amp;INDEX({16;8;16;4;16;8;16;2;16;8;16;4;16;8;16},MOD(ROUND((MOD((AY19/2.54),12)*2.54)/2.54*16,0),16))))&amp;CHAR(34)&amp;""</f>
        <v>0' 0"</v>
      </c>
      <c r="BA19">
        <f>ELEMENT!E15/10</f>
        <v>0</v>
      </c>
      <c r="BB19" t="str">
        <f>INT(BA19/2.54/12)&amp;"' "&amp;
IF(ROUND(MOD((MOD((BA19/2.54),12)*2.54),2.54)/2.54*16,0)=0,TEXT(INT((MOD((BA19/2.54),12)*2.54)/2.54),"0"),TEXT((MOD((BA19/2.54),12)*2.54)/2.54,"# ?/"&amp;INDEX({16;8;16;4;16;8;16;2;16;8;16;4;16;8;16},MOD(ROUND((MOD((BA19/2.54),12)*2.54)/2.54*16,0),16))))&amp;CHAR(34)&amp;""</f>
        <v>0' 0"</v>
      </c>
    </row>
    <row r="20" spans="2:54" x14ac:dyDescent="0.2">
      <c r="B20">
        <f>IF(MONTAGE!B18="","",MONTAGE!B18)</f>
        <v>0</v>
      </c>
      <c r="C20" t="str">
        <f ca="1">CONCATENATE(IF(ELEMENT!D16="",ELEMENT!V16,IF(ELEMENT!AC16=0,"",
CONCATENATE(P20,Q20,R20,S20,T20,U20,V20,W20,Y20))))</f>
        <v>o/a frame size: 0 x 0mm  
(0' 0" x 0' 0")
2-tracks double glazed,  0 # of panel
0</v>
      </c>
      <c r="D20" t="str">
        <f>IF(MONTAGE!C18=0,Sprache!$B$86,SUM(MONTAGE!C18))</f>
        <v>per</v>
      </c>
      <c r="E20">
        <f ca="1">IF(ELEMENT!AW16="JA",ELEMENT!U16,SUM(MONTAGE!T18))</f>
        <v>0</v>
      </c>
      <c r="F20">
        <f ca="1">IF(ELEMENT!AW16="JA",IF(ELEMENT!C16=0,,ELEMENT!U16*ELEMENT!C16),SUM(MONTAGE!U18))</f>
        <v>0</v>
      </c>
      <c r="O20" t="e">
        <f ca="1">SUM(F20/ELEMENT!AA16)</f>
        <v>#DIV/0!</v>
      </c>
      <c r="P20" t="str">
        <f>IF(ELEMENT!A16="","",CONCATENATE(ELEMENT!A16,"
"))</f>
        <v/>
      </c>
      <c r="Q20" t="str">
        <f>IF(ELEMENT!$AS16="","",CONCATENATE(
IF(ELEMENT!$L$47=ELEMENT!$CK$55,Sprache!$B$79,Sprache!$B$78),
IF(ELEMENT!BC16&gt;0,CONCATENATE(" ",Sprache!$B$147),),": ",ROUND(ELEMENT!D16,0)," x ",ROUND(ELEMENT!E16,0),"mm "," ",
IF(OR(ELEMENT!$X$47=ELEMENT!$CS$65,ELEMENT!$X$47=ELEMENT!$CR$65),VZ!X20," "),"
"))</f>
        <v xml:space="preserve">o/a frame size: 0 x 0mm  
(0' 0" x 0' 0")
</v>
      </c>
      <c r="R20" t="str">
        <f>IF(ELEMENT!$AS16="","",CONCATENATE(ELEMENT!AR16,Sprache!$B$81,",","  "))</f>
        <v xml:space="preserve">2-tracks double glazed,  </v>
      </c>
      <c r="S20" t="str">
        <f>IF(ELEMENT!$D16="","",CONCATENATE(ELEMENT!Z16," ",Sprache!$B$84,"
"))</f>
        <v xml:space="preserve">0 # of panel
</v>
      </c>
      <c r="T20" t="str">
        <f>IF(OR(ELEMENT!$AS16="",ELEMENT!R16+ELEMENT!S16+ELEMENT!T16+ELEMENT!X16=0),"",
CONCATENATE(IF(ELEMENT!X16="",0,ELEMENT!X16)," ",Sprache!$B$11," ",Sprache!$B$85,",  "))</f>
        <v/>
      </c>
      <c r="U20" t="str">
        <f>IF(OR(ELEMENT!$AS16="",ELEMENT!R16+ELEMENT!S16+ELEMENT!T16+ELEMENT!X16=0),"",
CONCATENATE(SUM(ELEMENT!R16:S16)," ",Sprache!$B$11," ",IF(SUM(ELEMENT!R16:S16)&lt;2,Sprache!$B$69,Sprache!$B$70),"
"))</f>
        <v/>
      </c>
      <c r="V20" t="str">
        <f>IF(ELEMENT!X16=0,"",IF(ELEMENT!EK16&gt;ELEMENT!EJ16,Sprache!$B$99&amp;"
",""))</f>
        <v/>
      </c>
      <c r="W20" t="str">
        <f>IF(ELEMENT!G16=ELEMENT!$CK$59,CONCATENATE(Sprache!$B$123,"
"),IF(ELEMENT!G16=ELEMENT!$CL$59,CONCATENATE(Sprache!$B$124,"
"),""))</f>
        <v/>
      </c>
      <c r="X20" t="str">
        <f t="shared" si="0"/>
        <v xml:space="preserve">
(0' 0" x 0' 0")</v>
      </c>
      <c r="Y20">
        <f ca="1">IF(1=Sprache!$Z$1,
IF(ELEMENT!AC16="",,CONCATENATE(AD20,AE20,AF20,AG20,AI20,AJ20,AK20,Sprache!$B$87,":",LS,Z20,AH20)),
IF(ELEMENT!AC16="",,CONCATENATE(AD20,AE20,AF20,AG20,AI20,AJ20,AK20,Sprache!$B$87,":",LS,Z20,"
",AA20,LS,LS,AB20,"
",Sprache!$B$91," ",AC20,AH20)))</f>
        <v>0</v>
      </c>
      <c r="Z20">
        <f>ELEMENT!DP16</f>
        <v>0</v>
      </c>
      <c r="AA20" t="e">
        <f>ELEMENT!$CU$51&amp;LS&amp;ELEMENT!DR16&amp;LS&amp;$AA$7</f>
        <v>#N/A</v>
      </c>
      <c r="AB20" t="e">
        <f>ELEMENT!$CU$53&amp;"   "&amp;ELEMENT!DO16</f>
        <v>#N/A</v>
      </c>
      <c r="AC20" t="str">
        <f>ELEMENT!$B$47</f>
        <v>E6 EV1 (20my)</v>
      </c>
      <c r="AD20" t="str">
        <f>IF(ELEMENT!BB16=0,"",CONCATENATE(ELEMENT!BB16," ",Sprache!$B$12," ",Sprache!$B$98,"
"))</f>
        <v/>
      </c>
      <c r="AE20" t="str">
        <f>IF(ELEMENT!BA16=0,"",CONCATENATE(ELEMENT!BA16," ",Sprache!$B$71,"
"))</f>
        <v/>
      </c>
      <c r="AF20" t="str">
        <f>CONCATENATE(IF(ELEMENT!BD131=1,CONCATENATE(Sprache!$B$137," ",Sprache!$B$145,"
"),""),
IF(ELEMENT!BE131=1,CONCATENATE(Sprache!$B$137," ",Sprache!$B$146,"
"),""))</f>
        <v/>
      </c>
      <c r="AG20" t="str">
        <f>IF(ELEMENT!BD16=0,"",CONCATENATE(ELEMENT!BD16," ",Sprache!$B$11," ",Sprache!$B$138,"
"))</f>
        <v/>
      </c>
      <c r="AH20" t="str">
        <f>IF(ELEMENT!AX16="","",CONCATENATE("
",ELEMENT!AX16))</f>
        <v/>
      </c>
      <c r="AI20" t="str">
        <f>IF(ELEMENT!AP16=2,CONCATENATE(Sprache!$B$149,"
"),
IF(ELEMENT!AP16=1,CONCATENATE(Sprache!$B$148,"
"),""))</f>
        <v/>
      </c>
      <c r="AJ20" t="str">
        <f>IF(ELEMENT!AW16=ELEMENT!$CJ$73,"",IF(ELEMENT!AW16=ELEMENT!$CK$73,CONCATENATE(Sprache!$B$150,"
"),
IF(ELEMENT!AW16=ELEMENT!$CL$73,CONCATENATE(Sprache!$B$151,"
"),
IF(ELEMENT!AW16=ELEMENT!$CM$73,CONCATENATE(Sprache!$B$152,"
"),
IF(ELEMENT!AW16=ELEMENT!$CN$73,CONCATENATE(Sprache!$B$151,"
",Sprache!$B$152,"
"),"")))))</f>
        <v/>
      </c>
      <c r="AK20" t="str">
        <f>IF(ELEMENT!BA131=1,CONCATENATE(Sprache!$B$161,"
"),"")</f>
        <v/>
      </c>
      <c r="AO20" t="str">
        <f ca="1">IF(ELEMENT!$AG$48=TODAY(),CONCATENATE("
",Sprache!$B$126),"")</f>
        <v/>
      </c>
      <c r="AY20">
        <f>ELEMENT!D16/10</f>
        <v>0</v>
      </c>
      <c r="AZ20" t="str">
        <f>INT(AY20/2.54/12)&amp;"' "&amp;
IF(ROUND(MOD((MOD((AY20/2.54),12)*2.54),2.54)/2.54*16,0)=0,TEXT(INT((MOD((AY20/2.54),12)*2.54)/2.54),"0"),TEXT((MOD((AY20/2.54),12)*2.54)/2.54,"# ?/"&amp;INDEX({16;8;16;4;16;8;16;2;16;8;16;4;16;8;16},MOD(ROUND((MOD((AY20/2.54),12)*2.54)/2.54*16,0),16))))&amp;CHAR(34)&amp;""</f>
        <v>0' 0"</v>
      </c>
      <c r="BA20">
        <f>ELEMENT!E16/10</f>
        <v>0</v>
      </c>
      <c r="BB20" t="str">
        <f>INT(BA20/2.54/12)&amp;"' "&amp;
IF(ROUND(MOD((MOD((BA20/2.54),12)*2.54),2.54)/2.54*16,0)=0,TEXT(INT((MOD((BA20/2.54),12)*2.54)/2.54),"0"),TEXT((MOD((BA20/2.54),12)*2.54)/2.54,"# ?/"&amp;INDEX({16;8;16;4;16;8;16;2;16;8;16;4;16;8;16},MOD(ROUND((MOD((BA20/2.54),12)*2.54)/2.54*16,0),16))))&amp;CHAR(34)&amp;""</f>
        <v>0' 0"</v>
      </c>
    </row>
    <row r="21" spans="2:54" x14ac:dyDescent="0.2">
      <c r="B21">
        <f>IF(MONTAGE!B19="","",MONTAGE!B19)</f>
        <v>0</v>
      </c>
      <c r="C21" t="str">
        <f ca="1">CONCATENATE(IF(ELEMENT!D17="",ELEMENT!V17,IF(ELEMENT!AC17=0,"",
CONCATENATE(P21,Q21,R21,S21,T21,U21,V21,W21,Y21))))</f>
        <v>o/a frame size: 0 x 0mm  
(0' 0" x 0' 0")
2-tracks double glazed,  0 # of panel
0</v>
      </c>
      <c r="D21" t="str">
        <f>IF(MONTAGE!C19=0,Sprache!$B$86,SUM(MONTAGE!C19))</f>
        <v>per</v>
      </c>
      <c r="E21">
        <f ca="1">IF(ELEMENT!AW17="JA",ELEMENT!U17,SUM(MONTAGE!T19))</f>
        <v>0</v>
      </c>
      <c r="F21">
        <f ca="1">IF(ELEMENT!AW17="JA",IF(ELEMENT!C17=0,,ELEMENT!U17*ELEMENT!C17),SUM(MONTAGE!U19))</f>
        <v>0</v>
      </c>
      <c r="O21" t="e">
        <f ca="1">SUM(F21/ELEMENT!AA17)</f>
        <v>#DIV/0!</v>
      </c>
      <c r="P21" t="str">
        <f>IF(ELEMENT!A17="","",CONCATENATE(ELEMENT!A17,"
"))</f>
        <v/>
      </c>
      <c r="Q21" t="str">
        <f>IF(ELEMENT!$AS17="","",CONCATENATE(
IF(ELEMENT!$L$47=ELEMENT!$CK$55,Sprache!$B$79,Sprache!$B$78),
IF(ELEMENT!BC17&gt;0,CONCATENATE(" ",Sprache!$B$147),),": ",ROUND(ELEMENT!D17,0)," x ",ROUND(ELEMENT!E17,0),"mm "," ",
IF(OR(ELEMENT!$X$47=ELEMENT!$CS$65,ELEMENT!$X$47=ELEMENT!$CR$65),VZ!X21," "),"
"))</f>
        <v xml:space="preserve">o/a frame size: 0 x 0mm  
(0' 0" x 0' 0")
</v>
      </c>
      <c r="R21" t="str">
        <f>IF(ELEMENT!$AS17="","",CONCATENATE(ELEMENT!AR17,Sprache!$B$81,",","  "))</f>
        <v xml:space="preserve">2-tracks double glazed,  </v>
      </c>
      <c r="S21" t="str">
        <f>IF(ELEMENT!$D17="","",CONCATENATE(ELEMENT!Z17," ",Sprache!$B$84,"
"))</f>
        <v xml:space="preserve">0 # of panel
</v>
      </c>
      <c r="T21" t="str">
        <f>IF(OR(ELEMENT!$AS17="",ELEMENT!R17+ELEMENT!S17+ELEMENT!T17+ELEMENT!X17=0),"",
CONCATENATE(IF(ELEMENT!X17="",0,ELEMENT!X17)," ",Sprache!$B$11," ",Sprache!$B$85,",  "))</f>
        <v/>
      </c>
      <c r="U21" t="str">
        <f>IF(OR(ELEMENT!$AS17="",ELEMENT!R17+ELEMENT!S17+ELEMENT!T17+ELEMENT!X17=0),"",
CONCATENATE(SUM(ELEMENT!R17:S17)," ",Sprache!$B$11," ",IF(SUM(ELEMENT!R17:S17)&lt;2,Sprache!$B$69,Sprache!$B$70),"
"))</f>
        <v/>
      </c>
      <c r="V21" t="str">
        <f>IF(ELEMENT!X17=0,"",IF(ELEMENT!EK17&gt;ELEMENT!EJ17,Sprache!$B$99&amp;"
",""))</f>
        <v/>
      </c>
      <c r="W21" t="str">
        <f>IF(ELEMENT!G17=ELEMENT!$CK$59,CONCATENATE(Sprache!$B$123,"
"),IF(ELEMENT!G17=ELEMENT!$CL$59,CONCATENATE(Sprache!$B$124,"
"),""))</f>
        <v/>
      </c>
      <c r="X21" t="str">
        <f t="shared" si="0"/>
        <v xml:space="preserve">
(0' 0" x 0' 0")</v>
      </c>
      <c r="Y21">
        <f ca="1">IF(1=Sprache!$Z$1,
IF(ELEMENT!AC17="",,CONCATENATE(AD21,AE21,AF21,AG21,AI21,AJ21,AK21,Sprache!$B$87,":",LS,Z21,AH21)),
IF(ELEMENT!AC17="",,CONCATENATE(AD21,AE21,AF21,AG21,AI21,AJ21,AK21,Sprache!$B$87,":",LS,Z21,"
",AA21,LS,LS,AB21,"
",Sprache!$B$91," ",AC21,AH21)))</f>
        <v>0</v>
      </c>
      <c r="Z21">
        <f>ELEMENT!DP17</f>
        <v>0</v>
      </c>
      <c r="AA21" t="e">
        <f>ELEMENT!$CU$51&amp;LS&amp;ELEMENT!DR17&amp;LS&amp;$AA$7</f>
        <v>#N/A</v>
      </c>
      <c r="AB21" t="e">
        <f>ELEMENT!$CU$53&amp;"   "&amp;ELEMENT!DO17</f>
        <v>#N/A</v>
      </c>
      <c r="AC21" t="str">
        <f>ELEMENT!$B$47</f>
        <v>E6 EV1 (20my)</v>
      </c>
      <c r="AD21" t="str">
        <f>IF(ELEMENT!BB17=0,"",CONCATENATE(ELEMENT!BB17," ",Sprache!$B$12," ",Sprache!$B$98,"
"))</f>
        <v/>
      </c>
      <c r="AE21" t="str">
        <f>IF(ELEMENT!BA17=0,"",CONCATENATE(ELEMENT!BA17," ",Sprache!$B$71,"
"))</f>
        <v/>
      </c>
      <c r="AF21" t="str">
        <f>CONCATENATE(IF(ELEMENT!BD132=1,CONCATENATE(Sprache!$B$137," ",Sprache!$B$145,"
"),""),
IF(ELEMENT!BE132=1,CONCATENATE(Sprache!$B$137," ",Sprache!$B$146,"
"),""))</f>
        <v/>
      </c>
      <c r="AG21" t="str">
        <f>IF(ELEMENT!BD17=0,"",CONCATENATE(ELEMENT!BD17," ",Sprache!$B$11," ",Sprache!$B$138,"
"))</f>
        <v/>
      </c>
      <c r="AH21" t="str">
        <f>IF(ELEMENT!AX17="","",CONCATENATE("
",ELEMENT!AX17))</f>
        <v/>
      </c>
      <c r="AI21" t="str">
        <f>IF(ELEMENT!AP17=2,CONCATENATE(Sprache!$B$149,"
"),
IF(ELEMENT!AP17=1,CONCATENATE(Sprache!$B$148,"
"),""))</f>
        <v/>
      </c>
      <c r="AJ21" t="str">
        <f>IF(ELEMENT!AW17=ELEMENT!$CJ$73,"",IF(ELEMENT!AW17=ELEMENT!$CK$73,CONCATENATE(Sprache!$B$150,"
"),
IF(ELEMENT!AW17=ELEMENT!$CL$73,CONCATENATE(Sprache!$B$151,"
"),
IF(ELEMENT!AW17=ELEMENT!$CM$73,CONCATENATE(Sprache!$B$152,"
"),
IF(ELEMENT!AW17=ELEMENT!$CN$73,CONCATENATE(Sprache!$B$151,"
",Sprache!$B$152,"
"),"")))))</f>
        <v/>
      </c>
      <c r="AK21" t="str">
        <f>IF(ELEMENT!BA132=1,CONCATENATE(Sprache!$B$161,"
"),"")</f>
        <v/>
      </c>
      <c r="AO21" t="str">
        <f ca="1">IF(ELEMENT!$AG$48=TODAY(),CONCATENATE("
",Sprache!$B$126),"")</f>
        <v/>
      </c>
      <c r="AY21">
        <f>ELEMENT!D17/10</f>
        <v>0</v>
      </c>
      <c r="AZ21" t="str">
        <f>INT(AY21/2.54/12)&amp;"' "&amp;
IF(ROUND(MOD((MOD((AY21/2.54),12)*2.54),2.54)/2.54*16,0)=0,TEXT(INT((MOD((AY21/2.54),12)*2.54)/2.54),"0"),TEXT((MOD((AY21/2.54),12)*2.54)/2.54,"# ?/"&amp;INDEX({16;8;16;4;16;8;16;2;16;8;16;4;16;8;16},MOD(ROUND((MOD((AY21/2.54),12)*2.54)/2.54*16,0),16))))&amp;CHAR(34)&amp;""</f>
        <v>0' 0"</v>
      </c>
      <c r="BA21">
        <f>ELEMENT!E17/10</f>
        <v>0</v>
      </c>
      <c r="BB21" t="str">
        <f>INT(BA21/2.54/12)&amp;"' "&amp;
IF(ROUND(MOD((MOD((BA21/2.54),12)*2.54),2.54)/2.54*16,0)=0,TEXT(INT((MOD((BA21/2.54),12)*2.54)/2.54),"0"),TEXT((MOD((BA21/2.54),12)*2.54)/2.54,"# ?/"&amp;INDEX({16;8;16;4;16;8;16;2;16;8;16;4;16;8;16},MOD(ROUND((MOD((BA21/2.54),12)*2.54)/2.54*16,0),16))))&amp;CHAR(34)&amp;""</f>
        <v>0' 0"</v>
      </c>
    </row>
    <row r="22" spans="2:54" x14ac:dyDescent="0.2">
      <c r="B22">
        <f>IF(MONTAGE!B20="","",MONTAGE!B20)</f>
        <v>0</v>
      </c>
      <c r="C22" t="str">
        <f ca="1">CONCATENATE(IF(ELEMENT!D18="",ELEMENT!V18,IF(ELEMENT!AC18=0,"",
CONCATENATE(P22,Q22,R22,S22,T22,U22,V22,W22,Y22))))</f>
        <v>o/a frame size: 0 x 0mm  
(0' 0" x 0' 0")
2-tracks double glazed,  0 # of panel
0</v>
      </c>
      <c r="D22" t="str">
        <f>IF(MONTAGE!C20=0,Sprache!$B$86,SUM(MONTAGE!C20))</f>
        <v>per</v>
      </c>
      <c r="E22">
        <f ca="1">IF(ELEMENT!AW18="JA",ELEMENT!U18,SUM(MONTAGE!T20))</f>
        <v>0</v>
      </c>
      <c r="F22">
        <f ca="1">IF(ELEMENT!AW18="JA",IF(ELEMENT!C18=0,,ELEMENT!U18*ELEMENT!C18),SUM(MONTAGE!U20))</f>
        <v>0</v>
      </c>
      <c r="O22" t="e">
        <f ca="1">SUM(F22/ELEMENT!AA18)</f>
        <v>#DIV/0!</v>
      </c>
      <c r="P22" t="str">
        <f>IF(ELEMENT!A18="","",CONCATENATE(ELEMENT!A18,"
"))</f>
        <v/>
      </c>
      <c r="Q22" t="str">
        <f>IF(ELEMENT!$AS18="","",CONCATENATE(
IF(ELEMENT!$L$47=ELEMENT!$CK$55,Sprache!$B$79,Sprache!$B$78),
IF(ELEMENT!BC18&gt;0,CONCATENATE(" ",Sprache!$B$147),),": ",ROUND(ELEMENT!D18,0)," x ",ROUND(ELEMENT!E18,0),"mm "," ",
IF(OR(ELEMENT!$X$47=ELEMENT!$CS$65,ELEMENT!$X$47=ELEMENT!$CR$65),VZ!X22," "),"
"))</f>
        <v xml:space="preserve">o/a frame size: 0 x 0mm  
(0' 0" x 0' 0")
</v>
      </c>
      <c r="R22" t="str">
        <f>IF(ELEMENT!$AS18="","",CONCATENATE(ELEMENT!AR18,Sprache!$B$81,",","  "))</f>
        <v xml:space="preserve">2-tracks double glazed,  </v>
      </c>
      <c r="S22" t="str">
        <f>IF(ELEMENT!$D18="","",CONCATENATE(ELEMENT!Z18," ",Sprache!$B$84,"
"))</f>
        <v xml:space="preserve">0 # of panel
</v>
      </c>
      <c r="T22" t="str">
        <f>IF(OR(ELEMENT!$AS18="",ELEMENT!R18+ELEMENT!S18+ELEMENT!T18+ELEMENT!X18=0),"",
CONCATENATE(IF(ELEMENT!X18="",0,ELEMENT!X18)," ",Sprache!$B$11," ",Sprache!$B$85,",  "))</f>
        <v/>
      </c>
      <c r="U22" t="str">
        <f>IF(OR(ELEMENT!$AS18="",ELEMENT!R18+ELEMENT!S18+ELEMENT!T18+ELEMENT!X18=0),"",
CONCATENATE(SUM(ELEMENT!R18:S18)," ",Sprache!$B$11," ",IF(SUM(ELEMENT!R18:S18)&lt;2,Sprache!$B$69,Sprache!$B$70),"
"))</f>
        <v/>
      </c>
      <c r="V22" t="str">
        <f>IF(ELEMENT!X18=0,"",IF(ELEMENT!EK18&gt;ELEMENT!EJ18,Sprache!$B$99&amp;"
",""))</f>
        <v/>
      </c>
      <c r="W22" t="str">
        <f>IF(ELEMENT!G18=ELEMENT!$CK$59,CONCATENATE(Sprache!$B$123,"
"),IF(ELEMENT!G18=ELEMENT!$CL$59,CONCATENATE(Sprache!$B$124,"
"),""))</f>
        <v/>
      </c>
      <c r="X22" t="str">
        <f t="shared" si="0"/>
        <v xml:space="preserve">
(0' 0" x 0' 0")</v>
      </c>
      <c r="Y22">
        <f ca="1">IF(1=Sprache!$Z$1,
IF(ELEMENT!AC18="",,CONCATENATE(AD22,AE22,AF22,AG22,AI22,AJ22,AK22,Sprache!$B$87,":",LS,Z22,AH22)),
IF(ELEMENT!AC18="",,CONCATENATE(AD22,AE22,AF22,AG22,AI22,AJ22,AK22,Sprache!$B$87,":",LS,Z22,"
",AA22,LS,LS,AB22,"
",Sprache!$B$91," ",AC22,AH22)))</f>
        <v>0</v>
      </c>
      <c r="Z22">
        <f>ELEMENT!DP18</f>
        <v>0</v>
      </c>
      <c r="AA22" t="e">
        <f>ELEMENT!$CU$51&amp;LS&amp;ELEMENT!DR18&amp;LS&amp;$AA$7</f>
        <v>#N/A</v>
      </c>
      <c r="AB22" t="e">
        <f>ELEMENT!$CU$53&amp;"   "&amp;ELEMENT!DO18</f>
        <v>#N/A</v>
      </c>
      <c r="AC22" t="str">
        <f>ELEMENT!$B$47</f>
        <v>E6 EV1 (20my)</v>
      </c>
      <c r="AD22" t="str">
        <f>IF(ELEMENT!BB18=0,"",CONCATENATE(ELEMENT!BB18," ",Sprache!$B$12," ",Sprache!$B$98,"
"))</f>
        <v/>
      </c>
      <c r="AE22" t="str">
        <f>IF(ELEMENT!BA18=0,"",CONCATENATE(ELEMENT!BA18," ",Sprache!$B$71,"
"))</f>
        <v/>
      </c>
      <c r="AF22" t="str">
        <f>CONCATENATE(IF(ELEMENT!BD133=1,CONCATENATE(Sprache!$B$137," ",Sprache!$B$145,"
"),""),
IF(ELEMENT!BE133=1,CONCATENATE(Sprache!$B$137," ",Sprache!$B$146,"
"),""))</f>
        <v/>
      </c>
      <c r="AG22" t="str">
        <f>IF(ELEMENT!BD18=0,"",CONCATENATE(ELEMENT!BD18," ",Sprache!$B$11," ",Sprache!$B$138,"
"))</f>
        <v/>
      </c>
      <c r="AH22" t="str">
        <f>IF(ELEMENT!AX18="","",CONCATENATE("
",ELEMENT!AX18))</f>
        <v/>
      </c>
      <c r="AI22" t="str">
        <f>IF(ELEMENT!AP18=2,CONCATENATE(Sprache!$B$149,"
"),
IF(ELEMENT!AP18=1,CONCATENATE(Sprache!$B$148,"
"),""))</f>
        <v/>
      </c>
      <c r="AJ22" t="str">
        <f>IF(ELEMENT!AW18=ELEMENT!$CJ$73,"",IF(ELEMENT!AW18=ELEMENT!$CK$73,CONCATENATE(Sprache!$B$150,"
"),
IF(ELEMENT!AW18=ELEMENT!$CL$73,CONCATENATE(Sprache!$B$151,"
"),
IF(ELEMENT!AW18=ELEMENT!$CM$73,CONCATENATE(Sprache!$B$152,"
"),
IF(ELEMENT!AW18=ELEMENT!$CN$73,CONCATENATE(Sprache!$B$151,"
",Sprache!$B$152,"
"),"")))))</f>
        <v/>
      </c>
      <c r="AK22" t="str">
        <f>IF(ELEMENT!BA133=1,CONCATENATE(Sprache!$B$161,"
"),"")</f>
        <v/>
      </c>
      <c r="AO22" t="str">
        <f ca="1">IF(ELEMENT!$AG$48=TODAY(),CONCATENATE("
",Sprache!$B$126),"")</f>
        <v/>
      </c>
      <c r="AY22">
        <f>ELEMENT!D18/10</f>
        <v>0</v>
      </c>
      <c r="AZ22" t="str">
        <f>INT(AY22/2.54/12)&amp;"' "&amp;
IF(ROUND(MOD((MOD((AY22/2.54),12)*2.54),2.54)/2.54*16,0)=0,TEXT(INT((MOD((AY22/2.54),12)*2.54)/2.54),"0"),TEXT((MOD((AY22/2.54),12)*2.54)/2.54,"# ?/"&amp;INDEX({16;8;16;4;16;8;16;2;16;8;16;4;16;8;16},MOD(ROUND((MOD((AY22/2.54),12)*2.54)/2.54*16,0),16))))&amp;CHAR(34)&amp;""</f>
        <v>0' 0"</v>
      </c>
      <c r="BA22">
        <f>ELEMENT!E18/10</f>
        <v>0</v>
      </c>
      <c r="BB22" t="str">
        <f>INT(BA22/2.54/12)&amp;"' "&amp;
IF(ROUND(MOD((MOD((BA22/2.54),12)*2.54),2.54)/2.54*16,0)=0,TEXT(INT((MOD((BA22/2.54),12)*2.54)/2.54),"0"),TEXT((MOD((BA22/2.54),12)*2.54)/2.54,"# ?/"&amp;INDEX({16;8;16;4;16;8;16;2;16;8;16;4;16;8;16},MOD(ROUND((MOD((BA22/2.54),12)*2.54)/2.54*16,0),16))))&amp;CHAR(34)&amp;""</f>
        <v>0' 0"</v>
      </c>
    </row>
    <row r="23" spans="2:54" x14ac:dyDescent="0.2">
      <c r="B23">
        <f>IF(MONTAGE!B21="","",MONTAGE!B21)</f>
        <v>0</v>
      </c>
      <c r="C23" t="str">
        <f ca="1">CONCATENATE(IF(ELEMENT!D19="",ELEMENT!V19,IF(ELEMENT!AC19=0,"",
CONCATENATE(P23,Q23,R23,S23,T23,U23,V23,W23,Y23))))</f>
        <v>o/a frame size: 0 x 0mm  
(0' 0" x 0' 0")
2-tracks double glazed,  0 # of panel
0</v>
      </c>
      <c r="D23" t="str">
        <f>IF(MONTAGE!C21=0,Sprache!$B$86,SUM(MONTAGE!C21))</f>
        <v>per</v>
      </c>
      <c r="E23">
        <f ca="1">IF(ELEMENT!AW19="JA",ELEMENT!U19,SUM(MONTAGE!T21))</f>
        <v>0</v>
      </c>
      <c r="F23">
        <f ca="1">IF(ELEMENT!AW19="JA",IF(ELEMENT!C19=0,,ELEMENT!U19*ELEMENT!C19),SUM(MONTAGE!U21))</f>
        <v>0</v>
      </c>
      <c r="O23" t="e">
        <f ca="1">SUM(F23/ELEMENT!AA19)</f>
        <v>#DIV/0!</v>
      </c>
      <c r="P23" t="str">
        <f>IF(ELEMENT!A19="","",CONCATENATE(ELEMENT!A19,"
"))</f>
        <v/>
      </c>
      <c r="Q23" t="str">
        <f>IF(ELEMENT!$AS19="","",CONCATENATE(
IF(ELEMENT!$L$47=ELEMENT!$CK$55,Sprache!$B$79,Sprache!$B$78),
IF(ELEMENT!BC19&gt;0,CONCATENATE(" ",Sprache!$B$147),),": ",ROUND(ELEMENT!D19,0)," x ",ROUND(ELEMENT!E19,0),"mm "," ",
IF(OR(ELEMENT!$X$47=ELEMENT!$CS$65,ELEMENT!$X$47=ELEMENT!$CR$65),VZ!X23," "),"
"))</f>
        <v xml:space="preserve">o/a frame size: 0 x 0mm  
(0' 0" x 0' 0")
</v>
      </c>
      <c r="R23" t="str">
        <f>IF(ELEMENT!$AS19="","",CONCATENATE(ELEMENT!AR19,Sprache!$B$81,",","  "))</f>
        <v xml:space="preserve">2-tracks double glazed,  </v>
      </c>
      <c r="S23" t="str">
        <f>IF(ELEMENT!$D19="","",CONCATENATE(ELEMENT!Z19," ",Sprache!$B$84,"
"))</f>
        <v xml:space="preserve">0 # of panel
</v>
      </c>
      <c r="T23" t="str">
        <f>IF(OR(ELEMENT!$AS19="",ELEMENT!R19+ELEMENT!S19+ELEMENT!T19+ELEMENT!X19=0),"",
CONCATENATE(IF(ELEMENT!X19="",0,ELEMENT!X19)," ",Sprache!$B$11," ",Sprache!$B$85,",  "))</f>
        <v/>
      </c>
      <c r="U23" t="str">
        <f>IF(OR(ELEMENT!$AS19="",ELEMENT!R19+ELEMENT!S19+ELEMENT!T19+ELEMENT!X19=0),"",
CONCATENATE(SUM(ELEMENT!R19:S19)," ",Sprache!$B$11," ",IF(SUM(ELEMENT!R19:S19)&lt;2,Sprache!$B$69,Sprache!$B$70),"
"))</f>
        <v/>
      </c>
      <c r="V23" t="str">
        <f>IF(ELEMENT!X19=0,"",IF(ELEMENT!EK19&gt;ELEMENT!EJ19,Sprache!$B$99&amp;"
",""))</f>
        <v/>
      </c>
      <c r="W23" t="str">
        <f>IF(ELEMENT!G19=ELEMENT!$CK$59,CONCATENATE(Sprache!$B$123,"
"),IF(ELEMENT!G19=ELEMENT!$CL$59,CONCATENATE(Sprache!$B$124,"
"),""))</f>
        <v/>
      </c>
      <c r="X23" t="str">
        <f t="shared" si="0"/>
        <v xml:space="preserve">
(0' 0" x 0' 0")</v>
      </c>
      <c r="Y23">
        <f ca="1">IF(1=Sprache!$Z$1,
IF(ELEMENT!AC19="",,CONCATENATE(AD23,AE23,AF23,AG23,AI23,AJ23,AK23,Sprache!$B$87,":",LS,Z23,AH23)),
IF(ELEMENT!AC19="",,CONCATENATE(AD23,AE23,AF23,AG23,AI23,AJ23,AK23,Sprache!$B$87,":",LS,Z23,"
",AA23,LS,LS,AB23,"
",Sprache!$B$91," ",AC23,AH23)))</f>
        <v>0</v>
      </c>
      <c r="Z23">
        <f>ELEMENT!DP19</f>
        <v>0</v>
      </c>
      <c r="AA23" t="e">
        <f>ELEMENT!$CU$51&amp;LS&amp;ELEMENT!DR19&amp;LS&amp;$AA$7</f>
        <v>#N/A</v>
      </c>
      <c r="AB23" t="e">
        <f>ELEMENT!$CU$53&amp;"   "&amp;ELEMENT!DO19</f>
        <v>#N/A</v>
      </c>
      <c r="AC23" t="str">
        <f>ELEMENT!$B$47</f>
        <v>E6 EV1 (20my)</v>
      </c>
      <c r="AD23" t="str">
        <f>IF(ELEMENT!BB19=0,"",CONCATENATE(ELEMENT!BB19," ",Sprache!$B$12," ",Sprache!$B$98,"
"))</f>
        <v/>
      </c>
      <c r="AE23" t="str">
        <f>IF(ELEMENT!BA19=0,"",CONCATENATE(ELEMENT!BA19," ",Sprache!$B$71,"
"))</f>
        <v/>
      </c>
      <c r="AF23" t="str">
        <f>CONCATENATE(IF(ELEMENT!BD134=1,CONCATENATE(Sprache!$B$137," ",Sprache!$B$145,"
"),""),
IF(ELEMENT!BE134=1,CONCATENATE(Sprache!$B$137," ",Sprache!$B$146,"
"),""))</f>
        <v/>
      </c>
      <c r="AG23" t="str">
        <f>IF(ELEMENT!BD19=0,"",CONCATENATE(ELEMENT!BD19," ",Sprache!$B$11," ",Sprache!$B$138,"
"))</f>
        <v/>
      </c>
      <c r="AH23" t="str">
        <f>IF(ELEMENT!AX19="","",CONCATENATE("
",ELEMENT!AX19))</f>
        <v/>
      </c>
      <c r="AI23" t="str">
        <f>IF(ELEMENT!AP19=2,CONCATENATE(Sprache!$B$149,"
"),
IF(ELEMENT!AP19=1,CONCATENATE(Sprache!$B$148,"
"),""))</f>
        <v/>
      </c>
      <c r="AJ23" t="str">
        <f>IF(ELEMENT!AW19=ELEMENT!$CJ$73,"",IF(ELEMENT!AW19=ELEMENT!$CK$73,CONCATENATE(Sprache!$B$150,"
"),
IF(ELEMENT!AW19=ELEMENT!$CL$73,CONCATENATE(Sprache!$B$151,"
"),
IF(ELEMENT!AW19=ELEMENT!$CM$73,CONCATENATE(Sprache!$B$152,"
"),
IF(ELEMENT!AW19=ELEMENT!$CN$73,CONCATENATE(Sprache!$B$151,"
",Sprache!$B$152,"
"),"")))))</f>
        <v/>
      </c>
      <c r="AK23" t="str">
        <f>IF(ELEMENT!BA134=1,CONCATENATE(Sprache!$B$161,"
"),"")</f>
        <v/>
      </c>
      <c r="AO23" t="str">
        <f ca="1">IF(ELEMENT!$AG$48=TODAY(),CONCATENATE("
",Sprache!$B$126),"")</f>
        <v/>
      </c>
      <c r="AY23">
        <f>ELEMENT!D19/10</f>
        <v>0</v>
      </c>
      <c r="AZ23" t="str">
        <f>INT(AY23/2.54/12)&amp;"' "&amp;
IF(ROUND(MOD((MOD((AY23/2.54),12)*2.54),2.54)/2.54*16,0)=0,TEXT(INT((MOD((AY23/2.54),12)*2.54)/2.54),"0"),TEXT((MOD((AY23/2.54),12)*2.54)/2.54,"# ?/"&amp;INDEX({16;8;16;4;16;8;16;2;16;8;16;4;16;8;16},MOD(ROUND((MOD((AY23/2.54),12)*2.54)/2.54*16,0),16))))&amp;CHAR(34)&amp;""</f>
        <v>0' 0"</v>
      </c>
      <c r="BA23">
        <f>ELEMENT!E19/10</f>
        <v>0</v>
      </c>
      <c r="BB23" t="str">
        <f>INT(BA23/2.54/12)&amp;"' "&amp;
IF(ROUND(MOD((MOD((BA23/2.54),12)*2.54),2.54)/2.54*16,0)=0,TEXT(INT((MOD((BA23/2.54),12)*2.54)/2.54),"0"),TEXT((MOD((BA23/2.54),12)*2.54)/2.54,"# ?/"&amp;INDEX({16;8;16;4;16;8;16;2;16;8;16;4;16;8;16},MOD(ROUND((MOD((BA23/2.54),12)*2.54)/2.54*16,0),16))))&amp;CHAR(34)&amp;""</f>
        <v>0' 0"</v>
      </c>
    </row>
    <row r="24" spans="2:54" x14ac:dyDescent="0.2">
      <c r="B24">
        <f>IF(MONTAGE!B22="","",MONTAGE!B22)</f>
        <v>0</v>
      </c>
      <c r="C24" t="str">
        <f ca="1">CONCATENATE(IF(ELEMENT!D20="",ELEMENT!V20,IF(ELEMENT!AC20=0,"",
CONCATENATE(P24,Q24,R24,S24,T24,U24,V24,W24,Y24))))</f>
        <v>o/a frame size: 0 x 0mm  
(0' 0" x 0' 0")
2-tracks double glazed,  0 # of panel
0</v>
      </c>
      <c r="D24" t="str">
        <f>IF(MONTAGE!C22=0,Sprache!$B$86,SUM(MONTAGE!C22))</f>
        <v>per</v>
      </c>
      <c r="E24">
        <f ca="1">IF(ELEMENT!AW20="JA",ELEMENT!U20,SUM(MONTAGE!T22))</f>
        <v>0</v>
      </c>
      <c r="F24">
        <f ca="1">IF(ELEMENT!AW20="JA",IF(ELEMENT!C20=0,,ELEMENT!U20*ELEMENT!C20),SUM(MONTAGE!U22))</f>
        <v>0</v>
      </c>
      <c r="O24" t="e">
        <f ca="1">SUM(F24/ELEMENT!AA20)</f>
        <v>#DIV/0!</v>
      </c>
      <c r="P24" t="str">
        <f>IF(ELEMENT!A20="","",CONCATENATE(ELEMENT!A20,"
"))</f>
        <v/>
      </c>
      <c r="Q24" t="str">
        <f>IF(ELEMENT!$AS20="","",CONCATENATE(
IF(ELEMENT!$L$47=ELEMENT!$CK$55,Sprache!$B$79,Sprache!$B$78),
IF(ELEMENT!BC20&gt;0,CONCATENATE(" ",Sprache!$B$147),),": ",ROUND(ELEMENT!D20,0)," x ",ROUND(ELEMENT!E20,0),"mm "," ",
IF(OR(ELEMENT!$X$47=ELEMENT!$CS$65,ELEMENT!$X$47=ELEMENT!$CR$65),VZ!X24," "),"
"))</f>
        <v xml:space="preserve">o/a frame size: 0 x 0mm  
(0' 0" x 0' 0")
</v>
      </c>
      <c r="R24" t="str">
        <f>IF(ELEMENT!$AS20="","",CONCATENATE(ELEMENT!AR20,Sprache!$B$81,",","  "))</f>
        <v xml:space="preserve">2-tracks double glazed,  </v>
      </c>
      <c r="S24" t="str">
        <f>IF(ELEMENT!$D20="","",CONCATENATE(ELEMENT!Z20," ",Sprache!$B$84,"
"))</f>
        <v xml:space="preserve">0 # of panel
</v>
      </c>
      <c r="T24" t="str">
        <f>IF(OR(ELEMENT!$AS20="",ELEMENT!R20+ELEMENT!S20+ELEMENT!T20+ELEMENT!X20=0),"",
CONCATENATE(IF(ELEMENT!X20="",0,ELEMENT!X20)," ",Sprache!$B$11," ",Sprache!$B$85,",  "))</f>
        <v/>
      </c>
      <c r="U24" t="str">
        <f>IF(OR(ELEMENT!$AS20="",ELEMENT!R20+ELEMENT!S20+ELEMENT!T20+ELEMENT!X20=0),"",
CONCATENATE(SUM(ELEMENT!R20:S20)," ",Sprache!$B$11," ",IF(SUM(ELEMENT!R20:S20)&lt;2,Sprache!$B$69,Sprache!$B$70),"
"))</f>
        <v/>
      </c>
      <c r="V24" t="str">
        <f>IF(ELEMENT!X20=0,"",IF(ELEMENT!EK20&gt;ELEMENT!EJ20,Sprache!$B$99&amp;"
",""))</f>
        <v/>
      </c>
      <c r="W24" t="str">
        <f>IF(ELEMENT!G20=ELEMENT!$CK$59,CONCATENATE(Sprache!$B$123,"
"),IF(ELEMENT!G20=ELEMENT!$CL$59,CONCATENATE(Sprache!$B$124,"
"),""))</f>
        <v/>
      </c>
      <c r="X24" t="str">
        <f t="shared" si="0"/>
        <v xml:space="preserve">
(0' 0" x 0' 0")</v>
      </c>
      <c r="Y24">
        <f ca="1">IF(1=Sprache!$Z$1,
IF(ELEMENT!AC20="",,CONCATENATE(AD24,AE24,AF24,AG24,AI24,AJ24,AK24,Sprache!$B$87,":",LS,Z24,AH24)),
IF(ELEMENT!AC20="",,CONCATENATE(AD24,AE24,AF24,AG24,AI24,AJ24,AK24,Sprache!$B$87,":",LS,Z24,"
",AA24,LS,LS,AB24,"
",Sprache!$B$91," ",AC24,AH24)))</f>
        <v>0</v>
      </c>
      <c r="Z24">
        <f>ELEMENT!DP20</f>
        <v>0</v>
      </c>
      <c r="AA24" t="e">
        <f>ELEMENT!$CU$51&amp;LS&amp;ELEMENT!DR20&amp;LS&amp;$AA$7</f>
        <v>#N/A</v>
      </c>
      <c r="AB24" t="e">
        <f>ELEMENT!$CU$53&amp;"   "&amp;ELEMENT!DO20</f>
        <v>#N/A</v>
      </c>
      <c r="AC24" t="str">
        <f>ELEMENT!$B$47</f>
        <v>E6 EV1 (20my)</v>
      </c>
      <c r="AD24" t="str">
        <f>IF(ELEMENT!BB20=0,"",CONCATENATE(ELEMENT!BB20," ",Sprache!$B$12," ",Sprache!$B$98,"
"))</f>
        <v/>
      </c>
      <c r="AE24" t="str">
        <f>IF(ELEMENT!BA20=0,"",CONCATENATE(ELEMENT!BA20," ",Sprache!$B$71,"
"))</f>
        <v/>
      </c>
      <c r="AF24" t="str">
        <f>CONCATENATE(IF(ELEMENT!BD135=1,CONCATENATE(Sprache!$B$137," ",Sprache!$B$145,"
"),""),
IF(ELEMENT!BE135=1,CONCATENATE(Sprache!$B$137," ",Sprache!$B$146,"
"),""))</f>
        <v/>
      </c>
      <c r="AG24" t="str">
        <f>IF(ELEMENT!BD20=0,"",CONCATENATE(ELEMENT!BD20," ",Sprache!$B$11," ",Sprache!$B$138,"
"))</f>
        <v/>
      </c>
      <c r="AH24" t="str">
        <f>IF(ELEMENT!AX20="","",CONCATENATE("
",ELEMENT!AX20))</f>
        <v/>
      </c>
      <c r="AI24" t="str">
        <f>IF(ELEMENT!AP20=2,CONCATENATE(Sprache!$B$149,"
"),
IF(ELEMENT!AP20=1,CONCATENATE(Sprache!$B$148,"
"),""))</f>
        <v/>
      </c>
      <c r="AJ24" t="str">
        <f>IF(ELEMENT!AW20=ELEMENT!$CJ$73,"",IF(ELEMENT!AW20=ELEMENT!$CK$73,CONCATENATE(Sprache!$B$150,"
"),
IF(ELEMENT!AW20=ELEMENT!$CL$73,CONCATENATE(Sprache!$B$151,"
"),
IF(ELEMENT!AW20=ELEMENT!$CM$73,CONCATENATE(Sprache!$B$152,"
"),
IF(ELEMENT!AW20=ELEMENT!$CN$73,CONCATENATE(Sprache!$B$151,"
",Sprache!$B$152,"
"),"")))))</f>
        <v/>
      </c>
      <c r="AK24" t="str">
        <f>IF(ELEMENT!BA135=1,CONCATENATE(Sprache!$B$161,"
"),"")</f>
        <v/>
      </c>
      <c r="AO24" t="str">
        <f ca="1">IF(ELEMENT!$AG$48=TODAY(),CONCATENATE("
",Sprache!$B$126),"")</f>
        <v/>
      </c>
      <c r="AY24">
        <f>ELEMENT!D20/10</f>
        <v>0</v>
      </c>
      <c r="AZ24" t="str">
        <f>INT(AY24/2.54/12)&amp;"' "&amp;
IF(ROUND(MOD((MOD((AY24/2.54),12)*2.54),2.54)/2.54*16,0)=0,TEXT(INT((MOD((AY24/2.54),12)*2.54)/2.54),"0"),TEXT((MOD((AY24/2.54),12)*2.54)/2.54,"# ?/"&amp;INDEX({16;8;16;4;16;8;16;2;16;8;16;4;16;8;16},MOD(ROUND((MOD((AY24/2.54),12)*2.54)/2.54*16,0),16))))&amp;CHAR(34)&amp;""</f>
        <v>0' 0"</v>
      </c>
      <c r="BA24">
        <f>ELEMENT!E20/10</f>
        <v>0</v>
      </c>
      <c r="BB24" t="str">
        <f>INT(BA24/2.54/12)&amp;"' "&amp;
IF(ROUND(MOD((MOD((BA24/2.54),12)*2.54),2.54)/2.54*16,0)=0,TEXT(INT((MOD((BA24/2.54),12)*2.54)/2.54),"0"),TEXT((MOD((BA24/2.54),12)*2.54)/2.54,"# ?/"&amp;INDEX({16;8;16;4;16;8;16;2;16;8;16;4;16;8;16},MOD(ROUND((MOD((BA24/2.54),12)*2.54)/2.54*16,0),16))))&amp;CHAR(34)&amp;""</f>
        <v>0' 0"</v>
      </c>
    </row>
    <row r="25" spans="2:54" x14ac:dyDescent="0.2">
      <c r="B25">
        <f>IF(MONTAGE!B23="","",MONTAGE!B23)</f>
        <v>0</v>
      </c>
      <c r="C25" t="str">
        <f ca="1">CONCATENATE(IF(ELEMENT!D21="",ELEMENT!V21,IF(ELEMENT!AC21=0,"",
CONCATENATE(P25,Q25,R25,S25,T25,U25,V25,W25,Y25))))</f>
        <v>o/a frame size: 0 x 0mm  
(0' 0" x 0' 0")
2-tracks double glazed,  0 # of panel
0</v>
      </c>
      <c r="D25" t="str">
        <f>IF(MONTAGE!C23=0,Sprache!$B$86,SUM(MONTAGE!C23))</f>
        <v>per</v>
      </c>
      <c r="E25">
        <f ca="1">IF(ELEMENT!AW21="JA",ELEMENT!U21,SUM(MONTAGE!T23))</f>
        <v>0</v>
      </c>
      <c r="F25">
        <f ca="1">IF(ELEMENT!AW21="JA",IF(ELEMENT!C21=0,,ELEMENT!U21*ELEMENT!C21),SUM(MONTAGE!U23))</f>
        <v>0</v>
      </c>
      <c r="O25" t="e">
        <f ca="1">SUM(F25/ELEMENT!AA21)</f>
        <v>#DIV/0!</v>
      </c>
      <c r="P25" t="str">
        <f>IF(ELEMENT!A21="","",CONCATENATE(ELEMENT!A21,"
"))</f>
        <v/>
      </c>
      <c r="Q25" t="str">
        <f>IF(ELEMENT!$AS21="","",CONCATENATE(
IF(ELEMENT!$L$47=ELEMENT!$CK$55,Sprache!$B$79,Sprache!$B$78),
IF(ELEMENT!BC21&gt;0,CONCATENATE(" ",Sprache!$B$147),),": ",ROUND(ELEMENT!D21,0)," x ",ROUND(ELEMENT!E21,0),"mm "," ",
IF(OR(ELEMENT!$X$47=ELEMENT!$CS$65,ELEMENT!$X$47=ELEMENT!$CR$65),VZ!X25," "),"
"))</f>
        <v xml:space="preserve">o/a frame size: 0 x 0mm  
(0' 0" x 0' 0")
</v>
      </c>
      <c r="R25" t="str">
        <f>IF(ELEMENT!$AS21="","",CONCATENATE(ELEMENT!AR21,Sprache!$B$81,",","  "))</f>
        <v xml:space="preserve">2-tracks double glazed,  </v>
      </c>
      <c r="S25" t="str">
        <f>IF(ELEMENT!$D21="","",CONCATENATE(ELEMENT!Z21," ",Sprache!$B$84,"
"))</f>
        <v xml:space="preserve">0 # of panel
</v>
      </c>
      <c r="T25" t="str">
        <f>IF(OR(ELEMENT!$AS21="",ELEMENT!R21+ELEMENT!S21+ELEMENT!T21+ELEMENT!X21=0),"",
CONCATENATE(IF(ELEMENT!X21="",0,ELEMENT!X21)," ",Sprache!$B$11," ",Sprache!$B$85,",  "))</f>
        <v/>
      </c>
      <c r="U25" t="str">
        <f>IF(OR(ELEMENT!$AS21="",ELEMENT!R21+ELEMENT!S21+ELEMENT!T21+ELEMENT!X21=0),"",
CONCATENATE(SUM(ELEMENT!R21:S21)," ",Sprache!$B$11," ",IF(SUM(ELEMENT!R21:S21)&lt;2,Sprache!$B$69,Sprache!$B$70),"
"))</f>
        <v/>
      </c>
      <c r="V25" t="str">
        <f>IF(ELEMENT!X21=0,"",IF(ELEMENT!EK21&gt;ELEMENT!EJ21,Sprache!$B$99&amp;"
",""))</f>
        <v/>
      </c>
      <c r="W25" t="str">
        <f>IF(ELEMENT!G21=ELEMENT!$CK$59,CONCATENATE(Sprache!$B$123,"
"),IF(ELEMENT!G21=ELEMENT!$CL$59,CONCATENATE(Sprache!$B$124,"
"),""))</f>
        <v/>
      </c>
      <c r="X25" t="str">
        <f t="shared" si="0"/>
        <v xml:space="preserve">
(0' 0" x 0' 0")</v>
      </c>
      <c r="Y25">
        <f ca="1">IF(1=Sprache!$Z$1,
IF(ELEMENT!AC21="",,CONCATENATE(AD25,AE25,AF25,AG25,AI25,AJ25,AK25,Sprache!$B$87,":",LS,Z25,AH25)),
IF(ELEMENT!AC21="",,CONCATENATE(AD25,AE25,AF25,AG25,AI25,AJ25,AK25,Sprache!$B$87,":",LS,Z25,"
",AA25,LS,LS,AB25,"
",Sprache!$B$91," ",AC25,AH25)))</f>
        <v>0</v>
      </c>
      <c r="Z25">
        <f>ELEMENT!DP21</f>
        <v>0</v>
      </c>
      <c r="AA25" t="e">
        <f>ELEMENT!$CU$51&amp;LS&amp;ELEMENT!DR21&amp;LS&amp;$AA$7</f>
        <v>#N/A</v>
      </c>
      <c r="AB25" t="e">
        <f>ELEMENT!$CU$53&amp;"   "&amp;ELEMENT!DO21</f>
        <v>#N/A</v>
      </c>
      <c r="AC25" t="str">
        <f>ELEMENT!$B$47</f>
        <v>E6 EV1 (20my)</v>
      </c>
      <c r="AD25" t="str">
        <f>IF(ELEMENT!BB21=0,"",CONCATENATE(ELEMENT!BB21," ",Sprache!$B$12," ",Sprache!$B$98,"
"))</f>
        <v/>
      </c>
      <c r="AE25" t="str">
        <f>IF(ELEMENT!BA21=0,"",CONCATENATE(ELEMENT!BA21," ",Sprache!$B$71,"
"))</f>
        <v/>
      </c>
      <c r="AF25" t="str">
        <f>CONCATENATE(IF(ELEMENT!BD136=1,CONCATENATE(Sprache!$B$137," ",Sprache!$B$145,"
"),""),
IF(ELEMENT!BE136=1,CONCATENATE(Sprache!$B$137," ",Sprache!$B$146,"
"),""))</f>
        <v/>
      </c>
      <c r="AG25" t="str">
        <f>IF(ELEMENT!BD21=0,"",CONCATENATE(ELEMENT!BD21," ",Sprache!$B$11," ",Sprache!$B$138,"
"))</f>
        <v/>
      </c>
      <c r="AH25" t="str">
        <f>IF(ELEMENT!AX21="","",CONCATENATE("
",ELEMENT!AX21))</f>
        <v/>
      </c>
      <c r="AI25" t="str">
        <f>IF(ELEMENT!AP21=2,CONCATENATE(Sprache!$B$149,"
"),
IF(ELEMENT!AP21=1,CONCATENATE(Sprache!$B$148,"
"),""))</f>
        <v/>
      </c>
      <c r="AJ25" t="str">
        <f>IF(ELEMENT!AW21=ELEMENT!$CJ$73,"",IF(ELEMENT!AW21=ELEMENT!$CK$73,CONCATENATE(Sprache!$B$150,"
"),
IF(ELEMENT!AW21=ELEMENT!$CL$73,CONCATENATE(Sprache!$B$151,"
"),
IF(ELEMENT!AW21=ELEMENT!$CM$73,CONCATENATE(Sprache!$B$152,"
"),
IF(ELEMENT!AW21=ELEMENT!$CN$73,CONCATENATE(Sprache!$B$151,"
",Sprache!$B$152,"
"),"")))))</f>
        <v/>
      </c>
      <c r="AK25" t="str">
        <f>IF(ELEMENT!BA136=1,CONCATENATE(Sprache!$B$161,"
"),"")</f>
        <v/>
      </c>
      <c r="AO25" t="str">
        <f ca="1">IF(ELEMENT!$AG$48=TODAY(),CONCATENATE("
",Sprache!$B$126),"")</f>
        <v/>
      </c>
      <c r="AY25">
        <f>ELEMENT!D21/10</f>
        <v>0</v>
      </c>
      <c r="AZ25" t="str">
        <f>INT(AY25/2.54/12)&amp;"' "&amp;
IF(ROUND(MOD((MOD((AY25/2.54),12)*2.54),2.54)/2.54*16,0)=0,TEXT(INT((MOD((AY25/2.54),12)*2.54)/2.54),"0"),TEXT((MOD((AY25/2.54),12)*2.54)/2.54,"# ?/"&amp;INDEX({16;8;16;4;16;8;16;2;16;8;16;4;16;8;16},MOD(ROUND((MOD((AY25/2.54),12)*2.54)/2.54*16,0),16))))&amp;CHAR(34)&amp;""</f>
        <v>0' 0"</v>
      </c>
      <c r="BA25">
        <f>ELEMENT!E21/10</f>
        <v>0</v>
      </c>
      <c r="BB25" t="str">
        <f>INT(BA25/2.54/12)&amp;"' "&amp;
IF(ROUND(MOD((MOD((BA25/2.54),12)*2.54),2.54)/2.54*16,0)=0,TEXT(INT((MOD((BA25/2.54),12)*2.54)/2.54),"0"),TEXT((MOD((BA25/2.54),12)*2.54)/2.54,"# ?/"&amp;INDEX({16;8;16;4;16;8;16;2;16;8;16;4;16;8;16},MOD(ROUND((MOD((BA25/2.54),12)*2.54)/2.54*16,0),16))))&amp;CHAR(34)&amp;""</f>
        <v>0' 0"</v>
      </c>
    </row>
    <row r="26" spans="2:54" x14ac:dyDescent="0.2">
      <c r="B26">
        <f>IF(MONTAGE!B24="","",MONTAGE!B24)</f>
        <v>0</v>
      </c>
      <c r="C26" t="str">
        <f ca="1">CONCATENATE(IF(ELEMENT!D22="",ELEMENT!V22,IF(ELEMENT!AC22=0,"",
CONCATENATE(P26,Q26,R26,S26,T26,U26,V26,W26,Y26))))</f>
        <v>o/a frame size: 0 x 0mm  
(0' 0" x 0' 0")
2-tracks double glazed,  0 # of panel
0</v>
      </c>
      <c r="D26" t="str">
        <f>IF(MONTAGE!C24=0,Sprache!$B$86,SUM(MONTAGE!C24))</f>
        <v>per</v>
      </c>
      <c r="E26">
        <f ca="1">IF(ELEMENT!AW22="JA",ELEMENT!U22,SUM(MONTAGE!T24))</f>
        <v>0</v>
      </c>
      <c r="F26">
        <f ca="1">IF(ELEMENT!AW22="JA",IF(ELEMENT!C22=0,,ELEMENT!U22*ELEMENT!C22),SUM(MONTAGE!U24))</f>
        <v>0</v>
      </c>
      <c r="O26" t="e">
        <f ca="1">SUM(F26/ELEMENT!AA22)</f>
        <v>#DIV/0!</v>
      </c>
      <c r="P26" t="str">
        <f>IF(ELEMENT!A22="","",CONCATENATE(ELEMENT!A22,"
"))</f>
        <v/>
      </c>
      <c r="Q26" t="str">
        <f>IF(ELEMENT!$AS22="","",CONCATENATE(
IF(ELEMENT!$L$47=ELEMENT!$CK$55,Sprache!$B$79,Sprache!$B$78),
IF(ELEMENT!BC22&gt;0,CONCATENATE(" ",Sprache!$B$147),),": ",ROUND(ELEMENT!D22,0)," x ",ROUND(ELEMENT!E22,0),"mm "," ",
IF(OR(ELEMENT!$X$47=ELEMENT!$CS$65,ELEMENT!$X$47=ELEMENT!$CR$65),VZ!X26," "),"
"))</f>
        <v xml:space="preserve">o/a frame size: 0 x 0mm  
(0' 0" x 0' 0")
</v>
      </c>
      <c r="R26" t="str">
        <f>IF(ELEMENT!$AS22="","",CONCATENATE(ELEMENT!AR22,Sprache!$B$81,",","  "))</f>
        <v xml:space="preserve">2-tracks double glazed,  </v>
      </c>
      <c r="S26" t="str">
        <f>IF(ELEMENT!$D22="","",CONCATENATE(ELEMENT!Z22," ",Sprache!$B$84,"
"))</f>
        <v xml:space="preserve">0 # of panel
</v>
      </c>
      <c r="T26" t="str">
        <f>IF(OR(ELEMENT!$AS22="",ELEMENT!R22+ELEMENT!S22+ELEMENT!T22+ELEMENT!X22=0),"",
CONCATENATE(IF(ELEMENT!X22="",0,ELEMENT!X22)," ",Sprache!$B$11," ",Sprache!$B$85,",  "))</f>
        <v/>
      </c>
      <c r="U26" t="str">
        <f>IF(OR(ELEMENT!$AS22="",ELEMENT!R22+ELEMENT!S22+ELEMENT!T22+ELEMENT!X22=0),"",
CONCATENATE(SUM(ELEMENT!R22:S22)," ",Sprache!$B$11," ",IF(SUM(ELEMENT!R22:S22)&lt;2,Sprache!$B$69,Sprache!$B$70),"
"))</f>
        <v/>
      </c>
      <c r="V26" t="str">
        <f>IF(ELEMENT!X22=0,"",IF(ELEMENT!EK22&gt;ELEMENT!EJ22,Sprache!$B$99&amp;"
",""))</f>
        <v/>
      </c>
      <c r="W26" t="str">
        <f>IF(ELEMENT!G22=ELEMENT!$CK$59,CONCATENATE(Sprache!$B$123,"
"),IF(ELEMENT!G22=ELEMENT!$CL$59,CONCATENATE(Sprache!$B$124,"
"),""))</f>
        <v/>
      </c>
      <c r="X26" t="str">
        <f t="shared" si="0"/>
        <v xml:space="preserve">
(0' 0" x 0' 0")</v>
      </c>
      <c r="Y26">
        <f ca="1">IF(1=Sprache!$Z$1,
IF(ELEMENT!AC22="",,CONCATENATE(AD26,AE26,AF26,AG26,AI26,AJ26,AK26,Sprache!$B$87,":",LS,Z26,AH26)),
IF(ELEMENT!AC22="",,CONCATENATE(AD26,AE26,AF26,AG26,AI26,AJ26,AK26,Sprache!$B$87,":",LS,Z26,"
",AA26,LS,LS,AB26,"
",Sprache!$B$91," ",AC26,AH26)))</f>
        <v>0</v>
      </c>
      <c r="Z26">
        <f>ELEMENT!DP22</f>
        <v>0</v>
      </c>
      <c r="AA26" t="e">
        <f>ELEMENT!$CU$51&amp;LS&amp;ELEMENT!DR22&amp;LS&amp;$AA$7</f>
        <v>#N/A</v>
      </c>
      <c r="AB26" t="e">
        <f>ELEMENT!$CU$53&amp;"   "&amp;ELEMENT!DO22</f>
        <v>#N/A</v>
      </c>
      <c r="AC26" t="str">
        <f>ELEMENT!$B$47</f>
        <v>E6 EV1 (20my)</v>
      </c>
      <c r="AD26" t="str">
        <f>IF(ELEMENT!BB22=0,"",CONCATENATE(ELEMENT!BB22," ",Sprache!$B$12," ",Sprache!$B$98,"
"))</f>
        <v/>
      </c>
      <c r="AE26" t="str">
        <f>IF(ELEMENT!BA22=0,"",CONCATENATE(ELEMENT!BA22," ",Sprache!$B$71,"
"))</f>
        <v/>
      </c>
      <c r="AF26" t="str">
        <f>CONCATENATE(IF(ELEMENT!BD137=1,CONCATENATE(Sprache!$B$137," ",Sprache!$B$145,"
"),""),
IF(ELEMENT!BE137=1,CONCATENATE(Sprache!$B$137," ",Sprache!$B$146,"
"),""))</f>
        <v/>
      </c>
      <c r="AG26" t="str">
        <f>IF(ELEMENT!BD22=0,"",CONCATENATE(ELEMENT!BD22," ",Sprache!$B$11," ",Sprache!$B$138,"
"))</f>
        <v/>
      </c>
      <c r="AH26" t="str">
        <f>IF(ELEMENT!AX22="","",CONCATENATE("
",ELEMENT!AX22))</f>
        <v/>
      </c>
      <c r="AI26" t="str">
        <f>IF(ELEMENT!AP22=2,CONCATENATE(Sprache!$B$149,"
"),
IF(ELEMENT!AP22=1,CONCATENATE(Sprache!$B$148,"
"),""))</f>
        <v/>
      </c>
      <c r="AJ26" t="str">
        <f>IF(ELEMENT!AW22=ELEMENT!$CJ$73,"",IF(ELEMENT!AW22=ELEMENT!$CK$73,CONCATENATE(Sprache!$B$150,"
"),
IF(ELEMENT!AW22=ELEMENT!$CL$73,CONCATENATE(Sprache!$B$151,"
"),
IF(ELEMENT!AW22=ELEMENT!$CM$73,CONCATENATE(Sprache!$B$152,"
"),
IF(ELEMENT!AW22=ELEMENT!$CN$73,CONCATENATE(Sprache!$B$151,"
",Sprache!$B$152,"
"),"")))))</f>
        <v/>
      </c>
      <c r="AK26" t="str">
        <f>IF(ELEMENT!BA137=1,CONCATENATE(Sprache!$B$161,"
"),"")</f>
        <v/>
      </c>
      <c r="AO26" t="str">
        <f ca="1">IF(ELEMENT!$AG$48=TODAY(),CONCATENATE("
",Sprache!$B$126),"")</f>
        <v/>
      </c>
      <c r="AY26">
        <f>ELEMENT!D22/10</f>
        <v>0</v>
      </c>
      <c r="AZ26" t="str">
        <f>INT(AY26/2.54/12)&amp;"' "&amp;
IF(ROUND(MOD((MOD((AY26/2.54),12)*2.54),2.54)/2.54*16,0)=0,TEXT(INT((MOD((AY26/2.54),12)*2.54)/2.54),"0"),TEXT((MOD((AY26/2.54),12)*2.54)/2.54,"# ?/"&amp;INDEX({16;8;16;4;16;8;16;2;16;8;16;4;16;8;16},MOD(ROUND((MOD((AY26/2.54),12)*2.54)/2.54*16,0),16))))&amp;CHAR(34)&amp;""</f>
        <v>0' 0"</v>
      </c>
      <c r="BA26">
        <f>ELEMENT!E22/10</f>
        <v>0</v>
      </c>
      <c r="BB26" t="str">
        <f>INT(BA26/2.54/12)&amp;"' "&amp;
IF(ROUND(MOD((MOD((BA26/2.54),12)*2.54),2.54)/2.54*16,0)=0,TEXT(INT((MOD((BA26/2.54),12)*2.54)/2.54),"0"),TEXT((MOD((BA26/2.54),12)*2.54)/2.54,"# ?/"&amp;INDEX({16;8;16;4;16;8;16;2;16;8;16;4;16;8;16},MOD(ROUND((MOD((BA26/2.54),12)*2.54)/2.54*16,0),16))))&amp;CHAR(34)&amp;""</f>
        <v>0' 0"</v>
      </c>
    </row>
    <row r="27" spans="2:54" x14ac:dyDescent="0.2">
      <c r="B27">
        <f>IF(MONTAGE!B25="","",MONTAGE!B25)</f>
        <v>0</v>
      </c>
      <c r="C27" t="str">
        <f ca="1">CONCATENATE(IF(ELEMENT!D23="",ELEMENT!V23,IF(ELEMENT!AC23=0,"",
CONCATENATE(P27,Q27,R27,S27,T27,U27,V27,W27,Y27))))</f>
        <v>o/a frame size: 0 x 0mm  
(0' 0" x 0' 0")
2-tracks double glazed,  0 # of panel
0</v>
      </c>
      <c r="D27" t="str">
        <f>IF(MONTAGE!C25=0,Sprache!$B$86,SUM(MONTAGE!C25))</f>
        <v>per</v>
      </c>
      <c r="E27">
        <f ca="1">IF(ELEMENT!AW23="JA",ELEMENT!U23,SUM(MONTAGE!T25))</f>
        <v>0</v>
      </c>
      <c r="F27">
        <f ca="1">IF(ELEMENT!AW23="JA",IF(ELEMENT!C23=0,,ELEMENT!U23*ELEMENT!C23),SUM(MONTAGE!U25))</f>
        <v>0</v>
      </c>
      <c r="O27" t="e">
        <f ca="1">SUM(F27/ELEMENT!AA23)</f>
        <v>#DIV/0!</v>
      </c>
      <c r="P27" t="str">
        <f>IF(ELEMENT!A23="","",CONCATENATE(ELEMENT!A23,"
"))</f>
        <v/>
      </c>
      <c r="Q27" t="str">
        <f>IF(ELEMENT!$AS23="","",CONCATENATE(
IF(ELEMENT!$L$47=ELEMENT!$CK$55,Sprache!$B$79,Sprache!$B$78),
IF(ELEMENT!BC23&gt;0,CONCATENATE(" ",Sprache!$B$147),),": ",ROUND(ELEMENT!D23,0)," x ",ROUND(ELEMENT!E23,0),"mm "," ",
IF(OR(ELEMENT!$X$47=ELEMENT!$CS$65,ELEMENT!$X$47=ELEMENT!$CR$65),VZ!X27," "),"
"))</f>
        <v xml:space="preserve">o/a frame size: 0 x 0mm  
(0' 0" x 0' 0")
</v>
      </c>
      <c r="R27" t="str">
        <f>IF(ELEMENT!$AS23="","",CONCATENATE(ELEMENT!AR23,Sprache!$B$81,",","  "))</f>
        <v xml:space="preserve">2-tracks double glazed,  </v>
      </c>
      <c r="S27" t="str">
        <f>IF(ELEMENT!$D23="","",CONCATENATE(ELEMENT!Z23," ",Sprache!$B$84,"
"))</f>
        <v xml:space="preserve">0 # of panel
</v>
      </c>
      <c r="T27" t="str">
        <f>IF(OR(ELEMENT!$AS23="",ELEMENT!R23+ELEMENT!S23+ELEMENT!T23+ELEMENT!X23=0),"",
CONCATENATE(IF(ELEMENT!X23="",0,ELEMENT!X23)," ",Sprache!$B$11," ",Sprache!$B$85,",  "))</f>
        <v/>
      </c>
      <c r="U27" t="str">
        <f>IF(OR(ELEMENT!$AS23="",ELEMENT!R23+ELEMENT!S23+ELEMENT!T23+ELEMENT!X23=0),"",
CONCATENATE(SUM(ELEMENT!R23:S23)," ",Sprache!$B$11," ",IF(SUM(ELEMENT!R23:S23)&lt;2,Sprache!$B$69,Sprache!$B$70),"
"))</f>
        <v/>
      </c>
      <c r="V27" t="str">
        <f>IF(ELEMENT!X23=0,"",IF(ELEMENT!EK23&gt;ELEMENT!EJ23,Sprache!$B$99&amp;"
",""))</f>
        <v/>
      </c>
      <c r="W27" t="str">
        <f>IF(ELEMENT!G23=ELEMENT!$CK$59,CONCATENATE(Sprache!$B$123,"
"),IF(ELEMENT!G23=ELEMENT!$CL$59,CONCATENATE(Sprache!$B$124,"
"),""))</f>
        <v/>
      </c>
      <c r="X27" t="str">
        <f t="shared" si="0"/>
        <v xml:space="preserve">
(0' 0" x 0' 0")</v>
      </c>
      <c r="Y27">
        <f ca="1">IF(1=Sprache!$Z$1,
IF(ELEMENT!AC23="",,CONCATENATE(AD27,AE27,AF27,AG27,AI27,AJ27,AK27,Sprache!$B$87,":",LS,Z27,AH27)),
IF(ELEMENT!AC23="",,CONCATENATE(AD27,AE27,AF27,AG27,AI27,AJ27,AK27,Sprache!$B$87,":",LS,Z27,"
",AA27,LS,LS,AB27,"
",Sprache!$B$91," ",AC27,AH27)))</f>
        <v>0</v>
      </c>
      <c r="Z27">
        <f>ELEMENT!DP23</f>
        <v>0</v>
      </c>
      <c r="AA27" t="e">
        <f>ELEMENT!$CU$51&amp;LS&amp;ELEMENT!DR23&amp;LS&amp;$AA$7</f>
        <v>#N/A</v>
      </c>
      <c r="AB27" t="e">
        <f>ELEMENT!$CU$53&amp;"   "&amp;ELEMENT!DO23</f>
        <v>#N/A</v>
      </c>
      <c r="AC27" t="str">
        <f>ELEMENT!$B$47</f>
        <v>E6 EV1 (20my)</v>
      </c>
      <c r="AD27" t="str">
        <f>IF(ELEMENT!BB23=0,"",CONCATENATE(ELEMENT!BB23," ",Sprache!$B$12," ",Sprache!$B$98,"
"))</f>
        <v/>
      </c>
      <c r="AE27" t="str">
        <f>IF(ELEMENT!BA23=0,"",CONCATENATE(ELEMENT!BA23," ",Sprache!$B$71,"
"))</f>
        <v/>
      </c>
      <c r="AF27" t="str">
        <f>CONCATENATE(IF(ELEMENT!BD138=1,CONCATENATE(Sprache!$B$137," ",Sprache!$B$145,"
"),""),
IF(ELEMENT!BE138=1,CONCATENATE(Sprache!$B$137," ",Sprache!$B$146,"
"),""))</f>
        <v/>
      </c>
      <c r="AG27" t="str">
        <f>IF(ELEMENT!BD23=0,"",CONCATENATE(ELEMENT!BD23," ",Sprache!$B$11," ",Sprache!$B$138,"
"))</f>
        <v/>
      </c>
      <c r="AH27" t="str">
        <f>IF(ELEMENT!AX23="","",CONCATENATE("
",ELEMENT!AX23))</f>
        <v/>
      </c>
      <c r="AI27" t="str">
        <f>IF(ELEMENT!AP23=2,CONCATENATE(Sprache!$B$149,"
"),
IF(ELEMENT!AP23=1,CONCATENATE(Sprache!$B$148,"
"),""))</f>
        <v/>
      </c>
      <c r="AJ27" t="str">
        <f>IF(ELEMENT!AW23=ELEMENT!$CJ$73,"",IF(ELEMENT!AW23=ELEMENT!$CK$73,CONCATENATE(Sprache!$B$150,"
"),
IF(ELEMENT!AW23=ELEMENT!$CL$73,CONCATENATE(Sprache!$B$151,"
"),
IF(ELEMENT!AW23=ELEMENT!$CM$73,CONCATENATE(Sprache!$B$152,"
"),
IF(ELEMENT!AW23=ELEMENT!$CN$73,CONCATENATE(Sprache!$B$151,"
",Sprache!$B$152,"
"),"")))))</f>
        <v/>
      </c>
      <c r="AK27" t="str">
        <f>IF(ELEMENT!BA138=1,CONCATENATE(Sprache!$B$161,"
"),"")</f>
        <v/>
      </c>
      <c r="AO27" t="str">
        <f ca="1">IF(ELEMENT!$AG$48=TODAY(),CONCATENATE("
",Sprache!$B$126),"")</f>
        <v/>
      </c>
      <c r="AY27">
        <f>ELEMENT!D23/10</f>
        <v>0</v>
      </c>
      <c r="AZ27" t="str">
        <f>INT(AY27/2.54/12)&amp;"' "&amp;
IF(ROUND(MOD((MOD((AY27/2.54),12)*2.54),2.54)/2.54*16,0)=0,TEXT(INT((MOD((AY27/2.54),12)*2.54)/2.54),"0"),TEXT((MOD((AY27/2.54),12)*2.54)/2.54,"# ?/"&amp;INDEX({16;8;16;4;16;8;16;2;16;8;16;4;16;8;16},MOD(ROUND((MOD((AY27/2.54),12)*2.54)/2.54*16,0),16))))&amp;CHAR(34)&amp;""</f>
        <v>0' 0"</v>
      </c>
      <c r="BA27">
        <f>ELEMENT!E23/10</f>
        <v>0</v>
      </c>
      <c r="BB27" t="str">
        <f>INT(BA27/2.54/12)&amp;"' "&amp;
IF(ROUND(MOD((MOD((BA27/2.54),12)*2.54),2.54)/2.54*16,0)=0,TEXT(INT((MOD((BA27/2.54),12)*2.54)/2.54),"0"),TEXT((MOD((BA27/2.54),12)*2.54)/2.54,"# ?/"&amp;INDEX({16;8;16;4;16;8;16;2;16;8;16;4;16;8;16},MOD(ROUND((MOD((BA27/2.54),12)*2.54)/2.54*16,0),16))))&amp;CHAR(34)&amp;""</f>
        <v>0' 0"</v>
      </c>
    </row>
    <row r="28" spans="2:54" x14ac:dyDescent="0.2">
      <c r="B28">
        <f>IF(MONTAGE!B26="","",MONTAGE!B26)</f>
        <v>0</v>
      </c>
      <c r="C28" t="str">
        <f ca="1">CONCATENATE(IF(ELEMENT!D24="",ELEMENT!V24,IF(ELEMENT!AC24=0,"",
CONCATENATE(P28,Q28,R28,S28,T28,U28,V28,W28,Y28))))</f>
        <v>o/a frame size: 0 x 0mm  
(0' 0" x 0' 0")
2-tracks double glazed,  0 # of panel
0</v>
      </c>
      <c r="D28" t="str">
        <f>IF(MONTAGE!C26=0,Sprache!$B$86,SUM(MONTAGE!C26))</f>
        <v>per</v>
      </c>
      <c r="E28">
        <f ca="1">IF(ELEMENT!AW24="JA",ELEMENT!U24,SUM(MONTAGE!T26))</f>
        <v>0</v>
      </c>
      <c r="F28">
        <f ca="1">IF(ELEMENT!AW24="JA",IF(ELEMENT!C24=0,,ELEMENT!U24*ELEMENT!C24),SUM(MONTAGE!U26))</f>
        <v>0</v>
      </c>
      <c r="O28" t="e">
        <f ca="1">SUM(F28/ELEMENT!AA24)</f>
        <v>#DIV/0!</v>
      </c>
      <c r="P28" t="str">
        <f>IF(ELEMENT!A24="","",CONCATENATE(ELEMENT!A24,"
"))</f>
        <v/>
      </c>
      <c r="Q28" t="str">
        <f>IF(ELEMENT!$AS24="","",CONCATENATE(
IF(ELEMENT!$L$47=ELEMENT!$CK$55,Sprache!$B$79,Sprache!$B$78),
IF(ELEMENT!BC24&gt;0,CONCATENATE(" ",Sprache!$B$147),),": ",ROUND(ELEMENT!D24,0)," x ",ROUND(ELEMENT!E24,0),"mm "," ",
IF(OR(ELEMENT!$X$47=ELEMENT!$CS$65,ELEMENT!$X$47=ELEMENT!$CR$65),VZ!X28," "),"
"))</f>
        <v xml:space="preserve">o/a frame size: 0 x 0mm  
(0' 0" x 0' 0")
</v>
      </c>
      <c r="R28" t="str">
        <f>IF(ELEMENT!$AS24="","",CONCATENATE(ELEMENT!AR24,Sprache!$B$81,",","  "))</f>
        <v xml:space="preserve">2-tracks double glazed,  </v>
      </c>
      <c r="S28" t="str">
        <f>IF(ELEMENT!$D24="","",CONCATENATE(ELEMENT!Z24," ",Sprache!$B$84,"
"))</f>
        <v xml:space="preserve">0 # of panel
</v>
      </c>
      <c r="T28" t="str">
        <f>IF(OR(ELEMENT!$AS24="",ELEMENT!R24+ELEMENT!S24+ELEMENT!T24+ELEMENT!X24=0),"",
CONCATENATE(IF(ELEMENT!X24="",0,ELEMENT!X24)," ",Sprache!$B$11," ",Sprache!$B$85,",  "))</f>
        <v/>
      </c>
      <c r="U28" t="str">
        <f>IF(OR(ELEMENT!$AS24="",ELEMENT!R24+ELEMENT!S24+ELEMENT!T24+ELEMENT!X24=0),"",
CONCATENATE(SUM(ELEMENT!R24:S24)," ",Sprache!$B$11," ",IF(SUM(ELEMENT!R24:S24)&lt;2,Sprache!$B$69,Sprache!$B$70),"
"))</f>
        <v/>
      </c>
      <c r="V28" t="str">
        <f>IF(ELEMENT!X24=0,"",IF(ELEMENT!EK24&gt;ELEMENT!EJ24,Sprache!$B$99&amp;"
",""))</f>
        <v/>
      </c>
      <c r="W28" t="str">
        <f>IF(ELEMENT!G24=ELEMENT!$CK$59,CONCATENATE(Sprache!$B$123,"
"),IF(ELEMENT!G24=ELEMENT!$CL$59,CONCATENATE(Sprache!$B$124,"
"),""))</f>
        <v/>
      </c>
      <c r="X28" t="str">
        <f t="shared" si="0"/>
        <v xml:space="preserve">
(0' 0" x 0' 0")</v>
      </c>
      <c r="Y28">
        <f ca="1">IF(1=Sprache!$Z$1,
IF(ELEMENT!AC24="",,CONCATENATE(AD28,AE28,AF28,AG28,AI28,AJ28,AK28,Sprache!$B$87,":",LS,Z28,AH28)),
IF(ELEMENT!AC24="",,CONCATENATE(AD28,AE28,AF28,AG28,AI28,AJ28,AK28,Sprache!$B$87,":",LS,Z28,"
",AA28,LS,LS,AB28,"
",Sprache!$B$91," ",AC28,AH28)))</f>
        <v>0</v>
      </c>
      <c r="Z28">
        <f>ELEMENT!DP24</f>
        <v>0</v>
      </c>
      <c r="AA28" t="e">
        <f>ELEMENT!$CU$51&amp;LS&amp;ELEMENT!DR24&amp;LS&amp;$AA$7</f>
        <v>#N/A</v>
      </c>
      <c r="AB28" t="e">
        <f>ELEMENT!$CU$53&amp;"   "&amp;ELEMENT!DO24</f>
        <v>#N/A</v>
      </c>
      <c r="AC28" t="str">
        <f>ELEMENT!$B$47</f>
        <v>E6 EV1 (20my)</v>
      </c>
      <c r="AD28" t="str">
        <f>IF(ELEMENT!BB24=0,"",CONCATENATE(ELEMENT!BB24," ",Sprache!$B$12," ",Sprache!$B$98,"
"))</f>
        <v/>
      </c>
      <c r="AE28" t="str">
        <f>IF(ELEMENT!BA24=0,"",CONCATENATE(ELEMENT!BA24," ",Sprache!$B$71,"
"))</f>
        <v/>
      </c>
      <c r="AF28" t="str">
        <f>CONCATENATE(IF(ELEMENT!BD139=1,CONCATENATE(Sprache!$B$137," ",Sprache!$B$145,"
"),""),
IF(ELEMENT!BE139=1,CONCATENATE(Sprache!$B$137," ",Sprache!$B$146,"
"),""))</f>
        <v/>
      </c>
      <c r="AG28" t="str">
        <f>IF(ELEMENT!BD24=0,"",CONCATENATE(ELEMENT!BD24," ",Sprache!$B$11," ",Sprache!$B$138,"
"))</f>
        <v/>
      </c>
      <c r="AH28" t="str">
        <f>IF(ELEMENT!AX24="","",CONCATENATE("
",ELEMENT!AX24))</f>
        <v/>
      </c>
      <c r="AI28" t="str">
        <f>IF(ELEMENT!AP24=2,CONCATENATE(Sprache!$B$149,"
"),
IF(ELEMENT!AP24=1,CONCATENATE(Sprache!$B$148,"
"),""))</f>
        <v/>
      </c>
      <c r="AJ28" t="str">
        <f>IF(ELEMENT!AW24=ELEMENT!$CJ$73,"",IF(ELEMENT!AW24=ELEMENT!$CK$73,CONCATENATE(Sprache!$B$150,"
"),
IF(ELEMENT!AW24=ELEMENT!$CL$73,CONCATENATE(Sprache!$B$151,"
"),
IF(ELEMENT!AW24=ELEMENT!$CM$73,CONCATENATE(Sprache!$B$152,"
"),
IF(ELEMENT!AW24=ELEMENT!$CN$73,CONCATENATE(Sprache!$B$151,"
",Sprache!$B$152,"
"),"")))))</f>
        <v/>
      </c>
      <c r="AK28" t="str">
        <f>IF(ELEMENT!BA139=1,CONCATENATE(Sprache!$B$161,"
"),"")</f>
        <v/>
      </c>
      <c r="AO28" t="str">
        <f ca="1">IF(ELEMENT!$AG$48=TODAY(),CONCATENATE("
",Sprache!$B$126),"")</f>
        <v/>
      </c>
      <c r="AY28">
        <f>ELEMENT!D24/10</f>
        <v>0</v>
      </c>
      <c r="AZ28" t="str">
        <f>INT(AY28/2.54/12)&amp;"' "&amp;
IF(ROUND(MOD((MOD((AY28/2.54),12)*2.54),2.54)/2.54*16,0)=0,TEXT(INT((MOD((AY28/2.54),12)*2.54)/2.54),"0"),TEXT((MOD((AY28/2.54),12)*2.54)/2.54,"# ?/"&amp;INDEX({16;8;16;4;16;8;16;2;16;8;16;4;16;8;16},MOD(ROUND((MOD((AY28/2.54),12)*2.54)/2.54*16,0),16))))&amp;CHAR(34)&amp;""</f>
        <v>0' 0"</v>
      </c>
      <c r="BA28">
        <f>ELEMENT!E24/10</f>
        <v>0</v>
      </c>
      <c r="BB28" t="str">
        <f>INT(BA28/2.54/12)&amp;"' "&amp;
IF(ROUND(MOD((MOD((BA28/2.54),12)*2.54),2.54)/2.54*16,0)=0,TEXT(INT((MOD((BA28/2.54),12)*2.54)/2.54),"0"),TEXT((MOD((BA28/2.54),12)*2.54)/2.54,"# ?/"&amp;INDEX({16;8;16;4;16;8;16;2;16;8;16;4;16;8;16},MOD(ROUND((MOD((BA28/2.54),12)*2.54)/2.54*16,0),16))))&amp;CHAR(34)&amp;""</f>
        <v>0' 0"</v>
      </c>
    </row>
    <row r="29" spans="2:54" x14ac:dyDescent="0.2">
      <c r="B29">
        <f>IF(MONTAGE!B27="","",MONTAGE!B27)</f>
        <v>0</v>
      </c>
      <c r="C29" t="str">
        <f ca="1">CONCATENATE(IF(ELEMENT!D25="",ELEMENT!V25,IF(ELEMENT!AC25=0,"",
CONCATENATE(P29,Q29,R29,S29,T29,U29,V29,W29,Y29))))</f>
        <v>o/a frame size: 0 x 0mm  
(0' 0" x 0' 0")
2-tracks double glazed,  0 # of panel
0</v>
      </c>
      <c r="D29" t="str">
        <f>IF(MONTAGE!C27=0,Sprache!$B$86,SUM(MONTAGE!C27))</f>
        <v>per</v>
      </c>
      <c r="E29">
        <f ca="1">IF(ELEMENT!AW25="JA",ELEMENT!U25,SUM(MONTAGE!T27))</f>
        <v>0</v>
      </c>
      <c r="F29">
        <f ca="1">IF(ELEMENT!AW25="JA",IF(ELEMENT!C25=0,,ELEMENT!U25*ELEMENT!C25),SUM(MONTAGE!U27))</f>
        <v>0</v>
      </c>
      <c r="O29" t="e">
        <f ca="1">SUM(F29/ELEMENT!AA25)</f>
        <v>#DIV/0!</v>
      </c>
      <c r="P29" t="str">
        <f>IF(ELEMENT!A25="","",CONCATENATE(ELEMENT!A25,"
"))</f>
        <v/>
      </c>
      <c r="Q29" t="str">
        <f>IF(ELEMENT!$AS25="","",CONCATENATE(
IF(ELEMENT!$L$47=ELEMENT!$CK$55,Sprache!$B$79,Sprache!$B$78),
IF(ELEMENT!BC25&gt;0,CONCATENATE(" ",Sprache!$B$147),),": ",ROUND(ELEMENT!D25,0)," x ",ROUND(ELEMENT!E25,0),"mm "," ",
IF(OR(ELEMENT!$X$47=ELEMENT!$CS$65,ELEMENT!$X$47=ELEMENT!$CR$65),VZ!X29," "),"
"))</f>
        <v xml:space="preserve">o/a frame size: 0 x 0mm  
(0' 0" x 0' 0")
</v>
      </c>
      <c r="R29" t="str">
        <f>IF(ELEMENT!$AS25="","",CONCATENATE(ELEMENT!AR25,Sprache!$B$81,",","  "))</f>
        <v xml:space="preserve">2-tracks double glazed,  </v>
      </c>
      <c r="S29" t="str">
        <f>IF(ELEMENT!$D25="","",CONCATENATE(ELEMENT!Z25," ",Sprache!$B$84,"
"))</f>
        <v xml:space="preserve">0 # of panel
</v>
      </c>
      <c r="T29" t="str">
        <f>IF(OR(ELEMENT!$AS25="",ELEMENT!R25+ELEMENT!S25+ELEMENT!T25+ELEMENT!X25=0),"",
CONCATENATE(IF(ELEMENT!X25="",0,ELEMENT!X25)," ",Sprache!$B$11," ",Sprache!$B$85,",  "))</f>
        <v/>
      </c>
      <c r="U29" t="str">
        <f>IF(OR(ELEMENT!$AS25="",ELEMENT!R25+ELEMENT!S25+ELEMENT!T25+ELEMENT!X25=0),"",
CONCATENATE(SUM(ELEMENT!R25:S25)," ",Sprache!$B$11," ",IF(SUM(ELEMENT!R25:S25)&lt;2,Sprache!$B$69,Sprache!$B$70),"
"))</f>
        <v/>
      </c>
      <c r="V29" t="str">
        <f>IF(ELEMENT!X25=0,"",IF(ELEMENT!EK25&gt;ELEMENT!EJ25,Sprache!$B$99&amp;"
",""))</f>
        <v/>
      </c>
      <c r="W29" t="str">
        <f>IF(ELEMENT!G25=ELEMENT!$CK$59,CONCATENATE(Sprache!$B$123,"
"),IF(ELEMENT!G25=ELEMENT!$CL$59,CONCATENATE(Sprache!$B$124,"
"),""))</f>
        <v/>
      </c>
      <c r="X29" t="str">
        <f t="shared" si="0"/>
        <v xml:space="preserve">
(0' 0" x 0' 0")</v>
      </c>
      <c r="Y29">
        <f ca="1">IF(1=Sprache!$Z$1,
IF(ELEMENT!AC25="",,CONCATENATE(AD29,AE29,AF29,AG29,AI29,AJ29,AK29,Sprache!$B$87,":",LS,Z29,AH29)),
IF(ELEMENT!AC25="",,CONCATENATE(AD29,AE29,AF29,AG29,AI29,AJ29,AK29,Sprache!$B$87,":",LS,Z29,"
",AA29,LS,LS,AB29,"
",Sprache!$B$91," ",AC29,AH29)))</f>
        <v>0</v>
      </c>
      <c r="Z29">
        <f>ELEMENT!DP25</f>
        <v>0</v>
      </c>
      <c r="AA29" t="e">
        <f>ELEMENT!$CU$51&amp;LS&amp;ELEMENT!DR25&amp;LS&amp;$AA$7</f>
        <v>#N/A</v>
      </c>
      <c r="AB29" t="e">
        <f>ELEMENT!$CU$53&amp;"   "&amp;ELEMENT!DO25</f>
        <v>#N/A</v>
      </c>
      <c r="AC29" t="str">
        <f>ELEMENT!$B$47</f>
        <v>E6 EV1 (20my)</v>
      </c>
      <c r="AD29" t="str">
        <f>IF(ELEMENT!BB25=0,"",CONCATENATE(ELEMENT!BB25," ",Sprache!$B$12," ",Sprache!$B$98,"
"))</f>
        <v/>
      </c>
      <c r="AE29" t="str">
        <f>IF(ELEMENT!BA25=0,"",CONCATENATE(ELEMENT!BA25," ",Sprache!$B$71,"
"))</f>
        <v/>
      </c>
      <c r="AF29" t="str">
        <f>CONCATENATE(IF(ELEMENT!BD140=1,CONCATENATE(Sprache!$B$137," ",Sprache!$B$145,"
"),""),
IF(ELEMENT!BE140=1,CONCATENATE(Sprache!$B$137," ",Sprache!$B$146,"
"),""))</f>
        <v/>
      </c>
      <c r="AG29" t="str">
        <f>IF(ELEMENT!BD25=0,"",CONCATENATE(ELEMENT!BD25," ",Sprache!$B$11," ",Sprache!$B$138,"
"))</f>
        <v/>
      </c>
      <c r="AH29" t="str">
        <f>IF(ELEMENT!AX25="","",CONCATENATE("
",ELEMENT!AX25))</f>
        <v/>
      </c>
      <c r="AI29" t="str">
        <f>IF(ELEMENT!AP25=2,CONCATENATE(Sprache!$B$149,"
"),
IF(ELEMENT!AP25=1,CONCATENATE(Sprache!$B$148,"
"),""))</f>
        <v/>
      </c>
      <c r="AJ29" t="str">
        <f>IF(ELEMENT!AW25=ELEMENT!$CJ$73,"",IF(ELEMENT!AW25=ELEMENT!$CK$73,CONCATENATE(Sprache!$B$150,"
"),
IF(ELEMENT!AW25=ELEMENT!$CL$73,CONCATENATE(Sprache!$B$151,"
"),
IF(ELEMENT!AW25=ELEMENT!$CM$73,CONCATENATE(Sprache!$B$152,"
"),
IF(ELEMENT!AW25=ELEMENT!$CN$73,CONCATENATE(Sprache!$B$151,"
",Sprache!$B$152,"
"),"")))))</f>
        <v/>
      </c>
      <c r="AK29" t="str">
        <f>IF(ELEMENT!BA140=1,CONCATENATE(Sprache!$B$161,"
"),"")</f>
        <v/>
      </c>
      <c r="AO29" t="str">
        <f ca="1">IF(ELEMENT!$AG$48=TODAY(),CONCATENATE("
",Sprache!$B$126),"")</f>
        <v/>
      </c>
      <c r="AY29">
        <f>ELEMENT!D25/10</f>
        <v>0</v>
      </c>
      <c r="AZ29" t="str">
        <f>INT(AY29/2.54/12)&amp;"' "&amp;
IF(ROUND(MOD((MOD((AY29/2.54),12)*2.54),2.54)/2.54*16,0)=0,TEXT(INT((MOD((AY29/2.54),12)*2.54)/2.54),"0"),TEXT((MOD((AY29/2.54),12)*2.54)/2.54,"# ?/"&amp;INDEX({16;8;16;4;16;8;16;2;16;8;16;4;16;8;16},MOD(ROUND((MOD((AY29/2.54),12)*2.54)/2.54*16,0),16))))&amp;CHAR(34)&amp;""</f>
        <v>0' 0"</v>
      </c>
      <c r="BA29">
        <f>ELEMENT!E25/10</f>
        <v>0</v>
      </c>
      <c r="BB29" t="str">
        <f>INT(BA29/2.54/12)&amp;"' "&amp;
IF(ROUND(MOD((MOD((BA29/2.54),12)*2.54),2.54)/2.54*16,0)=0,TEXT(INT((MOD((BA29/2.54),12)*2.54)/2.54),"0"),TEXT((MOD((BA29/2.54),12)*2.54)/2.54,"# ?/"&amp;INDEX({16;8;16;4;16;8;16;2;16;8;16;4;16;8;16},MOD(ROUND((MOD((BA29/2.54),12)*2.54)/2.54*16,0),16))))&amp;CHAR(34)&amp;""</f>
        <v>0' 0"</v>
      </c>
    </row>
    <row r="30" spans="2:54" x14ac:dyDescent="0.2">
      <c r="B30">
        <f>IF(MONTAGE!B28="","",MONTAGE!B28)</f>
        <v>0</v>
      </c>
      <c r="C30" t="str">
        <f ca="1">CONCATENATE(IF(ELEMENT!D26="",ELEMENT!V26,IF(ELEMENT!AC26=0,"",
CONCATENATE(P30,Q30,R30,S30,T30,U30,V30,W30,Y30))))</f>
        <v>o/a frame size: 0 x 0mm  
(0' 0" x 0' 0")
2-tracks double glazed,  0 # of panel
0</v>
      </c>
      <c r="D30" t="str">
        <f>IF(MONTAGE!C28=0,Sprache!$B$86,SUM(MONTAGE!C28))</f>
        <v>per</v>
      </c>
      <c r="E30">
        <f ca="1">IF(ELEMENT!AW26="JA",ELEMENT!U26,SUM(MONTAGE!T28))</f>
        <v>0</v>
      </c>
      <c r="F30">
        <f ca="1">IF(ELEMENT!AW26="JA",IF(ELEMENT!C26=0,,ELEMENT!U26*ELEMENT!C26),SUM(MONTAGE!U28))</f>
        <v>0</v>
      </c>
      <c r="O30" t="e">
        <f ca="1">SUM(F30/ELEMENT!AA26)</f>
        <v>#DIV/0!</v>
      </c>
      <c r="P30" t="str">
        <f>IF(ELEMENT!A26="","",CONCATENATE(ELEMENT!A26,"
"))</f>
        <v/>
      </c>
      <c r="Q30" t="str">
        <f>IF(ELEMENT!$AS26="","",CONCATENATE(
IF(ELEMENT!$L$47=ELEMENT!$CK$55,Sprache!$B$79,Sprache!$B$78),
IF(ELEMENT!BC26&gt;0,CONCATENATE(" ",Sprache!$B$147),),": ",ROUND(ELEMENT!D26,0)," x ",ROUND(ELEMENT!E26,0),"mm "," ",
IF(OR(ELEMENT!$X$47=ELEMENT!$CS$65,ELEMENT!$X$47=ELEMENT!$CR$65),VZ!X30," "),"
"))</f>
        <v xml:space="preserve">o/a frame size: 0 x 0mm  
(0' 0" x 0' 0")
</v>
      </c>
      <c r="R30" t="str">
        <f>IF(ELEMENT!$AS26="","",CONCATENATE(ELEMENT!AR26,Sprache!$B$81,",","  "))</f>
        <v xml:space="preserve">2-tracks double glazed,  </v>
      </c>
      <c r="S30" t="str">
        <f>IF(ELEMENT!$D26="","",CONCATENATE(ELEMENT!Z26," ",Sprache!$B$84,"
"))</f>
        <v xml:space="preserve">0 # of panel
</v>
      </c>
      <c r="T30" t="str">
        <f>IF(OR(ELEMENT!$AS26="",ELEMENT!R26+ELEMENT!S26+ELEMENT!T26+ELEMENT!X26=0),"",
CONCATENATE(IF(ELEMENT!X26="",0,ELEMENT!X26)," ",Sprache!$B$11," ",Sprache!$B$85,",  "))</f>
        <v/>
      </c>
      <c r="U30" t="str">
        <f>IF(OR(ELEMENT!$AS26="",ELEMENT!R26+ELEMENT!S26+ELEMENT!T26+ELEMENT!X26=0),"",
CONCATENATE(SUM(ELEMENT!R26:S26)," ",Sprache!$B$11," ",IF(SUM(ELEMENT!R26:S26)&lt;2,Sprache!$B$69,Sprache!$B$70),"
"))</f>
        <v/>
      </c>
      <c r="V30" t="str">
        <f>IF(ELEMENT!X26=0,"",IF(ELEMENT!EK26&gt;ELEMENT!EJ26,Sprache!$B$99&amp;"
",""))</f>
        <v/>
      </c>
      <c r="W30" t="str">
        <f>IF(ELEMENT!G26=ELEMENT!$CK$59,CONCATENATE(Sprache!$B$123,"
"),IF(ELEMENT!G26=ELEMENT!$CL$59,CONCATENATE(Sprache!$B$124,"
"),""))</f>
        <v/>
      </c>
      <c r="X30" t="str">
        <f t="shared" si="0"/>
        <v xml:space="preserve">
(0' 0" x 0' 0")</v>
      </c>
      <c r="Y30">
        <f ca="1">IF(1=Sprache!$Z$1,
IF(ELEMENT!AC26="",,CONCATENATE(AD30,AE30,AF30,AG30,AI30,AJ30,AK30,Sprache!$B$87,":",LS,Z30,AH30)),
IF(ELEMENT!AC26="",,CONCATENATE(AD30,AE30,AF30,AG30,AI30,AJ30,AK30,Sprache!$B$87,":",LS,Z30,"
",AA30,LS,LS,AB30,"
",Sprache!$B$91," ",AC30,AH30)))</f>
        <v>0</v>
      </c>
      <c r="Z30">
        <f>ELEMENT!DP26</f>
        <v>0</v>
      </c>
      <c r="AA30" t="e">
        <f>ELEMENT!$CU$51&amp;LS&amp;ELEMENT!DR26&amp;LS&amp;$AA$7</f>
        <v>#N/A</v>
      </c>
      <c r="AB30" t="e">
        <f>ELEMENT!$CU$53&amp;"   "&amp;ELEMENT!DO26</f>
        <v>#N/A</v>
      </c>
      <c r="AC30" t="str">
        <f>ELEMENT!$B$47</f>
        <v>E6 EV1 (20my)</v>
      </c>
      <c r="AD30" t="str">
        <f>IF(ELEMENT!BB26=0,"",CONCATENATE(ELEMENT!BB26," ",Sprache!$B$12," ",Sprache!$B$98,"
"))</f>
        <v/>
      </c>
      <c r="AE30" t="str">
        <f>IF(ELEMENT!BA26=0,"",CONCATENATE(ELEMENT!BA26," ",Sprache!$B$71,"
"))</f>
        <v/>
      </c>
      <c r="AF30" t="str">
        <f>CONCATENATE(IF(ELEMENT!BD141=1,CONCATENATE(Sprache!$B$137," ",Sprache!$B$145,"
"),""),
IF(ELEMENT!BE141=1,CONCATENATE(Sprache!$B$137," ",Sprache!$B$146,"
"),""))</f>
        <v/>
      </c>
      <c r="AG30" t="str">
        <f>IF(ELEMENT!BD26=0,"",CONCATENATE(ELEMENT!BD26," ",Sprache!$B$11," ",Sprache!$B$138,"
"))</f>
        <v/>
      </c>
      <c r="AH30" t="str">
        <f>IF(ELEMENT!AX26="","",CONCATENATE("
",ELEMENT!AX26))</f>
        <v/>
      </c>
      <c r="AI30" t="str">
        <f>IF(ELEMENT!AP26=2,CONCATENATE(Sprache!$B$149,"
"),
IF(ELEMENT!AP26=1,CONCATENATE(Sprache!$B$148,"
"),""))</f>
        <v/>
      </c>
      <c r="AJ30" t="str">
        <f>IF(ELEMENT!AW26=ELEMENT!$CJ$73,"",IF(ELEMENT!AW26=ELEMENT!$CK$73,CONCATENATE(Sprache!$B$150,"
"),
IF(ELEMENT!AW26=ELEMENT!$CL$73,CONCATENATE(Sprache!$B$151,"
"),
IF(ELEMENT!AW26=ELEMENT!$CM$73,CONCATENATE(Sprache!$B$152,"
"),
IF(ELEMENT!AW26=ELEMENT!$CN$73,CONCATENATE(Sprache!$B$151,"
",Sprache!$B$152,"
"),"")))))</f>
        <v/>
      </c>
      <c r="AK30" t="str">
        <f>IF(ELEMENT!BA141=1,CONCATENATE(Sprache!$B$161,"
"),"")</f>
        <v/>
      </c>
      <c r="AO30" t="str">
        <f ca="1">IF(ELEMENT!$AG$48=TODAY(),CONCATENATE("
",Sprache!$B$126),"")</f>
        <v/>
      </c>
      <c r="AY30">
        <f>ELEMENT!D26/10</f>
        <v>0</v>
      </c>
      <c r="AZ30" t="str">
        <f>INT(AY30/2.54/12)&amp;"' "&amp;
IF(ROUND(MOD((MOD((AY30/2.54),12)*2.54),2.54)/2.54*16,0)=0,TEXT(INT((MOD((AY30/2.54),12)*2.54)/2.54),"0"),TEXT((MOD((AY30/2.54),12)*2.54)/2.54,"# ?/"&amp;INDEX({16;8;16;4;16;8;16;2;16;8;16;4;16;8;16},MOD(ROUND((MOD((AY30/2.54),12)*2.54)/2.54*16,0),16))))&amp;CHAR(34)&amp;""</f>
        <v>0' 0"</v>
      </c>
      <c r="BA30">
        <f>ELEMENT!E26/10</f>
        <v>0</v>
      </c>
      <c r="BB30" t="str">
        <f>INT(BA30/2.54/12)&amp;"' "&amp;
IF(ROUND(MOD((MOD((BA30/2.54),12)*2.54),2.54)/2.54*16,0)=0,TEXT(INT((MOD((BA30/2.54),12)*2.54)/2.54),"0"),TEXT((MOD((BA30/2.54),12)*2.54)/2.54,"# ?/"&amp;INDEX({16;8;16;4;16;8;16;2;16;8;16;4;16;8;16},MOD(ROUND((MOD((BA30/2.54),12)*2.54)/2.54*16,0),16))))&amp;CHAR(34)&amp;""</f>
        <v>0' 0"</v>
      </c>
    </row>
    <row r="31" spans="2:54" x14ac:dyDescent="0.2">
      <c r="B31">
        <f>IF(MONTAGE!B29="","",MONTAGE!B29)</f>
        <v>0</v>
      </c>
      <c r="C31" t="str">
        <f ca="1">CONCATENATE(IF(ELEMENT!D27="",ELEMENT!V27,IF(ELEMENT!AC27=0,"",
CONCATENATE(P31,Q31,R31,S31,T31,U31,V31,W31,Y31))))</f>
        <v>o/a frame size: 0 x 0mm  
(0' 0" x 0' 0")
2-tracks double glazed,  0 # of panel
0</v>
      </c>
      <c r="D31" t="str">
        <f>IF(MONTAGE!C29=0,Sprache!$B$86,SUM(MONTAGE!C29))</f>
        <v>per</v>
      </c>
      <c r="E31">
        <f ca="1">IF(ELEMENT!AW27="JA",ELEMENT!U27,SUM(MONTAGE!T29))</f>
        <v>0</v>
      </c>
      <c r="F31">
        <f ca="1">IF(ELEMENT!AW27="JA",IF(ELEMENT!C27=0,,ELEMENT!U27*ELEMENT!C27),SUM(MONTAGE!U29))</f>
        <v>0</v>
      </c>
      <c r="O31" t="e">
        <f ca="1">SUM(F31/ELEMENT!AA27)</f>
        <v>#DIV/0!</v>
      </c>
      <c r="P31" t="str">
        <f>IF(ELEMENT!A27="","",CONCATENATE(ELEMENT!A27,"
"))</f>
        <v/>
      </c>
      <c r="Q31" t="str">
        <f>IF(ELEMENT!$AS27="","",CONCATENATE(
IF(ELEMENT!$L$47=ELEMENT!$CK$55,Sprache!$B$79,Sprache!$B$78),
IF(ELEMENT!BC27&gt;0,CONCATENATE(" ",Sprache!$B$147),),": ",ROUND(ELEMENT!D27,0)," x ",ROUND(ELEMENT!E27,0),"mm "," ",
IF(OR(ELEMENT!$X$47=ELEMENT!$CS$65,ELEMENT!$X$47=ELEMENT!$CR$65),VZ!X31," "),"
"))</f>
        <v xml:space="preserve">o/a frame size: 0 x 0mm  
(0' 0" x 0' 0")
</v>
      </c>
      <c r="R31" t="str">
        <f>IF(ELEMENT!$AS27="","",CONCATENATE(ELEMENT!AR27,Sprache!$B$81,",","  "))</f>
        <v xml:space="preserve">2-tracks double glazed,  </v>
      </c>
      <c r="S31" t="str">
        <f>IF(ELEMENT!$D27="","",CONCATENATE(ELEMENT!Z27," ",Sprache!$B$84,"
"))</f>
        <v xml:space="preserve">0 # of panel
</v>
      </c>
      <c r="T31" t="str">
        <f>IF(OR(ELEMENT!$AS27="",ELEMENT!R27+ELEMENT!S27+ELEMENT!T27+ELEMENT!X27=0),"",
CONCATENATE(IF(ELEMENT!X27="",0,ELEMENT!X27)," ",Sprache!$B$11," ",Sprache!$B$85,",  "))</f>
        <v/>
      </c>
      <c r="U31" t="str">
        <f>IF(OR(ELEMENT!$AS27="",ELEMENT!R27+ELEMENT!S27+ELEMENT!T27+ELEMENT!X27=0),"",
CONCATENATE(SUM(ELEMENT!R27:S27)," ",Sprache!$B$11," ",IF(SUM(ELEMENT!R27:S27)&lt;2,Sprache!$B$69,Sprache!$B$70),"
"))</f>
        <v/>
      </c>
      <c r="V31" t="str">
        <f>IF(ELEMENT!X27=0,"",IF(ELEMENT!EK27&gt;ELEMENT!EJ27,Sprache!$B$99&amp;"
",""))</f>
        <v/>
      </c>
      <c r="W31" t="str">
        <f>IF(ELEMENT!G27=ELEMENT!$CK$59,CONCATENATE(Sprache!$B$123,"
"),IF(ELEMENT!G27=ELEMENT!$CL$59,CONCATENATE(Sprache!$B$124,"
"),""))</f>
        <v/>
      </c>
      <c r="X31" t="str">
        <f t="shared" si="0"/>
        <v xml:space="preserve">
(0' 0" x 0' 0")</v>
      </c>
      <c r="Y31">
        <f ca="1">IF(1=Sprache!$Z$1,
IF(ELEMENT!AC27="",,CONCATENATE(AD31,AE31,AF31,AG31,AI31,AJ31,AK31,Sprache!$B$87,":",LS,Z31,AH31)),
IF(ELEMENT!AC27="",,CONCATENATE(AD31,AE31,AF31,AG31,AI31,AJ31,AK31,Sprache!$B$87,":",LS,Z31,"
",AA31,LS,LS,AB31,"
",Sprache!$B$91," ",AC31,AH31)))</f>
        <v>0</v>
      </c>
      <c r="Z31">
        <f>ELEMENT!DP27</f>
        <v>0</v>
      </c>
      <c r="AA31" t="e">
        <f>ELEMENT!$CU$51&amp;LS&amp;ELEMENT!DR27&amp;LS&amp;$AA$7</f>
        <v>#N/A</v>
      </c>
      <c r="AB31" t="e">
        <f>ELEMENT!$CU$53&amp;"   "&amp;ELEMENT!DO27</f>
        <v>#N/A</v>
      </c>
      <c r="AC31" t="str">
        <f>ELEMENT!$B$47</f>
        <v>E6 EV1 (20my)</v>
      </c>
      <c r="AD31" t="str">
        <f>IF(ELEMENT!BB27=0,"",CONCATENATE(ELEMENT!BB27," ",Sprache!$B$12," ",Sprache!$B$98,"
"))</f>
        <v/>
      </c>
      <c r="AE31" t="str">
        <f>IF(ELEMENT!BA27=0,"",CONCATENATE(ELEMENT!BA27," ",Sprache!$B$71,"
"))</f>
        <v/>
      </c>
      <c r="AF31" t="str">
        <f>CONCATENATE(IF(ELEMENT!BD142=1,CONCATENATE(Sprache!$B$137," ",Sprache!$B$145,"
"),""),
IF(ELEMENT!BE142=1,CONCATENATE(Sprache!$B$137," ",Sprache!$B$146,"
"),""))</f>
        <v/>
      </c>
      <c r="AG31" t="str">
        <f>IF(ELEMENT!BD27=0,"",CONCATENATE(ELEMENT!BD27," ",Sprache!$B$11," ",Sprache!$B$138,"
"))</f>
        <v/>
      </c>
      <c r="AH31" t="str">
        <f>IF(ELEMENT!AX27="","",CONCATENATE("
",ELEMENT!AX27))</f>
        <v/>
      </c>
      <c r="AI31" t="str">
        <f>IF(ELEMENT!AP27=2,CONCATENATE(Sprache!$B$149,"
"),
IF(ELEMENT!AP27=1,CONCATENATE(Sprache!$B$148,"
"),""))</f>
        <v/>
      </c>
      <c r="AJ31" t="str">
        <f>IF(ELEMENT!AW27=ELEMENT!$CJ$73,"",IF(ELEMENT!AW27=ELEMENT!$CK$73,CONCATENATE(Sprache!$B$150,"
"),
IF(ELEMENT!AW27=ELEMENT!$CL$73,CONCATENATE(Sprache!$B$151,"
"),
IF(ELEMENT!AW27=ELEMENT!$CM$73,CONCATENATE(Sprache!$B$152,"
"),
IF(ELEMENT!AW27=ELEMENT!$CN$73,CONCATENATE(Sprache!$B$151,"
",Sprache!$B$152,"
"),"")))))</f>
        <v/>
      </c>
      <c r="AK31" t="str">
        <f>IF(ELEMENT!BA142=1,CONCATENATE(Sprache!$B$161,"
"),"")</f>
        <v/>
      </c>
      <c r="AO31" t="str">
        <f ca="1">IF(ELEMENT!$AG$48=TODAY(),CONCATENATE("
",Sprache!$B$126),"")</f>
        <v/>
      </c>
      <c r="AY31">
        <f>ELEMENT!D27/10</f>
        <v>0</v>
      </c>
      <c r="AZ31" t="str">
        <f>INT(AY31/2.54/12)&amp;"' "&amp;
IF(ROUND(MOD((MOD((AY31/2.54),12)*2.54),2.54)/2.54*16,0)=0,TEXT(INT((MOD((AY31/2.54),12)*2.54)/2.54),"0"),TEXT((MOD((AY31/2.54),12)*2.54)/2.54,"# ?/"&amp;INDEX({16;8;16;4;16;8;16;2;16;8;16;4;16;8;16},MOD(ROUND((MOD((AY31/2.54),12)*2.54)/2.54*16,0),16))))&amp;CHAR(34)&amp;""</f>
        <v>0' 0"</v>
      </c>
      <c r="BA31">
        <f>ELEMENT!E27/10</f>
        <v>0</v>
      </c>
      <c r="BB31" t="str">
        <f>INT(BA31/2.54/12)&amp;"' "&amp;
IF(ROUND(MOD((MOD((BA31/2.54),12)*2.54),2.54)/2.54*16,0)=0,TEXT(INT((MOD((BA31/2.54),12)*2.54)/2.54),"0"),TEXT((MOD((BA31/2.54),12)*2.54)/2.54,"# ?/"&amp;INDEX({16;8;16;4;16;8;16;2;16;8;16;4;16;8;16},MOD(ROUND((MOD((BA31/2.54),12)*2.54)/2.54*16,0),16))))&amp;CHAR(34)&amp;""</f>
        <v>0' 0"</v>
      </c>
    </row>
    <row r="32" spans="2:54" x14ac:dyDescent="0.2">
      <c r="B32">
        <f>IF(MONTAGE!B30="","",MONTAGE!B30)</f>
        <v>0</v>
      </c>
      <c r="C32" t="str">
        <f ca="1">CONCATENATE(IF(ELEMENT!D28="",ELEMENT!V28,IF(ELEMENT!AC28=0,"",
CONCATENATE(P32,Q32,R32,S32,T32,U32,V32,W32,Y32))))</f>
        <v>o/a frame size: 0 x 0mm  
(0' 0" x 0' 0")
2-tracks double glazed,  0 # of panel
0</v>
      </c>
      <c r="D32" t="str">
        <f>IF(MONTAGE!C30=0,Sprache!$B$86,SUM(MONTAGE!C30))</f>
        <v>per</v>
      </c>
      <c r="E32">
        <f ca="1">IF(ELEMENT!AW28="JA",ELEMENT!U28,SUM(MONTAGE!T30))</f>
        <v>0</v>
      </c>
      <c r="F32">
        <f ca="1">IF(ELEMENT!AW28="JA",IF(ELEMENT!C28=0,,ELEMENT!U28*ELEMENT!C28),SUM(MONTAGE!U30))</f>
        <v>0</v>
      </c>
      <c r="O32" t="e">
        <f ca="1">SUM(F32/ELEMENT!AA28)</f>
        <v>#DIV/0!</v>
      </c>
      <c r="P32" t="str">
        <f>IF(ELEMENT!A28="","",CONCATENATE(ELEMENT!A28,"
"))</f>
        <v/>
      </c>
      <c r="Q32" t="str">
        <f>IF(ELEMENT!$AS28="","",CONCATENATE(
IF(ELEMENT!$L$47=ELEMENT!$CK$55,Sprache!$B$79,Sprache!$B$78),
IF(ELEMENT!BC28&gt;0,CONCATENATE(" ",Sprache!$B$147),),": ",ROUND(ELEMENT!D28,0)," x ",ROUND(ELEMENT!E28,0),"mm "," ",
IF(OR(ELEMENT!$X$47=ELEMENT!$CS$65,ELEMENT!$X$47=ELEMENT!$CR$65),VZ!X32," "),"
"))</f>
        <v xml:space="preserve">o/a frame size: 0 x 0mm  
(0' 0" x 0' 0")
</v>
      </c>
      <c r="R32" t="str">
        <f>IF(ELEMENT!$AS28="","",CONCATENATE(ELEMENT!AR28,Sprache!$B$81,",","  "))</f>
        <v xml:space="preserve">2-tracks double glazed,  </v>
      </c>
      <c r="S32" t="str">
        <f>IF(ELEMENT!$D28="","",CONCATENATE(ELEMENT!Z28," ",Sprache!$B$84,"
"))</f>
        <v xml:space="preserve">0 # of panel
</v>
      </c>
      <c r="T32" t="str">
        <f>IF(OR(ELEMENT!$AS28="",ELEMENT!R28+ELEMENT!S28+ELEMENT!T28+ELEMENT!X28=0),"",
CONCATENATE(IF(ELEMENT!X28="",0,ELEMENT!X28)," ",Sprache!$B$11," ",Sprache!$B$85,",  "))</f>
        <v/>
      </c>
      <c r="U32" t="str">
        <f>IF(OR(ELEMENT!$AS28="",ELEMENT!R28+ELEMENT!S28+ELEMENT!T28+ELEMENT!X28=0),"",
CONCATENATE(SUM(ELEMENT!R28:S28)," ",Sprache!$B$11," ",IF(SUM(ELEMENT!R28:S28)&lt;2,Sprache!$B$69,Sprache!$B$70),"
"))</f>
        <v/>
      </c>
      <c r="V32" t="str">
        <f>IF(ELEMENT!X28=0,"",IF(ELEMENT!EK28&gt;ELEMENT!EJ28,Sprache!$B$99&amp;"
",""))</f>
        <v/>
      </c>
      <c r="W32" t="str">
        <f>IF(ELEMENT!G28=ELEMENT!$CK$59,CONCATENATE(Sprache!$B$123,"
"),IF(ELEMENT!G28=ELEMENT!$CL$59,CONCATENATE(Sprache!$B$124,"
"),""))</f>
        <v/>
      </c>
      <c r="X32" t="str">
        <f t="shared" si="0"/>
        <v xml:space="preserve">
(0' 0" x 0' 0")</v>
      </c>
      <c r="Y32">
        <f ca="1">IF(1=Sprache!$Z$1,
IF(ELEMENT!AC28="",,CONCATENATE(AD32,AE32,AF32,AG32,AI32,AJ32,AK32,Sprache!$B$87,":",LS,Z32,AH32)),
IF(ELEMENT!AC28="",,CONCATENATE(AD32,AE32,AF32,AG32,AI32,AJ32,AK32,Sprache!$B$87,":",LS,Z32,"
",AA32,LS,LS,AB32,"
",Sprache!$B$91," ",AC32,AH32)))</f>
        <v>0</v>
      </c>
      <c r="Z32">
        <f>ELEMENT!DP28</f>
        <v>0</v>
      </c>
      <c r="AA32" t="e">
        <f>ELEMENT!$CU$51&amp;LS&amp;ELEMENT!DR28&amp;LS&amp;$AA$7</f>
        <v>#N/A</v>
      </c>
      <c r="AB32" t="e">
        <f>ELEMENT!$CU$53&amp;"   "&amp;ELEMENT!DO28</f>
        <v>#N/A</v>
      </c>
      <c r="AC32" t="str">
        <f>ELEMENT!$B$47</f>
        <v>E6 EV1 (20my)</v>
      </c>
      <c r="AD32" t="str">
        <f>IF(ELEMENT!BB28=0,"",CONCATENATE(ELEMENT!BB28," ",Sprache!$B$12," ",Sprache!$B$98,"
"))</f>
        <v/>
      </c>
      <c r="AE32" t="str">
        <f>IF(ELEMENT!BA28=0,"",CONCATENATE(ELEMENT!BA28," ",Sprache!$B$71,"
"))</f>
        <v/>
      </c>
      <c r="AF32" t="str">
        <f>CONCATENATE(IF(ELEMENT!BD143=1,CONCATENATE(Sprache!$B$137," ",Sprache!$B$145,"
"),""),
IF(ELEMENT!BE143=1,CONCATENATE(Sprache!$B$137," ",Sprache!$B$146,"
"),""))</f>
        <v/>
      </c>
      <c r="AG32" t="str">
        <f>IF(ELEMENT!BD28=0,"",CONCATENATE(ELEMENT!BD28," ",Sprache!$B$11," ",Sprache!$B$138,"
"))</f>
        <v/>
      </c>
      <c r="AH32" t="str">
        <f>IF(ELEMENT!AX28="","",CONCATENATE("
",ELEMENT!AX28))</f>
        <v/>
      </c>
      <c r="AI32" t="str">
        <f>IF(ELEMENT!AP28=2,CONCATENATE(Sprache!$B$149,"
"),
IF(ELEMENT!AP28=1,CONCATENATE(Sprache!$B$148,"
"),""))</f>
        <v/>
      </c>
      <c r="AJ32" t="str">
        <f>IF(ELEMENT!AW28=ELEMENT!$CJ$73,"",IF(ELEMENT!AW28=ELEMENT!$CK$73,CONCATENATE(Sprache!$B$150,"
"),
IF(ELEMENT!AW28=ELEMENT!$CL$73,CONCATENATE(Sprache!$B$151,"
"),
IF(ELEMENT!AW28=ELEMENT!$CM$73,CONCATENATE(Sprache!$B$152,"
"),
IF(ELEMENT!AW28=ELEMENT!$CN$73,CONCATENATE(Sprache!$B$151,"
",Sprache!$B$152,"
"),"")))))</f>
        <v/>
      </c>
      <c r="AK32" t="str">
        <f>IF(ELEMENT!BA143=1,CONCATENATE(Sprache!$B$161,"
"),"")</f>
        <v/>
      </c>
      <c r="AO32" t="str">
        <f ca="1">IF(ELEMENT!$AG$48=TODAY(),CONCATENATE("
",Sprache!$B$126),"")</f>
        <v/>
      </c>
      <c r="AY32">
        <f>ELEMENT!D28/10</f>
        <v>0</v>
      </c>
      <c r="AZ32" t="str">
        <f>INT(AY32/2.54/12)&amp;"' "&amp;
IF(ROUND(MOD((MOD((AY32/2.54),12)*2.54),2.54)/2.54*16,0)=0,TEXT(INT((MOD((AY32/2.54),12)*2.54)/2.54),"0"),TEXT((MOD((AY32/2.54),12)*2.54)/2.54,"# ?/"&amp;INDEX({16;8;16;4;16;8;16;2;16;8;16;4;16;8;16},MOD(ROUND((MOD((AY32/2.54),12)*2.54)/2.54*16,0),16))))&amp;CHAR(34)&amp;""</f>
        <v>0' 0"</v>
      </c>
      <c r="BA32">
        <f>ELEMENT!E28/10</f>
        <v>0</v>
      </c>
      <c r="BB32" t="str">
        <f>INT(BA32/2.54/12)&amp;"' "&amp;
IF(ROUND(MOD((MOD((BA32/2.54),12)*2.54),2.54)/2.54*16,0)=0,TEXT(INT((MOD((BA32/2.54),12)*2.54)/2.54),"0"),TEXT((MOD((BA32/2.54),12)*2.54)/2.54,"# ?/"&amp;INDEX({16;8;16;4;16;8;16;2;16;8;16;4;16;8;16},MOD(ROUND((MOD((BA32/2.54),12)*2.54)/2.54*16,0),16))))&amp;CHAR(34)&amp;""</f>
        <v>0' 0"</v>
      </c>
    </row>
    <row r="33" spans="2:54" x14ac:dyDescent="0.2">
      <c r="B33">
        <f>IF(MONTAGE!B31="","",MONTAGE!B31)</f>
        <v>0</v>
      </c>
      <c r="C33" t="str">
        <f ca="1">CONCATENATE(IF(ELEMENT!D29="",ELEMENT!V29,IF(ELEMENT!AC29=0,"",
CONCATENATE(P33,Q33,R33,S33,T33,U33,V33,W33,Y33))))</f>
        <v>o/a frame size: 0 x 0mm  
(0' 0" x 0' 0")
2-tracks double glazed,  0 # of panel
0</v>
      </c>
      <c r="D33" t="str">
        <f>IF(MONTAGE!C31=0,Sprache!$B$86,SUM(MONTAGE!C31))</f>
        <v>per</v>
      </c>
      <c r="E33">
        <f ca="1">IF(ELEMENT!AW29="JA",ELEMENT!U29,SUM(MONTAGE!T31))</f>
        <v>0</v>
      </c>
      <c r="F33">
        <f ca="1">IF(ELEMENT!AW29="JA",IF(ELEMENT!C29=0,,ELEMENT!U29*ELEMENT!C29),SUM(MONTAGE!U31))</f>
        <v>0</v>
      </c>
      <c r="O33" t="e">
        <f ca="1">SUM(F33/ELEMENT!AA29)</f>
        <v>#DIV/0!</v>
      </c>
      <c r="P33" t="str">
        <f>IF(ELEMENT!A29="","",CONCATENATE(ELEMENT!A29,"
"))</f>
        <v/>
      </c>
      <c r="Q33" t="str">
        <f>IF(ELEMENT!$AS29="","",CONCATENATE(
IF(ELEMENT!$L$47=ELEMENT!$CK$55,Sprache!$B$79,Sprache!$B$78),
IF(ELEMENT!BC29&gt;0,CONCATENATE(" ",Sprache!$B$147),),": ",ROUND(ELEMENT!D29,0)," x ",ROUND(ELEMENT!E29,0),"mm "," ",
IF(OR(ELEMENT!$X$47=ELEMENT!$CS$65,ELEMENT!$X$47=ELEMENT!$CR$65),VZ!X33," "),"
"))</f>
        <v xml:space="preserve">o/a frame size: 0 x 0mm  
(0' 0" x 0' 0")
</v>
      </c>
      <c r="R33" t="str">
        <f>IF(ELEMENT!$AS29="","",CONCATENATE(ELEMENT!AR29,Sprache!$B$81,",","  "))</f>
        <v xml:space="preserve">2-tracks double glazed,  </v>
      </c>
      <c r="S33" t="str">
        <f>IF(ELEMENT!$D29="","",CONCATENATE(ELEMENT!Z29," ",Sprache!$B$84,"
"))</f>
        <v xml:space="preserve">0 # of panel
</v>
      </c>
      <c r="T33" t="str">
        <f>IF(OR(ELEMENT!$AS29="",ELEMENT!R29+ELEMENT!S29+ELEMENT!T29+ELEMENT!X29=0),"",
CONCATENATE(IF(ELEMENT!X29="",0,ELEMENT!X29)," ",Sprache!$B$11," ",Sprache!$B$85,",  "))</f>
        <v/>
      </c>
      <c r="U33" t="str">
        <f>IF(OR(ELEMENT!$AS29="",ELEMENT!R29+ELEMENT!S29+ELEMENT!T29+ELEMENT!X29=0),"",
CONCATENATE(SUM(ELEMENT!R29:S29)," ",Sprache!$B$11," ",IF(SUM(ELEMENT!R29:S29)&lt;2,Sprache!$B$69,Sprache!$B$70),"
"))</f>
        <v/>
      </c>
      <c r="V33" t="str">
        <f>IF(ELEMENT!X29=0,"",IF(ELEMENT!EK29&gt;ELEMENT!EJ29,Sprache!$B$99&amp;"
",""))</f>
        <v/>
      </c>
      <c r="W33" t="str">
        <f>IF(ELEMENT!G29=ELEMENT!$CK$59,CONCATENATE(Sprache!$B$123,"
"),IF(ELEMENT!G29=ELEMENT!$CL$59,CONCATENATE(Sprache!$B$124,"
"),""))</f>
        <v/>
      </c>
      <c r="X33" t="str">
        <f t="shared" si="0"/>
        <v xml:space="preserve">
(0' 0" x 0' 0")</v>
      </c>
      <c r="Y33">
        <f ca="1">IF(1=Sprache!$Z$1,
IF(ELEMENT!AC29="",,CONCATENATE(AD33,AE33,AF33,AG33,AI33,AJ33,AK33,Sprache!$B$87,":",LS,Z33,AH33)),
IF(ELEMENT!AC29="",,CONCATENATE(AD33,AE33,AF33,AG33,AI33,AJ33,AK33,Sprache!$B$87,":",LS,Z33,"
",AA33,LS,LS,AB33,"
",Sprache!$B$91," ",AC33,AH33)))</f>
        <v>0</v>
      </c>
      <c r="Z33">
        <f>ELEMENT!DP29</f>
        <v>0</v>
      </c>
      <c r="AA33" t="e">
        <f>ELEMENT!$CU$51&amp;LS&amp;ELEMENT!DR29&amp;LS&amp;$AA$7</f>
        <v>#N/A</v>
      </c>
      <c r="AB33" t="e">
        <f>ELEMENT!$CU$53&amp;"   "&amp;ELEMENT!DO29</f>
        <v>#N/A</v>
      </c>
      <c r="AC33" t="str">
        <f>ELEMENT!$B$47</f>
        <v>E6 EV1 (20my)</v>
      </c>
      <c r="AD33" t="str">
        <f>IF(ELEMENT!BB29=0,"",CONCATENATE(ELEMENT!BB29," ",Sprache!$B$12," ",Sprache!$B$98,"
"))</f>
        <v/>
      </c>
      <c r="AE33" t="str">
        <f>IF(ELEMENT!BA29=0,"",CONCATENATE(ELEMENT!BA29," ",Sprache!$B$71,"
"))</f>
        <v/>
      </c>
      <c r="AF33" t="str">
        <f>CONCATENATE(IF(ELEMENT!BD144=1,CONCATENATE(Sprache!$B$137," ",Sprache!$B$145,"
"),""),
IF(ELEMENT!BE144=1,CONCATENATE(Sprache!$B$137," ",Sprache!$B$146,"
"),""))</f>
        <v/>
      </c>
      <c r="AG33" t="str">
        <f>IF(ELEMENT!BD29=0,"",CONCATENATE(ELEMENT!BD29," ",Sprache!$B$11," ",Sprache!$B$138,"
"))</f>
        <v/>
      </c>
      <c r="AH33" t="str">
        <f>IF(ELEMENT!AX29="","",CONCATENATE("
",ELEMENT!AX29))</f>
        <v/>
      </c>
      <c r="AI33" t="str">
        <f>IF(ELEMENT!AP29=2,CONCATENATE(Sprache!$B$149,"
"),
IF(ELEMENT!AP29=1,CONCATENATE(Sprache!$B$148,"
"),""))</f>
        <v/>
      </c>
      <c r="AJ33" t="str">
        <f>IF(ELEMENT!AW29=ELEMENT!$CJ$73,"",IF(ELEMENT!AW29=ELEMENT!$CK$73,CONCATENATE(Sprache!$B$150,"
"),
IF(ELEMENT!AW29=ELEMENT!$CL$73,CONCATENATE(Sprache!$B$151,"
"),
IF(ELEMENT!AW29=ELEMENT!$CM$73,CONCATENATE(Sprache!$B$152,"
"),
IF(ELEMENT!AW29=ELEMENT!$CN$73,CONCATENATE(Sprache!$B$151,"
",Sprache!$B$152,"
"),"")))))</f>
        <v/>
      </c>
      <c r="AK33" t="str">
        <f>IF(ELEMENT!BA144=1,CONCATENATE(Sprache!$B$161,"
"),"")</f>
        <v/>
      </c>
      <c r="AO33" t="str">
        <f ca="1">IF(ELEMENT!$AG$48=TODAY(),CONCATENATE("
",Sprache!$B$126),"")</f>
        <v/>
      </c>
      <c r="AY33">
        <f>ELEMENT!D29/10</f>
        <v>0</v>
      </c>
      <c r="AZ33" t="str">
        <f>INT(AY33/2.54/12)&amp;"' "&amp;
IF(ROUND(MOD((MOD((AY33/2.54),12)*2.54),2.54)/2.54*16,0)=0,TEXT(INT((MOD((AY33/2.54),12)*2.54)/2.54),"0"),TEXT((MOD((AY33/2.54),12)*2.54)/2.54,"# ?/"&amp;INDEX({16;8;16;4;16;8;16;2;16;8;16;4;16;8;16},MOD(ROUND((MOD((AY33/2.54),12)*2.54)/2.54*16,0),16))))&amp;CHAR(34)&amp;""</f>
        <v>0' 0"</v>
      </c>
      <c r="BA33">
        <f>ELEMENT!E29/10</f>
        <v>0</v>
      </c>
      <c r="BB33" t="str">
        <f>INT(BA33/2.54/12)&amp;"' "&amp;
IF(ROUND(MOD((MOD((BA33/2.54),12)*2.54),2.54)/2.54*16,0)=0,TEXT(INT((MOD((BA33/2.54),12)*2.54)/2.54),"0"),TEXT((MOD((BA33/2.54),12)*2.54)/2.54,"# ?/"&amp;INDEX({16;8;16;4;16;8;16;2;16;8;16;4;16;8;16},MOD(ROUND((MOD((BA33/2.54),12)*2.54)/2.54*16,0),16))))&amp;CHAR(34)&amp;""</f>
        <v>0' 0"</v>
      </c>
    </row>
    <row r="34" spans="2:54" x14ac:dyDescent="0.2">
      <c r="B34">
        <f>IF(MONTAGE!B32="","",MONTAGE!B32)</f>
        <v>0</v>
      </c>
      <c r="C34" t="str">
        <f ca="1">CONCATENATE(IF(ELEMENT!D30="",ELEMENT!V30,IF(ELEMENT!AC30=0,"",
CONCATENATE(P34,Q34,R34,S34,T34,U34,V34,W34,Y34))))</f>
        <v>o/a frame size: 0 x 0mm  
(0' 0" x 0' 0")
2-tracks double glazed,  0 # of panel
0</v>
      </c>
      <c r="D34" t="str">
        <f>IF(MONTAGE!C32=0,Sprache!$B$86,SUM(MONTAGE!C32))</f>
        <v>per</v>
      </c>
      <c r="E34">
        <f ca="1">IF(ELEMENT!AW30="JA",ELEMENT!U30,SUM(MONTAGE!T32))</f>
        <v>0</v>
      </c>
      <c r="F34">
        <f ca="1">IF(ELEMENT!AW30="JA",IF(ELEMENT!C30=0,,ELEMENT!U30*ELEMENT!C30),SUM(MONTAGE!U32))</f>
        <v>0</v>
      </c>
      <c r="O34" t="e">
        <f ca="1">SUM(F34/ELEMENT!AA30)</f>
        <v>#DIV/0!</v>
      </c>
      <c r="P34" t="str">
        <f>IF(ELEMENT!A30="","",CONCATENATE(ELEMENT!A30,"
"))</f>
        <v/>
      </c>
      <c r="Q34" t="str">
        <f>IF(ELEMENT!$AS30="","",CONCATENATE(
IF(ELEMENT!$L$47=ELEMENT!$CK$55,Sprache!$B$79,Sprache!$B$78),
IF(ELEMENT!BC30&gt;0,CONCATENATE(" ",Sprache!$B$147),),": ",ROUND(ELEMENT!D30,0)," x ",ROUND(ELEMENT!E30,0),"mm "," ",
IF(OR(ELEMENT!$X$47=ELEMENT!$CS$65,ELEMENT!$X$47=ELEMENT!$CR$65),VZ!X34," "),"
"))</f>
        <v xml:space="preserve">o/a frame size: 0 x 0mm  
(0' 0" x 0' 0")
</v>
      </c>
      <c r="R34" t="str">
        <f>IF(ELEMENT!$AS30="","",CONCATENATE(ELEMENT!AR30,Sprache!$B$81,",","  "))</f>
        <v xml:space="preserve">2-tracks double glazed,  </v>
      </c>
      <c r="S34" t="str">
        <f>IF(ELEMENT!$D30="","",CONCATENATE(ELEMENT!Z30," ",Sprache!$B$84,"
"))</f>
        <v xml:space="preserve">0 # of panel
</v>
      </c>
      <c r="T34" t="str">
        <f>IF(OR(ELEMENT!$AS30="",ELEMENT!R30+ELEMENT!S30+ELEMENT!T30+ELEMENT!X30=0),"",
CONCATENATE(IF(ELEMENT!X30="",0,ELEMENT!X30)," ",Sprache!$B$11," ",Sprache!$B$85,",  "))</f>
        <v/>
      </c>
      <c r="U34" t="str">
        <f>IF(OR(ELEMENT!$AS30="",ELEMENT!R30+ELEMENT!S30+ELEMENT!T30+ELEMENT!X30=0),"",
CONCATENATE(SUM(ELEMENT!R30:S30)," ",Sprache!$B$11," ",IF(SUM(ELEMENT!R30:S30)&lt;2,Sprache!$B$69,Sprache!$B$70),"
"))</f>
        <v/>
      </c>
      <c r="V34" t="str">
        <f>IF(ELEMENT!X30=0,"",IF(ELEMENT!EK30&gt;ELEMENT!EJ30,Sprache!$B$99&amp;"
",""))</f>
        <v/>
      </c>
      <c r="W34" t="str">
        <f>IF(ELEMENT!G30=ELEMENT!$CK$59,CONCATENATE(Sprache!$B$123,"
"),IF(ELEMENT!G30=ELEMENT!$CL$59,CONCATENATE(Sprache!$B$124,"
"),""))</f>
        <v/>
      </c>
      <c r="X34" t="str">
        <f t="shared" si="0"/>
        <v xml:space="preserve">
(0' 0" x 0' 0")</v>
      </c>
      <c r="Y34">
        <f ca="1">IF(1=Sprache!$Z$1,
IF(ELEMENT!AC30="",,CONCATENATE(AD34,AE34,AF34,AG34,AI34,AJ34,AK34,Sprache!$B$87,":",LS,Z34,AH34)),
IF(ELEMENT!AC30="",,CONCATENATE(AD34,AE34,AF34,AG34,AI34,AJ34,AK34,Sprache!$B$87,":",LS,Z34,"
",AA34,LS,LS,AB34,"
",Sprache!$B$91," ",AC34,AH34)))</f>
        <v>0</v>
      </c>
      <c r="Z34">
        <f>ELEMENT!DP30</f>
        <v>0</v>
      </c>
      <c r="AA34" t="e">
        <f>ELEMENT!$CU$51&amp;LS&amp;ELEMENT!DR30&amp;LS&amp;$AA$7</f>
        <v>#N/A</v>
      </c>
      <c r="AB34" t="e">
        <f>ELEMENT!$CU$53&amp;"   "&amp;ELEMENT!DO30</f>
        <v>#N/A</v>
      </c>
      <c r="AC34" t="str">
        <f>ELEMENT!$B$47</f>
        <v>E6 EV1 (20my)</v>
      </c>
      <c r="AD34" t="str">
        <f>IF(ELEMENT!BB30=0,"",CONCATENATE(ELEMENT!BB30," ",Sprache!$B$12," ",Sprache!$B$98,"
"))</f>
        <v/>
      </c>
      <c r="AE34" t="str">
        <f>IF(ELEMENT!BA30=0,"",CONCATENATE(ELEMENT!BA30," ",Sprache!$B$71,"
"))</f>
        <v/>
      </c>
      <c r="AF34" t="str">
        <f>CONCATENATE(IF(ELEMENT!BD145=1,CONCATENATE(Sprache!$B$137," ",Sprache!$B$145,"
"),""),
IF(ELEMENT!BE145=1,CONCATENATE(Sprache!$B$137," ",Sprache!$B$146,"
"),""))</f>
        <v/>
      </c>
      <c r="AG34" t="str">
        <f>IF(ELEMENT!BD30=0,"",CONCATENATE(ELEMENT!BD30," ",Sprache!$B$11," ",Sprache!$B$138,"
"))</f>
        <v/>
      </c>
      <c r="AH34" t="str">
        <f>IF(ELEMENT!AX30="","",CONCATENATE("
",ELEMENT!AX30))</f>
        <v/>
      </c>
      <c r="AI34" t="str">
        <f>IF(ELEMENT!AP30=2,CONCATENATE(Sprache!$B$149,"
"),
IF(ELEMENT!AP30=1,CONCATENATE(Sprache!$B$148,"
"),""))</f>
        <v/>
      </c>
      <c r="AJ34" t="str">
        <f>IF(ELEMENT!AW30=ELEMENT!$CJ$73,"",IF(ELEMENT!AW30=ELEMENT!$CK$73,CONCATENATE(Sprache!$B$150,"
"),
IF(ELEMENT!AW30=ELEMENT!$CL$73,CONCATENATE(Sprache!$B$151,"
"),
IF(ELEMENT!AW30=ELEMENT!$CM$73,CONCATENATE(Sprache!$B$152,"
"),
IF(ELEMENT!AW30=ELEMENT!$CN$73,CONCATENATE(Sprache!$B$151,"
",Sprache!$B$152,"
"),"")))))</f>
        <v/>
      </c>
      <c r="AK34" t="str">
        <f>IF(ELEMENT!BA145=1,CONCATENATE(Sprache!$B$161,"
"),"")</f>
        <v/>
      </c>
      <c r="AO34" t="str">
        <f ca="1">IF(ELEMENT!$AG$48=TODAY(),CONCATENATE("
",Sprache!$B$126),"")</f>
        <v/>
      </c>
      <c r="AY34">
        <f>ELEMENT!D30/10</f>
        <v>0</v>
      </c>
      <c r="AZ34" t="str">
        <f>INT(AY34/2.54/12)&amp;"' "&amp;
IF(ROUND(MOD((MOD((AY34/2.54),12)*2.54),2.54)/2.54*16,0)=0,TEXT(INT((MOD((AY34/2.54),12)*2.54)/2.54),"0"),TEXT((MOD((AY34/2.54),12)*2.54)/2.54,"# ?/"&amp;INDEX({16;8;16;4;16;8;16;2;16;8;16;4;16;8;16},MOD(ROUND((MOD((AY34/2.54),12)*2.54)/2.54*16,0),16))))&amp;CHAR(34)&amp;""</f>
        <v>0' 0"</v>
      </c>
      <c r="BA34">
        <f>ELEMENT!E30/10</f>
        <v>0</v>
      </c>
      <c r="BB34" t="str">
        <f>INT(BA34/2.54/12)&amp;"' "&amp;
IF(ROUND(MOD((MOD((BA34/2.54),12)*2.54),2.54)/2.54*16,0)=0,TEXT(INT((MOD((BA34/2.54),12)*2.54)/2.54),"0"),TEXT((MOD((BA34/2.54),12)*2.54)/2.54,"# ?/"&amp;INDEX({16;8;16;4;16;8;16;2;16;8;16;4;16;8;16},MOD(ROUND((MOD((BA34/2.54),12)*2.54)/2.54*16,0),16))))&amp;CHAR(34)&amp;""</f>
        <v>0' 0"</v>
      </c>
    </row>
    <row r="35" spans="2:54" x14ac:dyDescent="0.2">
      <c r="B35">
        <f>IF(MONTAGE!B33="","",MONTAGE!B33)</f>
        <v>0</v>
      </c>
      <c r="C35" t="str">
        <f ca="1">CONCATENATE(IF(ELEMENT!D31="",ELEMENT!V31,IF(ELEMENT!AC31=0,"",
CONCATENATE(P35,Q35,R35,S35,T35,U35,V35,W35,Y35))))</f>
        <v>o/a frame size: 0 x 0mm  
(0' 0" x 0' 0")
2-tracks double glazed,  0 # of panel
0</v>
      </c>
      <c r="D35" t="str">
        <f>IF(MONTAGE!C33=0,Sprache!$B$86,SUM(MONTAGE!C33))</f>
        <v>per</v>
      </c>
      <c r="E35">
        <f ca="1">IF(ELEMENT!AW31="JA",ELEMENT!U31,SUM(MONTAGE!T33))</f>
        <v>0</v>
      </c>
      <c r="F35">
        <f ca="1">IF(ELEMENT!AW31="JA",IF(ELEMENT!C31=0,,ELEMENT!U31*ELEMENT!C31),SUM(MONTAGE!U33))</f>
        <v>0</v>
      </c>
      <c r="O35" t="e">
        <f ca="1">SUM(F35/ELEMENT!AA31)</f>
        <v>#DIV/0!</v>
      </c>
      <c r="P35" t="str">
        <f>IF(ELEMENT!A31="","",CONCATENATE(ELEMENT!A31,"
"))</f>
        <v/>
      </c>
      <c r="Q35" t="str">
        <f>IF(ELEMENT!$AS31="","",CONCATENATE(
IF(ELEMENT!$L$47=ELEMENT!$CK$55,Sprache!$B$79,Sprache!$B$78),
IF(ELEMENT!BC31&gt;0,CONCATENATE(" ",Sprache!$B$147),),": ",ROUND(ELEMENT!D31,0)," x ",ROUND(ELEMENT!E31,0),"mm "," ",
IF(OR(ELEMENT!$X$47=ELEMENT!$CS$65,ELEMENT!$X$47=ELEMENT!$CR$65),VZ!X35," "),"
"))</f>
        <v xml:space="preserve">o/a frame size: 0 x 0mm  
(0' 0" x 0' 0")
</v>
      </c>
      <c r="R35" t="str">
        <f>IF(ELEMENT!$AS31="","",CONCATENATE(ELEMENT!AR31,Sprache!$B$81,",","  "))</f>
        <v xml:space="preserve">2-tracks double glazed,  </v>
      </c>
      <c r="S35" t="str">
        <f>IF(ELEMENT!$D31="","",CONCATENATE(ELEMENT!Z31," ",Sprache!$B$84,"
"))</f>
        <v xml:space="preserve">0 # of panel
</v>
      </c>
      <c r="T35" t="str">
        <f>IF(OR(ELEMENT!$AS31="",ELEMENT!R31+ELEMENT!S31+ELEMENT!T31+ELEMENT!X31=0),"",
CONCATENATE(IF(ELEMENT!X31="",0,ELEMENT!X31)," ",Sprache!$B$11," ",Sprache!$B$85,",  "))</f>
        <v/>
      </c>
      <c r="U35" t="str">
        <f>IF(OR(ELEMENT!$AS31="",ELEMENT!R31+ELEMENT!S31+ELEMENT!T31+ELEMENT!X31=0),"",
CONCATENATE(SUM(ELEMENT!R31:S31)," ",Sprache!$B$11," ",IF(SUM(ELEMENT!R31:S31)&lt;2,Sprache!$B$69,Sprache!$B$70),"
"))</f>
        <v/>
      </c>
      <c r="V35" t="str">
        <f>IF(ELEMENT!X31=0,"",IF(ELEMENT!EK31&gt;ELEMENT!EJ31,Sprache!$B$99&amp;"
",""))</f>
        <v/>
      </c>
      <c r="W35" t="str">
        <f>IF(ELEMENT!G31=ELEMENT!$CK$59,CONCATENATE(Sprache!$B$123,"
"),IF(ELEMENT!G31=ELEMENT!$CL$59,CONCATENATE(Sprache!$B$124,"
"),""))</f>
        <v/>
      </c>
      <c r="X35" t="str">
        <f t="shared" si="0"/>
        <v xml:space="preserve">
(0' 0" x 0' 0")</v>
      </c>
      <c r="Y35">
        <f ca="1">IF(1=Sprache!$Z$1,
IF(ELEMENT!AC31="",,CONCATENATE(AD35,AE35,AF35,AG35,AI35,AJ35,AK35,Sprache!$B$87,":",LS,Z35,AH35)),
IF(ELEMENT!AC31="",,CONCATENATE(AD35,AE35,AF35,AG35,AI35,AJ35,AK35,Sprache!$B$87,":",LS,Z35,"
",AA35,LS,LS,AB35,"
",Sprache!$B$91," ",AC35,AH35)))</f>
        <v>0</v>
      </c>
      <c r="Z35">
        <f>ELEMENT!DP31</f>
        <v>0</v>
      </c>
      <c r="AA35" t="e">
        <f>ELEMENT!$CU$51&amp;LS&amp;ELEMENT!DR31&amp;LS&amp;$AA$7</f>
        <v>#N/A</v>
      </c>
      <c r="AB35" t="e">
        <f>ELEMENT!$CU$53&amp;"   "&amp;ELEMENT!DO31</f>
        <v>#N/A</v>
      </c>
      <c r="AC35" t="str">
        <f>ELEMENT!$B$47</f>
        <v>E6 EV1 (20my)</v>
      </c>
      <c r="AD35" t="str">
        <f>IF(ELEMENT!BB31=0,"",CONCATENATE(ELEMENT!BB31," ",Sprache!$B$12," ",Sprache!$B$98,"
"))</f>
        <v/>
      </c>
      <c r="AE35" t="str">
        <f>IF(ELEMENT!BA31=0,"",CONCATENATE(ELEMENT!BA31," ",Sprache!$B$71,"
"))</f>
        <v/>
      </c>
      <c r="AF35" t="str">
        <f>CONCATENATE(IF(ELEMENT!BD146=1,CONCATENATE(Sprache!$B$137," ",Sprache!$B$145,"
"),""),
IF(ELEMENT!BE146=1,CONCATENATE(Sprache!$B$137," ",Sprache!$B$146,"
"),""))</f>
        <v/>
      </c>
      <c r="AG35" t="str">
        <f>IF(ELEMENT!BD31=0,"",CONCATENATE(ELEMENT!BD31," ",Sprache!$B$11," ",Sprache!$B$138,"
"))</f>
        <v/>
      </c>
      <c r="AH35" t="str">
        <f>IF(ELEMENT!AX31="","",CONCATENATE("
",ELEMENT!AX31))</f>
        <v/>
      </c>
      <c r="AI35" t="str">
        <f>IF(ELEMENT!AP31=2,CONCATENATE(Sprache!$B$149,"
"),
IF(ELEMENT!AP31=1,CONCATENATE(Sprache!$B$148,"
"),""))</f>
        <v/>
      </c>
      <c r="AJ35" t="str">
        <f>IF(ELEMENT!AW31=ELEMENT!$CJ$73,"",IF(ELEMENT!AW31=ELEMENT!$CK$73,CONCATENATE(Sprache!$B$150,"
"),
IF(ELEMENT!AW31=ELEMENT!$CL$73,CONCATENATE(Sprache!$B$151,"
"),
IF(ELEMENT!AW31=ELEMENT!$CM$73,CONCATENATE(Sprache!$B$152,"
"),
IF(ELEMENT!AW31=ELEMENT!$CN$73,CONCATENATE(Sprache!$B$151,"
",Sprache!$B$152,"
"),"")))))</f>
        <v/>
      </c>
      <c r="AK35" t="str">
        <f>IF(ELEMENT!BA146=1,CONCATENATE(Sprache!$B$161,"
"),"")</f>
        <v/>
      </c>
      <c r="AO35" t="str">
        <f ca="1">IF(ELEMENT!$AG$48=TODAY(),CONCATENATE("
",Sprache!$B$126),"")</f>
        <v/>
      </c>
      <c r="AY35">
        <f>ELEMENT!D31/10</f>
        <v>0</v>
      </c>
      <c r="AZ35" t="str">
        <f>INT(AY35/2.54/12)&amp;"' "&amp;
IF(ROUND(MOD((MOD((AY35/2.54),12)*2.54),2.54)/2.54*16,0)=0,TEXT(INT((MOD((AY35/2.54),12)*2.54)/2.54),"0"),TEXT((MOD((AY35/2.54),12)*2.54)/2.54,"# ?/"&amp;INDEX({16;8;16;4;16;8;16;2;16;8;16;4;16;8;16},MOD(ROUND((MOD((AY35/2.54),12)*2.54)/2.54*16,0),16))))&amp;CHAR(34)&amp;""</f>
        <v>0' 0"</v>
      </c>
      <c r="BA35">
        <f>ELEMENT!E31/10</f>
        <v>0</v>
      </c>
      <c r="BB35" t="str">
        <f>INT(BA35/2.54/12)&amp;"' "&amp;
IF(ROUND(MOD((MOD((BA35/2.54),12)*2.54),2.54)/2.54*16,0)=0,TEXT(INT((MOD((BA35/2.54),12)*2.54)/2.54),"0"),TEXT((MOD((BA35/2.54),12)*2.54)/2.54,"# ?/"&amp;INDEX({16;8;16;4;16;8;16;2;16;8;16;4;16;8;16},MOD(ROUND((MOD((BA35/2.54),12)*2.54)/2.54*16,0),16))))&amp;CHAR(34)&amp;""</f>
        <v>0' 0"</v>
      </c>
    </row>
    <row r="36" spans="2:54" x14ac:dyDescent="0.2">
      <c r="B36">
        <f>IF(MONTAGE!B34="","",MONTAGE!B34)</f>
        <v>0</v>
      </c>
      <c r="C36" t="str">
        <f ca="1">CONCATENATE(IF(ELEMENT!D32="",ELEMENT!V32,IF(ELEMENT!AC32=0,"",
CONCATENATE(P36,Q36,R36,S36,T36,U36,V36,W36,Y36))))</f>
        <v>o/a frame size: 0 x 0mm  
(0' 0" x 0' 0")
2-tracks double glazed,  0 # of panel
0</v>
      </c>
      <c r="D36" t="str">
        <f>IF(MONTAGE!C34=0,Sprache!$B$86,SUM(MONTAGE!C34))</f>
        <v>per</v>
      </c>
      <c r="E36">
        <f ca="1">IF(ELEMENT!AW32="JA",ELEMENT!U32,SUM(MONTAGE!T34))</f>
        <v>0</v>
      </c>
      <c r="F36">
        <f ca="1">IF(ELEMENT!AW32="JA",IF(ELEMENT!C32=0,,ELEMENT!U32*ELEMENT!C32),SUM(MONTAGE!U34))</f>
        <v>0</v>
      </c>
      <c r="O36" t="e">
        <f ca="1">SUM(F36/ELEMENT!AA32)</f>
        <v>#DIV/0!</v>
      </c>
      <c r="P36" t="str">
        <f>IF(ELEMENT!A32="","",CONCATENATE(ELEMENT!A32,"
"))</f>
        <v/>
      </c>
      <c r="Q36" t="str">
        <f>IF(ELEMENT!$AS32="","",CONCATENATE(
IF(ELEMENT!$L$47=ELEMENT!$CK$55,Sprache!$B$79,Sprache!$B$78),
IF(ELEMENT!BC32&gt;0,CONCATENATE(" ",Sprache!$B$147),),": ",ROUND(ELEMENT!D32,0)," x ",ROUND(ELEMENT!E32,0),"mm "," ",
IF(OR(ELEMENT!$X$47=ELEMENT!$CS$65,ELEMENT!$X$47=ELEMENT!$CR$65),VZ!X36," "),"
"))</f>
        <v xml:space="preserve">o/a frame size: 0 x 0mm  
(0' 0" x 0' 0")
</v>
      </c>
      <c r="R36" t="str">
        <f>IF(ELEMENT!$AS32="","",CONCATENATE(ELEMENT!AR32,Sprache!$B$81,",","  "))</f>
        <v xml:space="preserve">2-tracks double glazed,  </v>
      </c>
      <c r="S36" t="str">
        <f>IF(ELEMENT!$D32="","",CONCATENATE(ELEMENT!Z32," ",Sprache!$B$84,"
"))</f>
        <v xml:space="preserve">0 # of panel
</v>
      </c>
      <c r="T36" t="str">
        <f>IF(OR(ELEMENT!$AS32="",ELEMENT!R32+ELEMENT!S32+ELEMENT!T32+ELEMENT!X32=0),"",
CONCATENATE(IF(ELEMENT!X32="",0,ELEMENT!X32)," ",Sprache!$B$11," ",Sprache!$B$85,",  "))</f>
        <v/>
      </c>
      <c r="U36" t="str">
        <f>IF(OR(ELEMENT!$AS32="",ELEMENT!R32+ELEMENT!S32+ELEMENT!T32+ELEMENT!X32=0),"",
CONCATENATE(SUM(ELEMENT!R32:S32)," ",Sprache!$B$11," ",IF(SUM(ELEMENT!R32:S32)&lt;2,Sprache!$B$69,Sprache!$B$70),"
"))</f>
        <v/>
      </c>
      <c r="V36" t="str">
        <f>IF(ELEMENT!X32=0,"",IF(ELEMENT!EK32&gt;ELEMENT!EJ32,Sprache!$B$99&amp;"
",""))</f>
        <v/>
      </c>
      <c r="W36" t="str">
        <f>IF(ELEMENT!G32=ELEMENT!$CK$59,CONCATENATE(Sprache!$B$123,"
"),IF(ELEMENT!G32=ELEMENT!$CL$59,CONCATENATE(Sprache!$B$124,"
"),""))</f>
        <v/>
      </c>
      <c r="X36" t="str">
        <f t="shared" si="0"/>
        <v xml:space="preserve">
(0' 0" x 0' 0")</v>
      </c>
      <c r="Y36">
        <f ca="1">IF(1=Sprache!$Z$1,
IF(ELEMENT!AC32="",,CONCATENATE(AD36,AE36,AF36,AG36,AI36,AJ36,AK36,Sprache!$B$87,":",LS,Z36,AH36)),
IF(ELEMENT!AC32="",,CONCATENATE(AD36,AE36,AF36,AG36,AI36,AJ36,AK36,Sprache!$B$87,":",LS,Z36,"
",AA36,LS,LS,AB36,"
",Sprache!$B$91," ",AC36,AH36)))</f>
        <v>0</v>
      </c>
      <c r="Z36">
        <f>ELEMENT!DP32</f>
        <v>0</v>
      </c>
      <c r="AA36" t="e">
        <f>ELEMENT!$CU$51&amp;LS&amp;ELEMENT!DR32&amp;LS&amp;$AA$7</f>
        <v>#N/A</v>
      </c>
      <c r="AB36" t="e">
        <f>ELEMENT!$CU$53&amp;"   "&amp;ELEMENT!DO32</f>
        <v>#N/A</v>
      </c>
      <c r="AC36" t="str">
        <f>ELEMENT!$B$47</f>
        <v>E6 EV1 (20my)</v>
      </c>
      <c r="AD36" t="str">
        <f>IF(ELEMENT!BB32=0,"",CONCATENATE(ELEMENT!BB32," ",Sprache!$B$12," ",Sprache!$B$98,"
"))</f>
        <v/>
      </c>
      <c r="AE36" t="str">
        <f>IF(ELEMENT!BA32=0,"",CONCATENATE(ELEMENT!BA32," ",Sprache!$B$71,"
"))</f>
        <v/>
      </c>
      <c r="AF36" t="str">
        <f>CONCATENATE(IF(ELEMENT!BD147=1,CONCATENATE(Sprache!$B$137," ",Sprache!$B$145,"
"),""),
IF(ELEMENT!BE147=1,CONCATENATE(Sprache!$B$137," ",Sprache!$B$146,"
"),""))</f>
        <v/>
      </c>
      <c r="AG36" t="str">
        <f>IF(ELEMENT!BD32=0,"",CONCATENATE(ELEMENT!BD32," ",Sprache!$B$11," ",Sprache!$B$138,"
"))</f>
        <v/>
      </c>
      <c r="AH36" t="str">
        <f>IF(ELEMENT!AX32="","",CONCATENATE("
",ELEMENT!AX32))</f>
        <v/>
      </c>
      <c r="AI36" t="str">
        <f>IF(ELEMENT!AP32=2,CONCATENATE(Sprache!$B$149,"
"),
IF(ELEMENT!AP32=1,CONCATENATE(Sprache!$B$148,"
"),""))</f>
        <v/>
      </c>
      <c r="AJ36" t="str">
        <f>IF(ELEMENT!AW32=ELEMENT!$CJ$73,"",IF(ELEMENT!AW32=ELEMENT!$CK$73,CONCATENATE(Sprache!$B$150,"
"),
IF(ELEMENT!AW32=ELEMENT!$CL$73,CONCATENATE(Sprache!$B$151,"
"),
IF(ELEMENT!AW32=ELEMENT!$CM$73,CONCATENATE(Sprache!$B$152,"
"),
IF(ELEMENT!AW32=ELEMENT!$CN$73,CONCATENATE(Sprache!$B$151,"
",Sprache!$B$152,"
"),"")))))</f>
        <v/>
      </c>
      <c r="AK36" t="str">
        <f>IF(ELEMENT!BA147=1,CONCATENATE(Sprache!$B$161,"
"),"")</f>
        <v/>
      </c>
      <c r="AO36" t="str">
        <f ca="1">IF(ELEMENT!$AG$48=TODAY(),CONCATENATE("
",Sprache!$B$126),"")</f>
        <v/>
      </c>
      <c r="AY36">
        <f>ELEMENT!D32/10</f>
        <v>0</v>
      </c>
      <c r="AZ36" t="str">
        <f>INT(AY36/2.54/12)&amp;"' "&amp;
IF(ROUND(MOD((MOD((AY36/2.54),12)*2.54),2.54)/2.54*16,0)=0,TEXT(INT((MOD((AY36/2.54),12)*2.54)/2.54),"0"),TEXT((MOD((AY36/2.54),12)*2.54)/2.54,"# ?/"&amp;INDEX({16;8;16;4;16;8;16;2;16;8;16;4;16;8;16},MOD(ROUND((MOD((AY36/2.54),12)*2.54)/2.54*16,0),16))))&amp;CHAR(34)&amp;""</f>
        <v>0' 0"</v>
      </c>
      <c r="BA36">
        <f>ELEMENT!E32/10</f>
        <v>0</v>
      </c>
      <c r="BB36" t="str">
        <f>INT(BA36/2.54/12)&amp;"' "&amp;
IF(ROUND(MOD((MOD((BA36/2.54),12)*2.54),2.54)/2.54*16,0)=0,TEXT(INT((MOD((BA36/2.54),12)*2.54)/2.54),"0"),TEXT((MOD((BA36/2.54),12)*2.54)/2.54,"# ?/"&amp;INDEX({16;8;16;4;16;8;16;2;16;8;16;4;16;8;16},MOD(ROUND((MOD((BA36/2.54),12)*2.54)/2.54*16,0),16))))&amp;CHAR(34)&amp;""</f>
        <v>0' 0"</v>
      </c>
    </row>
    <row r="37" spans="2:54" x14ac:dyDescent="0.2">
      <c r="B37">
        <f>IF(MONTAGE!B35="","",MONTAGE!B35)</f>
        <v>0</v>
      </c>
      <c r="C37" t="str">
        <f ca="1">CONCATENATE(IF(ELEMENT!D33="",ELEMENT!V33,IF(ELEMENT!AC33=0,"",
CONCATENATE(P37,Q37,R37,S37,T37,U37,V37,W37,Y37))))</f>
        <v>o/a frame size: 0 x 0mm  
(0' 0" x 0' 0")
2-tracks double glazed,  0 # of panel
0</v>
      </c>
      <c r="D37" t="str">
        <f>IF(MONTAGE!C35=0,Sprache!$B$86,SUM(MONTAGE!C35))</f>
        <v>per</v>
      </c>
      <c r="E37">
        <f ca="1">IF(ELEMENT!AW33="JA",ELEMENT!U33,SUM(MONTAGE!T35))</f>
        <v>0</v>
      </c>
      <c r="F37">
        <f ca="1">IF(ELEMENT!AW33="JA",IF(ELEMENT!C33=0,,ELEMENT!U33*ELEMENT!C33),SUM(MONTAGE!U35))</f>
        <v>0</v>
      </c>
      <c r="O37" t="e">
        <f ca="1">SUM(F37/ELEMENT!AA33)</f>
        <v>#DIV/0!</v>
      </c>
      <c r="P37" t="str">
        <f>IF(ELEMENT!A33="","",CONCATENATE(ELEMENT!A33,"
"))</f>
        <v/>
      </c>
      <c r="Q37" t="str">
        <f>IF(ELEMENT!$AS33="","",CONCATENATE(
IF(ELEMENT!$L$47=ELEMENT!$CK$55,Sprache!$B$79,Sprache!$B$78),
IF(ELEMENT!BC33&gt;0,CONCATENATE(" ",Sprache!$B$147),),": ",ROUND(ELEMENT!D33,0)," x ",ROUND(ELEMENT!E33,0),"mm "," ",
IF(OR(ELEMENT!$X$47=ELEMENT!$CS$65,ELEMENT!$X$47=ELEMENT!$CR$65),VZ!X37," "),"
"))</f>
        <v xml:space="preserve">o/a frame size: 0 x 0mm  
(0' 0" x 0' 0")
</v>
      </c>
      <c r="R37" t="str">
        <f>IF(ELEMENT!$AS33="","",CONCATENATE(ELEMENT!AR33,Sprache!$B$81,",","  "))</f>
        <v xml:space="preserve">2-tracks double glazed,  </v>
      </c>
      <c r="S37" t="str">
        <f>IF(ELEMENT!$D33="","",CONCATENATE(ELEMENT!Z33," ",Sprache!$B$84,"
"))</f>
        <v xml:space="preserve">0 # of panel
</v>
      </c>
      <c r="T37" t="str">
        <f>IF(OR(ELEMENT!$AS33="",ELEMENT!R33+ELEMENT!S33+ELEMENT!T33+ELEMENT!X33=0),"",
CONCATENATE(IF(ELEMENT!X33="",0,ELEMENT!X33)," ",Sprache!$B$11," ",Sprache!$B$85,",  "))</f>
        <v/>
      </c>
      <c r="U37" t="str">
        <f>IF(OR(ELEMENT!$AS33="",ELEMENT!R33+ELEMENT!S33+ELEMENT!T33+ELEMENT!X33=0),"",
CONCATENATE(SUM(ELEMENT!R33:S33)," ",Sprache!$B$11," ",IF(SUM(ELEMENT!R33:S33)&lt;2,Sprache!$B$69,Sprache!$B$70),"
"))</f>
        <v/>
      </c>
      <c r="V37" t="str">
        <f>IF(ELEMENT!X33=0,"",IF(ELEMENT!EK33&gt;ELEMENT!EJ33,Sprache!$B$99&amp;"
",""))</f>
        <v/>
      </c>
      <c r="W37" t="str">
        <f>IF(ELEMENT!G33=ELEMENT!$CK$59,CONCATENATE(Sprache!$B$123,"
"),IF(ELEMENT!G33=ELEMENT!$CL$59,CONCATENATE(Sprache!$B$124,"
"),""))</f>
        <v/>
      </c>
      <c r="X37" t="str">
        <f t="shared" si="0"/>
        <v xml:space="preserve">
(0' 0" x 0' 0")</v>
      </c>
      <c r="Y37">
        <f ca="1">IF(1=Sprache!$Z$1,
IF(ELEMENT!AC33="",,CONCATENATE(AD37,AE37,AF37,AG37,AI37,AJ37,AK37,Sprache!$B$87,":",LS,Z37,AH37)),
IF(ELEMENT!AC33="",,CONCATENATE(AD37,AE37,AF37,AG37,AI37,AJ37,AK37,Sprache!$B$87,":",LS,Z37,"
",AA37,LS,LS,AB37,"
",Sprache!$B$91," ",AC37,AH37)))</f>
        <v>0</v>
      </c>
      <c r="Z37">
        <f>ELEMENT!DP33</f>
        <v>0</v>
      </c>
      <c r="AA37" t="e">
        <f>ELEMENT!$CU$51&amp;LS&amp;ELEMENT!DR33&amp;LS&amp;$AA$7</f>
        <v>#N/A</v>
      </c>
      <c r="AB37" t="e">
        <f>ELEMENT!$CU$53&amp;"   "&amp;ELEMENT!DO33</f>
        <v>#N/A</v>
      </c>
      <c r="AC37" t="str">
        <f>ELEMENT!$B$47</f>
        <v>E6 EV1 (20my)</v>
      </c>
      <c r="AD37" t="str">
        <f>IF(ELEMENT!BB33=0,"",CONCATENATE(ELEMENT!BB33," ",Sprache!$B$12," ",Sprache!$B$98,"
"))</f>
        <v/>
      </c>
      <c r="AE37" t="str">
        <f>IF(ELEMENT!BA33=0,"",CONCATENATE(ELEMENT!BA33," ",Sprache!$B$71,"
"))</f>
        <v/>
      </c>
      <c r="AF37" t="str">
        <f>CONCATENATE(IF(ELEMENT!BD148=1,CONCATENATE(Sprache!$B$137," ",Sprache!$B$145,"
"),""),
IF(ELEMENT!BE148=1,CONCATENATE(Sprache!$B$137," ",Sprache!$B$146,"
"),""))</f>
        <v/>
      </c>
      <c r="AG37" t="str">
        <f>IF(ELEMENT!BD33=0,"",CONCATENATE(ELEMENT!BD33," ",Sprache!$B$11," ",Sprache!$B$138,"
"))</f>
        <v/>
      </c>
      <c r="AH37" t="str">
        <f>IF(ELEMENT!AX33="","",CONCATENATE("
",ELEMENT!AX33))</f>
        <v/>
      </c>
      <c r="AI37" t="str">
        <f>IF(ELEMENT!AP33=2,CONCATENATE(Sprache!$B$149,"
"),
IF(ELEMENT!AP33=1,CONCATENATE(Sprache!$B$148,"
"),""))</f>
        <v/>
      </c>
      <c r="AJ37" t="str">
        <f>IF(ELEMENT!AW33=ELEMENT!$CJ$73,"",IF(ELEMENT!AW33=ELEMENT!$CK$73,CONCATENATE(Sprache!$B$150,"
"),
IF(ELEMENT!AW33=ELEMENT!$CL$73,CONCATENATE(Sprache!$B$151,"
"),
IF(ELEMENT!AW33=ELEMENT!$CM$73,CONCATENATE(Sprache!$B$152,"
"),
IF(ELEMENT!AW33=ELEMENT!$CN$73,CONCATENATE(Sprache!$B$151,"
",Sprache!$B$152,"
"),"")))))</f>
        <v/>
      </c>
      <c r="AK37" t="str">
        <f>IF(ELEMENT!BA148=1,CONCATENATE(Sprache!$B$161,"
"),"")</f>
        <v/>
      </c>
      <c r="AO37" t="str">
        <f ca="1">IF(ELEMENT!$AG$48=TODAY(),CONCATENATE("
",Sprache!$B$126),"")</f>
        <v/>
      </c>
      <c r="AY37">
        <f>ELEMENT!D33/10</f>
        <v>0</v>
      </c>
      <c r="AZ37" t="str">
        <f>INT(AY37/2.54/12)&amp;"' "&amp;
IF(ROUND(MOD((MOD((AY37/2.54),12)*2.54),2.54)/2.54*16,0)=0,TEXT(INT((MOD((AY37/2.54),12)*2.54)/2.54),"0"),TEXT((MOD((AY37/2.54),12)*2.54)/2.54,"# ?/"&amp;INDEX({16;8;16;4;16;8;16;2;16;8;16;4;16;8;16},MOD(ROUND((MOD((AY37/2.54),12)*2.54)/2.54*16,0),16))))&amp;CHAR(34)&amp;""</f>
        <v>0' 0"</v>
      </c>
      <c r="BA37">
        <f>ELEMENT!E33/10</f>
        <v>0</v>
      </c>
      <c r="BB37" t="str">
        <f>INT(BA37/2.54/12)&amp;"' "&amp;
IF(ROUND(MOD((MOD((BA37/2.54),12)*2.54),2.54)/2.54*16,0)=0,TEXT(INT((MOD((BA37/2.54),12)*2.54)/2.54),"0"),TEXT((MOD((BA37/2.54),12)*2.54)/2.54,"# ?/"&amp;INDEX({16;8;16;4;16;8;16;2;16;8;16;4;16;8;16},MOD(ROUND((MOD((BA37/2.54),12)*2.54)/2.54*16,0),16))))&amp;CHAR(34)&amp;""</f>
        <v>0' 0"</v>
      </c>
    </row>
    <row r="38" spans="2:54" x14ac:dyDescent="0.2">
      <c r="B38">
        <f>IF(MONTAGE!B36="","",MONTAGE!B36)</f>
        <v>0</v>
      </c>
      <c r="C38" t="str">
        <f ca="1">CONCATENATE(IF(ELEMENT!D34="",ELEMENT!V34,IF(ELEMENT!AC34=0,"",
CONCATENATE(P38,Q38,R38,S38,T38,U38,V38,W38,Y38))))</f>
        <v>o/a frame size: 0 x 0mm  
(0' 0" x 0' 0")
2-tracks double glazed,  0 # of panel
0</v>
      </c>
      <c r="D38" t="str">
        <f>IF(MONTAGE!C36=0,Sprache!$B$86,SUM(MONTAGE!C36))</f>
        <v>per</v>
      </c>
      <c r="E38">
        <f ca="1">IF(ELEMENT!AW34="JA",ELEMENT!U34,SUM(MONTAGE!T36))</f>
        <v>0</v>
      </c>
      <c r="F38">
        <f ca="1">IF(ELEMENT!AW34="JA",IF(ELEMENT!C34=0,,ELEMENT!U34*ELEMENT!C34),SUM(MONTAGE!U36))</f>
        <v>0</v>
      </c>
      <c r="O38" t="e">
        <f ca="1">SUM(F38/ELEMENT!AA34)</f>
        <v>#DIV/0!</v>
      </c>
      <c r="P38" t="str">
        <f>IF(ELEMENT!A34="","",CONCATENATE(ELEMENT!A34,"
"))</f>
        <v/>
      </c>
      <c r="Q38" t="str">
        <f>IF(ELEMENT!$AS34="","",CONCATENATE(
IF(ELEMENT!$L$47=ELEMENT!$CK$55,Sprache!$B$79,Sprache!$B$78),
IF(ELEMENT!BC34&gt;0,CONCATENATE(" ",Sprache!$B$147),),": ",ROUND(ELEMENT!D34,0)," x ",ROUND(ELEMENT!E34,0),"mm "," ",
IF(OR(ELEMENT!$X$47=ELEMENT!$CS$65,ELEMENT!$X$47=ELEMENT!$CR$65),VZ!X38," "),"
"))</f>
        <v xml:space="preserve">o/a frame size: 0 x 0mm  
(0' 0" x 0' 0")
</v>
      </c>
      <c r="R38" t="str">
        <f>IF(ELEMENT!$AS34="","",CONCATENATE(ELEMENT!AR34,Sprache!$B$81,",","  "))</f>
        <v xml:space="preserve">2-tracks double glazed,  </v>
      </c>
      <c r="S38" t="str">
        <f>IF(ELEMENT!$D34="","",CONCATENATE(ELEMENT!Z34," ",Sprache!$B$84,"
"))</f>
        <v xml:space="preserve">0 # of panel
</v>
      </c>
      <c r="T38" t="str">
        <f>IF(OR(ELEMENT!$AS34="",ELEMENT!R34+ELEMENT!S34+ELEMENT!T34+ELEMENT!X34=0),"",
CONCATENATE(IF(ELEMENT!X34="",0,ELEMENT!X34)," ",Sprache!$B$11," ",Sprache!$B$85,",  "))</f>
        <v/>
      </c>
      <c r="U38" t="str">
        <f>IF(OR(ELEMENT!$AS34="",ELEMENT!R34+ELEMENT!S34+ELEMENT!T34+ELEMENT!X34=0),"",
CONCATENATE(SUM(ELEMENT!R34:S34)," ",Sprache!$B$11," ",IF(SUM(ELEMENT!R34:S34)&lt;2,Sprache!$B$69,Sprache!$B$70),"
"))</f>
        <v/>
      </c>
      <c r="V38" t="str">
        <f>IF(ELEMENT!X34=0,"",IF(ELEMENT!EK34&gt;ELEMENT!EJ34,Sprache!$B$99&amp;"
",""))</f>
        <v/>
      </c>
      <c r="W38" t="str">
        <f>IF(ELEMENT!G34=ELEMENT!$CK$59,CONCATENATE(Sprache!$B$123,"
"),IF(ELEMENT!G34=ELEMENT!$CL$59,CONCATENATE(Sprache!$B$124,"
"),""))</f>
        <v/>
      </c>
      <c r="X38" t="str">
        <f t="shared" si="0"/>
        <v xml:space="preserve">
(0' 0" x 0' 0")</v>
      </c>
      <c r="Y38">
        <f ca="1">IF(1=Sprache!$Z$1,
IF(ELEMENT!AC34="",,CONCATENATE(AD38,AE38,AF38,AG38,AI38,AJ38,AK38,Sprache!$B$87,":",LS,Z38,AH38)),
IF(ELEMENT!AC34="",,CONCATENATE(AD38,AE38,AF38,AG38,AI38,AJ38,AK38,Sprache!$B$87,":",LS,Z38,"
",AA38,LS,LS,AB38,"
",Sprache!$B$91," ",AC38,AH38)))</f>
        <v>0</v>
      </c>
      <c r="Z38">
        <f>ELEMENT!DP34</f>
        <v>0</v>
      </c>
      <c r="AA38" t="e">
        <f>ELEMENT!$CU$51&amp;LS&amp;ELEMENT!DR34&amp;LS&amp;$AA$7</f>
        <v>#N/A</v>
      </c>
      <c r="AB38" t="e">
        <f>ELEMENT!$CU$53&amp;"   "&amp;ELEMENT!DO34</f>
        <v>#N/A</v>
      </c>
      <c r="AC38" t="str">
        <f>ELEMENT!$B$47</f>
        <v>E6 EV1 (20my)</v>
      </c>
      <c r="AD38" t="str">
        <f>IF(ELEMENT!BB34=0,"",CONCATENATE(ELEMENT!BB34," ",Sprache!$B$12," ",Sprache!$B$98,"
"))</f>
        <v/>
      </c>
      <c r="AE38" t="str">
        <f>IF(ELEMENT!BA34=0,"",CONCATENATE(ELEMENT!BA34," ",Sprache!$B$71,"
"))</f>
        <v/>
      </c>
      <c r="AF38" t="str">
        <f>CONCATENATE(IF(ELEMENT!BD149=1,CONCATENATE(Sprache!$B$137," ",Sprache!$B$145,"
"),""),
IF(ELEMENT!BE149=1,CONCATENATE(Sprache!$B$137," ",Sprache!$B$146,"
"),""))</f>
        <v/>
      </c>
      <c r="AG38" t="str">
        <f>IF(ELEMENT!BD34=0,"",CONCATENATE(ELEMENT!BD34," ",Sprache!$B$11," ",Sprache!$B$138,"
"))</f>
        <v/>
      </c>
      <c r="AH38" t="str">
        <f>IF(ELEMENT!AX34="","",CONCATENATE("
",ELEMENT!AX34))</f>
        <v/>
      </c>
      <c r="AI38" t="str">
        <f>IF(ELEMENT!AP34=2,CONCATENATE(Sprache!$B$149,"
"),
IF(ELEMENT!AP34=1,CONCATENATE(Sprache!$B$148,"
"),""))</f>
        <v/>
      </c>
      <c r="AJ38" t="str">
        <f>IF(ELEMENT!AW34=ELEMENT!$CJ$73,"",IF(ELEMENT!AW34=ELEMENT!$CK$73,CONCATENATE(Sprache!$B$150,"
"),
IF(ELEMENT!AW34=ELEMENT!$CL$73,CONCATENATE(Sprache!$B$151,"
"),
IF(ELEMENT!AW34=ELEMENT!$CM$73,CONCATENATE(Sprache!$B$152,"
"),
IF(ELEMENT!AW34=ELEMENT!$CN$73,CONCATENATE(Sprache!$B$151,"
",Sprache!$B$152,"
"),"")))))</f>
        <v/>
      </c>
      <c r="AK38" t="str">
        <f>IF(ELEMENT!BA149=1,CONCATENATE(Sprache!$B$161,"
"),"")</f>
        <v/>
      </c>
      <c r="AO38" t="str">
        <f ca="1">IF(ELEMENT!$AG$48=TODAY(),CONCATENATE("
",Sprache!$B$126),"")</f>
        <v/>
      </c>
      <c r="AY38">
        <f>ELEMENT!D34/10</f>
        <v>0</v>
      </c>
      <c r="AZ38" t="str">
        <f>INT(AY38/2.54/12)&amp;"' "&amp;
IF(ROUND(MOD((MOD((AY38/2.54),12)*2.54),2.54)/2.54*16,0)=0,TEXT(INT((MOD((AY38/2.54),12)*2.54)/2.54),"0"),TEXT((MOD((AY38/2.54),12)*2.54)/2.54,"# ?/"&amp;INDEX({16;8;16;4;16;8;16;2;16;8;16;4;16;8;16},MOD(ROUND((MOD((AY38/2.54),12)*2.54)/2.54*16,0),16))))&amp;CHAR(34)&amp;""</f>
        <v>0' 0"</v>
      </c>
      <c r="BA38">
        <f>ELEMENT!E34/10</f>
        <v>0</v>
      </c>
      <c r="BB38" t="str">
        <f>INT(BA38/2.54/12)&amp;"' "&amp;
IF(ROUND(MOD((MOD((BA38/2.54),12)*2.54),2.54)/2.54*16,0)=0,TEXT(INT((MOD((BA38/2.54),12)*2.54)/2.54),"0"),TEXT((MOD((BA38/2.54),12)*2.54)/2.54,"# ?/"&amp;INDEX({16;8;16;4;16;8;16;2;16;8;16;4;16;8;16},MOD(ROUND((MOD((BA38/2.54),12)*2.54)/2.54*16,0),16))))&amp;CHAR(34)&amp;""</f>
        <v>0' 0"</v>
      </c>
    </row>
    <row r="39" spans="2:54" x14ac:dyDescent="0.2">
      <c r="B39">
        <f>IF(MONTAGE!B37="","",MONTAGE!B37)</f>
        <v>0</v>
      </c>
      <c r="C39" t="str">
        <f ca="1">CONCATENATE(IF(ELEMENT!D35="",ELEMENT!V35,IF(ELEMENT!AC35=0,"",
CONCATENATE(P39,Q39,R39,S39,T39,U39,V39,W39,Y39))))</f>
        <v>o/a frame size: 0 x 0mm  
(0' 0" x 0' 0")
2-tracks double glazed,  0 # of panel
0</v>
      </c>
      <c r="D39" t="str">
        <f>IF(MONTAGE!C37=0,Sprache!$B$86,SUM(MONTAGE!C37))</f>
        <v>per</v>
      </c>
      <c r="E39">
        <f ca="1">IF(ELEMENT!AW35="JA",ELEMENT!U35,SUM(MONTAGE!T37))</f>
        <v>0</v>
      </c>
      <c r="F39">
        <f ca="1">IF(ELEMENT!AW35="JA",IF(ELEMENT!C35=0,,ELEMENT!U35*ELEMENT!C35),SUM(MONTAGE!U37))</f>
        <v>0</v>
      </c>
      <c r="O39" t="e">
        <f ca="1">SUM(F39/ELEMENT!AA35)</f>
        <v>#DIV/0!</v>
      </c>
      <c r="P39" t="str">
        <f>IF(ELEMENT!A35="","",CONCATENATE(ELEMENT!A35,"
"))</f>
        <v/>
      </c>
      <c r="Q39" t="str">
        <f>IF(ELEMENT!$AS35="","",CONCATENATE(
IF(ELEMENT!$L$47=ELEMENT!$CK$55,Sprache!$B$79,Sprache!$B$78),
IF(ELEMENT!BC35&gt;0,CONCATENATE(" ",Sprache!$B$147),),": ",ROUND(ELEMENT!D35,0)," x ",ROUND(ELEMENT!E35,0),"mm "," ",
IF(OR(ELEMENT!$X$47=ELEMENT!$CS$65,ELEMENT!$X$47=ELEMENT!$CR$65),VZ!X39," "),"
"))</f>
        <v xml:space="preserve">o/a frame size: 0 x 0mm  
(0' 0" x 0' 0")
</v>
      </c>
      <c r="R39" t="str">
        <f>IF(ELEMENT!$AS35="","",CONCATENATE(ELEMENT!AR35,Sprache!$B$81,",","  "))</f>
        <v xml:space="preserve">2-tracks double glazed,  </v>
      </c>
      <c r="S39" t="str">
        <f>IF(ELEMENT!$D35="","",CONCATENATE(ELEMENT!Z35," ",Sprache!$B$84,"
"))</f>
        <v xml:space="preserve">0 # of panel
</v>
      </c>
      <c r="T39" t="str">
        <f>IF(OR(ELEMENT!$AS35="",ELEMENT!R35+ELEMENT!S35+ELEMENT!T35+ELEMENT!X35=0),"",
CONCATENATE(IF(ELEMENT!X35="",0,ELEMENT!X35)," ",Sprache!$B$11," ",Sprache!$B$85,",  "))</f>
        <v/>
      </c>
      <c r="U39" t="str">
        <f>IF(OR(ELEMENT!$AS35="",ELEMENT!R35+ELEMENT!S35+ELEMENT!T35+ELEMENT!X35=0),"",
CONCATENATE(SUM(ELEMENT!R35:S35)," ",Sprache!$B$11," ",IF(SUM(ELEMENT!R35:S35)&lt;2,Sprache!$B$69,Sprache!$B$70),"
"))</f>
        <v/>
      </c>
      <c r="V39" t="str">
        <f>IF(ELEMENT!X35=0,"",IF(ELEMENT!EK35&gt;ELEMENT!EJ35,Sprache!$B$99&amp;"
",""))</f>
        <v/>
      </c>
      <c r="W39" t="str">
        <f>IF(ELEMENT!G35=ELEMENT!$CK$59,CONCATENATE(Sprache!$B$123,"
"),IF(ELEMENT!G35=ELEMENT!$CL$59,CONCATENATE(Sprache!$B$124,"
"),""))</f>
        <v/>
      </c>
      <c r="X39" t="str">
        <f t="shared" si="0"/>
        <v xml:space="preserve">
(0' 0" x 0' 0")</v>
      </c>
      <c r="Y39">
        <f ca="1">IF(1=Sprache!$Z$1,
IF(ELEMENT!AC35="",,CONCATENATE(AD39,AE39,AF39,AG39,AI39,AJ39,AK39,Sprache!$B$87,":",LS,Z39,AH39)),
IF(ELEMENT!AC35="",,CONCATENATE(AD39,AE39,AF39,AG39,AI39,AJ39,AK39,Sprache!$B$87,":",LS,Z39,"
",AA39,LS,LS,AB39,"
",Sprache!$B$91," ",AC39,AH39)))</f>
        <v>0</v>
      </c>
      <c r="Z39">
        <f>ELEMENT!DP35</f>
        <v>0</v>
      </c>
      <c r="AA39" t="e">
        <f>ELEMENT!$CU$51&amp;LS&amp;ELEMENT!DR35&amp;LS&amp;$AA$7</f>
        <v>#N/A</v>
      </c>
      <c r="AB39" t="e">
        <f>ELEMENT!$CU$53&amp;"   "&amp;ELEMENT!DO35</f>
        <v>#N/A</v>
      </c>
      <c r="AC39" t="str">
        <f>ELEMENT!$B$47</f>
        <v>E6 EV1 (20my)</v>
      </c>
      <c r="AD39" t="str">
        <f>IF(ELEMENT!BB35=0,"",CONCATENATE(ELEMENT!BB35," ",Sprache!$B$12," ",Sprache!$B$98,"
"))</f>
        <v/>
      </c>
      <c r="AE39" t="str">
        <f>IF(ELEMENT!BA35=0,"",CONCATENATE(ELEMENT!BA35," ",Sprache!$B$71,"
"))</f>
        <v/>
      </c>
      <c r="AF39" t="str">
        <f>CONCATENATE(IF(ELEMENT!BD150=1,CONCATENATE(Sprache!$B$137," ",Sprache!$B$145,"
"),""),
IF(ELEMENT!BE150=1,CONCATENATE(Sprache!$B$137," ",Sprache!$B$146,"
"),""))</f>
        <v/>
      </c>
      <c r="AG39" t="str">
        <f>IF(ELEMENT!BD35=0,"",CONCATENATE(ELEMENT!BD35," ",Sprache!$B$11," ",Sprache!$B$138,"
"))</f>
        <v/>
      </c>
      <c r="AH39" t="str">
        <f>IF(ELEMENT!AX35="","",CONCATENATE("
",ELEMENT!AX35))</f>
        <v/>
      </c>
      <c r="AI39" t="str">
        <f>IF(ELEMENT!AP35=2,CONCATENATE(Sprache!$B$149,"
"),
IF(ELEMENT!AP35=1,CONCATENATE(Sprache!$B$148,"
"),""))</f>
        <v/>
      </c>
      <c r="AJ39" t="str">
        <f>IF(ELEMENT!AW35=ELEMENT!$CJ$73,"",IF(ELEMENT!AW35=ELEMENT!$CK$73,CONCATENATE(Sprache!$B$150,"
"),
IF(ELEMENT!AW35=ELEMENT!$CL$73,CONCATENATE(Sprache!$B$151,"
"),
IF(ELEMENT!AW35=ELEMENT!$CM$73,CONCATENATE(Sprache!$B$152,"
"),
IF(ELEMENT!AW35=ELEMENT!$CN$73,CONCATENATE(Sprache!$B$151,"
",Sprache!$B$152,"
"),"")))))</f>
        <v/>
      </c>
      <c r="AK39" t="str">
        <f>IF(ELEMENT!BA150=1,CONCATENATE(Sprache!$B$161,"
"),"")</f>
        <v/>
      </c>
      <c r="AO39" t="str">
        <f ca="1">IF(ELEMENT!$AG$48=TODAY(),CONCATENATE("
",Sprache!$B$126),"")</f>
        <v/>
      </c>
      <c r="AY39">
        <f>ELEMENT!D35/10</f>
        <v>0</v>
      </c>
      <c r="AZ39" t="str">
        <f>INT(AY39/2.54/12)&amp;"' "&amp;
IF(ROUND(MOD((MOD((AY39/2.54),12)*2.54),2.54)/2.54*16,0)=0,TEXT(INT((MOD((AY39/2.54),12)*2.54)/2.54),"0"),TEXT((MOD((AY39/2.54),12)*2.54)/2.54,"# ?/"&amp;INDEX({16;8;16;4;16;8;16;2;16;8;16;4;16;8;16},MOD(ROUND((MOD((AY39/2.54),12)*2.54)/2.54*16,0),16))))&amp;CHAR(34)&amp;""</f>
        <v>0' 0"</v>
      </c>
      <c r="BA39">
        <f>ELEMENT!E35/10</f>
        <v>0</v>
      </c>
      <c r="BB39" t="str">
        <f>INT(BA39/2.54/12)&amp;"' "&amp;
IF(ROUND(MOD((MOD((BA39/2.54),12)*2.54),2.54)/2.54*16,0)=0,TEXT(INT((MOD((BA39/2.54),12)*2.54)/2.54),"0"),TEXT((MOD((BA39/2.54),12)*2.54)/2.54,"# ?/"&amp;INDEX({16;8;16;4;16;8;16;2;16;8;16;4;16;8;16},MOD(ROUND((MOD((BA39/2.54),12)*2.54)/2.54*16,0),16))))&amp;CHAR(34)&amp;""</f>
        <v>0' 0"</v>
      </c>
    </row>
    <row r="40" spans="2:54" x14ac:dyDescent="0.2">
      <c r="B40">
        <f>IF(MONTAGE!B38="","",MONTAGE!B38)</f>
        <v>0</v>
      </c>
      <c r="C40" t="str">
        <f ca="1">CONCATENATE(IF(ELEMENT!D36="",ELEMENT!V36,IF(ELEMENT!AC36=0,"",
CONCATENATE(P40,Q40,R40,S40,T40,U40,V40,W40,Y40))))</f>
        <v>o/a frame size: 0 x 0mm  
(0' 0" x 0' 0")
2-tracks double glazed,  0 # of panel
0</v>
      </c>
      <c r="D40" t="str">
        <f>IF(MONTAGE!C38=0,Sprache!$B$86,SUM(MONTAGE!C38))</f>
        <v>per</v>
      </c>
      <c r="E40">
        <f ca="1">IF(ELEMENT!AW36="JA",ELEMENT!U36,SUM(MONTAGE!T38))</f>
        <v>0</v>
      </c>
      <c r="F40">
        <f ca="1">IF(ELEMENT!AW36="JA",IF(ELEMENT!C36=0,,ELEMENT!U36*ELEMENT!C36),SUM(MONTAGE!U38))</f>
        <v>0</v>
      </c>
      <c r="O40" t="e">
        <f ca="1">SUM(F40/ELEMENT!AA36)</f>
        <v>#DIV/0!</v>
      </c>
      <c r="P40" t="str">
        <f>IF(ELEMENT!A36="","",CONCATENATE(ELEMENT!A36,"
"))</f>
        <v/>
      </c>
      <c r="Q40" t="str">
        <f>IF(ELEMENT!$AS36="","",CONCATENATE(
IF(ELEMENT!$L$47=ELEMENT!$CK$55,Sprache!$B$79,Sprache!$B$78),
IF(ELEMENT!BC36&gt;0,CONCATENATE(" ",Sprache!$B$147),),": ",ROUND(ELEMENT!D36,0)," x ",ROUND(ELEMENT!E36,0),"mm "," ",
IF(OR(ELEMENT!$X$47=ELEMENT!$CS$65,ELEMENT!$X$47=ELEMENT!$CR$65),VZ!X40," "),"
"))</f>
        <v xml:space="preserve">o/a frame size: 0 x 0mm  
(0' 0" x 0' 0")
</v>
      </c>
      <c r="R40" t="str">
        <f>IF(ELEMENT!$AS36="","",CONCATENATE(ELEMENT!AR36,Sprache!$B$81,",","  "))</f>
        <v xml:space="preserve">2-tracks double glazed,  </v>
      </c>
      <c r="S40" t="str">
        <f>IF(ELEMENT!$D36="","",CONCATENATE(ELEMENT!Z36," ",Sprache!$B$84,"
"))</f>
        <v xml:space="preserve">0 # of panel
</v>
      </c>
      <c r="T40" t="str">
        <f>IF(OR(ELEMENT!$AS36="",ELEMENT!R36+ELEMENT!S36+ELEMENT!T36+ELEMENT!X36=0),"",
CONCATENATE(IF(ELEMENT!X36="",0,ELEMENT!X36)," ",Sprache!$B$11," ",Sprache!$B$85,",  "))</f>
        <v/>
      </c>
      <c r="U40" t="str">
        <f>IF(OR(ELEMENT!$AS36="",ELEMENT!R36+ELEMENT!S36+ELEMENT!T36+ELEMENT!X36=0),"",
CONCATENATE(SUM(ELEMENT!R36:S36)," ",Sprache!$B$11," ",IF(SUM(ELEMENT!R36:S36)&lt;2,Sprache!$B$69,Sprache!$B$70),"
"))</f>
        <v/>
      </c>
      <c r="V40" t="str">
        <f>IF(ELEMENT!X36=0,"",IF(ELEMENT!EK36&gt;ELEMENT!EJ36,Sprache!$B$99&amp;"
",""))</f>
        <v/>
      </c>
      <c r="W40" t="str">
        <f>IF(ELEMENT!G36=ELEMENT!$CK$59,CONCATENATE(Sprache!$B$123,"
"),IF(ELEMENT!G36=ELEMENT!$CL$59,CONCATENATE(Sprache!$B$124,"
"),""))</f>
        <v/>
      </c>
      <c r="X40" t="str">
        <f t="shared" si="0"/>
        <v xml:space="preserve">
(0' 0" x 0' 0")</v>
      </c>
      <c r="Y40">
        <f ca="1">IF(1=Sprache!$Z$1,
IF(ELEMENT!AC36="",,CONCATENATE(AD40,AE40,AF40,AG40,AI40,AJ40,AK40,Sprache!$B$87,":",LS,Z40,AH40)),
IF(ELEMENT!AC36="",,CONCATENATE(AD40,AE40,AF40,AG40,AI40,AJ40,AK40,Sprache!$B$87,":",LS,Z40,"
",AA40,LS,LS,AB40,"
",Sprache!$B$91," ",AC40,AH40)))</f>
        <v>0</v>
      </c>
      <c r="Z40">
        <f>ELEMENT!DP36</f>
        <v>0</v>
      </c>
      <c r="AA40" t="e">
        <f>ELEMENT!$CU$51&amp;LS&amp;ELEMENT!DR36&amp;LS&amp;$AA$7</f>
        <v>#N/A</v>
      </c>
      <c r="AB40" t="e">
        <f>ELEMENT!$CU$53&amp;"   "&amp;ELEMENT!DO36</f>
        <v>#N/A</v>
      </c>
      <c r="AC40" t="str">
        <f>ELEMENT!$B$47</f>
        <v>E6 EV1 (20my)</v>
      </c>
      <c r="AD40" t="str">
        <f>IF(ELEMENT!BB36=0,"",CONCATENATE(ELEMENT!BB36," ",Sprache!$B$12," ",Sprache!$B$98,"
"))</f>
        <v/>
      </c>
      <c r="AE40" t="str">
        <f>IF(ELEMENT!BA36=0,"",CONCATENATE(ELEMENT!BA36," ",Sprache!$B$71,"
"))</f>
        <v/>
      </c>
      <c r="AF40" t="str">
        <f>CONCATENATE(IF(ELEMENT!BD151=1,CONCATENATE(Sprache!$B$137," ",Sprache!$B$145,"
"),""),
IF(ELEMENT!BE151=1,CONCATENATE(Sprache!$B$137," ",Sprache!$B$146,"
"),""))</f>
        <v/>
      </c>
      <c r="AG40" t="str">
        <f>IF(ELEMENT!BD36=0,"",CONCATENATE(ELEMENT!BD36," ",Sprache!$B$11," ",Sprache!$B$138,"
"))</f>
        <v/>
      </c>
      <c r="AH40" t="str">
        <f>IF(ELEMENT!AX36="","",CONCATENATE("
",ELEMENT!AX36))</f>
        <v/>
      </c>
      <c r="AI40" t="str">
        <f>IF(ELEMENT!AP36=2,CONCATENATE(Sprache!$B$149,"
"),
IF(ELEMENT!AP36=1,CONCATENATE(Sprache!$B$148,"
"),""))</f>
        <v/>
      </c>
      <c r="AJ40" t="str">
        <f>IF(ELEMENT!AW36=ELEMENT!$CJ$73,"",IF(ELEMENT!AW36=ELEMENT!$CK$73,CONCATENATE(Sprache!$B$150,"
"),
IF(ELEMENT!AW36=ELEMENT!$CL$73,CONCATENATE(Sprache!$B$151,"
"),
IF(ELEMENT!AW36=ELEMENT!$CM$73,CONCATENATE(Sprache!$B$152,"
"),
IF(ELEMENT!AW36=ELEMENT!$CN$73,CONCATENATE(Sprache!$B$151,"
",Sprache!$B$152,"
"),"")))))</f>
        <v/>
      </c>
      <c r="AK40" t="str">
        <f>IF(ELEMENT!BA151=1,CONCATENATE(Sprache!$B$161,"
"),"")</f>
        <v/>
      </c>
      <c r="AO40" t="str">
        <f ca="1">IF(ELEMENT!$AG$48=TODAY(),CONCATENATE("
",Sprache!$B$126),"")</f>
        <v/>
      </c>
      <c r="AY40">
        <f>ELEMENT!D36/10</f>
        <v>0</v>
      </c>
      <c r="AZ40" t="str">
        <f>INT(AY40/2.54/12)&amp;"' "&amp;
IF(ROUND(MOD((MOD((AY40/2.54),12)*2.54),2.54)/2.54*16,0)=0,TEXT(INT((MOD((AY40/2.54),12)*2.54)/2.54),"0"),TEXT((MOD((AY40/2.54),12)*2.54)/2.54,"# ?/"&amp;INDEX({16;8;16;4;16;8;16;2;16;8;16;4;16;8;16},MOD(ROUND((MOD((AY40/2.54),12)*2.54)/2.54*16,0),16))))&amp;CHAR(34)&amp;""</f>
        <v>0' 0"</v>
      </c>
      <c r="BA40">
        <f>ELEMENT!E36/10</f>
        <v>0</v>
      </c>
      <c r="BB40" t="str">
        <f>INT(BA40/2.54/12)&amp;"' "&amp;
IF(ROUND(MOD((MOD((BA40/2.54),12)*2.54),2.54)/2.54*16,0)=0,TEXT(INT((MOD((BA40/2.54),12)*2.54)/2.54),"0"),TEXT((MOD((BA40/2.54),12)*2.54)/2.54,"# ?/"&amp;INDEX({16;8;16;4;16;8;16;2;16;8;16;4;16;8;16},MOD(ROUND((MOD((BA40/2.54),12)*2.54)/2.54*16,0),16))))&amp;CHAR(34)&amp;""</f>
        <v>0' 0"</v>
      </c>
    </row>
    <row r="41" spans="2:54" x14ac:dyDescent="0.2">
      <c r="B41">
        <f>IF(MONTAGE!B39="","",MONTAGE!B39)</f>
        <v>0</v>
      </c>
      <c r="C41" t="str">
        <f ca="1">CONCATENATE(IF(ELEMENT!D37="",ELEMENT!V37,IF(ELEMENT!AC37=0,"",
CONCATENATE(P41,Q41,R41,S41,T41,U41,V41,W41,Y41))))</f>
        <v>o/a frame size: 0 x 0mm  
(0' 0" x 0' 0")
2-tracks double glazed,  0 # of panel
0</v>
      </c>
      <c r="D41" t="str">
        <f>IF(MONTAGE!C39=0,Sprache!$B$86,SUM(MONTAGE!C39))</f>
        <v>per</v>
      </c>
      <c r="E41">
        <f ca="1">IF(ELEMENT!AW37="JA",ELEMENT!U37,SUM(MONTAGE!T39))</f>
        <v>0</v>
      </c>
      <c r="F41">
        <f ca="1">IF(ELEMENT!AW37="JA",IF(ELEMENT!C37=0,,ELEMENT!U37*ELEMENT!C37),SUM(MONTAGE!U39))</f>
        <v>0</v>
      </c>
      <c r="O41" t="e">
        <f ca="1">SUM(F41/ELEMENT!AA37)</f>
        <v>#DIV/0!</v>
      </c>
      <c r="P41" t="str">
        <f>IF(ELEMENT!A37="","",CONCATENATE(ELEMENT!A37,"
"))</f>
        <v/>
      </c>
      <c r="Q41" t="str">
        <f>IF(ELEMENT!$AS37="","",CONCATENATE(
IF(ELEMENT!$L$47=ELEMENT!$CK$55,Sprache!$B$79,Sprache!$B$78),
IF(ELEMENT!BC37&gt;0,CONCATENATE(" ",Sprache!$B$147),),": ",ROUND(ELEMENT!D37,0)," x ",ROUND(ELEMENT!E37,0),"mm "," ",
IF(OR(ELEMENT!$X$47=ELEMENT!$CS$65,ELEMENT!$X$47=ELEMENT!$CR$65),VZ!X41," "),"
"))</f>
        <v xml:space="preserve">o/a frame size: 0 x 0mm  
(0' 0" x 0' 0")
</v>
      </c>
      <c r="R41" t="str">
        <f>IF(ELEMENT!$AS37="","",CONCATENATE(ELEMENT!AR37,Sprache!$B$81,",","  "))</f>
        <v xml:space="preserve">2-tracks double glazed,  </v>
      </c>
      <c r="S41" t="str">
        <f>IF(ELEMENT!$D37="","",CONCATENATE(ELEMENT!Z37," ",Sprache!$B$84,"
"))</f>
        <v xml:space="preserve">0 # of panel
</v>
      </c>
      <c r="T41" t="str">
        <f>IF(OR(ELEMENT!$AS37="",ELEMENT!R37+ELEMENT!S37+ELEMENT!T37+ELEMENT!X37=0),"",
CONCATENATE(IF(ELEMENT!X37="",0,ELEMENT!X37)," ",Sprache!$B$11," ",Sprache!$B$85,",  "))</f>
        <v/>
      </c>
      <c r="U41" t="str">
        <f>IF(OR(ELEMENT!$AS37="",ELEMENT!R37+ELEMENT!S37+ELEMENT!T37+ELEMENT!X37=0),"",
CONCATENATE(SUM(ELEMENT!R37:S37)," ",Sprache!$B$11," ",IF(SUM(ELEMENT!R37:S37)&lt;2,Sprache!$B$69,Sprache!$B$70),"
"))</f>
        <v/>
      </c>
      <c r="V41" t="str">
        <f>IF(ELEMENT!X37=0,"",IF(ELEMENT!EK37&gt;ELEMENT!EJ37,Sprache!$B$99&amp;"
",""))</f>
        <v/>
      </c>
      <c r="W41" t="str">
        <f>IF(ELEMENT!G37=ELEMENT!$CK$59,CONCATENATE(Sprache!$B$123,"
"),IF(ELEMENT!G37=ELEMENT!$CL$59,CONCATENATE(Sprache!$B$124,"
"),""))</f>
        <v/>
      </c>
      <c r="X41" t="str">
        <f t="shared" si="0"/>
        <v xml:space="preserve">
(0' 0" x 0' 0")</v>
      </c>
      <c r="Y41">
        <f ca="1">IF(1=Sprache!$Z$1,
IF(ELEMENT!AC37="",,CONCATENATE(AD41,AE41,AF41,AG41,AI41,AJ41,AK41,Sprache!$B$87,":",LS,Z41,AH41)),
IF(ELEMENT!AC37="",,CONCATENATE(AD41,AE41,AF41,AG41,AI41,AJ41,AK41,Sprache!$B$87,":",LS,Z41,"
",AA41,LS,LS,AB41,"
",Sprache!$B$91," ",AC41,AH41)))</f>
        <v>0</v>
      </c>
      <c r="Z41">
        <f>ELEMENT!DP37</f>
        <v>0</v>
      </c>
      <c r="AA41" t="e">
        <f>ELEMENT!$CU$51&amp;LS&amp;ELEMENT!DR37&amp;LS&amp;$AA$7</f>
        <v>#N/A</v>
      </c>
      <c r="AB41" t="e">
        <f>ELEMENT!$CU$53&amp;"   "&amp;ELEMENT!DO37</f>
        <v>#N/A</v>
      </c>
      <c r="AC41" t="str">
        <f>ELEMENT!$B$47</f>
        <v>E6 EV1 (20my)</v>
      </c>
      <c r="AD41" t="str">
        <f>IF(ELEMENT!BB37=0,"",CONCATENATE(ELEMENT!BB37," ",Sprache!$B$12," ",Sprache!$B$98,"
"))</f>
        <v/>
      </c>
      <c r="AE41" t="str">
        <f>IF(ELEMENT!BA37=0,"",CONCATENATE(ELEMENT!BA37," ",Sprache!$B$71,"
"))</f>
        <v/>
      </c>
      <c r="AF41" t="str">
        <f>CONCATENATE(IF(ELEMENT!BD152=1,CONCATENATE(Sprache!$B$137," ",Sprache!$B$145,"
"),""),
IF(ELEMENT!BE152=1,CONCATENATE(Sprache!$B$137," ",Sprache!$B$146,"
"),""))</f>
        <v/>
      </c>
      <c r="AG41" t="str">
        <f>IF(ELEMENT!BD37=0,"",CONCATENATE(ELEMENT!BD37," ",Sprache!$B$11," ",Sprache!$B$138,"
"))</f>
        <v/>
      </c>
      <c r="AH41" t="str">
        <f>IF(ELEMENT!AX37="","",CONCATENATE("
",ELEMENT!AX37))</f>
        <v/>
      </c>
      <c r="AI41" t="str">
        <f>IF(ELEMENT!AP37=2,CONCATENATE(Sprache!$B$149,"
"),
IF(ELEMENT!AP37=1,CONCATENATE(Sprache!$B$148,"
"),""))</f>
        <v/>
      </c>
      <c r="AJ41" t="str">
        <f>IF(ELEMENT!AW37=ELEMENT!$CJ$73,"",IF(ELEMENT!AW37=ELEMENT!$CK$73,CONCATENATE(Sprache!$B$150,"
"),
IF(ELEMENT!AW37=ELEMENT!$CL$73,CONCATENATE(Sprache!$B$151,"
"),
IF(ELEMENT!AW37=ELEMENT!$CM$73,CONCATENATE(Sprache!$B$152,"
"),
IF(ELEMENT!AW37=ELEMENT!$CN$73,CONCATENATE(Sprache!$B$151,"
",Sprache!$B$152,"
"),"")))))</f>
        <v/>
      </c>
      <c r="AK41" t="str">
        <f>IF(ELEMENT!BA152=1,CONCATENATE(Sprache!$B$161,"
"),"")</f>
        <v/>
      </c>
      <c r="AO41" t="str">
        <f ca="1">IF(ELEMENT!$AG$48=TODAY(),CONCATENATE("
",Sprache!$B$126),"")</f>
        <v/>
      </c>
      <c r="AY41">
        <f>ELEMENT!D37/10</f>
        <v>0</v>
      </c>
      <c r="AZ41" t="str">
        <f>INT(AY41/2.54/12)&amp;"' "&amp;
IF(ROUND(MOD((MOD((AY41/2.54),12)*2.54),2.54)/2.54*16,0)=0,TEXT(INT((MOD((AY41/2.54),12)*2.54)/2.54),"0"),TEXT((MOD((AY41/2.54),12)*2.54)/2.54,"# ?/"&amp;INDEX({16;8;16;4;16;8;16;2;16;8;16;4;16;8;16},MOD(ROUND((MOD((AY41/2.54),12)*2.54)/2.54*16,0),16))))&amp;CHAR(34)&amp;""</f>
        <v>0' 0"</v>
      </c>
      <c r="BA41">
        <f>ELEMENT!E37/10</f>
        <v>0</v>
      </c>
      <c r="BB41" t="str">
        <f>INT(BA41/2.54/12)&amp;"' "&amp;
IF(ROUND(MOD((MOD((BA41/2.54),12)*2.54),2.54)/2.54*16,0)=0,TEXT(INT((MOD((BA41/2.54),12)*2.54)/2.54),"0"),TEXT((MOD((BA41/2.54),12)*2.54)/2.54,"# ?/"&amp;INDEX({16;8;16;4;16;8;16;2;16;8;16;4;16;8;16},MOD(ROUND((MOD((BA41/2.54),12)*2.54)/2.54*16,0),16))))&amp;CHAR(34)&amp;""</f>
        <v>0' 0"</v>
      </c>
    </row>
    <row r="42" spans="2:54" x14ac:dyDescent="0.2">
      <c r="B42">
        <f>IF(MONTAGE!B40="","",MONTAGE!B40)</f>
        <v>0</v>
      </c>
      <c r="C42" t="str">
        <f ca="1">CONCATENATE(IF(ELEMENT!D38="",ELEMENT!V38,IF(ELEMENT!AC38=0,"",
CONCATENATE(P42,Q42,R42,S42,T42,U42,V42,W42,Y42))))</f>
        <v>o/a frame size: 0 x 0mm  
(0' 0" x 0' 0")
2-tracks double glazed,  0 # of panel
0</v>
      </c>
      <c r="D42" t="str">
        <f>IF(MONTAGE!C40=0,Sprache!$B$86,SUM(MONTAGE!C40))</f>
        <v>per</v>
      </c>
      <c r="E42">
        <f ca="1">IF(ELEMENT!AW38="JA",ELEMENT!U38,SUM(MONTAGE!T40))</f>
        <v>0</v>
      </c>
      <c r="F42">
        <f ca="1">IF(ELEMENT!AW38="JA",IF(ELEMENT!C38=0,,ELEMENT!U38*ELEMENT!C38),SUM(MONTAGE!U40))</f>
        <v>0</v>
      </c>
      <c r="O42" t="e">
        <f ca="1">SUM(F42/ELEMENT!AA38)</f>
        <v>#DIV/0!</v>
      </c>
      <c r="P42" t="str">
        <f>IF(ELEMENT!A38="","",CONCATENATE(ELEMENT!A38,"
"))</f>
        <v/>
      </c>
      <c r="Q42" t="str">
        <f>IF(ELEMENT!$AS38="","",CONCATENATE(
IF(ELEMENT!$L$47=ELEMENT!$CK$55,Sprache!$B$79,Sprache!$B$78),
IF(ELEMENT!BC38&gt;0,CONCATENATE(" ",Sprache!$B$147),),": ",ROUND(ELEMENT!D38,0)," x ",ROUND(ELEMENT!E38,0),"mm "," ",
IF(OR(ELEMENT!$X$47=ELEMENT!$CS$65,ELEMENT!$X$47=ELEMENT!$CR$65),VZ!X42," "),"
"))</f>
        <v xml:space="preserve">o/a frame size: 0 x 0mm  
(0' 0" x 0' 0")
</v>
      </c>
      <c r="R42" t="str">
        <f>IF(ELEMENT!$AS38="","",CONCATENATE(ELEMENT!AR38,Sprache!$B$81,",","  "))</f>
        <v xml:space="preserve">2-tracks double glazed,  </v>
      </c>
      <c r="S42" t="str">
        <f>IF(ELEMENT!$D38="","",CONCATENATE(ELEMENT!Z38," ",Sprache!$B$84,"
"))</f>
        <v xml:space="preserve">0 # of panel
</v>
      </c>
      <c r="T42" t="str">
        <f>IF(OR(ELEMENT!$AS38="",ELEMENT!R38+ELEMENT!S38+ELEMENT!T38+ELEMENT!X38=0),"",
CONCATENATE(IF(ELEMENT!X38="",0,ELEMENT!X38)," ",Sprache!$B$11," ",Sprache!$B$85,",  "))</f>
        <v/>
      </c>
      <c r="U42" t="str">
        <f>IF(OR(ELEMENT!$AS38="",ELEMENT!R38+ELEMENT!S38+ELEMENT!T38+ELEMENT!X38=0),"",
CONCATENATE(SUM(ELEMENT!R38:S38)," ",Sprache!$B$11," ",IF(SUM(ELEMENT!R38:S38)&lt;2,Sprache!$B$69,Sprache!$B$70),"
"))</f>
        <v/>
      </c>
      <c r="V42" t="str">
        <f>IF(ELEMENT!X38=0,"",IF(ELEMENT!EK38&gt;ELEMENT!EJ38,Sprache!$B$99&amp;"
",""))</f>
        <v/>
      </c>
      <c r="W42" t="str">
        <f>IF(ELEMENT!G38=ELEMENT!$CK$59,CONCATENATE(Sprache!$B$123,"
"),IF(ELEMENT!G38=ELEMENT!$CL$59,CONCATENATE(Sprache!$B$124,"
"),""))</f>
        <v/>
      </c>
      <c r="X42" t="str">
        <f t="shared" si="0"/>
        <v xml:space="preserve">
(0' 0" x 0' 0")</v>
      </c>
      <c r="Y42">
        <f ca="1">IF(1=Sprache!$Z$1,
IF(ELEMENT!AC38="",,CONCATENATE(AD42,AE42,AF42,AG42,AI42,AJ42,AK42,Sprache!$B$87,":",LS,Z42,AH42)),
IF(ELEMENT!AC38="",,CONCATENATE(AD42,AE42,AF42,AG42,AI42,AJ42,AK42,Sprache!$B$87,":",LS,Z42,"
",AA42,LS,LS,AB42,"
",Sprache!$B$91," ",AC42,AH42)))</f>
        <v>0</v>
      </c>
      <c r="Z42">
        <f>ELEMENT!DP38</f>
        <v>0</v>
      </c>
      <c r="AA42" t="e">
        <f>ELEMENT!$CU$51&amp;LS&amp;ELEMENT!DR38&amp;LS&amp;$AA$7</f>
        <v>#N/A</v>
      </c>
      <c r="AB42" t="e">
        <f>ELEMENT!$CU$53&amp;"   "&amp;ELEMENT!DO38</f>
        <v>#N/A</v>
      </c>
      <c r="AC42" t="str">
        <f>ELEMENT!$B$47</f>
        <v>E6 EV1 (20my)</v>
      </c>
      <c r="AD42" t="str">
        <f>IF(ELEMENT!BB38=0,"",CONCATENATE(ELEMENT!BB38," ",Sprache!$B$12," ",Sprache!$B$98,"
"))</f>
        <v/>
      </c>
      <c r="AE42" t="str">
        <f>IF(ELEMENT!BA38=0,"",CONCATENATE(ELEMENT!BA38," ",Sprache!$B$71,"
"))</f>
        <v/>
      </c>
      <c r="AF42" t="str">
        <f>CONCATENATE(IF(ELEMENT!BD153=1,CONCATENATE(Sprache!$B$137," ",Sprache!$B$145,"
"),""),
IF(ELEMENT!BE153=1,CONCATENATE(Sprache!$B$137," ",Sprache!$B$146,"
"),""))</f>
        <v/>
      </c>
      <c r="AG42" t="str">
        <f>IF(ELEMENT!BD38=0,"",CONCATENATE(ELEMENT!BD38," ",Sprache!$B$11," ",Sprache!$B$138,"
"))</f>
        <v/>
      </c>
      <c r="AH42" t="str">
        <f>IF(ELEMENT!AX38="","",CONCATENATE("
",ELEMENT!AX38))</f>
        <v/>
      </c>
      <c r="AI42" t="str">
        <f>IF(ELEMENT!AP38=2,CONCATENATE(Sprache!$B$149,"
"),
IF(ELEMENT!AP38=1,CONCATENATE(Sprache!$B$148,"
"),""))</f>
        <v/>
      </c>
      <c r="AJ42" t="str">
        <f>IF(ELEMENT!AW38=ELEMENT!$CJ$73,"",IF(ELEMENT!AW38=ELEMENT!$CK$73,CONCATENATE(Sprache!$B$150,"
"),
IF(ELEMENT!AW38=ELEMENT!$CL$73,CONCATENATE(Sprache!$B$151,"
"),
IF(ELEMENT!AW38=ELEMENT!$CM$73,CONCATENATE(Sprache!$B$152,"
"),
IF(ELEMENT!AW38=ELEMENT!$CN$73,CONCATENATE(Sprache!$B$151,"
",Sprache!$B$152,"
"),"")))))</f>
        <v/>
      </c>
      <c r="AK42" t="str">
        <f>IF(ELEMENT!BA153=1,CONCATENATE(Sprache!$B$161,"
"),"")</f>
        <v/>
      </c>
      <c r="AO42" t="str">
        <f ca="1">IF(ELEMENT!$AG$48=TODAY(),CONCATENATE("
",Sprache!$B$126),"")</f>
        <v/>
      </c>
      <c r="AY42">
        <f>ELEMENT!D38/10</f>
        <v>0</v>
      </c>
      <c r="AZ42" t="str">
        <f>INT(AY42/2.54/12)&amp;"' "&amp;
IF(ROUND(MOD((MOD((AY42/2.54),12)*2.54),2.54)/2.54*16,0)=0,TEXT(INT((MOD((AY42/2.54),12)*2.54)/2.54),"0"),TEXT((MOD((AY42/2.54),12)*2.54)/2.54,"# ?/"&amp;INDEX({16;8;16;4;16;8;16;2;16;8;16;4;16;8;16},MOD(ROUND((MOD((AY42/2.54),12)*2.54)/2.54*16,0),16))))&amp;CHAR(34)&amp;""</f>
        <v>0' 0"</v>
      </c>
      <c r="BA42">
        <f>ELEMENT!E38/10</f>
        <v>0</v>
      </c>
      <c r="BB42" t="str">
        <f>INT(BA42/2.54/12)&amp;"' "&amp;
IF(ROUND(MOD((MOD((BA42/2.54),12)*2.54),2.54)/2.54*16,0)=0,TEXT(INT((MOD((BA42/2.54),12)*2.54)/2.54),"0"),TEXT((MOD((BA42/2.54),12)*2.54)/2.54,"# ?/"&amp;INDEX({16;8;16;4;16;8;16;2;16;8;16;4;16;8;16},MOD(ROUND((MOD((BA42/2.54),12)*2.54)/2.54*16,0),16))))&amp;CHAR(34)&amp;""</f>
        <v>0' 0"</v>
      </c>
    </row>
    <row r="43" spans="2:54" x14ac:dyDescent="0.2">
      <c r="B43">
        <f>IF(MONTAGE!B41="","",MONTAGE!B41)</f>
        <v>0</v>
      </c>
      <c r="C43" t="str">
        <f ca="1">CONCATENATE(IF(ELEMENT!D39="",ELEMENT!V39,IF(ELEMENT!AC39=0,"",
CONCATENATE(P43,Q43,R43,S43,T43,U43,V43,W43,Y43))))</f>
        <v>o/a frame size: 0 x 0mm  
(0' 0" x 0' 0")
2-tracks double glazed,  0 # of panel
0</v>
      </c>
      <c r="D43" t="str">
        <f>IF(MONTAGE!C41=0,Sprache!$B$86,SUM(MONTAGE!C41))</f>
        <v>per</v>
      </c>
      <c r="E43">
        <f ca="1">IF(ELEMENT!AW39="JA",ELEMENT!U39,SUM(MONTAGE!T41))</f>
        <v>0</v>
      </c>
      <c r="F43">
        <f ca="1">IF(ELEMENT!AW39="JA",IF(ELEMENT!C39=0,,ELEMENT!U39*ELEMENT!C39),SUM(MONTAGE!U41))</f>
        <v>0</v>
      </c>
      <c r="O43" t="e">
        <f ca="1">SUM(F43/ELEMENT!AA39)</f>
        <v>#DIV/0!</v>
      </c>
      <c r="P43" t="str">
        <f>IF(ELEMENT!A39="","",CONCATENATE(ELEMENT!A39,"
"))</f>
        <v/>
      </c>
      <c r="Q43" t="str">
        <f>IF(ELEMENT!$AS39="","",CONCATENATE(
IF(ELEMENT!$L$47=ELEMENT!$CK$55,Sprache!$B$79,Sprache!$B$78),
IF(ELEMENT!BC39&gt;0,CONCATENATE(" ",Sprache!$B$147),),": ",ROUND(ELEMENT!D39,0)," x ",ROUND(ELEMENT!E39,0),"mm "," ",
IF(OR(ELEMENT!$X$47=ELEMENT!$CS$65,ELEMENT!$X$47=ELEMENT!$CR$65),VZ!X43," "),"
"))</f>
        <v xml:space="preserve">o/a frame size: 0 x 0mm  
(0' 0" x 0' 0")
</v>
      </c>
      <c r="R43" t="str">
        <f>IF(ELEMENT!$AS39="","",CONCATENATE(ELEMENT!AR39,Sprache!$B$81,",","  "))</f>
        <v xml:space="preserve">2-tracks double glazed,  </v>
      </c>
      <c r="S43" t="str">
        <f>IF(ELEMENT!$D39="","",CONCATENATE(ELEMENT!Z39," ",Sprache!$B$84,"
"))</f>
        <v xml:space="preserve">0 # of panel
</v>
      </c>
      <c r="T43" t="str">
        <f>IF(OR(ELEMENT!$AS39="",ELEMENT!R39+ELEMENT!S39+ELEMENT!T39+ELEMENT!X39=0),"",
CONCATENATE(IF(ELEMENT!X39="",0,ELEMENT!X39)," ",Sprache!$B$11," ",Sprache!$B$85,",  "))</f>
        <v/>
      </c>
      <c r="U43" t="str">
        <f>IF(OR(ELEMENT!$AS39="",ELEMENT!R39+ELEMENT!S39+ELEMENT!T39+ELEMENT!X39=0),"",
CONCATENATE(SUM(ELEMENT!R39:S39)," ",Sprache!$B$11," ",IF(SUM(ELEMENT!R39:S39)&lt;2,Sprache!$B$69,Sprache!$B$70),"
"))</f>
        <v/>
      </c>
      <c r="V43" t="str">
        <f>IF(ELEMENT!X39=0,"",IF(ELEMENT!EK39&gt;ELEMENT!EJ39,Sprache!$B$99&amp;"
",""))</f>
        <v/>
      </c>
      <c r="W43" t="str">
        <f>IF(ELEMENT!G39=ELEMENT!$CK$59,CONCATENATE(Sprache!$B$123,"
"),IF(ELEMENT!G39=ELEMENT!$CL$59,CONCATENATE(Sprache!$B$124,"
"),""))</f>
        <v/>
      </c>
      <c r="X43" t="str">
        <f t="shared" si="0"/>
        <v xml:space="preserve">
(0' 0" x 0' 0")</v>
      </c>
      <c r="Y43">
        <f ca="1">IF(1=Sprache!$Z$1,
IF(ELEMENT!AC39="",,CONCATENATE(AD43,AE43,AF43,AG43,AI43,AJ43,AK43,Sprache!$B$87,":",LS,Z43,AH43)),
IF(ELEMENT!AC39="",,CONCATENATE(AD43,AE43,AF43,AG43,AI43,AJ43,AK43,Sprache!$B$87,":",LS,Z43,"
",AA43,LS,LS,AB43,"
",Sprache!$B$91," ",AC43,AH43)))</f>
        <v>0</v>
      </c>
      <c r="Z43">
        <f>ELEMENT!DP39</f>
        <v>0</v>
      </c>
      <c r="AA43" t="e">
        <f>ELEMENT!$CU$51&amp;LS&amp;ELEMENT!DR39&amp;LS&amp;$AA$7</f>
        <v>#N/A</v>
      </c>
      <c r="AB43" t="e">
        <f>ELEMENT!$CU$53&amp;"   "&amp;ELEMENT!DO39</f>
        <v>#N/A</v>
      </c>
      <c r="AC43" t="str">
        <f>ELEMENT!$B$47</f>
        <v>E6 EV1 (20my)</v>
      </c>
      <c r="AD43" t="str">
        <f>IF(ELEMENT!BB39=0,"",CONCATENATE(ELEMENT!BB39," ",Sprache!$B$12," ",Sprache!$B$98,"
"))</f>
        <v/>
      </c>
      <c r="AE43" t="str">
        <f>IF(ELEMENT!BA39=0,"",CONCATENATE(ELEMENT!BA39," ",Sprache!$B$71,"
"))</f>
        <v/>
      </c>
      <c r="AF43" t="str">
        <f>CONCATENATE(IF(ELEMENT!BD154=1,CONCATENATE(Sprache!$B$137," ",Sprache!$B$145,"
"),""),
IF(ELEMENT!BE154=1,CONCATENATE(Sprache!$B$137," ",Sprache!$B$146,"
"),""))</f>
        <v/>
      </c>
      <c r="AG43" t="str">
        <f>IF(ELEMENT!BD39=0,"",CONCATENATE(ELEMENT!BD39," ",Sprache!$B$11," ",Sprache!$B$138,"
"))</f>
        <v/>
      </c>
      <c r="AH43" t="str">
        <f>IF(ELEMENT!AX39="","",CONCATENATE("
",ELEMENT!AX39))</f>
        <v/>
      </c>
      <c r="AI43" t="str">
        <f>IF(ELEMENT!AP39=2,CONCATENATE(Sprache!$B$149,"
"),
IF(ELEMENT!AP39=1,CONCATENATE(Sprache!$B$148,"
"),""))</f>
        <v/>
      </c>
      <c r="AJ43" t="str">
        <f>IF(ELEMENT!AW39=ELEMENT!$CJ$73,"",IF(ELEMENT!AW39=ELEMENT!$CK$73,CONCATENATE(Sprache!$B$150,"
"),
IF(ELEMENT!AW39=ELEMENT!$CL$73,CONCATENATE(Sprache!$B$151,"
"),
IF(ELEMENT!AW39=ELEMENT!$CM$73,CONCATENATE(Sprache!$B$152,"
"),
IF(ELEMENT!AW39=ELEMENT!$CN$73,CONCATENATE(Sprache!$B$151,"
",Sprache!$B$152,"
"),"")))))</f>
        <v/>
      </c>
      <c r="AK43" t="str">
        <f>IF(ELEMENT!BA154=1,CONCATENATE(Sprache!$B$161,"
"),"")</f>
        <v/>
      </c>
      <c r="AO43" t="str">
        <f ca="1">IF(ELEMENT!$AG$48=TODAY(),CONCATENATE("
",Sprache!$B$126),"")</f>
        <v/>
      </c>
      <c r="AY43">
        <f>ELEMENT!D39/10</f>
        <v>0</v>
      </c>
      <c r="AZ43" t="str">
        <f>INT(AY43/2.54/12)&amp;"' "&amp;
IF(ROUND(MOD((MOD((AY43/2.54),12)*2.54),2.54)/2.54*16,0)=0,TEXT(INT((MOD((AY43/2.54),12)*2.54)/2.54),"0"),TEXT((MOD((AY43/2.54),12)*2.54)/2.54,"# ?/"&amp;INDEX({16;8;16;4;16;8;16;2;16;8;16;4;16;8;16},MOD(ROUND((MOD((AY43/2.54),12)*2.54)/2.54*16,0),16))))&amp;CHAR(34)&amp;""</f>
        <v>0' 0"</v>
      </c>
      <c r="BA43">
        <f>ELEMENT!E39/10</f>
        <v>0</v>
      </c>
      <c r="BB43" t="str">
        <f>INT(BA43/2.54/12)&amp;"' "&amp;
IF(ROUND(MOD((MOD((BA43/2.54),12)*2.54),2.54)/2.54*16,0)=0,TEXT(INT((MOD((BA43/2.54),12)*2.54)/2.54),"0"),TEXT((MOD((BA43/2.54),12)*2.54)/2.54,"# ?/"&amp;INDEX({16;8;16;4;16;8;16;2;16;8;16;4;16;8;16},MOD(ROUND((MOD((BA43/2.54),12)*2.54)/2.54*16,0),16))))&amp;CHAR(34)&amp;""</f>
        <v>0' 0"</v>
      </c>
    </row>
    <row r="44" spans="2:54" x14ac:dyDescent="0.2">
      <c r="B44">
        <f>IF(MONTAGE!B42="","",MONTAGE!B42)</f>
        <v>0</v>
      </c>
      <c r="C44" t="str">
        <f ca="1">CONCATENATE(IF(ELEMENT!D40="",ELEMENT!V40,IF(ELEMENT!AC40=0,"",
CONCATENATE(P44,Q44,R44,S44,T44,U44,V44,W44,Y44))))</f>
        <v>o/a frame size: 0 x 0mm  
(0' 0" x 0' 0")
2-tracks double glazed,  0 # of panel
0</v>
      </c>
      <c r="D44" t="str">
        <f>IF(MONTAGE!C42=0,Sprache!$B$86,SUM(MONTAGE!C42))</f>
        <v>per</v>
      </c>
      <c r="E44">
        <f ca="1">IF(ELEMENT!AW40="JA",ELEMENT!U40,SUM(MONTAGE!T42))</f>
        <v>0</v>
      </c>
      <c r="F44">
        <f ca="1">IF(ELEMENT!AW40="JA",IF(ELEMENT!C40=0,,ELEMENT!U40*ELEMENT!C40),SUM(MONTAGE!U42))</f>
        <v>0</v>
      </c>
      <c r="O44" t="e">
        <f ca="1">SUM(F44/ELEMENT!AA40)</f>
        <v>#DIV/0!</v>
      </c>
      <c r="P44" t="str">
        <f>IF(ELEMENT!A40="","",CONCATENATE(ELEMENT!A40,"
"))</f>
        <v/>
      </c>
      <c r="Q44" t="str">
        <f>IF(ELEMENT!$AS40="","",CONCATENATE(
IF(ELEMENT!$L$47=ELEMENT!$CK$55,Sprache!$B$79,Sprache!$B$78),
IF(ELEMENT!BC40&gt;0,CONCATENATE(" ",Sprache!$B$147),),": ",ROUND(ELEMENT!D40,0)," x ",ROUND(ELEMENT!E40,0),"mm "," ",
IF(OR(ELEMENT!$X$47=ELEMENT!$CS$65,ELEMENT!$X$47=ELEMENT!$CR$65),VZ!X44," "),"
"))</f>
        <v xml:space="preserve">o/a frame size: 0 x 0mm  
(0' 0" x 0' 0")
</v>
      </c>
      <c r="R44" t="str">
        <f>IF(ELEMENT!$AS40="","",CONCATENATE(ELEMENT!AR40,Sprache!$B$81,",","  "))</f>
        <v xml:space="preserve">2-tracks double glazed,  </v>
      </c>
      <c r="S44" t="str">
        <f>IF(ELEMENT!$D40="","",CONCATENATE(ELEMENT!Z40," ",Sprache!$B$84,"
"))</f>
        <v xml:space="preserve">0 # of panel
</v>
      </c>
      <c r="T44" t="str">
        <f>IF(OR(ELEMENT!$AS40="",ELEMENT!R40+ELEMENT!S40+ELEMENT!T40+ELEMENT!X40=0),"",
CONCATENATE(IF(ELEMENT!X40="",0,ELEMENT!X40)," ",Sprache!$B$11," ",Sprache!$B$85,",  "))</f>
        <v/>
      </c>
      <c r="U44" t="str">
        <f>IF(OR(ELEMENT!$AS40="",ELEMENT!R40+ELEMENT!S40+ELEMENT!T40+ELEMENT!X40=0),"",
CONCATENATE(SUM(ELEMENT!R40:S40)," ",Sprache!$B$11," ",IF(SUM(ELEMENT!R40:S40)&lt;2,Sprache!$B$69,Sprache!$B$70),"
"))</f>
        <v/>
      </c>
      <c r="V44" t="str">
        <f>IF(ELEMENT!X40=0,"",IF(ELEMENT!EK40&gt;ELEMENT!EJ40,Sprache!$B$99&amp;"
",""))</f>
        <v/>
      </c>
      <c r="W44" t="str">
        <f>IF(ELEMENT!G40=ELEMENT!$CK$59,CONCATENATE(Sprache!$B$123,"
"),IF(ELEMENT!G40=ELEMENT!$CL$59,CONCATENATE(Sprache!$B$124,"
"),""))</f>
        <v/>
      </c>
      <c r="X44" t="str">
        <f t="shared" si="0"/>
        <v xml:space="preserve">
(0' 0" x 0' 0")</v>
      </c>
      <c r="Y44">
        <f ca="1">IF(1=Sprache!$Z$1,
IF(ELEMENT!AC40="",,CONCATENATE(AD44,AE44,AF44,AG44,AI44,AJ44,AK44,Sprache!$B$87,":",LS,Z44,AH44)),
IF(ELEMENT!AC40="",,CONCATENATE(AD44,AE44,AF44,AG44,AI44,AJ44,AK44,Sprache!$B$87,":",LS,Z44,"
",AA44,LS,LS,AB44,"
",Sprache!$B$91," ",AC44,AH44)))</f>
        <v>0</v>
      </c>
      <c r="Z44">
        <f>ELEMENT!DP40</f>
        <v>0</v>
      </c>
      <c r="AA44" t="e">
        <f>ELEMENT!$CU$51&amp;LS&amp;ELEMENT!DR40&amp;LS&amp;$AA$7</f>
        <v>#N/A</v>
      </c>
      <c r="AB44" t="e">
        <f>ELEMENT!$CU$53&amp;"   "&amp;ELEMENT!DO40</f>
        <v>#N/A</v>
      </c>
      <c r="AC44" t="str">
        <f>ELEMENT!$B$47</f>
        <v>E6 EV1 (20my)</v>
      </c>
      <c r="AD44" t="str">
        <f>IF(ELEMENT!BB40=0,"",CONCATENATE(ELEMENT!BB40," ",Sprache!$B$12," ",Sprache!$B$98,"
"))</f>
        <v/>
      </c>
      <c r="AE44" t="str">
        <f>IF(ELEMENT!BA40=0,"",CONCATENATE(ELEMENT!BA40," ",Sprache!$B$71,"
"))</f>
        <v/>
      </c>
      <c r="AF44" t="str">
        <f>CONCATENATE(IF(ELEMENT!BD155=1,CONCATENATE(Sprache!$B$137," ",Sprache!$B$145,"
"),""),
IF(ELEMENT!BE155=1,CONCATENATE(Sprache!$B$137," ",Sprache!$B$146,"
"),""))</f>
        <v/>
      </c>
      <c r="AG44" t="str">
        <f>IF(ELEMENT!BD40=0,"",CONCATENATE(ELEMENT!BD40," ",Sprache!$B$11," ",Sprache!$B$138,"
"))</f>
        <v/>
      </c>
      <c r="AH44" t="str">
        <f>IF(ELEMENT!AX40="","",CONCATENATE("
",ELEMENT!AX40))</f>
        <v/>
      </c>
      <c r="AI44" t="str">
        <f>IF(ELEMENT!AP40=2,CONCATENATE(Sprache!$B$149,"
"),
IF(ELEMENT!AP40=1,CONCATENATE(Sprache!$B$148,"
"),""))</f>
        <v/>
      </c>
      <c r="AJ44" t="str">
        <f>IF(ELEMENT!AW40=ELEMENT!$CJ$73,"",IF(ELEMENT!AW40=ELEMENT!$CK$73,CONCATENATE(Sprache!$B$150,"
"),
IF(ELEMENT!AW40=ELEMENT!$CL$73,CONCATENATE(Sprache!$B$151,"
"),
IF(ELEMENT!AW40=ELEMENT!$CM$73,CONCATENATE(Sprache!$B$152,"
"),
IF(ELEMENT!AW40=ELEMENT!$CN$73,CONCATENATE(Sprache!$B$151,"
",Sprache!$B$152,"
"),"")))))</f>
        <v/>
      </c>
      <c r="AK44" t="str">
        <f>IF(ELEMENT!BA155=1,CONCATENATE(Sprache!$B$161,"
"),"")</f>
        <v/>
      </c>
      <c r="AO44" t="str">
        <f ca="1">IF(ELEMENT!$AG$48=TODAY(),CONCATENATE("
",Sprache!$B$126),"")</f>
        <v/>
      </c>
      <c r="AY44">
        <f>ELEMENT!D40/10</f>
        <v>0</v>
      </c>
      <c r="AZ44" t="str">
        <f>INT(AY44/2.54/12)&amp;"' "&amp;
IF(ROUND(MOD((MOD((AY44/2.54),12)*2.54),2.54)/2.54*16,0)=0,TEXT(INT((MOD((AY44/2.54),12)*2.54)/2.54),"0"),TEXT((MOD((AY44/2.54),12)*2.54)/2.54,"# ?/"&amp;INDEX({16;8;16;4;16;8;16;2;16;8;16;4;16;8;16},MOD(ROUND((MOD((AY44/2.54),12)*2.54)/2.54*16,0),16))))&amp;CHAR(34)&amp;""</f>
        <v>0' 0"</v>
      </c>
      <c r="BA44">
        <f>ELEMENT!E40/10</f>
        <v>0</v>
      </c>
      <c r="BB44" t="str">
        <f>INT(BA44/2.54/12)&amp;"' "&amp;
IF(ROUND(MOD((MOD((BA44/2.54),12)*2.54),2.54)/2.54*16,0)=0,TEXT(INT((MOD((BA44/2.54),12)*2.54)/2.54),"0"),TEXT((MOD((BA44/2.54),12)*2.54)/2.54,"# ?/"&amp;INDEX({16;8;16;4;16;8;16;2;16;8;16;4;16;8;16},MOD(ROUND((MOD((BA44/2.54),12)*2.54)/2.54*16,0),16))))&amp;CHAR(34)&amp;""</f>
        <v>0' 0"</v>
      </c>
    </row>
    <row r="45" spans="2:54" x14ac:dyDescent="0.2">
      <c r="B45">
        <f>IF(MONTAGE!B43="","",MONTAGE!B43)</f>
        <v>0</v>
      </c>
      <c r="C45" t="str">
        <f ca="1">CONCATENATE(IF(ELEMENT!D41="",ELEMENT!V41,IF(ELEMENT!AC41=0,"",
CONCATENATE(P45,Q45,R45,S45,T45,U45,V45,W45,Y45))))</f>
        <v>o/a frame size: 0 x 0mm  
(0' 0" x 0' 0")
2-tracks double glazed,  0 # of panel
0</v>
      </c>
      <c r="D45" t="str">
        <f>IF(MONTAGE!C43=0,Sprache!$B$86,SUM(MONTAGE!C43))</f>
        <v>per</v>
      </c>
      <c r="E45">
        <f ca="1">IF(ELEMENT!AW41="JA",ELEMENT!U41,SUM(MONTAGE!T43))</f>
        <v>0</v>
      </c>
      <c r="F45">
        <f ca="1">IF(ELEMENT!AW41="JA",IF(ELEMENT!C41=0,,ELEMENT!U41*ELEMENT!C41),SUM(MONTAGE!U43))</f>
        <v>0</v>
      </c>
      <c r="O45" t="e">
        <f ca="1">SUM(F45/ELEMENT!AA41)</f>
        <v>#DIV/0!</v>
      </c>
      <c r="P45" t="str">
        <f>IF(ELEMENT!A41="","",CONCATENATE(ELEMENT!A41,"
"))</f>
        <v/>
      </c>
      <c r="Q45" t="str">
        <f>IF(ELEMENT!$AS41="","",CONCATENATE(
IF(ELEMENT!$L$47=ELEMENT!$CK$55,Sprache!$B$79,Sprache!$B$78),
IF(ELEMENT!BC41&gt;0,CONCATENATE(" ",Sprache!$B$147),),": ",ROUND(ELEMENT!D41,0)," x ",ROUND(ELEMENT!E41,0),"mm "," ",
IF(OR(ELEMENT!$X$47=ELEMENT!$CS$65,ELEMENT!$X$47=ELEMENT!$CR$65),VZ!X45," "),"
"))</f>
        <v xml:space="preserve">o/a frame size: 0 x 0mm  
(0' 0" x 0' 0")
</v>
      </c>
      <c r="R45" t="str">
        <f>IF(ELEMENT!$AS41="","",CONCATENATE(ELEMENT!AR41,Sprache!$B$81,",","  "))</f>
        <v xml:space="preserve">2-tracks double glazed,  </v>
      </c>
      <c r="S45" t="str">
        <f>IF(ELEMENT!$D41="","",CONCATENATE(ELEMENT!Z41," ",Sprache!$B$84,"
"))</f>
        <v xml:space="preserve">0 # of panel
</v>
      </c>
      <c r="T45" t="str">
        <f>IF(OR(ELEMENT!$AS41="",ELEMENT!R41+ELEMENT!S41+ELEMENT!T41+ELEMENT!X41=0),"",
CONCATENATE(IF(ELEMENT!X41="",0,ELEMENT!X41)," ",Sprache!$B$11," ",Sprache!$B$85,",  "))</f>
        <v/>
      </c>
      <c r="U45" t="str">
        <f>IF(OR(ELEMENT!$AS41="",ELEMENT!R41+ELEMENT!S41+ELEMENT!T41+ELEMENT!X41=0),"",
CONCATENATE(SUM(ELEMENT!R41:S41)," ",Sprache!$B$11," ",IF(SUM(ELEMENT!R41:S41)&lt;2,Sprache!$B$69,Sprache!$B$70),"
"))</f>
        <v/>
      </c>
      <c r="V45" t="str">
        <f>IF(ELEMENT!X41=0,"",IF(ELEMENT!EK41&gt;ELEMENT!EJ41,Sprache!$B$99&amp;"
",""))</f>
        <v/>
      </c>
      <c r="W45" t="str">
        <f>IF(ELEMENT!G41=ELEMENT!$CK$59,CONCATENATE(Sprache!$B$123,"
"),IF(ELEMENT!G41=ELEMENT!$CL$59,CONCATENATE(Sprache!$B$124,"
"),""))</f>
        <v/>
      </c>
      <c r="X45" t="str">
        <f t="shared" si="0"/>
        <v xml:space="preserve">
(0' 0" x 0' 0")</v>
      </c>
      <c r="Y45">
        <f ca="1">IF(1=Sprache!$Z$1,
IF(ELEMENT!AC41="",,CONCATENATE(AD45,AE45,AF45,AG45,AI45,AJ45,AK45,Sprache!$B$87,":",LS,Z45,AH45)),
IF(ELEMENT!AC41="",,CONCATENATE(AD45,AE45,AF45,AG45,AI45,AJ45,AK45,Sprache!$B$87,":",LS,Z45,"
",AA45,LS,LS,AB45,"
",Sprache!$B$91," ",AC45,AH45)))</f>
        <v>0</v>
      </c>
      <c r="Z45">
        <f>ELEMENT!DP41</f>
        <v>0</v>
      </c>
      <c r="AA45" t="e">
        <f>ELEMENT!$CU$51&amp;LS&amp;ELEMENT!DR41&amp;LS&amp;$AA$7</f>
        <v>#N/A</v>
      </c>
      <c r="AB45" t="e">
        <f>ELEMENT!$CU$53&amp;"   "&amp;ELEMENT!DO41</f>
        <v>#N/A</v>
      </c>
      <c r="AC45" t="str">
        <f>ELEMENT!$B$47</f>
        <v>E6 EV1 (20my)</v>
      </c>
      <c r="AD45" t="str">
        <f>IF(ELEMENT!BB41=0,"",CONCATENATE(ELEMENT!BB41," ",Sprache!$B$12," ",Sprache!$B$98,"
"))</f>
        <v/>
      </c>
      <c r="AE45" t="str">
        <f>IF(ELEMENT!BA41=0,"",CONCATENATE(ELEMENT!BA41," ",Sprache!$B$71,"
"))</f>
        <v/>
      </c>
      <c r="AF45" t="str">
        <f>CONCATENATE(IF(ELEMENT!BD156=1,CONCATENATE(Sprache!$B$137," ",Sprache!$B$145,"
"),""),
IF(ELEMENT!BE156=1,CONCATENATE(Sprache!$B$137," ",Sprache!$B$146,"
"),""))</f>
        <v/>
      </c>
      <c r="AG45" t="str">
        <f>IF(ELEMENT!BD41=0,"",CONCATENATE(ELEMENT!BD41," ",Sprache!$B$11," ",Sprache!$B$138,"
"))</f>
        <v/>
      </c>
      <c r="AH45" t="str">
        <f>IF(ELEMENT!AX41="","",CONCATENATE("
",ELEMENT!AX41))</f>
        <v/>
      </c>
      <c r="AI45" t="str">
        <f>IF(ELEMENT!AP41=2,CONCATENATE(Sprache!$B$149,"
"),
IF(ELEMENT!AP41=1,CONCATENATE(Sprache!$B$148,"
"),""))</f>
        <v/>
      </c>
      <c r="AJ45" t="str">
        <f>IF(ELEMENT!AW41=ELEMENT!$CJ$73,"",IF(ELEMENT!AW41=ELEMENT!$CK$73,CONCATENATE(Sprache!$B$150,"
"),
IF(ELEMENT!AW41=ELEMENT!$CL$73,CONCATENATE(Sprache!$B$151,"
"),
IF(ELEMENT!AW41=ELEMENT!$CM$73,CONCATENATE(Sprache!$B$152,"
"),
IF(ELEMENT!AW41=ELEMENT!$CN$73,CONCATENATE(Sprache!$B$151,"
",Sprache!$B$152,"
"),"")))))</f>
        <v/>
      </c>
      <c r="AK45" t="str">
        <f>IF(ELEMENT!BA156=1,CONCATENATE(Sprache!$B$161,"
"),"")</f>
        <v/>
      </c>
      <c r="AO45" t="str">
        <f ca="1">IF(ELEMENT!$AG$48=TODAY(),CONCATENATE("
",Sprache!$B$126),"")</f>
        <v/>
      </c>
      <c r="AY45">
        <f>ELEMENT!D41/10</f>
        <v>0</v>
      </c>
      <c r="AZ45" t="str">
        <f>INT(AY45/2.54/12)&amp;"' "&amp;
IF(ROUND(MOD((MOD((AY45/2.54),12)*2.54),2.54)/2.54*16,0)=0,TEXT(INT((MOD((AY45/2.54),12)*2.54)/2.54),"0"),TEXT((MOD((AY45/2.54),12)*2.54)/2.54,"# ?/"&amp;INDEX({16;8;16;4;16;8;16;2;16;8;16;4;16;8;16},MOD(ROUND((MOD((AY45/2.54),12)*2.54)/2.54*16,0),16))))&amp;CHAR(34)&amp;""</f>
        <v>0' 0"</v>
      </c>
      <c r="BA45">
        <f>ELEMENT!E41/10</f>
        <v>0</v>
      </c>
      <c r="BB45" t="str">
        <f>INT(BA45/2.54/12)&amp;"' "&amp;
IF(ROUND(MOD((MOD((BA45/2.54),12)*2.54),2.54)/2.54*16,0)=0,TEXT(INT((MOD((BA45/2.54),12)*2.54)/2.54),"0"),TEXT((MOD((BA45/2.54),12)*2.54)/2.54,"# ?/"&amp;INDEX({16;8;16;4;16;8;16;2;16;8;16;4;16;8;16},MOD(ROUND((MOD((BA45/2.54),12)*2.54)/2.54*16,0),16))))&amp;CHAR(34)&amp;""</f>
        <v>0' 0"</v>
      </c>
    </row>
    <row r="46" spans="2:54" x14ac:dyDescent="0.2">
      <c r="B46">
        <f>IF(MONTAGE!B44="","",MONTAGE!B44)</f>
        <v>0</v>
      </c>
      <c r="C46" t="str">
        <f ca="1">CONCATENATE(IF(ELEMENT!D42="",ELEMENT!V42,IF(ELEMENT!AC42=0,"",
CONCATENATE(P46,Q46,R46,S46,T46,U46,V46,W46,Y46))))</f>
        <v>o/a frame size: 0 x 0mm  
(0' 0" x 0' 0")
2-tracks double glazed,  0 # of panel
0</v>
      </c>
      <c r="D46" t="str">
        <f>IF(MONTAGE!C44=0,Sprache!$B$86,SUM(MONTAGE!C44))</f>
        <v>per</v>
      </c>
      <c r="E46">
        <f ca="1">IF(ELEMENT!AW42="JA",ELEMENT!U42,SUM(MONTAGE!T44))</f>
        <v>0</v>
      </c>
      <c r="F46">
        <f ca="1">IF(ELEMENT!AW42="JA",IF(ELEMENT!C42=0,,ELEMENT!U42*ELEMENT!C42),SUM(MONTAGE!U44))</f>
        <v>0</v>
      </c>
      <c r="O46" t="e">
        <f ca="1">SUM(F46/ELEMENT!AA42)</f>
        <v>#DIV/0!</v>
      </c>
      <c r="P46" t="str">
        <f>IF(ELEMENT!A42="","",CONCATENATE(ELEMENT!A42,"
"))</f>
        <v/>
      </c>
      <c r="Q46" t="str">
        <f>IF(ELEMENT!$AS42="","",CONCATENATE(
IF(ELEMENT!$L$47=ELEMENT!$CK$55,Sprache!$B$79,Sprache!$B$78),
IF(ELEMENT!BC42&gt;0,CONCATENATE(" ",Sprache!$B$147),),": ",ROUND(ELEMENT!D42,0)," x ",ROUND(ELEMENT!E42,0),"mm "," ",
IF(OR(ELEMENT!$X$47=ELEMENT!$CS$65,ELEMENT!$X$47=ELEMENT!$CR$65),VZ!X46," "),"
"))</f>
        <v xml:space="preserve">o/a frame size: 0 x 0mm  
(0' 0" x 0' 0")
</v>
      </c>
      <c r="R46" t="str">
        <f>IF(ELEMENT!$AS42="","",CONCATENATE(ELEMENT!AR42,Sprache!$B$81,",","  "))</f>
        <v xml:space="preserve">2-tracks double glazed,  </v>
      </c>
      <c r="S46" t="str">
        <f>IF(ELEMENT!$D42="","",CONCATENATE(ELEMENT!Z42," ",Sprache!$B$84,"
"))</f>
        <v xml:space="preserve">0 # of panel
</v>
      </c>
      <c r="T46" t="str">
        <f>IF(OR(ELEMENT!$AS42="",ELEMENT!R42+ELEMENT!S42+ELEMENT!T42+ELEMENT!X42=0),"",
CONCATENATE(IF(ELEMENT!X42="",0,ELEMENT!X42)," ",Sprache!$B$11," ",Sprache!$B$85,",  "))</f>
        <v/>
      </c>
      <c r="U46" t="str">
        <f>IF(OR(ELEMENT!$AS42="",ELEMENT!R42+ELEMENT!S42+ELEMENT!T42+ELEMENT!X42=0),"",
CONCATENATE(SUM(ELEMENT!R42:S42)," ",Sprache!$B$11," ",IF(SUM(ELEMENT!R42:S42)&lt;2,Sprache!$B$69,Sprache!$B$70),"
"))</f>
        <v/>
      </c>
      <c r="V46" t="str">
        <f>IF(ELEMENT!X42=0,"",IF(ELEMENT!EK42&gt;ELEMENT!EJ42,Sprache!$B$99&amp;"
",""))</f>
        <v/>
      </c>
      <c r="W46" t="str">
        <f>IF(ELEMENT!G42=ELEMENT!$CK$59,CONCATENATE(Sprache!$B$123,"
"),IF(ELEMENT!G42=ELEMENT!$CL$59,CONCATENATE(Sprache!$B$124,"
"),""))</f>
        <v/>
      </c>
      <c r="X46" t="str">
        <f t="shared" si="0"/>
        <v xml:space="preserve">
(0' 0" x 0' 0")</v>
      </c>
      <c r="Y46">
        <f ca="1">IF(1=Sprache!$Z$1,
IF(ELEMENT!AC42="",,CONCATENATE(AD46,AE46,AF46,AG46,AI46,AJ46,AK46,Sprache!$B$87,":",LS,Z46,AH46)),
IF(ELEMENT!AC42="",,CONCATENATE(AD46,AE46,AF46,AG46,AI46,AJ46,AK46,Sprache!$B$87,":",LS,Z46,"
",AA46,LS,LS,AB46,"
",Sprache!$B$91," ",AC46,AH46)))</f>
        <v>0</v>
      </c>
      <c r="Z46">
        <f>ELEMENT!DP42</f>
        <v>0</v>
      </c>
      <c r="AA46" t="e">
        <f>ELEMENT!$CU$51&amp;LS&amp;ELEMENT!DR42&amp;LS&amp;$AA$7</f>
        <v>#N/A</v>
      </c>
      <c r="AB46" t="e">
        <f>ELEMENT!$CU$53&amp;"   "&amp;ELEMENT!DO42</f>
        <v>#N/A</v>
      </c>
      <c r="AC46" t="str">
        <f>ELEMENT!$B$47</f>
        <v>E6 EV1 (20my)</v>
      </c>
      <c r="AD46" t="str">
        <f>IF(ELEMENT!BB42=0,"",CONCATENATE(ELEMENT!BB42," ",Sprache!$B$12," ",Sprache!$B$98,"
"))</f>
        <v/>
      </c>
      <c r="AE46" t="str">
        <f>IF(ELEMENT!BA42=0,"",CONCATENATE(ELEMENT!BA42," ",Sprache!$B$71,"
"))</f>
        <v/>
      </c>
      <c r="AF46" t="str">
        <f>CONCATENATE(IF(ELEMENT!BD157=1,CONCATENATE(Sprache!$B$137," ",Sprache!$B$145,"
"),""),
IF(ELEMENT!BE157=1,CONCATENATE(Sprache!$B$137," ",Sprache!$B$146,"
"),""))</f>
        <v/>
      </c>
      <c r="AG46" t="str">
        <f>IF(ELEMENT!BD42=0,"",CONCATENATE(ELEMENT!BD42," ",Sprache!$B$11," ",Sprache!$B$138,"
"))</f>
        <v/>
      </c>
      <c r="AH46" t="str">
        <f>IF(ELEMENT!AX42="","",CONCATENATE("
",ELEMENT!AX42))</f>
        <v/>
      </c>
      <c r="AI46" t="str">
        <f>IF(ELEMENT!AP42=2,CONCATENATE(Sprache!$B$149,"
"),
IF(ELEMENT!AP42=1,CONCATENATE(Sprache!$B$148,"
"),""))</f>
        <v/>
      </c>
      <c r="AJ46" t="str">
        <f>IF(ELEMENT!AW42=ELEMENT!$CJ$73,"",IF(ELEMENT!AW42=ELEMENT!$CK$73,CONCATENATE(Sprache!$B$150,"
"),
IF(ELEMENT!AW42=ELEMENT!$CL$73,CONCATENATE(Sprache!$B$151,"
"),
IF(ELEMENT!AW42=ELEMENT!$CM$73,CONCATENATE(Sprache!$B$152,"
"),
IF(ELEMENT!AW42=ELEMENT!$CN$73,CONCATENATE(Sprache!$B$151,"
",Sprache!$B$152,"
"),"")))))</f>
        <v/>
      </c>
      <c r="AK46" t="str">
        <f>IF(ELEMENT!BA157=1,CONCATENATE(Sprache!$B$161,"
"),"")</f>
        <v/>
      </c>
      <c r="AO46" t="str">
        <f ca="1">IF(ELEMENT!$AG$48=TODAY(),CONCATENATE("
",Sprache!$B$126),"")</f>
        <v/>
      </c>
      <c r="AY46">
        <f>ELEMENT!D42/10</f>
        <v>0</v>
      </c>
      <c r="AZ46" t="str">
        <f>INT(AY46/2.54/12)&amp;"' "&amp;
IF(ROUND(MOD((MOD((AY46/2.54),12)*2.54),2.54)/2.54*16,0)=0,TEXT(INT((MOD((AY46/2.54),12)*2.54)/2.54),"0"),TEXT((MOD((AY46/2.54),12)*2.54)/2.54,"# ?/"&amp;INDEX({16;8;16;4;16;8;16;2;16;8;16;4;16;8;16},MOD(ROUND((MOD((AY46/2.54),12)*2.54)/2.54*16,0),16))))&amp;CHAR(34)&amp;""</f>
        <v>0' 0"</v>
      </c>
      <c r="BA46">
        <f>ELEMENT!E42/10</f>
        <v>0</v>
      </c>
      <c r="BB46" t="str">
        <f>INT(BA46/2.54/12)&amp;"' "&amp;
IF(ROUND(MOD((MOD((BA46/2.54),12)*2.54),2.54)/2.54*16,0)=0,TEXT(INT((MOD((BA46/2.54),12)*2.54)/2.54),"0"),TEXT((MOD((BA46/2.54),12)*2.54)/2.54,"# ?/"&amp;INDEX({16;8;16;4;16;8;16;2;16;8;16;4;16;8;16},MOD(ROUND((MOD((BA46/2.54),12)*2.54)/2.54*16,0),16))))&amp;CHAR(34)&amp;""</f>
        <v>0' 0"</v>
      </c>
    </row>
    <row r="47" spans="2:54" x14ac:dyDescent="0.2">
      <c r="B47">
        <f>IF(MONTAGE!B45="","",MONTAGE!B45)</f>
        <v>0</v>
      </c>
      <c r="C47" t="str">
        <f ca="1">CONCATENATE(IF(ELEMENT!D43="",ELEMENT!V43,IF(ELEMENT!AC43=0,"",
CONCATENATE(P47,Q47,R47,S47,T47,U47,V47,W47,Y47))))</f>
        <v>o/a frame size: 0 x 0mm  
(0' 0" x 0' 0")
2-tracks double glazed,  0 # of panel
0</v>
      </c>
      <c r="D47" t="str">
        <f>IF(MONTAGE!C45=0,Sprache!$B$86,SUM(MONTAGE!C45))</f>
        <v>per</v>
      </c>
      <c r="E47">
        <f ca="1">IF(ELEMENT!AW43="JA",ELEMENT!U43,SUM(MONTAGE!T45))</f>
        <v>0</v>
      </c>
      <c r="F47">
        <f ca="1">IF(ELEMENT!AW43="JA",IF(ELEMENT!C43=0,,ELEMENT!U43*ELEMENT!C43),SUM(MONTAGE!U45))</f>
        <v>0</v>
      </c>
      <c r="O47" t="e">
        <f ca="1">SUM(F47/ELEMENT!AA43)</f>
        <v>#DIV/0!</v>
      </c>
      <c r="P47" t="str">
        <f>IF(ELEMENT!A43="","",CONCATENATE(ELEMENT!A43,"
"))</f>
        <v/>
      </c>
      <c r="Q47" t="str">
        <f>IF(ELEMENT!$AS43="","",CONCATENATE(
IF(ELEMENT!$L$47=ELEMENT!$CK$55,Sprache!$B$79,Sprache!$B$78),
IF(ELEMENT!BC43&gt;0,CONCATENATE(" ",Sprache!$B$147),),": ",ROUND(ELEMENT!D43,0)," x ",ROUND(ELEMENT!E43,0),"mm "," ",
IF(OR(ELEMENT!$X$47=ELEMENT!$CS$65,ELEMENT!$X$47=ELEMENT!$CR$65),VZ!X47," "),"
"))</f>
        <v xml:space="preserve">o/a frame size: 0 x 0mm  
(0' 0" x 0' 0")
</v>
      </c>
      <c r="R47" t="str">
        <f>IF(ELEMENT!$AS43="","",CONCATENATE(ELEMENT!AR43,Sprache!$B$81,",","  "))</f>
        <v xml:space="preserve">2-tracks double glazed,  </v>
      </c>
      <c r="S47" t="str">
        <f>IF(ELEMENT!$D43="","",CONCATENATE(ELEMENT!Z43," ",Sprache!$B$84,"
"))</f>
        <v xml:space="preserve">0 # of panel
</v>
      </c>
      <c r="T47" t="str">
        <f>IF(OR(ELEMENT!$AS43="",ELEMENT!R43+ELEMENT!S43+ELEMENT!T43+ELEMENT!X43=0),"",
CONCATENATE(IF(ELEMENT!X43="",0,ELEMENT!X43)," ",Sprache!$B$11," ",Sprache!$B$85,",  "))</f>
        <v/>
      </c>
      <c r="U47" t="str">
        <f>IF(OR(ELEMENT!$AS43="",ELEMENT!R43+ELEMENT!S43+ELEMENT!T43+ELEMENT!X43=0),"",
CONCATENATE(SUM(ELEMENT!R43:S43)," ",Sprache!$B$11," ",IF(SUM(ELEMENT!R43:S43)&lt;2,Sprache!$B$69,Sprache!$B$70),"
"))</f>
        <v/>
      </c>
      <c r="V47" t="str">
        <f>IF(ELEMENT!X43=0,"",IF(ELEMENT!EK43&gt;ELEMENT!EJ43,Sprache!$B$99&amp;"
",""))</f>
        <v/>
      </c>
      <c r="W47" t="str">
        <f>IF(ELEMENT!G43=ELEMENT!$CK$59,CONCATENATE(Sprache!$B$123,"
"),IF(ELEMENT!G43=ELEMENT!$CL$59,CONCATENATE(Sprache!$B$124,"
"),""))</f>
        <v/>
      </c>
      <c r="X47" t="str">
        <f t="shared" si="0"/>
        <v xml:space="preserve">
(0' 0" x 0' 0")</v>
      </c>
      <c r="Y47">
        <f ca="1">IF(1=Sprache!$Z$1,
IF(ELEMENT!AC43="",,CONCATENATE(AD47,AE47,AF47,AG47,AI47,AJ47,AK47,Sprache!$B$87,":",LS,Z47,AH47)),
IF(ELEMENT!AC43="",,CONCATENATE(AD47,AE47,AF47,AG47,AI47,AJ47,AK47,Sprache!$B$87,":",LS,Z47,"
",AA47,LS,LS,AB47,"
",Sprache!$B$91," ",AC47,AH47)))</f>
        <v>0</v>
      </c>
      <c r="Z47">
        <f>ELEMENT!DP43</f>
        <v>0</v>
      </c>
      <c r="AA47" t="e">
        <f>ELEMENT!$CU$51&amp;LS&amp;ELEMENT!DR43&amp;LS&amp;$AA$7</f>
        <v>#N/A</v>
      </c>
      <c r="AB47" t="e">
        <f>ELEMENT!$CU$53&amp;"   "&amp;ELEMENT!DO43</f>
        <v>#N/A</v>
      </c>
      <c r="AC47" t="str">
        <f>ELEMENT!$B$47</f>
        <v>E6 EV1 (20my)</v>
      </c>
      <c r="AD47" t="str">
        <f>IF(ELEMENT!BB43=0,"",CONCATENATE(ELEMENT!BB43," ",Sprache!$B$12," ",Sprache!$B$98,"
"))</f>
        <v/>
      </c>
      <c r="AE47" t="str">
        <f>IF(ELEMENT!BA43=0,"",CONCATENATE(ELEMENT!BA43," ",Sprache!$B$71,"
"))</f>
        <v/>
      </c>
      <c r="AF47" t="str">
        <f>CONCATENATE(IF(ELEMENT!BD158=1,CONCATENATE(Sprache!$B$137," ",Sprache!$B$145,"
"),""),
IF(ELEMENT!BE158=1,CONCATENATE(Sprache!$B$137," ",Sprache!$B$146,"
"),""))</f>
        <v/>
      </c>
      <c r="AG47" t="str">
        <f>IF(ELEMENT!BD43=0,"",CONCATENATE(ELEMENT!BD43," ",Sprache!$B$11," ",Sprache!$B$138,"
"))</f>
        <v/>
      </c>
      <c r="AH47" t="str">
        <f>IF(ELEMENT!AX43="","",CONCATENATE("
",ELEMENT!AX43))</f>
        <v/>
      </c>
      <c r="AI47" t="str">
        <f>IF(ELEMENT!AP43=2,CONCATENATE(Sprache!$B$149,"
"),
IF(ELEMENT!AP43=1,CONCATENATE(Sprache!$B$148,"
"),""))</f>
        <v/>
      </c>
      <c r="AJ47" t="str">
        <f>IF(ELEMENT!AW43=ELEMENT!$CJ$73,"",IF(ELEMENT!AW43=ELEMENT!$CK$73,CONCATENATE(Sprache!$B$150,"
"),
IF(ELEMENT!AW43=ELEMENT!$CL$73,CONCATENATE(Sprache!$B$151,"
"),
IF(ELEMENT!AW43=ELEMENT!$CM$73,CONCATENATE(Sprache!$B$152,"
"),
IF(ELEMENT!AW43=ELEMENT!$CN$73,CONCATENATE(Sprache!$B$151,"
",Sprache!$B$152,"
"),"")))))</f>
        <v/>
      </c>
      <c r="AK47" t="str">
        <f>IF(ELEMENT!BA158=1,CONCATENATE(Sprache!$B$161,"
"),"")</f>
        <v/>
      </c>
      <c r="AO47" t="str">
        <f ca="1">IF(ELEMENT!$AG$48=TODAY(),CONCATENATE("
",Sprache!$B$126),"")</f>
        <v/>
      </c>
      <c r="AY47">
        <f>ELEMENT!D43/10</f>
        <v>0</v>
      </c>
      <c r="AZ47" t="str">
        <f>INT(AY47/2.54/12)&amp;"' "&amp;
IF(ROUND(MOD((MOD((AY47/2.54),12)*2.54),2.54)/2.54*16,0)=0,TEXT(INT((MOD((AY47/2.54),12)*2.54)/2.54),"0"),TEXT((MOD((AY47/2.54),12)*2.54)/2.54,"# ?/"&amp;INDEX({16;8;16;4;16;8;16;2;16;8;16;4;16;8;16},MOD(ROUND((MOD((AY47/2.54),12)*2.54)/2.54*16,0),16))))&amp;CHAR(34)&amp;""</f>
        <v>0' 0"</v>
      </c>
      <c r="BA47">
        <f>ELEMENT!E43/10</f>
        <v>0</v>
      </c>
      <c r="BB47" t="str">
        <f>INT(BA47/2.54/12)&amp;"' "&amp;
IF(ROUND(MOD((MOD((BA47/2.54),12)*2.54),2.54)/2.54*16,0)=0,TEXT(INT((MOD((BA47/2.54),12)*2.54)/2.54),"0"),TEXT((MOD((BA47/2.54),12)*2.54)/2.54,"# ?/"&amp;INDEX({16;8;16;4;16;8;16;2;16;8;16;4;16;8;16},MOD(ROUND((MOD((BA47/2.54),12)*2.54)/2.54*16,0),16))))&amp;CHAR(34)&amp;""</f>
        <v>0' 0"</v>
      </c>
    </row>
    <row r="48" spans="2:54" x14ac:dyDescent="0.2">
      <c r="B48">
        <f>IF(MONTAGE!B46="","",MONTAGE!B46)</f>
        <v>0</v>
      </c>
      <c r="C48" t="str">
        <f ca="1">CONCATENATE(IF(ELEMENT!D44="",ELEMENT!V44,IF(ELEMENT!AC44=0,"",
CONCATENATE(P48,Q48,R48,S48,T48,U48,V48,W48,Y48))))</f>
        <v>o/a frame size: 0 x 0mm  
(0' 0" x 0' 0")
2-tracks double glazed,  0 # of panel
0</v>
      </c>
      <c r="D48" t="str">
        <f>IF(MONTAGE!C46=0,Sprache!$B$86,SUM(MONTAGE!C46))</f>
        <v>per</v>
      </c>
      <c r="E48">
        <f ca="1">IF(ELEMENT!AW44="JA",ELEMENT!U44,SUM(MONTAGE!T46))</f>
        <v>0</v>
      </c>
      <c r="F48">
        <f ca="1">IF(ELEMENT!AW44="JA",IF(ELEMENT!C44=0,,ELEMENT!U44*ELEMENT!C44),SUM(MONTAGE!U46))</f>
        <v>0</v>
      </c>
      <c r="O48" t="e">
        <f ca="1">SUM(F48/ELEMENT!AA44)</f>
        <v>#DIV/0!</v>
      </c>
      <c r="P48" t="str">
        <f>IF(ELEMENT!A44="","",CONCATENATE(ELEMENT!A44,"
"))</f>
        <v/>
      </c>
      <c r="Q48" t="str">
        <f>IF(ELEMENT!$AS44="","",CONCATENATE(
IF(ELEMENT!$L$47=ELEMENT!$CK$55,Sprache!$B$79,Sprache!$B$78),
IF(ELEMENT!BC44&gt;0,CONCATENATE(" ",Sprache!$B$147),),": ",ROUND(ELEMENT!D44,0)," x ",ROUND(ELEMENT!E44,0),"mm "," ",
IF(OR(ELEMENT!$X$47=ELEMENT!$CS$65,ELEMENT!$X$47=ELEMENT!$CR$65),VZ!X48," "),"
"))</f>
        <v xml:space="preserve">o/a frame size: 0 x 0mm  
(0' 0" x 0' 0")
</v>
      </c>
      <c r="R48" t="str">
        <f>IF(ELEMENT!$AS44="","",CONCATENATE(ELEMENT!AR44,Sprache!$B$81,",","  "))</f>
        <v xml:space="preserve">2-tracks double glazed,  </v>
      </c>
      <c r="S48" t="str">
        <f>IF(ELEMENT!$D44="","",CONCATENATE(ELEMENT!Z44," ",Sprache!$B$84,"
"))</f>
        <v xml:space="preserve">0 # of panel
</v>
      </c>
      <c r="T48" t="str">
        <f>IF(OR(ELEMENT!$AS44="",ELEMENT!R44+ELEMENT!S44+ELEMENT!T44+ELEMENT!X44=0),"",
CONCATENATE(IF(ELEMENT!X44="",0,ELEMENT!X44)," ",Sprache!$B$11," ",Sprache!$B$85,",  "))</f>
        <v/>
      </c>
      <c r="U48" t="str">
        <f>IF(OR(ELEMENT!$AS44="",ELEMENT!R44+ELEMENT!S44+ELEMENT!T44+ELEMENT!X44=0),"",
CONCATENATE(SUM(ELEMENT!R44:S44)," ",Sprache!$B$11," ",IF(SUM(ELEMENT!R44:S44)&lt;2,Sprache!$B$69,Sprache!$B$70),"
"))</f>
        <v/>
      </c>
      <c r="V48" t="str">
        <f>IF(ELEMENT!X44=0,"",IF(ELEMENT!EK44&gt;ELEMENT!EJ44,Sprache!$B$99&amp;"
",""))</f>
        <v/>
      </c>
      <c r="W48" t="str">
        <f>IF(ELEMENT!G44=ELEMENT!$CK$59,CONCATENATE(Sprache!$B$123,"
"),IF(ELEMENT!G44=ELEMENT!$CL$59,CONCATENATE(Sprache!$B$124,"
"),""))</f>
        <v/>
      </c>
      <c r="X48" t="str">
        <f t="shared" si="0"/>
        <v xml:space="preserve">
(0' 0" x 0' 0")</v>
      </c>
      <c r="Y48">
        <f ca="1">IF(1=Sprache!$Z$1,
IF(ELEMENT!AC44="",,CONCATENATE(AD48,AE48,AF48,AG48,AI48,AJ48,AK48,Sprache!$B$87,":",LS,Z48,AH48)),
IF(ELEMENT!AC44="",,CONCATENATE(AD48,AE48,AF48,AG48,AI48,AJ48,AK48,Sprache!$B$87,":",LS,Z48,"
",AA48,LS,LS,AB48,"
",Sprache!$B$91," ",AC48,AH48)))</f>
        <v>0</v>
      </c>
      <c r="Z48">
        <f>ELEMENT!DP44</f>
        <v>0</v>
      </c>
      <c r="AA48" t="e">
        <f>ELEMENT!$CU$51&amp;LS&amp;ELEMENT!DR44&amp;LS&amp;$AA$7</f>
        <v>#N/A</v>
      </c>
      <c r="AB48" t="e">
        <f>ELEMENT!$CU$53&amp;"   "&amp;ELEMENT!DO44</f>
        <v>#N/A</v>
      </c>
      <c r="AC48" t="str">
        <f>ELEMENT!$B$47</f>
        <v>E6 EV1 (20my)</v>
      </c>
      <c r="AD48" t="str">
        <f>IF(ELEMENT!BB44=0,"",CONCATENATE(ELEMENT!BB44," ",Sprache!$B$12," ",Sprache!$B$98,"
"))</f>
        <v/>
      </c>
      <c r="AE48" t="str">
        <f>IF(ELEMENT!BA44=0,"",CONCATENATE(ELEMENT!BA44," ",Sprache!$B$71,"
"))</f>
        <v/>
      </c>
      <c r="AF48" t="str">
        <f>CONCATENATE(IF(ELEMENT!BD159=1,CONCATENATE(Sprache!$B$137," ",Sprache!$B$145,"
"),""),
IF(ELEMENT!BE159=1,CONCATENATE(Sprache!$B$137," ",Sprache!$B$146,"
"),""))</f>
        <v/>
      </c>
      <c r="AG48" t="str">
        <f>IF(ELEMENT!BD44=0,"",CONCATENATE(ELEMENT!BD44," ",Sprache!$B$11," ",Sprache!$B$138,"
"))</f>
        <v/>
      </c>
      <c r="AH48" t="str">
        <f>IF(ELEMENT!AX44="","",CONCATENATE("
",ELEMENT!AX44))</f>
        <v/>
      </c>
      <c r="AI48" t="str">
        <f>IF(ELEMENT!AP44=2,CONCATENATE(Sprache!$B$149,"
"),
IF(ELEMENT!AP44=1,CONCATENATE(Sprache!$B$148,"
"),""))</f>
        <v/>
      </c>
      <c r="AJ48" t="str">
        <f>IF(ELEMENT!AW44=ELEMENT!$CJ$73,"",IF(ELEMENT!AW44=ELEMENT!$CK$73,CONCATENATE(Sprache!$B$150,"
"),
IF(ELEMENT!AW44=ELEMENT!$CL$73,CONCATENATE(Sprache!$B$151,"
"),
IF(ELEMENT!AW44=ELEMENT!$CM$73,CONCATENATE(Sprache!$B$152,"
"),
IF(ELEMENT!AW44=ELEMENT!$CN$73,CONCATENATE(Sprache!$B$151,"
",Sprache!$B$152,"
"),"")))))</f>
        <v/>
      </c>
      <c r="AK48" t="str">
        <f>IF(ELEMENT!BA159=1,CONCATENATE(Sprache!$B$161,"
"),"")</f>
        <v/>
      </c>
      <c r="AO48" t="str">
        <f ca="1">IF(ELEMENT!$AG$48=TODAY(),CONCATENATE("
",Sprache!$B$126),"")</f>
        <v/>
      </c>
      <c r="AY48">
        <f>ELEMENT!D44/10</f>
        <v>0</v>
      </c>
      <c r="AZ48" t="str">
        <f>INT(AY48/2.54/12)&amp;"' "&amp;
IF(ROUND(MOD((MOD((AY48/2.54),12)*2.54),2.54)/2.54*16,0)=0,TEXT(INT((MOD((AY48/2.54),12)*2.54)/2.54),"0"),TEXT((MOD((AY48/2.54),12)*2.54)/2.54,"# ?/"&amp;INDEX({16;8;16;4;16;8;16;2;16;8;16;4;16;8;16},MOD(ROUND((MOD((AY48/2.54),12)*2.54)/2.54*16,0),16))))&amp;CHAR(34)&amp;""</f>
        <v>0' 0"</v>
      </c>
      <c r="BA48">
        <f>ELEMENT!E44/10</f>
        <v>0</v>
      </c>
      <c r="BB48" t="str">
        <f>INT(BA48/2.54/12)&amp;"' "&amp;
IF(ROUND(MOD((MOD((BA48/2.54),12)*2.54),2.54)/2.54*16,0)=0,TEXT(INT((MOD((BA48/2.54),12)*2.54)/2.54),"0"),TEXT((MOD((BA48/2.54),12)*2.54)/2.54,"# ?/"&amp;INDEX({16;8;16;4;16;8;16;2;16;8;16;4;16;8;16},MOD(ROUND((MOD((BA48/2.54),12)*2.54)/2.54*16,0),16))))&amp;CHAR(34)&amp;""</f>
        <v>0' 0"</v>
      </c>
    </row>
    <row r="49" spans="2:54" x14ac:dyDescent="0.2">
      <c r="B49">
        <f>IF(MONTAGE!B47="","",MONTAGE!B47)</f>
        <v>0</v>
      </c>
      <c r="C49" t="str">
        <f ca="1">CONCATENATE(IF(ELEMENT!D45="",ELEMENT!V45,IF(ELEMENT!AC45=0,"",
CONCATENATE(P49,Q49,R49,S49,T49,U49,V49,W49,Y49))))</f>
        <v>o/a frame size: 0 x 0mm  
(0' 0" x 0' 0")
2-tracks double glazed,  0 # of panel
0</v>
      </c>
      <c r="D49" t="str">
        <f>IF(MONTAGE!C47=0,Sprache!$B$86,SUM(MONTAGE!C47))</f>
        <v>per</v>
      </c>
      <c r="E49">
        <f ca="1">IF(ELEMENT!AW45="JA",ELEMENT!U45,SUM(MONTAGE!T47))</f>
        <v>0</v>
      </c>
      <c r="F49">
        <f ca="1">IF(ELEMENT!AW45="JA",IF(ELEMENT!C45=0,,ELEMENT!U45*ELEMENT!C45),SUM(MONTAGE!U47))</f>
        <v>0</v>
      </c>
      <c r="O49" t="e">
        <f ca="1">SUM(F49/ELEMENT!AA45)</f>
        <v>#DIV/0!</v>
      </c>
      <c r="P49" t="str">
        <f>IF(ELEMENT!A45="","",CONCATENATE(ELEMENT!A45,"
"))</f>
        <v/>
      </c>
      <c r="Q49" t="str">
        <f>IF(ELEMENT!$AS45="","",CONCATENATE(
IF(ELEMENT!$L$47=ELEMENT!$CK$55,Sprache!$B$79,Sprache!$B$78),
IF(ELEMENT!BC45&gt;0,CONCATENATE(" ",Sprache!$B$147),),": ",ROUND(ELEMENT!D45,0)," x ",ROUND(ELEMENT!E45,0),"mm "," ",
IF(OR(ELEMENT!$X$47=ELEMENT!$CS$65,ELEMENT!$X$47=ELEMENT!$CR$65),VZ!X49," "),"
"))</f>
        <v xml:space="preserve">o/a frame size: 0 x 0mm  
(0' 0" x 0' 0")
</v>
      </c>
      <c r="R49" t="str">
        <f>IF(ELEMENT!$AS45="","",CONCATENATE(ELEMENT!AR45,Sprache!$B$81,",","  "))</f>
        <v xml:space="preserve">2-tracks double glazed,  </v>
      </c>
      <c r="S49" t="str">
        <f>IF(ELEMENT!$D45="","",CONCATENATE(ELEMENT!Z45," ",Sprache!$B$84,"
"))</f>
        <v xml:space="preserve">0 # of panel
</v>
      </c>
      <c r="T49" t="str">
        <f>IF(OR(ELEMENT!$AS45="",ELEMENT!R45+ELEMENT!S45+ELEMENT!T45+ELEMENT!X45=0),"",
CONCATENATE(IF(ELEMENT!X45="",0,ELEMENT!X45)," ",Sprache!$B$11," ",Sprache!$B$85,",  "))</f>
        <v/>
      </c>
      <c r="U49" t="str">
        <f>IF(OR(ELEMENT!$AS45="",ELEMENT!R45+ELEMENT!S45+ELEMENT!T45+ELEMENT!X45=0),"",
CONCATENATE(SUM(ELEMENT!R45:S45)," ",Sprache!$B$11," ",IF(SUM(ELEMENT!R45:S45)&lt;2,Sprache!$B$69,Sprache!$B$70),"
"))</f>
        <v/>
      </c>
      <c r="V49" t="str">
        <f>IF(ELEMENT!X45=0,"",IF(ELEMENT!EK45&gt;ELEMENT!EJ45,Sprache!$B$99&amp;"
",""))</f>
        <v/>
      </c>
      <c r="W49" t="str">
        <f>IF(ELEMENT!G45=ELEMENT!$CK$59,CONCATENATE(Sprache!$B$123,"
"),IF(ELEMENT!G45=ELEMENT!$CL$59,CONCATENATE(Sprache!$B$124,"
"),""))</f>
        <v/>
      </c>
      <c r="X49" t="str">
        <f t="shared" si="0"/>
        <v xml:space="preserve">
(0' 0" x 0' 0")</v>
      </c>
      <c r="Y49">
        <f ca="1">IF(1=Sprache!$Z$1,
IF(ELEMENT!AC45="",,CONCATENATE(AD49,AE49,AF49,AG49,AI49,AJ49,AK49,Sprache!$B$87,":",LS,Z49,AH49)),
IF(ELEMENT!AC45="",,CONCATENATE(AD49,AE49,AF49,AG49,AI49,AJ49,AK49,Sprache!$B$87,":",LS,Z49,"
",AA49,LS,LS,AB49,"
",Sprache!$B$91," ",AC49,AH49)))</f>
        <v>0</v>
      </c>
      <c r="Z49">
        <f>ELEMENT!DP45</f>
        <v>0</v>
      </c>
      <c r="AA49" t="e">
        <f>ELEMENT!$CU$51&amp;LS&amp;ELEMENT!DR45&amp;LS&amp;$AA$7</f>
        <v>#N/A</v>
      </c>
      <c r="AB49" t="e">
        <f>ELEMENT!$CU$53&amp;"   "&amp;ELEMENT!DO45</f>
        <v>#N/A</v>
      </c>
      <c r="AC49" t="str">
        <f>ELEMENT!$B$47</f>
        <v>E6 EV1 (20my)</v>
      </c>
      <c r="AD49" t="str">
        <f>IF(ELEMENT!BB45=0,"",CONCATENATE(ELEMENT!BB45," ",Sprache!$B$12," ",Sprache!$B$98,"
"))</f>
        <v/>
      </c>
      <c r="AE49" t="str">
        <f>IF(ELEMENT!BA45=0,"",CONCATENATE(ELEMENT!BA45," ",Sprache!$B$71,"
"))</f>
        <v/>
      </c>
      <c r="AF49" t="str">
        <f>CONCATENATE(IF(ELEMENT!BD160=1,CONCATENATE(Sprache!$B$137," ",Sprache!$B$145,"
"),""),
IF(ELEMENT!BE160=1,CONCATENATE(Sprache!$B$137," ",Sprache!$B$146,"
"),""))</f>
        <v/>
      </c>
      <c r="AG49" t="str">
        <f>IF(ELEMENT!BD45=0,"",CONCATENATE(ELEMENT!BD45," ",Sprache!$B$11," ",Sprache!$B$138,"
"))</f>
        <v/>
      </c>
      <c r="AH49" t="str">
        <f>IF(ELEMENT!AX45="","",CONCATENATE("
",ELEMENT!AX45))</f>
        <v/>
      </c>
      <c r="AI49" t="str">
        <f>IF(ELEMENT!AP45=2,CONCATENATE(Sprache!$B$149,"
"),
IF(ELEMENT!AP45=1,CONCATENATE(Sprache!$B$148,"
"),""))</f>
        <v/>
      </c>
      <c r="AJ49" t="str">
        <f>IF(ELEMENT!AW45=ELEMENT!$CJ$73,"",IF(ELEMENT!AW45=ELEMENT!$CK$73,CONCATENATE(Sprache!$B$150,"
"),
IF(ELEMENT!AW45=ELEMENT!$CL$73,CONCATENATE(Sprache!$B$151,"
"),
IF(ELEMENT!AW45=ELEMENT!$CM$73,CONCATENATE(Sprache!$B$152,"
"),
IF(ELEMENT!AW45=ELEMENT!$CN$73,CONCATENATE(Sprache!$B$151,"
",Sprache!$B$152,"
"),"")))))</f>
        <v/>
      </c>
      <c r="AK49" t="str">
        <f>IF(ELEMENT!BA160=1,CONCATENATE(Sprache!$B$161,"
"),"")</f>
        <v/>
      </c>
      <c r="AO49" t="str">
        <f ca="1">IF(ELEMENT!$AG$48=TODAY(),CONCATENATE("
",Sprache!$B$126),"")</f>
        <v/>
      </c>
      <c r="AY49">
        <f>ELEMENT!D45/10</f>
        <v>0</v>
      </c>
      <c r="AZ49" t="str">
        <f>INT(AY49/2.54/12)&amp;"' "&amp;
IF(ROUND(MOD((MOD((AY49/2.54),12)*2.54),2.54)/2.54*16,0)=0,TEXT(INT((MOD((AY49/2.54),12)*2.54)/2.54),"0"),TEXT((MOD((AY49/2.54),12)*2.54)/2.54,"# ?/"&amp;INDEX({16;8;16;4;16;8;16;2;16;8;16;4;16;8;16},MOD(ROUND((MOD((AY49/2.54),12)*2.54)/2.54*16,0),16))))&amp;CHAR(34)&amp;""</f>
        <v>0' 0"</v>
      </c>
      <c r="BA49">
        <f>ELEMENT!E45/10</f>
        <v>0</v>
      </c>
      <c r="BB49" t="str">
        <f>INT(BA49/2.54/12)&amp;"' "&amp;
IF(ROUND(MOD((MOD((BA49/2.54),12)*2.54),2.54)/2.54*16,0)=0,TEXT(INT((MOD((BA49/2.54),12)*2.54)/2.54),"0"),TEXT((MOD((BA49/2.54),12)*2.54)/2.54,"# ?/"&amp;INDEX({16;8;16;4;16;8;16;2;16;8;16;4;16;8;16},MOD(ROUND((MOD((BA49/2.54),12)*2.54)/2.54*16,0),16))))&amp;CHAR(34)&amp;""</f>
        <v>0' 0"</v>
      </c>
    </row>
    <row r="50" spans="2:54" x14ac:dyDescent="0.2">
      <c r="Y50" t="str">
        <f ca="1">IF(ELEMENT!AC46="",,CONCATENATE(AD50,AE50,AF50,AG50,AI50,AJ50,AK50,Sprache!$B$87,":",LS,Z50,"
",Sprache!$B$114,LS,AA50," W/m2K",LS,LS,Sprache!$B$129,LS,AB50,"
",Sprache!$B$91," ",AC50,AH50))</f>
        <v xml:space="preserve">glass: 
Ug-value  W/m2K  Lt / g-value 
surface: </v>
      </c>
    </row>
    <row r="51" spans="2:54" ht="33.75" customHeight="1" x14ac:dyDescent="0.2">
      <c r="C51" t="str">
        <f>IF(ELEMENT!H47="","",IF(ELEMENT!B47=ELEMENT!H47,"",CONCATENATE(" 
",Sprache!B94," ",ELEMENT!H47)))</f>
        <v xml:space="preserve"> 
Additional charge for alternative surface of all active items: E6 EV1 (25my)</v>
      </c>
      <c r="D51" t="str">
        <f>IF(ELEMENT!H47="","",IF(ELEMENT!B47=ELEMENT!H47,"",Sprache!B31))</f>
        <v>total</v>
      </c>
      <c r="E51">
        <f>IF(ELEMENT!H47="","",IF(ELEMENT!B47=ELEMENT!H47,"",MONTAGE!T48))</f>
        <v>0</v>
      </c>
      <c r="Q51" t="e">
        <f>IF(ELEMENT!H47="","",IF(ELEMENT!B47=ELEMENT!H47,"",CONCATENATE(Sprache!B94," ",AC51)))</f>
        <v>#REF!</v>
      </c>
      <c r="AC51" t="e">
        <f>ELEMENT!#REF!</f>
        <v>#REF!</v>
      </c>
    </row>
    <row r="52" spans="2:54" x14ac:dyDescent="0.2">
      <c r="C52" t="str">
        <f>CONCATENATE(P52,Q52,R52,S52,T52,U52,V52,W52,X52,Y52)</f>
        <v xml:space="preserve">
( x )0</v>
      </c>
      <c r="X52" t="str">
        <f>IFERROR(CONCATENATE("
","(",AZ52," x ",BB52,")",""),"")</f>
        <v xml:space="preserve">
( x )</v>
      </c>
      <c r="Y52">
        <f>IF(1=Sprache!$Z$1,
IF(ELEMENT!AC48="",,CONCATENATE(AD52,AE52,AF52,AG52,AI52,AJ52,AK52,Sprache!$B$87,":",LS,Z52,AH52)),
IF(ELEMENT!AC48="",,CONCATENATE(AD52,AE52,AF52,AG52,AI52,AJ52,AK52,Sprache!$B$87,":",LS,Z52,"
",Sprache!$B$114,LS,AA52," W/m2K",LS,LS,Sprache!$B$129,LS,AB52,"
",Sprache!$B$91," ",AC52,AH52)))</f>
        <v>0</v>
      </c>
      <c r="Z52">
        <f>ELEMENT!DP48</f>
        <v>0</v>
      </c>
      <c r="AA52">
        <f>ELEMENT!DR48</f>
        <v>0</v>
      </c>
      <c r="AB52">
        <f>ELEMENT!DO48</f>
        <v>0</v>
      </c>
    </row>
    <row r="62" spans="2:54" x14ac:dyDescent="0.2">
      <c r="S62" t="s">
        <v>62</v>
      </c>
    </row>
    <row r="70" spans="3:3" x14ac:dyDescent="0.2">
      <c r="C70">
        <v>40396</v>
      </c>
    </row>
    <row r="71" spans="3:3" x14ac:dyDescent="0.2">
      <c r="C71" t="s">
        <v>376</v>
      </c>
    </row>
    <row r="72" spans="3:3" x14ac:dyDescent="0.2">
      <c r="C72" t="s">
        <v>382</v>
      </c>
    </row>
    <row r="73" spans="3:3" x14ac:dyDescent="0.2">
      <c r="C73" t="s">
        <v>377</v>
      </c>
    </row>
    <row r="74" spans="3:3" x14ac:dyDescent="0.2">
      <c r="C74" t="s">
        <v>378</v>
      </c>
    </row>
    <row r="75" spans="3:3" x14ac:dyDescent="0.2">
      <c r="C75" t="s">
        <v>379</v>
      </c>
    </row>
    <row r="76" spans="3:3" x14ac:dyDescent="0.2">
      <c r="C76" t="s">
        <v>381</v>
      </c>
    </row>
    <row r="77" spans="3:3" x14ac:dyDescent="0.2">
      <c r="C77" t="s">
        <v>383</v>
      </c>
    </row>
    <row r="79" spans="3:3" x14ac:dyDescent="0.2">
      <c r="C79">
        <v>40399</v>
      </c>
    </row>
    <row r="80" spans="3:3" x14ac:dyDescent="0.2">
      <c r="C80" t="s">
        <v>411</v>
      </c>
    </row>
  </sheetData>
  <phoneticPr fontId="0" type="noConversion"/>
  <pageMargins left="0.62" right="0.25" top="0.72" bottom="0.37" header="0.4921259845" footer="0.25"/>
  <pageSetup paperSize="9" orientation="portrait" horizontalDpi="4294967293"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4"/>
  <dimension ref="A1:AA226"/>
  <sheetViews>
    <sheetView showZeros="0" zoomScale="80" zoomScaleNormal="80" workbookViewId="0">
      <pane xSplit="2" ySplit="3" topLeftCell="C103" activePane="bottomRight" state="frozenSplit"/>
      <selection pane="topRight" activeCell="C1" sqref="C1"/>
      <selection pane="bottomLeft" activeCell="A4" sqref="A4"/>
      <selection pane="bottomRight" activeCell="D1" sqref="D1"/>
    </sheetView>
  </sheetViews>
  <sheetFormatPr defaultColWidth="11.42578125" defaultRowHeight="12.75" x14ac:dyDescent="0.2"/>
  <cols>
    <col min="1" max="1" width="18.5703125" style="1" customWidth="1"/>
    <col min="2" max="2" width="54" style="56" customWidth="1"/>
    <col min="3" max="7" width="54" style="145" customWidth="1"/>
    <col min="8" max="8" width="60.28515625" style="145" customWidth="1"/>
    <col min="9" max="10" width="54" style="145" customWidth="1"/>
    <col min="11" max="11" width="59.7109375" customWidth="1"/>
    <col min="12" max="13" width="25.28515625" customWidth="1"/>
    <col min="14" max="16" width="10.85546875" customWidth="1"/>
    <col min="17" max="16384" width="11.42578125" style="145"/>
  </cols>
  <sheetData>
    <row r="1" spans="1:27" x14ac:dyDescent="0.2">
      <c r="A1" s="53" t="s">
        <v>35</v>
      </c>
      <c r="B1" s="54" t="str">
        <f>IF(ELEMENT!X47="","CH",
IF(ELEMENT!X47=ELEMENT!CR65,"E",(ELEMENT!X47)))</f>
        <v>E</v>
      </c>
      <c r="C1" s="251" t="s">
        <v>1247</v>
      </c>
      <c r="D1" s="170" t="str">
        <f>B10</f>
        <v>Company… (please adapt in Sprache D1)</v>
      </c>
      <c r="E1" s="144">
        <v>1</v>
      </c>
      <c r="F1" s="144">
        <v>2</v>
      </c>
      <c r="G1" s="144">
        <v>3</v>
      </c>
      <c r="H1" s="144"/>
      <c r="I1" s="144"/>
      <c r="J1" s="144" t="str">
        <f ca="1">"Sky-Frame TOOL           Version "&amp;K1</f>
        <v>Sky-Frame TOOL           Version jjjj-08-tt</v>
      </c>
      <c r="K1" s="393" t="str">
        <f ca="1">TEXT(L1,"jjjj-MM-tt")</f>
        <v>jjjj-08-tt</v>
      </c>
      <c r="L1" s="393">
        <f ca="1">TODAY()</f>
        <v>43318</v>
      </c>
      <c r="Z1" s="409"/>
      <c r="AA1" s="392" t="s">
        <v>1248</v>
      </c>
    </row>
    <row r="2" spans="1:27" x14ac:dyDescent="0.2">
      <c r="A2" s="53"/>
      <c r="B2" s="55">
        <f>IF(ELEMENT!$AH$4=3,'S3'!B2,'S2'!B2)</f>
        <v>0</v>
      </c>
      <c r="C2" s="55" t="s">
        <v>211</v>
      </c>
      <c r="D2" s="55" t="s">
        <v>170</v>
      </c>
      <c r="E2" s="55" t="s">
        <v>161</v>
      </c>
      <c r="F2" s="55" t="s">
        <v>166</v>
      </c>
      <c r="G2" s="55" t="s">
        <v>212</v>
      </c>
      <c r="H2" s="55" t="s">
        <v>55</v>
      </c>
      <c r="I2" s="55" t="s">
        <v>216</v>
      </c>
      <c r="J2" s="55" t="s">
        <v>12</v>
      </c>
      <c r="K2" s="55" t="s">
        <v>1132</v>
      </c>
    </row>
    <row r="3" spans="1:27" x14ac:dyDescent="0.2">
      <c r="A3" s="53"/>
      <c r="B3" s="55">
        <f>IF(ELEMENT!$AH$4=3,'S3'!B3,'S2'!B3)</f>
        <v>0</v>
      </c>
      <c r="C3" s="55" t="s">
        <v>213</v>
      </c>
      <c r="D3" s="55" t="s">
        <v>36</v>
      </c>
      <c r="E3" s="55" t="s">
        <v>305</v>
      </c>
      <c r="F3" s="55" t="s">
        <v>230</v>
      </c>
      <c r="G3" s="55" t="s">
        <v>214</v>
      </c>
      <c r="H3" s="55" t="s">
        <v>215</v>
      </c>
      <c r="I3" s="55" t="s">
        <v>217</v>
      </c>
      <c r="J3" s="55" t="s">
        <v>372</v>
      </c>
      <c r="K3" s="55" t="s">
        <v>305</v>
      </c>
    </row>
    <row r="4" spans="1:27" x14ac:dyDescent="0.2">
      <c r="A4" s="53"/>
      <c r="B4" s="55"/>
      <c r="C4" s="55"/>
      <c r="D4" s="55"/>
      <c r="E4" s="55"/>
      <c r="F4" s="55"/>
      <c r="G4" s="55"/>
      <c r="H4" s="55"/>
      <c r="I4" s="55"/>
      <c r="J4" s="55"/>
      <c r="K4" s="55"/>
    </row>
    <row r="5" spans="1:27" ht="263.25" customHeight="1" x14ac:dyDescent="0.2">
      <c r="A5" s="53"/>
      <c r="B5" s="169" t="str">
        <f t="shared" ref="B5:B10" si="0">HLOOKUP($B$1,$C$2:$P$227,ROW()-1,FALSE)</f>
        <v>Description for Sky-Frame 1:
“frameless thermally unbroken sliding windows" 
Thermally uninsulated circumferential aluminium profile with a profile depth of 110/170mm (2/3 track). 
Elevation width of frame 45mm, staggered on 29/16mm (vertical and top), 95mm, staggered 29/66mm (bottom). Sliding windows recessed in frame with single glass.
Visible mullion width: from 20mm
Middle openings: 34mm or 80mm depending on version.
Seal: brush seals with membran between frame and door.
Fittings: system lock with multi-point locking mechanism.
Finish: standard version: standard plain anodized
The element items include the window with surrounding connecting joint, but exclude the substructure and the connecting plates. Otherwise these are shown in the separate items.</v>
      </c>
      <c r="C5" s="170" t="s">
        <v>1183</v>
      </c>
      <c r="D5" s="170" t="s">
        <v>1183</v>
      </c>
      <c r="E5" s="170" t="s">
        <v>1193</v>
      </c>
      <c r="F5" s="170" t="s">
        <v>1190</v>
      </c>
      <c r="G5" s="170" t="s">
        <v>1109</v>
      </c>
      <c r="H5" s="170" t="s">
        <v>1109</v>
      </c>
      <c r="I5" s="170" t="s">
        <v>1109</v>
      </c>
      <c r="J5" s="170" t="s">
        <v>1109</v>
      </c>
      <c r="K5" s="170" t="s">
        <v>1193</v>
      </c>
    </row>
    <row r="6" spans="1:27" ht="280.5" x14ac:dyDescent="0.2">
      <c r="A6" s="53"/>
      <c r="B6" s="169" t="str">
        <f t="shared" si="0"/>
        <v>Description for Sky-Frame 2:
“frameless insulated sliding windows" 
Thermally insulated circumferential aluminium profile with a profile depth of 110/170mm (2/3 track). 
Elevation width of frame 45mm, staggered on 29/16mm (vertical and top), 95mm, staggered 29/66mm (bottom). Sliding windows recessed in frame with insulating glass, thickness 30mm. 
Visible mullion width: from 20mm
Middle openings: 34mm or 80mm depending on version.
Seal: brush seals with membran between frame and door.
Fittings: system lock with multi-point locking mechanism.
Finish: standard version: standard plain anodized
The element items include the window with surrounding connecting joint, but exclude the substructure and the connecting plates. Otherwise these are shown in the separate items.</v>
      </c>
      <c r="C6" s="170" t="s">
        <v>1184</v>
      </c>
      <c r="D6" s="170" t="s">
        <v>1185</v>
      </c>
      <c r="E6" s="170" t="s">
        <v>1192</v>
      </c>
      <c r="F6" s="170" t="s">
        <v>1189</v>
      </c>
      <c r="G6" s="170" t="s">
        <v>898</v>
      </c>
      <c r="H6" s="170" t="s">
        <v>900</v>
      </c>
      <c r="I6" s="170" t="s">
        <v>899</v>
      </c>
      <c r="J6" s="170" t="s">
        <v>901</v>
      </c>
      <c r="K6" s="170" t="s">
        <v>1192</v>
      </c>
    </row>
    <row r="7" spans="1:27" ht="267.75" x14ac:dyDescent="0.2">
      <c r="A7" s="53"/>
      <c r="B7" s="169" t="str">
        <f t="shared" si="0"/>
        <v>Description for Sky-Frame 3:
“frameless insulated sliding windows" 
Thermally insulated circumferential aluminium profile with a profile depth of 158/242mm (2/3 track). 
Elevation width of frame 51mm, staggered on 32/19mm (vertical and top), 100mm, staggered 32/68mm (bottom). Sliding windows recessed in frame with insulating glass, thickness 54mm. 
Visible mullion width: from 20mm
Middle openings: 34mm or 80mm depending on version.
Seal: rubber seals between frame and door.
Fittings: system lock with multi-point locking mechanism.
Finish: standard version: standard plain anodized
The element items include the window with surrounding connecting joint, but exclude the substructure and the connecting plates. Otherwise these are shown in the separate items.</v>
      </c>
      <c r="C7" s="170" t="s">
        <v>1186</v>
      </c>
      <c r="D7" s="170" t="s">
        <v>1187</v>
      </c>
      <c r="E7" s="170" t="s">
        <v>1191</v>
      </c>
      <c r="F7" s="170" t="s">
        <v>1188</v>
      </c>
      <c r="G7" s="170" t="s">
        <v>897</v>
      </c>
      <c r="H7" s="170" t="s">
        <v>895</v>
      </c>
      <c r="I7" s="170" t="s">
        <v>896</v>
      </c>
      <c r="J7" s="170" t="s">
        <v>902</v>
      </c>
      <c r="K7" s="170" t="s">
        <v>1191</v>
      </c>
    </row>
    <row r="8" spans="1:27" x14ac:dyDescent="0.2">
      <c r="A8" s="53"/>
      <c r="B8" s="169" t="str">
        <f t="shared" si="0"/>
        <v>item no.</v>
      </c>
      <c r="C8" s="281" t="s">
        <v>196</v>
      </c>
      <c r="D8" s="170" t="s">
        <v>196</v>
      </c>
      <c r="E8" s="170" t="s">
        <v>306</v>
      </c>
      <c r="F8" s="170" t="s">
        <v>256</v>
      </c>
      <c r="G8" s="170" t="s">
        <v>196</v>
      </c>
      <c r="H8" s="170" t="s">
        <v>606</v>
      </c>
      <c r="I8" s="170" t="s">
        <v>306</v>
      </c>
      <c r="J8" s="216" t="s">
        <v>476</v>
      </c>
      <c r="K8" s="170" t="s">
        <v>306</v>
      </c>
    </row>
    <row r="9" spans="1:27" x14ac:dyDescent="0.2">
      <c r="A9" s="53"/>
      <c r="B9" s="169" t="str">
        <f t="shared" si="0"/>
        <v>item</v>
      </c>
      <c r="C9" s="281" t="s">
        <v>59</v>
      </c>
      <c r="D9" s="170" t="s">
        <v>59</v>
      </c>
      <c r="E9" s="170" t="s">
        <v>468</v>
      </c>
      <c r="F9" s="170" t="s">
        <v>72</v>
      </c>
      <c r="G9" s="170" t="s">
        <v>59</v>
      </c>
      <c r="H9" s="170" t="s">
        <v>72</v>
      </c>
      <c r="I9" s="170" t="s">
        <v>468</v>
      </c>
      <c r="J9" s="216" t="s">
        <v>477</v>
      </c>
      <c r="K9" s="170" t="s">
        <v>468</v>
      </c>
    </row>
    <row r="10" spans="1:27" x14ac:dyDescent="0.2">
      <c r="A10" s="53"/>
      <c r="B10" s="169" t="str">
        <f t="shared" si="0"/>
        <v>Company… (please adapt in Sprache D1)</v>
      </c>
      <c r="C10" s="281" t="s">
        <v>463</v>
      </c>
      <c r="D10" s="170" t="s">
        <v>463</v>
      </c>
      <c r="E10" s="170" t="s">
        <v>464</v>
      </c>
      <c r="F10" s="170" t="s">
        <v>465</v>
      </c>
      <c r="G10" s="170" t="s">
        <v>463</v>
      </c>
      <c r="H10" s="170" t="s">
        <v>607</v>
      </c>
      <c r="I10" s="170" t="s">
        <v>464</v>
      </c>
      <c r="J10" s="216" t="s">
        <v>478</v>
      </c>
      <c r="K10" s="170" t="s">
        <v>464</v>
      </c>
    </row>
    <row r="11" spans="1:27" x14ac:dyDescent="0.2">
      <c r="A11" s="53"/>
      <c r="B11" s="169" t="str">
        <f t="shared" ref="B11:B74" si="1">HLOOKUP($B$1,$C$2:$P$227,ROW()-1,FALSE)</f>
        <v>pce(s)</v>
      </c>
      <c r="C11" s="281" t="s">
        <v>4</v>
      </c>
      <c r="D11" s="170" t="s">
        <v>4</v>
      </c>
      <c r="E11" s="170" t="s">
        <v>1194</v>
      </c>
      <c r="F11" s="170" t="s">
        <v>231</v>
      </c>
      <c r="G11" s="170" t="s">
        <v>4</v>
      </c>
      <c r="H11" s="170" t="s">
        <v>608</v>
      </c>
      <c r="I11" s="170" t="s">
        <v>1194</v>
      </c>
      <c r="J11" s="217" t="s">
        <v>479</v>
      </c>
      <c r="K11" s="170" t="s">
        <v>1194</v>
      </c>
    </row>
    <row r="12" spans="1:27" x14ac:dyDescent="0.2">
      <c r="A12" s="53"/>
      <c r="B12" s="169" t="str">
        <f t="shared" si="1"/>
        <v>unit</v>
      </c>
      <c r="C12" s="281" t="s">
        <v>207</v>
      </c>
      <c r="D12" s="170" t="s">
        <v>207</v>
      </c>
      <c r="E12" s="170" t="s">
        <v>307</v>
      </c>
      <c r="F12" s="170" t="s">
        <v>231</v>
      </c>
      <c r="G12" s="170" t="s">
        <v>207</v>
      </c>
      <c r="H12" s="170" t="s">
        <v>609</v>
      </c>
      <c r="I12" s="170" t="s">
        <v>307</v>
      </c>
      <c r="J12" s="217" t="s">
        <v>480</v>
      </c>
      <c r="K12" s="170" t="s">
        <v>307</v>
      </c>
    </row>
    <row r="13" spans="1:27" x14ac:dyDescent="0.2">
      <c r="A13" s="53"/>
      <c r="B13" s="169" t="str">
        <f t="shared" si="1"/>
        <v>width mm</v>
      </c>
      <c r="C13" s="281" t="s">
        <v>5</v>
      </c>
      <c r="D13" s="170" t="s">
        <v>5</v>
      </c>
      <c r="E13" s="170" t="s">
        <v>108</v>
      </c>
      <c r="F13" s="170" t="s">
        <v>257</v>
      </c>
      <c r="G13" s="170" t="s">
        <v>5</v>
      </c>
      <c r="H13" s="170" t="s">
        <v>610</v>
      </c>
      <c r="I13" s="170" t="s">
        <v>108</v>
      </c>
      <c r="J13" s="217" t="s">
        <v>481</v>
      </c>
      <c r="K13" s="170" t="s">
        <v>108</v>
      </c>
    </row>
    <row r="14" spans="1:27" x14ac:dyDescent="0.2">
      <c r="A14" s="53"/>
      <c r="B14" s="169" t="str">
        <f t="shared" si="1"/>
        <v>height mm</v>
      </c>
      <c r="C14" s="281" t="s">
        <v>6</v>
      </c>
      <c r="D14" s="170" t="s">
        <v>6</v>
      </c>
      <c r="E14" s="170" t="s">
        <v>109</v>
      </c>
      <c r="F14" s="170" t="s">
        <v>258</v>
      </c>
      <c r="G14" s="170" t="s">
        <v>6</v>
      </c>
      <c r="H14" s="170" t="s">
        <v>611</v>
      </c>
      <c r="I14" s="170" t="s">
        <v>109</v>
      </c>
      <c r="J14" s="217" t="s">
        <v>482</v>
      </c>
      <c r="K14" s="170" t="s">
        <v>109</v>
      </c>
    </row>
    <row r="15" spans="1:27" x14ac:dyDescent="0.2">
      <c r="A15" s="53"/>
      <c r="B15" s="169" t="str">
        <f t="shared" si="1"/>
        <v xml:space="preserve">2=2 tracks 3=3 tracks </v>
      </c>
      <c r="C15" s="281" t="s">
        <v>151</v>
      </c>
      <c r="D15" s="170" t="s">
        <v>151</v>
      </c>
      <c r="E15" s="170" t="s">
        <v>152</v>
      </c>
      <c r="F15" s="170" t="s">
        <v>259</v>
      </c>
      <c r="G15" s="170" t="s">
        <v>151</v>
      </c>
      <c r="H15" s="170" t="s">
        <v>612</v>
      </c>
      <c r="I15" s="170" t="s">
        <v>152</v>
      </c>
      <c r="J15" s="217" t="s">
        <v>483</v>
      </c>
      <c r="K15" s="170" t="s">
        <v>152</v>
      </c>
    </row>
    <row r="16" spans="1:27" x14ac:dyDescent="0.2">
      <c r="A16" s="53"/>
      <c r="B16" s="169" t="str">
        <f>IF(ELEMENT!$AH$4&lt;=2,B17,B18)</f>
        <v>45 mm frame profile</v>
      </c>
      <c r="C16" s="281"/>
      <c r="D16" s="170"/>
      <c r="E16" s="170"/>
      <c r="F16" s="170"/>
      <c r="G16" s="170"/>
      <c r="H16" s="170"/>
      <c r="I16" s="170"/>
      <c r="J16" s="217"/>
      <c r="K16" s="170"/>
    </row>
    <row r="17" spans="1:11" x14ac:dyDescent="0.2">
      <c r="A17" s="53"/>
      <c r="B17" s="169" t="str">
        <f t="shared" si="1"/>
        <v>45 mm frame profile</v>
      </c>
      <c r="C17" s="281" t="s">
        <v>369</v>
      </c>
      <c r="D17" s="170" t="s">
        <v>369</v>
      </c>
      <c r="E17" s="170" t="s">
        <v>404</v>
      </c>
      <c r="F17" s="170" t="s">
        <v>370</v>
      </c>
      <c r="G17" s="170" t="s">
        <v>369</v>
      </c>
      <c r="H17" s="170" t="s">
        <v>613</v>
      </c>
      <c r="I17" s="170" t="s">
        <v>404</v>
      </c>
      <c r="J17" s="217" t="s">
        <v>484</v>
      </c>
      <c r="K17" s="170" t="s">
        <v>404</v>
      </c>
    </row>
    <row r="18" spans="1:11" x14ac:dyDescent="0.2">
      <c r="A18" s="53"/>
      <c r="B18" s="169" t="str">
        <f t="shared" si="1"/>
        <v>51 mm frame profile</v>
      </c>
      <c r="C18" s="282" t="s">
        <v>605</v>
      </c>
      <c r="D18" s="170" t="s">
        <v>605</v>
      </c>
      <c r="E18" s="170" t="s">
        <v>452</v>
      </c>
      <c r="F18" s="170" t="s">
        <v>453</v>
      </c>
      <c r="G18" s="170" t="s">
        <v>605</v>
      </c>
      <c r="H18" s="170" t="s">
        <v>614</v>
      </c>
      <c r="I18" s="170" t="s">
        <v>452</v>
      </c>
      <c r="J18" s="217" t="s">
        <v>485</v>
      </c>
      <c r="K18" s="170" t="s">
        <v>452</v>
      </c>
    </row>
    <row r="19" spans="1:11" x14ac:dyDescent="0.2">
      <c r="A19" s="53"/>
      <c r="B19" s="169" t="str">
        <f>IF(ELEMENT!$AH$4&lt;=2,B20,B21)</f>
        <v>95 mm profile</v>
      </c>
      <c r="C19" s="281"/>
      <c r="D19" s="170"/>
      <c r="E19" s="170"/>
      <c r="F19" s="170"/>
      <c r="G19" s="170"/>
      <c r="H19" s="170"/>
      <c r="I19" s="170"/>
      <c r="J19" s="217" t="s">
        <v>486</v>
      </c>
      <c r="K19" s="170"/>
    </row>
    <row r="20" spans="1:11" x14ac:dyDescent="0.2">
      <c r="A20" s="53"/>
      <c r="B20" s="169" t="str">
        <f t="shared" si="1"/>
        <v>95 mm profile</v>
      </c>
      <c r="C20" s="281" t="s">
        <v>409</v>
      </c>
      <c r="D20" s="170" t="s">
        <v>409</v>
      </c>
      <c r="E20" s="170" t="s">
        <v>410</v>
      </c>
      <c r="F20" s="170" t="s">
        <v>384</v>
      </c>
      <c r="G20" s="170" t="s">
        <v>409</v>
      </c>
      <c r="H20" s="170" t="s">
        <v>615</v>
      </c>
      <c r="I20" s="170" t="s">
        <v>410</v>
      </c>
      <c r="J20" s="217" t="s">
        <v>487</v>
      </c>
      <c r="K20" s="170" t="s">
        <v>410</v>
      </c>
    </row>
    <row r="21" spans="1:11" x14ac:dyDescent="0.2">
      <c r="A21" s="53"/>
      <c r="B21" s="169" t="str">
        <f t="shared" si="1"/>
        <v>100 m profile</v>
      </c>
      <c r="C21" s="282" t="s">
        <v>454</v>
      </c>
      <c r="D21" s="170" t="s">
        <v>454</v>
      </c>
      <c r="E21" s="170" t="s">
        <v>455</v>
      </c>
      <c r="F21" s="170" t="s">
        <v>456</v>
      </c>
      <c r="G21" s="170" t="s">
        <v>454</v>
      </c>
      <c r="H21" s="170" t="s">
        <v>616</v>
      </c>
      <c r="I21" s="170" t="s">
        <v>455</v>
      </c>
      <c r="J21" s="217" t="s">
        <v>486</v>
      </c>
      <c r="K21" s="170" t="s">
        <v>455</v>
      </c>
    </row>
    <row r="22" spans="1:11" x14ac:dyDescent="0.2">
      <c r="A22" s="53"/>
      <c r="B22" s="169" t="str">
        <f t="shared" si="1"/>
        <v>horizontal profile</v>
      </c>
      <c r="C22" s="281" t="s">
        <v>153</v>
      </c>
      <c r="D22" s="170" t="s">
        <v>153</v>
      </c>
      <c r="E22" s="170" t="s">
        <v>95</v>
      </c>
      <c r="F22" s="170" t="s">
        <v>260</v>
      </c>
      <c r="G22" s="170" t="s">
        <v>153</v>
      </c>
      <c r="H22" s="170" t="s">
        <v>617</v>
      </c>
      <c r="I22" s="170" t="s">
        <v>95</v>
      </c>
      <c r="J22" s="217" t="s">
        <v>488</v>
      </c>
      <c r="K22" s="170" t="s">
        <v>95</v>
      </c>
    </row>
    <row r="23" spans="1:11" x14ac:dyDescent="0.2">
      <c r="A23" s="53"/>
      <c r="B23" s="169" t="str">
        <f t="shared" si="1"/>
        <v>vertical profiles</v>
      </c>
      <c r="C23" s="281" t="s">
        <v>1</v>
      </c>
      <c r="D23" s="170" t="s">
        <v>1</v>
      </c>
      <c r="E23" s="170" t="s">
        <v>308</v>
      </c>
      <c r="F23" s="170" t="s">
        <v>261</v>
      </c>
      <c r="G23" s="170" t="s">
        <v>1</v>
      </c>
      <c r="H23" s="170" t="s">
        <v>618</v>
      </c>
      <c r="I23" s="170" t="s">
        <v>308</v>
      </c>
      <c r="J23" s="217" t="s">
        <v>489</v>
      </c>
      <c r="K23" s="170" t="s">
        <v>308</v>
      </c>
    </row>
    <row r="24" spans="1:11" x14ac:dyDescent="0.2">
      <c r="A24" s="53"/>
      <c r="B24" s="169" t="str">
        <f t="shared" si="1"/>
        <v>panels</v>
      </c>
      <c r="C24" s="281" t="s">
        <v>2</v>
      </c>
      <c r="D24" s="170" t="s">
        <v>2</v>
      </c>
      <c r="E24" s="170" t="s">
        <v>309</v>
      </c>
      <c r="F24" s="170" t="s">
        <v>266</v>
      </c>
      <c r="G24" s="170" t="s">
        <v>2</v>
      </c>
      <c r="H24" s="170" t="s">
        <v>619</v>
      </c>
      <c r="I24" s="170" t="s">
        <v>309</v>
      </c>
      <c r="J24" s="217" t="s">
        <v>490</v>
      </c>
      <c r="K24" s="170" t="s">
        <v>309</v>
      </c>
    </row>
    <row r="25" spans="1:11" x14ac:dyDescent="0.2">
      <c r="A25" s="53"/>
      <c r="B25" s="169" t="str">
        <f t="shared" si="1"/>
        <v>side opening</v>
      </c>
      <c r="C25" s="281" t="s">
        <v>13</v>
      </c>
      <c r="D25" s="170" t="s">
        <v>13</v>
      </c>
      <c r="E25" s="170" t="s">
        <v>94</v>
      </c>
      <c r="F25" s="170" t="s">
        <v>385</v>
      </c>
      <c r="G25" s="170" t="s">
        <v>13</v>
      </c>
      <c r="H25" s="170" t="s">
        <v>620</v>
      </c>
      <c r="I25" s="170" t="s">
        <v>94</v>
      </c>
      <c r="J25" s="217" t="s">
        <v>491</v>
      </c>
      <c r="K25" s="170" t="s">
        <v>94</v>
      </c>
    </row>
    <row r="26" spans="1:11" x14ac:dyDescent="0.2">
      <c r="A26" s="53"/>
      <c r="B26" s="169" t="str">
        <f t="shared" si="1"/>
        <v>centre opening</v>
      </c>
      <c r="C26" s="281" t="s">
        <v>172</v>
      </c>
      <c r="D26" s="170" t="s">
        <v>172</v>
      </c>
      <c r="E26" s="170" t="s">
        <v>310</v>
      </c>
      <c r="F26" s="170" t="s">
        <v>386</v>
      </c>
      <c r="G26" s="170" t="s">
        <v>172</v>
      </c>
      <c r="H26" s="170" t="s">
        <v>621</v>
      </c>
      <c r="I26" s="170" t="s">
        <v>310</v>
      </c>
      <c r="J26" s="217" t="s">
        <v>492</v>
      </c>
      <c r="K26" s="170" t="s">
        <v>310</v>
      </c>
    </row>
    <row r="27" spans="1:11" x14ac:dyDescent="0.2">
      <c r="A27" s="53"/>
      <c r="B27" s="169" t="str">
        <f t="shared" si="1"/>
        <v>fixed pane size</v>
      </c>
      <c r="C27" s="281" t="s">
        <v>413</v>
      </c>
      <c r="D27" s="170" t="s">
        <v>413</v>
      </c>
      <c r="E27" s="170" t="s">
        <v>414</v>
      </c>
      <c r="F27" s="170" t="s">
        <v>434</v>
      </c>
      <c r="G27" s="170" t="s">
        <v>414</v>
      </c>
      <c r="H27" s="170" t="s">
        <v>622</v>
      </c>
      <c r="I27" s="170" t="s">
        <v>414</v>
      </c>
      <c r="J27" s="217" t="s">
        <v>493</v>
      </c>
      <c r="K27" s="170" t="s">
        <v>414</v>
      </c>
    </row>
    <row r="28" spans="1:11" x14ac:dyDescent="0.2">
      <c r="A28" s="53"/>
      <c r="B28" s="169" t="str">
        <f t="shared" si="1"/>
        <v>labyrinth</v>
      </c>
      <c r="C28" s="281" t="s">
        <v>61</v>
      </c>
      <c r="D28" s="170" t="s">
        <v>61</v>
      </c>
      <c r="E28" s="170" t="s">
        <v>96</v>
      </c>
      <c r="F28" s="170" t="s">
        <v>262</v>
      </c>
      <c r="G28" s="170" t="s">
        <v>61</v>
      </c>
      <c r="H28" s="170" t="s">
        <v>623</v>
      </c>
      <c r="I28" s="170" t="s">
        <v>96</v>
      </c>
      <c r="J28" s="217" t="s">
        <v>494</v>
      </c>
      <c r="K28" s="170" t="s">
        <v>96</v>
      </c>
    </row>
    <row r="29" spans="1:11" x14ac:dyDescent="0.2">
      <c r="A29" s="53"/>
      <c r="B29" s="169" t="str">
        <f t="shared" si="1"/>
        <v>sliding</v>
      </c>
      <c r="C29" s="281" t="s">
        <v>14</v>
      </c>
      <c r="D29" s="170" t="s">
        <v>14</v>
      </c>
      <c r="E29" s="170" t="s">
        <v>311</v>
      </c>
      <c r="F29" s="170" t="s">
        <v>263</v>
      </c>
      <c r="G29" s="170" t="s">
        <v>14</v>
      </c>
      <c r="H29" s="170" t="s">
        <v>624</v>
      </c>
      <c r="I29" s="170" t="s">
        <v>311</v>
      </c>
      <c r="J29" s="217" t="s">
        <v>495</v>
      </c>
      <c r="K29" s="170" t="s">
        <v>311</v>
      </c>
    </row>
    <row r="30" spans="1:11" x14ac:dyDescent="0.2">
      <c r="A30" s="53"/>
      <c r="B30" s="169" t="str">
        <f t="shared" si="1"/>
        <v>fixed</v>
      </c>
      <c r="C30" s="281" t="s">
        <v>15</v>
      </c>
      <c r="D30" s="170" t="s">
        <v>15</v>
      </c>
      <c r="E30" s="170" t="s">
        <v>79</v>
      </c>
      <c r="F30" s="170" t="s">
        <v>264</v>
      </c>
      <c r="G30" s="170" t="s">
        <v>15</v>
      </c>
      <c r="H30" s="170" t="s">
        <v>625</v>
      </c>
      <c r="I30" s="170" t="s">
        <v>79</v>
      </c>
      <c r="J30" s="217" t="s">
        <v>496</v>
      </c>
      <c r="K30" s="170" t="s">
        <v>79</v>
      </c>
    </row>
    <row r="31" spans="1:11" x14ac:dyDescent="0.2">
      <c r="A31" s="53"/>
      <c r="B31" s="169" t="str">
        <f t="shared" si="1"/>
        <v>total</v>
      </c>
      <c r="C31" s="281" t="s">
        <v>16</v>
      </c>
      <c r="D31" s="170" t="s">
        <v>16</v>
      </c>
      <c r="E31" s="170" t="s">
        <v>97</v>
      </c>
      <c r="F31" s="170" t="s">
        <v>97</v>
      </c>
      <c r="G31" s="170" t="s">
        <v>16</v>
      </c>
      <c r="H31" s="170" t="s">
        <v>626</v>
      </c>
      <c r="I31" s="170" t="s">
        <v>97</v>
      </c>
      <c r="J31" s="217" t="s">
        <v>497</v>
      </c>
      <c r="K31" s="170" t="s">
        <v>97</v>
      </c>
    </row>
    <row r="32" spans="1:11" ht="13.5" x14ac:dyDescent="0.2">
      <c r="A32" s="53"/>
      <c r="B32" s="169" t="str">
        <f t="shared" si="1"/>
        <v>m²/unit</v>
      </c>
      <c r="C32" s="281" t="s">
        <v>459</v>
      </c>
      <c r="D32" s="170" t="s">
        <v>459</v>
      </c>
      <c r="E32" s="170" t="s">
        <v>405</v>
      </c>
      <c r="F32" s="170" t="s">
        <v>435</v>
      </c>
      <c r="G32" s="170" t="s">
        <v>459</v>
      </c>
      <c r="H32" s="170" t="s">
        <v>627</v>
      </c>
      <c r="I32" s="170" t="s">
        <v>405</v>
      </c>
      <c r="J32" s="217" t="s">
        <v>498</v>
      </c>
      <c r="K32" s="170" t="s">
        <v>405</v>
      </c>
    </row>
    <row r="33" spans="1:11" ht="13.5" x14ac:dyDescent="0.2">
      <c r="A33" s="53"/>
      <c r="B33" s="169" t="str">
        <f t="shared" si="1"/>
        <v>m² total</v>
      </c>
      <c r="C33" s="281" t="s">
        <v>460</v>
      </c>
      <c r="D33" s="170" t="s">
        <v>460</v>
      </c>
      <c r="E33" s="170" t="s">
        <v>387</v>
      </c>
      <c r="F33" s="170" t="s">
        <v>416</v>
      </c>
      <c r="G33" s="170" t="s">
        <v>460</v>
      </c>
      <c r="H33" s="170" t="s">
        <v>628</v>
      </c>
      <c r="I33" s="170" t="s">
        <v>387</v>
      </c>
      <c r="J33" s="217" t="s">
        <v>499</v>
      </c>
      <c r="K33" s="170" t="s">
        <v>387</v>
      </c>
    </row>
    <row r="34" spans="1:11" x14ac:dyDescent="0.2">
      <c r="A34" s="53"/>
      <c r="B34" s="169" t="str">
        <f t="shared" si="1"/>
        <v>price per unit</v>
      </c>
      <c r="C34" s="281" t="s">
        <v>7</v>
      </c>
      <c r="D34" s="170" t="s">
        <v>7</v>
      </c>
      <c r="E34" s="170" t="s">
        <v>98</v>
      </c>
      <c r="F34" s="170" t="s">
        <v>417</v>
      </c>
      <c r="G34" s="170" t="s">
        <v>7</v>
      </c>
      <c r="H34" s="170" t="s">
        <v>629</v>
      </c>
      <c r="I34" s="170" t="s">
        <v>98</v>
      </c>
      <c r="J34" s="217" t="s">
        <v>500</v>
      </c>
      <c r="K34" s="170" t="s">
        <v>98</v>
      </c>
    </row>
    <row r="35" spans="1:11" x14ac:dyDescent="0.2">
      <c r="A35" s="53"/>
      <c r="B35" s="169" t="str">
        <f t="shared" si="1"/>
        <v>total price</v>
      </c>
      <c r="C35" s="281" t="s">
        <v>8</v>
      </c>
      <c r="D35" s="170" t="s">
        <v>8</v>
      </c>
      <c r="E35" s="170" t="s">
        <v>99</v>
      </c>
      <c r="F35" s="170" t="s">
        <v>265</v>
      </c>
      <c r="G35" s="170" t="s">
        <v>8</v>
      </c>
      <c r="H35" s="170" t="s">
        <v>630</v>
      </c>
      <c r="I35" s="170" t="s">
        <v>99</v>
      </c>
      <c r="J35" s="217" t="s">
        <v>501</v>
      </c>
      <c r="K35" s="170" t="s">
        <v>99</v>
      </c>
    </row>
    <row r="36" spans="1:11" x14ac:dyDescent="0.2">
      <c r="A36" s="53"/>
      <c r="B36" s="169" t="str">
        <f t="shared" si="1"/>
        <v>/m²</v>
      </c>
      <c r="C36" s="281" t="s">
        <v>67</v>
      </c>
      <c r="D36" s="170" t="s">
        <v>67</v>
      </c>
      <c r="E36" s="170" t="s">
        <v>388</v>
      </c>
      <c r="F36" s="170" t="s">
        <v>418</v>
      </c>
      <c r="G36" s="170" t="s">
        <v>67</v>
      </c>
      <c r="H36" s="170" t="s">
        <v>388</v>
      </c>
      <c r="I36" s="170" t="s">
        <v>388</v>
      </c>
      <c r="J36" s="218" t="s">
        <v>502</v>
      </c>
      <c r="K36" s="170" t="s">
        <v>388</v>
      </c>
    </row>
    <row r="37" spans="1:11" x14ac:dyDescent="0.2">
      <c r="A37" s="53"/>
      <c r="B37" s="169" t="str">
        <f t="shared" si="1"/>
        <v>width per fixed section mm</v>
      </c>
      <c r="C37" s="281" t="s">
        <v>253</v>
      </c>
      <c r="D37" s="170" t="s">
        <v>253</v>
      </c>
      <c r="E37" s="170" t="s">
        <v>254</v>
      </c>
      <c r="F37" s="170" t="s">
        <v>389</v>
      </c>
      <c r="G37" s="170" t="s">
        <v>253</v>
      </c>
      <c r="H37" s="170" t="s">
        <v>631</v>
      </c>
      <c r="I37" s="170" t="s">
        <v>254</v>
      </c>
      <c r="J37" s="217" t="s">
        <v>503</v>
      </c>
      <c r="K37" s="170" t="s">
        <v>254</v>
      </c>
    </row>
    <row r="38" spans="1:11" x14ac:dyDescent="0.2">
      <c r="A38" s="53"/>
      <c r="B38" s="169" t="str">
        <f t="shared" si="1"/>
        <v>glass size</v>
      </c>
      <c r="C38" s="281" t="s">
        <v>37</v>
      </c>
      <c r="D38" s="170" t="s">
        <v>37</v>
      </c>
      <c r="E38" s="170" t="s">
        <v>80</v>
      </c>
      <c r="F38" s="170" t="s">
        <v>436</v>
      </c>
      <c r="G38" s="170" t="s">
        <v>37</v>
      </c>
      <c r="H38" s="170" t="s">
        <v>632</v>
      </c>
      <c r="I38" s="170" t="s">
        <v>80</v>
      </c>
      <c r="J38" s="217" t="s">
        <v>504</v>
      </c>
      <c r="K38" s="170" t="s">
        <v>80</v>
      </c>
    </row>
    <row r="39" spans="1:11" x14ac:dyDescent="0.2">
      <c r="A39" s="53"/>
      <c r="B39" s="169" t="str">
        <f t="shared" si="1"/>
        <v>panels</v>
      </c>
      <c r="C39" s="281" t="s">
        <v>2</v>
      </c>
      <c r="D39" s="170" t="s">
        <v>2</v>
      </c>
      <c r="E39" s="170" t="s">
        <v>309</v>
      </c>
      <c r="F39" s="170" t="s">
        <v>266</v>
      </c>
      <c r="G39" s="170" t="s">
        <v>2</v>
      </c>
      <c r="H39" s="170" t="s">
        <v>619</v>
      </c>
      <c r="I39" s="170" t="s">
        <v>309</v>
      </c>
      <c r="J39" s="217" t="s">
        <v>505</v>
      </c>
      <c r="K39" s="170" t="s">
        <v>309</v>
      </c>
    </row>
    <row r="40" spans="1:11" x14ac:dyDescent="0.2">
      <c r="A40" s="53"/>
      <c r="B40" s="169" t="str">
        <f t="shared" si="1"/>
        <v>price</v>
      </c>
      <c r="C40" s="281" t="s">
        <v>201</v>
      </c>
      <c r="D40" s="170" t="s">
        <v>201</v>
      </c>
      <c r="E40" s="170" t="s">
        <v>205</v>
      </c>
      <c r="F40" s="170" t="s">
        <v>267</v>
      </c>
      <c r="G40" s="170" t="s">
        <v>201</v>
      </c>
      <c r="H40" s="170" t="s">
        <v>633</v>
      </c>
      <c r="I40" s="170" t="s">
        <v>205</v>
      </c>
      <c r="J40" s="217" t="s">
        <v>506</v>
      </c>
      <c r="K40" s="170" t="s">
        <v>205</v>
      </c>
    </row>
    <row r="41" spans="1:11" x14ac:dyDescent="0.2">
      <c r="A41" s="53"/>
      <c r="B41" s="169" t="str">
        <f t="shared" si="1"/>
        <v>language</v>
      </c>
      <c r="C41" s="281" t="s">
        <v>35</v>
      </c>
      <c r="D41" s="170" t="s">
        <v>35</v>
      </c>
      <c r="E41" s="170" t="s">
        <v>100</v>
      </c>
      <c r="F41" s="170" t="s">
        <v>268</v>
      </c>
      <c r="G41" s="170" t="s">
        <v>35</v>
      </c>
      <c r="H41" s="170" t="s">
        <v>634</v>
      </c>
      <c r="I41" s="170" t="s">
        <v>100</v>
      </c>
      <c r="J41" s="217" t="s">
        <v>507</v>
      </c>
      <c r="K41" s="170" t="s">
        <v>100</v>
      </c>
    </row>
    <row r="42" spans="1:11" x14ac:dyDescent="0.2">
      <c r="A42" s="53"/>
      <c r="B42" s="169" t="str">
        <f t="shared" si="1"/>
        <v># of locks</v>
      </c>
      <c r="C42" s="281" t="s">
        <v>24</v>
      </c>
      <c r="D42" s="170" t="s">
        <v>24</v>
      </c>
      <c r="E42" s="170" t="s">
        <v>81</v>
      </c>
      <c r="F42" s="170" t="s">
        <v>437</v>
      </c>
      <c r="G42" s="170" t="s">
        <v>24</v>
      </c>
      <c r="H42" s="170" t="s">
        <v>635</v>
      </c>
      <c r="I42" s="170" t="s">
        <v>81</v>
      </c>
      <c r="J42" s="217" t="s">
        <v>508</v>
      </c>
      <c r="K42" s="170" t="s">
        <v>81</v>
      </c>
    </row>
    <row r="43" spans="1:11" x14ac:dyDescent="0.2">
      <c r="A43" s="53"/>
      <c r="B43" s="169" t="str">
        <f t="shared" si="1"/>
        <v>proposed installation manhours</v>
      </c>
      <c r="C43" s="281" t="s">
        <v>21</v>
      </c>
      <c r="D43" s="170" t="s">
        <v>21</v>
      </c>
      <c r="E43" s="170" t="s">
        <v>101</v>
      </c>
      <c r="F43" s="170" t="s">
        <v>390</v>
      </c>
      <c r="G43" s="170" t="s">
        <v>21</v>
      </c>
      <c r="H43" s="170" t="s">
        <v>636</v>
      </c>
      <c r="I43" s="170" t="s">
        <v>101</v>
      </c>
      <c r="J43" s="217" t="s">
        <v>509</v>
      </c>
      <c r="K43" s="170" t="s">
        <v>101</v>
      </c>
    </row>
    <row r="44" spans="1:11" x14ac:dyDescent="0.2">
      <c r="A44" s="53"/>
      <c r="B44" s="169" t="str">
        <f t="shared" si="1"/>
        <v>h installation manhours</v>
      </c>
      <c r="C44" s="281" t="s">
        <v>22</v>
      </c>
      <c r="D44" s="170" t="s">
        <v>22</v>
      </c>
      <c r="E44" s="170" t="s">
        <v>82</v>
      </c>
      <c r="F44" s="170" t="s">
        <v>269</v>
      </c>
      <c r="G44" s="170" t="s">
        <v>22</v>
      </c>
      <c r="H44" s="170" t="s">
        <v>637</v>
      </c>
      <c r="I44" s="170" t="s">
        <v>82</v>
      </c>
      <c r="J44" s="217" t="s">
        <v>510</v>
      </c>
      <c r="K44" s="170" t="s">
        <v>82</v>
      </c>
    </row>
    <row r="45" spans="1:11" x14ac:dyDescent="0.2">
      <c r="A45" s="53"/>
      <c r="B45" s="169" t="str">
        <f t="shared" si="1"/>
        <v>h production</v>
      </c>
      <c r="C45" s="281" t="s">
        <v>202</v>
      </c>
      <c r="D45" s="170" t="s">
        <v>202</v>
      </c>
      <c r="E45" s="170" t="s">
        <v>312</v>
      </c>
      <c r="F45" s="170" t="s">
        <v>232</v>
      </c>
      <c r="G45" s="170" t="s">
        <v>202</v>
      </c>
      <c r="H45" s="170" t="s">
        <v>638</v>
      </c>
      <c r="I45" s="170" t="s">
        <v>312</v>
      </c>
      <c r="J45" s="217" t="s">
        <v>511</v>
      </c>
      <c r="K45" s="170" t="s">
        <v>312</v>
      </c>
    </row>
    <row r="46" spans="1:11" x14ac:dyDescent="0.2">
      <c r="A46" s="53"/>
      <c r="B46" s="169" t="str">
        <f t="shared" si="1"/>
        <v>h planning manhours</v>
      </c>
      <c r="C46" s="281" t="s">
        <v>23</v>
      </c>
      <c r="D46" s="170" t="s">
        <v>23</v>
      </c>
      <c r="E46" s="170" t="s">
        <v>83</v>
      </c>
      <c r="F46" s="170" t="s">
        <v>270</v>
      </c>
      <c r="G46" s="170" t="s">
        <v>23</v>
      </c>
      <c r="H46" s="170" t="s">
        <v>639</v>
      </c>
      <c r="I46" s="170" t="s">
        <v>83</v>
      </c>
      <c r="J46" s="217" t="s">
        <v>512</v>
      </c>
      <c r="K46" s="170" t="s">
        <v>83</v>
      </c>
    </row>
    <row r="47" spans="1:11" x14ac:dyDescent="0.2">
      <c r="A47" s="53"/>
      <c r="B47" s="169" t="str">
        <f t="shared" si="1"/>
        <v>substructure top and vertical</v>
      </c>
      <c r="C47" s="281" t="s">
        <v>68</v>
      </c>
      <c r="D47" s="170" t="s">
        <v>68</v>
      </c>
      <c r="E47" s="170" t="s">
        <v>313</v>
      </c>
      <c r="F47" s="170" t="s">
        <v>233</v>
      </c>
      <c r="G47" s="170" t="s">
        <v>68</v>
      </c>
      <c r="H47" s="170" t="s">
        <v>640</v>
      </c>
      <c r="I47" s="170" t="s">
        <v>313</v>
      </c>
      <c r="J47" s="217" t="s">
        <v>513</v>
      </c>
      <c r="K47" s="170" t="s">
        <v>313</v>
      </c>
    </row>
    <row r="48" spans="1:11" x14ac:dyDescent="0.2">
      <c r="A48" s="53"/>
      <c r="B48" s="169" t="str">
        <f t="shared" si="1"/>
        <v>substructure bottom</v>
      </c>
      <c r="C48" s="281" t="s">
        <v>69</v>
      </c>
      <c r="D48" s="170" t="s">
        <v>69</v>
      </c>
      <c r="E48" s="170" t="s">
        <v>314</v>
      </c>
      <c r="F48" s="170" t="s">
        <v>234</v>
      </c>
      <c r="G48" s="170" t="s">
        <v>69</v>
      </c>
      <c r="H48" s="170" t="s">
        <v>641</v>
      </c>
      <c r="I48" s="170" t="s">
        <v>314</v>
      </c>
      <c r="J48" s="217" t="s">
        <v>514</v>
      </c>
      <c r="K48" s="170" t="s">
        <v>314</v>
      </c>
    </row>
    <row r="49" spans="1:11" x14ac:dyDescent="0.2">
      <c r="A49" s="53"/>
      <c r="B49" s="169" t="str">
        <f t="shared" si="1"/>
        <v>substructure flat rate/ crane</v>
      </c>
      <c r="C49" s="281" t="s">
        <v>63</v>
      </c>
      <c r="D49" s="170" t="s">
        <v>63</v>
      </c>
      <c r="E49" s="170" t="s">
        <v>112</v>
      </c>
      <c r="F49" s="170" t="s">
        <v>391</v>
      </c>
      <c r="G49" s="170" t="s">
        <v>63</v>
      </c>
      <c r="H49" s="170" t="s">
        <v>642</v>
      </c>
      <c r="I49" s="170" t="s">
        <v>112</v>
      </c>
      <c r="J49" s="217" t="s">
        <v>515</v>
      </c>
      <c r="K49" s="170" t="s">
        <v>112</v>
      </c>
    </row>
    <row r="50" spans="1:11" x14ac:dyDescent="0.2">
      <c r="A50" s="53"/>
      <c r="B50" s="169" t="str">
        <f t="shared" si="1"/>
        <v>purchase price</v>
      </c>
      <c r="C50" s="281" t="s">
        <v>31</v>
      </c>
      <c r="D50" s="170" t="s">
        <v>31</v>
      </c>
      <c r="E50" s="170" t="s">
        <v>315</v>
      </c>
      <c r="F50" s="170" t="s">
        <v>271</v>
      </c>
      <c r="G50" s="170" t="s">
        <v>31</v>
      </c>
      <c r="H50" s="170" t="s">
        <v>643</v>
      </c>
      <c r="I50" s="170" t="s">
        <v>315</v>
      </c>
      <c r="J50" s="217" t="s">
        <v>516</v>
      </c>
      <c r="K50" s="170" t="s">
        <v>315</v>
      </c>
    </row>
    <row r="51" spans="1:11" x14ac:dyDescent="0.2">
      <c r="A51" s="53"/>
      <c r="B51" s="169" t="str">
        <f t="shared" si="1"/>
        <v>planning and installation</v>
      </c>
      <c r="C51" s="281" t="s">
        <v>25</v>
      </c>
      <c r="D51" s="170" t="s">
        <v>25</v>
      </c>
      <c r="E51" s="170" t="s">
        <v>102</v>
      </c>
      <c r="F51" s="170" t="s">
        <v>272</v>
      </c>
      <c r="G51" s="170" t="s">
        <v>25</v>
      </c>
      <c r="H51" s="170" t="s">
        <v>644</v>
      </c>
      <c r="I51" s="170" t="s">
        <v>102</v>
      </c>
      <c r="J51" s="217" t="s">
        <v>517</v>
      </c>
      <c r="K51" s="170" t="s">
        <v>102</v>
      </c>
    </row>
    <row r="52" spans="1:11" x14ac:dyDescent="0.2">
      <c r="A52" s="53"/>
      <c r="B52" s="169" t="str">
        <f t="shared" si="1"/>
        <v>substructure</v>
      </c>
      <c r="C52" s="281" t="s">
        <v>30</v>
      </c>
      <c r="D52" s="170" t="s">
        <v>30</v>
      </c>
      <c r="E52" s="170" t="s">
        <v>316</v>
      </c>
      <c r="F52" s="170" t="s">
        <v>273</v>
      </c>
      <c r="G52" s="170" t="s">
        <v>30</v>
      </c>
      <c r="H52" s="170" t="s">
        <v>645</v>
      </c>
      <c r="I52" s="170" t="s">
        <v>316</v>
      </c>
      <c r="J52" s="217" t="s">
        <v>518</v>
      </c>
      <c r="K52" s="170" t="s">
        <v>316</v>
      </c>
    </row>
    <row r="53" spans="1:11" x14ac:dyDescent="0.2">
      <c r="A53" s="53"/>
      <c r="B53" s="169" t="str">
        <f t="shared" si="1"/>
        <v>risk/profit</v>
      </c>
      <c r="C53" s="281" t="s">
        <v>26</v>
      </c>
      <c r="D53" s="170" t="s">
        <v>26</v>
      </c>
      <c r="E53" s="170" t="s">
        <v>103</v>
      </c>
      <c r="F53" s="170" t="s">
        <v>274</v>
      </c>
      <c r="G53" s="170" t="s">
        <v>26</v>
      </c>
      <c r="H53" s="170" t="s">
        <v>646</v>
      </c>
      <c r="I53" s="170" t="s">
        <v>103</v>
      </c>
      <c r="J53" s="217" t="s">
        <v>519</v>
      </c>
      <c r="K53" s="170" t="s">
        <v>103</v>
      </c>
    </row>
    <row r="54" spans="1:11" x14ac:dyDescent="0.2">
      <c r="A54" s="53"/>
      <c r="B54" s="169" t="str">
        <f t="shared" si="1"/>
        <v>discount</v>
      </c>
      <c r="C54" s="281" t="s">
        <v>352</v>
      </c>
      <c r="D54" s="170" t="s">
        <v>352</v>
      </c>
      <c r="E54" s="170" t="s">
        <v>361</v>
      </c>
      <c r="F54" s="170" t="s">
        <v>362</v>
      </c>
      <c r="G54" s="170" t="s">
        <v>352</v>
      </c>
      <c r="H54" s="170" t="s">
        <v>647</v>
      </c>
      <c r="I54" s="170" t="s">
        <v>361</v>
      </c>
      <c r="J54" s="217" t="s">
        <v>520</v>
      </c>
      <c r="K54" s="170" t="s">
        <v>361</v>
      </c>
    </row>
    <row r="55" spans="1:11" x14ac:dyDescent="0.2">
      <c r="A55" s="53"/>
      <c r="B55" s="169" t="str">
        <f t="shared" si="1"/>
        <v>sales price per unit</v>
      </c>
      <c r="C55" s="281" t="s">
        <v>27</v>
      </c>
      <c r="D55" s="170" t="s">
        <v>27</v>
      </c>
      <c r="E55" s="170" t="s">
        <v>104</v>
      </c>
      <c r="F55" s="170" t="s">
        <v>392</v>
      </c>
      <c r="G55" s="170" t="s">
        <v>27</v>
      </c>
      <c r="H55" s="170" t="s">
        <v>648</v>
      </c>
      <c r="I55" s="170" t="s">
        <v>104</v>
      </c>
      <c r="J55" s="217" t="s">
        <v>521</v>
      </c>
      <c r="K55" s="170" t="s">
        <v>104</v>
      </c>
    </row>
    <row r="56" spans="1:11" x14ac:dyDescent="0.2">
      <c r="A56" s="53"/>
      <c r="B56" s="169" t="str">
        <f t="shared" si="1"/>
        <v>currency</v>
      </c>
      <c r="C56" s="281" t="s">
        <v>38</v>
      </c>
      <c r="D56" s="170" t="s">
        <v>38</v>
      </c>
      <c r="E56" s="170" t="s">
        <v>84</v>
      </c>
      <c r="F56" s="170" t="s">
        <v>275</v>
      </c>
      <c r="G56" s="170" t="s">
        <v>38</v>
      </c>
      <c r="H56" s="170" t="s">
        <v>522</v>
      </c>
      <c r="I56" s="170" t="s">
        <v>84</v>
      </c>
      <c r="J56" s="217" t="s">
        <v>522</v>
      </c>
      <c r="K56" s="170" t="s">
        <v>84</v>
      </c>
    </row>
    <row r="57" spans="1:11" x14ac:dyDescent="0.2">
      <c r="A57" s="53"/>
      <c r="B57" s="169" t="str">
        <f t="shared" si="1"/>
        <v>Project:</v>
      </c>
      <c r="C57" s="281" t="s">
        <v>39</v>
      </c>
      <c r="D57" s="170" t="s">
        <v>39</v>
      </c>
      <c r="E57" s="170" t="s">
        <v>317</v>
      </c>
      <c r="F57" s="170" t="s">
        <v>419</v>
      </c>
      <c r="G57" s="170" t="s">
        <v>39</v>
      </c>
      <c r="H57" s="170" t="s">
        <v>649</v>
      </c>
      <c r="I57" s="170" t="s">
        <v>317</v>
      </c>
      <c r="J57" s="217" t="s">
        <v>523</v>
      </c>
      <c r="K57" s="170" t="s">
        <v>317</v>
      </c>
    </row>
    <row r="58" spans="1:11" x14ac:dyDescent="0.2">
      <c r="A58" s="53"/>
      <c r="B58" s="169" t="str">
        <f t="shared" si="1"/>
        <v>/ h installation</v>
      </c>
      <c r="C58" s="283" t="s">
        <v>823</v>
      </c>
      <c r="D58" s="170" t="s">
        <v>823</v>
      </c>
      <c r="E58" s="170" t="s">
        <v>85</v>
      </c>
      <c r="F58" s="170" t="s">
        <v>148</v>
      </c>
      <c r="G58" s="170" t="s">
        <v>40</v>
      </c>
      <c r="H58" s="170" t="s">
        <v>825</v>
      </c>
      <c r="I58" s="170" t="s">
        <v>85</v>
      </c>
      <c r="J58" s="217" t="s">
        <v>524</v>
      </c>
      <c r="K58" s="170" t="s">
        <v>85</v>
      </c>
    </row>
    <row r="59" spans="1:11" x14ac:dyDescent="0.2">
      <c r="A59" s="53"/>
      <c r="B59" s="169" t="str">
        <f t="shared" si="1"/>
        <v>/ h planning</v>
      </c>
      <c r="C59" s="283" t="s">
        <v>824</v>
      </c>
      <c r="D59" s="170" t="s">
        <v>824</v>
      </c>
      <c r="E59" s="170" t="s">
        <v>86</v>
      </c>
      <c r="F59" s="170" t="s">
        <v>149</v>
      </c>
      <c r="G59" s="170" t="s">
        <v>41</v>
      </c>
      <c r="H59" s="170" t="s">
        <v>826</v>
      </c>
      <c r="I59" s="170" t="s">
        <v>86</v>
      </c>
      <c r="J59" s="217" t="s">
        <v>525</v>
      </c>
      <c r="K59" s="170" t="s">
        <v>86</v>
      </c>
    </row>
    <row r="60" spans="1:11" x14ac:dyDescent="0.2">
      <c r="A60" s="53"/>
      <c r="B60" s="169" t="str">
        <f t="shared" si="1"/>
        <v>risk/profit</v>
      </c>
      <c r="C60" s="281" t="s">
        <v>26</v>
      </c>
      <c r="D60" s="170" t="s">
        <v>26</v>
      </c>
      <c r="E60" s="170" t="s">
        <v>103</v>
      </c>
      <c r="F60" s="170" t="s">
        <v>274</v>
      </c>
      <c r="G60" s="170" t="s">
        <v>26</v>
      </c>
      <c r="H60" s="170" t="s">
        <v>646</v>
      </c>
      <c r="I60" s="170" t="s">
        <v>103</v>
      </c>
      <c r="J60" s="217" t="s">
        <v>519</v>
      </c>
      <c r="K60" s="170" t="s">
        <v>103</v>
      </c>
    </row>
    <row r="61" spans="1:11" x14ac:dyDescent="0.2">
      <c r="A61" s="53"/>
      <c r="B61" s="169" t="str">
        <f t="shared" si="1"/>
        <v>installation manhours</v>
      </c>
      <c r="C61" s="281" t="s">
        <v>28</v>
      </c>
      <c r="D61" s="170" t="s">
        <v>28</v>
      </c>
      <c r="E61" s="170" t="s">
        <v>87</v>
      </c>
      <c r="F61" s="170" t="s">
        <v>276</v>
      </c>
      <c r="G61" s="170" t="s">
        <v>28</v>
      </c>
      <c r="H61" s="170" t="s">
        <v>650</v>
      </c>
      <c r="I61" s="170" t="s">
        <v>87</v>
      </c>
      <c r="J61" s="217" t="s">
        <v>526</v>
      </c>
      <c r="K61" s="170" t="s">
        <v>87</v>
      </c>
    </row>
    <row r="62" spans="1:11" x14ac:dyDescent="0.2">
      <c r="A62" s="53"/>
      <c r="B62" s="169" t="str">
        <f t="shared" si="1"/>
        <v>planning manhours</v>
      </c>
      <c r="C62" s="281" t="s">
        <v>29</v>
      </c>
      <c r="D62" s="170" t="s">
        <v>29</v>
      </c>
      <c r="E62" s="170" t="s">
        <v>88</v>
      </c>
      <c r="F62" s="170" t="s">
        <v>277</v>
      </c>
      <c r="G62" s="170" t="s">
        <v>29</v>
      </c>
      <c r="H62" s="170" t="s">
        <v>651</v>
      </c>
      <c r="I62" s="170" t="s">
        <v>88</v>
      </c>
      <c r="J62" s="217" t="s">
        <v>527</v>
      </c>
      <c r="K62" s="170" t="s">
        <v>88</v>
      </c>
    </row>
    <row r="63" spans="1:11" x14ac:dyDescent="0.2">
      <c r="A63" s="53"/>
      <c r="B63" s="169" t="str">
        <f t="shared" si="1"/>
        <v>sales price per m²</v>
      </c>
      <c r="C63" s="281" t="s">
        <v>70</v>
      </c>
      <c r="D63" s="170" t="s">
        <v>70</v>
      </c>
      <c r="E63" s="170" t="s">
        <v>406</v>
      </c>
      <c r="F63" s="170" t="s">
        <v>393</v>
      </c>
      <c r="G63" s="170" t="s">
        <v>70</v>
      </c>
      <c r="H63" s="170" t="s">
        <v>652</v>
      </c>
      <c r="I63" s="170" t="s">
        <v>406</v>
      </c>
      <c r="J63" s="217" t="s">
        <v>528</v>
      </c>
      <c r="K63" s="170" t="s">
        <v>406</v>
      </c>
    </row>
    <row r="64" spans="1:11" x14ac:dyDescent="0.2">
      <c r="A64" s="53"/>
      <c r="B64" s="169" t="str">
        <f t="shared" si="1"/>
        <v>glass assembly</v>
      </c>
      <c r="C64" s="283" t="s">
        <v>748</v>
      </c>
      <c r="D64" s="283" t="s">
        <v>748</v>
      </c>
      <c r="E64" s="170" t="s">
        <v>753</v>
      </c>
      <c r="F64" s="170" t="s">
        <v>754</v>
      </c>
      <c r="G64" s="283" t="s">
        <v>748</v>
      </c>
      <c r="H64" s="170" t="s">
        <v>755</v>
      </c>
      <c r="I64" s="170" t="s">
        <v>753</v>
      </c>
      <c r="J64" s="252" t="s">
        <v>757</v>
      </c>
      <c r="K64" s="170" t="s">
        <v>753</v>
      </c>
    </row>
    <row r="65" spans="1:11" x14ac:dyDescent="0.2">
      <c r="A65" s="53"/>
      <c r="B65" s="169" t="str">
        <f t="shared" si="1"/>
        <v>glass coating</v>
      </c>
      <c r="C65" s="281" t="s">
        <v>252</v>
      </c>
      <c r="D65" s="170" t="s">
        <v>252</v>
      </c>
      <c r="E65" s="170" t="s">
        <v>752</v>
      </c>
      <c r="F65" s="170" t="s">
        <v>394</v>
      </c>
      <c r="G65" s="170" t="s">
        <v>252</v>
      </c>
      <c r="H65" s="170" t="s">
        <v>653</v>
      </c>
      <c r="I65" s="170" t="s">
        <v>752</v>
      </c>
      <c r="J65" s="252" t="s">
        <v>756</v>
      </c>
      <c r="K65" s="170" t="s">
        <v>752</v>
      </c>
    </row>
    <row r="66" spans="1:11" x14ac:dyDescent="0.2">
      <c r="A66" s="53"/>
      <c r="B66" s="169" t="str">
        <f t="shared" si="1"/>
        <v>alarm components</v>
      </c>
      <c r="C66" s="281" t="s">
        <v>343</v>
      </c>
      <c r="D66" s="170" t="s">
        <v>343</v>
      </c>
      <c r="E66" s="170" t="s">
        <v>360</v>
      </c>
      <c r="F66" s="170" t="s">
        <v>395</v>
      </c>
      <c r="G66" s="170" t="s">
        <v>343</v>
      </c>
      <c r="H66" s="170" t="s">
        <v>654</v>
      </c>
      <c r="I66" s="170" t="s">
        <v>360</v>
      </c>
      <c r="J66" s="217" t="s">
        <v>529</v>
      </c>
      <c r="K66" s="170" t="s">
        <v>360</v>
      </c>
    </row>
    <row r="67" spans="1:11" x14ac:dyDescent="0.2">
      <c r="A67" s="53"/>
      <c r="B67" s="169" t="str">
        <f t="shared" si="1"/>
        <v>glass</v>
      </c>
      <c r="C67" s="281" t="s">
        <v>53</v>
      </c>
      <c r="D67" s="170" t="s">
        <v>53</v>
      </c>
      <c r="E67" s="170" t="s">
        <v>318</v>
      </c>
      <c r="F67" s="170" t="s">
        <v>278</v>
      </c>
      <c r="G67" s="170" t="s">
        <v>53</v>
      </c>
      <c r="H67" s="170" t="s">
        <v>655</v>
      </c>
      <c r="I67" s="170" t="s">
        <v>318</v>
      </c>
      <c r="J67" s="217" t="s">
        <v>530</v>
      </c>
      <c r="K67" s="170" t="s">
        <v>318</v>
      </c>
    </row>
    <row r="68" spans="1:11" x14ac:dyDescent="0.2">
      <c r="A68" s="53"/>
      <c r="B68" s="169" t="str">
        <f t="shared" si="1"/>
        <v>W/m²K</v>
      </c>
      <c r="C68" s="281" t="s">
        <v>47</v>
      </c>
      <c r="D68" s="170" t="s">
        <v>47</v>
      </c>
      <c r="E68" s="170" t="s">
        <v>396</v>
      </c>
      <c r="F68" s="170" t="s">
        <v>396</v>
      </c>
      <c r="G68" s="170" t="s">
        <v>47</v>
      </c>
      <c r="H68" s="170" t="s">
        <v>396</v>
      </c>
      <c r="I68" s="170" t="s">
        <v>396</v>
      </c>
      <c r="J68" s="217" t="s">
        <v>47</v>
      </c>
      <c r="K68" s="170" t="s">
        <v>396</v>
      </c>
    </row>
    <row r="69" spans="1:11" x14ac:dyDescent="0.2">
      <c r="A69" s="53"/>
      <c r="B69" s="169" t="str">
        <f t="shared" si="1"/>
        <v>lock</v>
      </c>
      <c r="C69" s="281" t="s">
        <v>54</v>
      </c>
      <c r="D69" s="170" t="s">
        <v>54</v>
      </c>
      <c r="E69" s="170" t="s">
        <v>105</v>
      </c>
      <c r="F69" s="170" t="s">
        <v>279</v>
      </c>
      <c r="G69" s="170" t="s">
        <v>54</v>
      </c>
      <c r="H69" s="170" t="s">
        <v>656</v>
      </c>
      <c r="I69" s="170" t="s">
        <v>105</v>
      </c>
      <c r="J69" s="217" t="s">
        <v>531</v>
      </c>
      <c r="K69" s="170" t="s">
        <v>105</v>
      </c>
    </row>
    <row r="70" spans="1:11" x14ac:dyDescent="0.2">
      <c r="A70" s="53"/>
      <c r="B70" s="169" t="str">
        <f t="shared" si="1"/>
        <v>locks</v>
      </c>
      <c r="C70" s="281" t="s">
        <v>48</v>
      </c>
      <c r="D70" s="170" t="s">
        <v>48</v>
      </c>
      <c r="E70" s="170" t="s">
        <v>106</v>
      </c>
      <c r="F70" s="170" t="s">
        <v>235</v>
      </c>
      <c r="G70" s="170" t="s">
        <v>48</v>
      </c>
      <c r="H70" s="170" t="s">
        <v>657</v>
      </c>
      <c r="I70" s="170" t="s">
        <v>106</v>
      </c>
      <c r="J70" s="217" t="s">
        <v>531</v>
      </c>
      <c r="K70" s="170" t="s">
        <v>106</v>
      </c>
    </row>
    <row r="71" spans="1:11" x14ac:dyDescent="0.2">
      <c r="A71" s="53"/>
      <c r="B71" s="169" t="str">
        <f t="shared" si="1"/>
        <v>pcs. profile cylinder</v>
      </c>
      <c r="C71" s="281" t="s">
        <v>342</v>
      </c>
      <c r="D71" s="170" t="s">
        <v>342</v>
      </c>
      <c r="E71" s="170" t="s">
        <v>319</v>
      </c>
      <c r="F71" s="170" t="s">
        <v>438</v>
      </c>
      <c r="G71" s="170" t="s">
        <v>342</v>
      </c>
      <c r="H71" s="170" t="s">
        <v>658</v>
      </c>
      <c r="I71" s="170" t="s">
        <v>319</v>
      </c>
      <c r="J71" s="217" t="s">
        <v>532</v>
      </c>
      <c r="K71" s="170" t="s">
        <v>319</v>
      </c>
    </row>
    <row r="72" spans="1:11" x14ac:dyDescent="0.2">
      <c r="A72" s="53"/>
      <c r="B72" s="169" t="str">
        <f t="shared" si="1"/>
        <v>pcs. insect screens extendable</v>
      </c>
      <c r="C72" s="283" t="s">
        <v>914</v>
      </c>
      <c r="D72" s="170" t="s">
        <v>914</v>
      </c>
      <c r="E72" s="170" t="s">
        <v>1279</v>
      </c>
      <c r="F72" s="170" t="s">
        <v>919</v>
      </c>
      <c r="G72" s="170" t="s">
        <v>914</v>
      </c>
      <c r="H72" s="170" t="s">
        <v>920</v>
      </c>
      <c r="I72" s="170" t="s">
        <v>915</v>
      </c>
      <c r="J72" s="252" t="s">
        <v>916</v>
      </c>
      <c r="K72" s="170" t="s">
        <v>915</v>
      </c>
    </row>
    <row r="73" spans="1:11" x14ac:dyDescent="0.2">
      <c r="A73" s="53"/>
      <c r="B73" s="169" t="str">
        <f t="shared" si="1"/>
        <v>LSG-TVG</v>
      </c>
      <c r="C73" s="281" t="s">
        <v>247</v>
      </c>
      <c r="D73" s="170" t="s">
        <v>247</v>
      </c>
      <c r="E73" s="170" t="s">
        <v>822</v>
      </c>
      <c r="F73" s="170" t="s">
        <v>420</v>
      </c>
      <c r="G73" s="170" t="s">
        <v>247</v>
      </c>
      <c r="H73" s="170" t="s">
        <v>247</v>
      </c>
      <c r="I73" s="170" t="s">
        <v>822</v>
      </c>
      <c r="J73" s="217" t="s">
        <v>533</v>
      </c>
      <c r="K73" s="170" t="s">
        <v>822</v>
      </c>
    </row>
    <row r="74" spans="1:11" x14ac:dyDescent="0.2">
      <c r="A74" s="53"/>
      <c r="B74" s="169" t="str">
        <f t="shared" si="1"/>
        <v>laminated safety glass</v>
      </c>
      <c r="C74" s="281" t="s">
        <v>49</v>
      </c>
      <c r="D74" s="170" t="s">
        <v>49</v>
      </c>
      <c r="E74" s="170" t="s">
        <v>107</v>
      </c>
      <c r="F74" s="170" t="s">
        <v>421</v>
      </c>
      <c r="G74" s="170" t="s">
        <v>49</v>
      </c>
      <c r="H74" s="170" t="s">
        <v>659</v>
      </c>
      <c r="I74" s="170" t="s">
        <v>107</v>
      </c>
      <c r="J74" s="217" t="s">
        <v>534</v>
      </c>
      <c r="K74" s="170" t="s">
        <v>107</v>
      </c>
    </row>
    <row r="75" spans="1:11" x14ac:dyDescent="0.2">
      <c r="A75" s="53"/>
      <c r="B75" s="169" t="str">
        <f t="shared" ref="B75:B139" si="2">HLOOKUP($B$1,$C$2:$P$227,ROW()-1,FALSE)</f>
        <v>tempered safety glass</v>
      </c>
      <c r="C75" s="281" t="s">
        <v>144</v>
      </c>
      <c r="D75" s="170" t="s">
        <v>144</v>
      </c>
      <c r="E75" s="170" t="s">
        <v>89</v>
      </c>
      <c r="F75" s="170" t="s">
        <v>422</v>
      </c>
      <c r="G75" s="170" t="s">
        <v>144</v>
      </c>
      <c r="H75" s="170" t="s">
        <v>660</v>
      </c>
      <c r="I75" s="170" t="s">
        <v>89</v>
      </c>
      <c r="J75" s="217" t="s">
        <v>535</v>
      </c>
      <c r="K75" s="170" t="s">
        <v>89</v>
      </c>
    </row>
    <row r="76" spans="1:11" x14ac:dyDescent="0.2">
      <c r="A76" s="53"/>
      <c r="B76" s="169" t="str">
        <f t="shared" si="2"/>
        <v xml:space="preserve"> o/a frame size</v>
      </c>
      <c r="C76" s="281" t="s">
        <v>448</v>
      </c>
      <c r="D76" s="170" t="s">
        <v>449</v>
      </c>
      <c r="E76" s="170" t="s">
        <v>450</v>
      </c>
      <c r="F76" s="170" t="s">
        <v>451</v>
      </c>
      <c r="G76" s="170" t="s">
        <v>448</v>
      </c>
      <c r="H76" s="170" t="s">
        <v>661</v>
      </c>
      <c r="I76" s="170" t="s">
        <v>321</v>
      </c>
      <c r="J76" s="217" t="s">
        <v>536</v>
      </c>
      <c r="K76" s="170" t="s">
        <v>450</v>
      </c>
    </row>
    <row r="77" spans="1:11" x14ac:dyDescent="0.2">
      <c r="A77" s="53"/>
      <c r="B77" s="169" t="str">
        <f t="shared" si="2"/>
        <v>ceramic?</v>
      </c>
      <c r="C77" s="283" t="s">
        <v>818</v>
      </c>
      <c r="D77" s="170" t="s">
        <v>818</v>
      </c>
      <c r="E77" s="170" t="s">
        <v>819</v>
      </c>
      <c r="F77" s="170" t="s">
        <v>820</v>
      </c>
      <c r="G77" s="170" t="s">
        <v>818</v>
      </c>
      <c r="H77" s="170" t="s">
        <v>821</v>
      </c>
      <c r="I77" s="170" t="s">
        <v>819</v>
      </c>
      <c r="J77" s="252" t="s">
        <v>818</v>
      </c>
      <c r="K77" s="170" t="s">
        <v>819</v>
      </c>
    </row>
    <row r="78" spans="1:11" x14ac:dyDescent="0.2">
      <c r="A78" s="53"/>
      <c r="B78" s="169" t="str">
        <f t="shared" si="2"/>
        <v>clear size of frame</v>
      </c>
      <c r="C78" s="281" t="s">
        <v>210</v>
      </c>
      <c r="D78" s="170" t="s">
        <v>210</v>
      </c>
      <c r="E78" s="170" t="s">
        <v>320</v>
      </c>
      <c r="F78" s="170" t="s">
        <v>423</v>
      </c>
      <c r="G78" s="170" t="s">
        <v>210</v>
      </c>
      <c r="H78" s="170" t="s">
        <v>662</v>
      </c>
      <c r="I78" s="170" t="s">
        <v>320</v>
      </c>
      <c r="J78" s="217" t="s">
        <v>537</v>
      </c>
      <c r="K78" s="170" t="s">
        <v>320</v>
      </c>
    </row>
    <row r="79" spans="1:11" x14ac:dyDescent="0.2">
      <c r="A79" s="53"/>
      <c r="B79" s="169" t="str">
        <f t="shared" si="2"/>
        <v>o/a frame size</v>
      </c>
      <c r="C79" s="281" t="s">
        <v>227</v>
      </c>
      <c r="D79" s="170" t="s">
        <v>227</v>
      </c>
      <c r="E79" s="170" t="s">
        <v>321</v>
      </c>
      <c r="F79" s="170" t="s">
        <v>424</v>
      </c>
      <c r="G79" s="170" t="s">
        <v>227</v>
      </c>
      <c r="H79" s="170" t="s">
        <v>663</v>
      </c>
      <c r="I79" s="170" t="s">
        <v>321</v>
      </c>
      <c r="J79" s="217" t="s">
        <v>538</v>
      </c>
      <c r="K79" s="170" t="s">
        <v>321</v>
      </c>
    </row>
    <row r="80" spans="1:11" x14ac:dyDescent="0.2">
      <c r="A80" s="53"/>
      <c r="B80" s="169" t="str">
        <f t="shared" si="2"/>
        <v>-tracks</v>
      </c>
      <c r="C80" s="284" t="s">
        <v>1110</v>
      </c>
      <c r="D80" s="211" t="s">
        <v>1110</v>
      </c>
      <c r="E80" s="211" t="s">
        <v>1111</v>
      </c>
      <c r="F80" s="170" t="s">
        <v>1112</v>
      </c>
      <c r="G80" s="211" t="s">
        <v>1110</v>
      </c>
      <c r="H80" s="211" t="s">
        <v>1113</v>
      </c>
      <c r="I80" s="211" t="s">
        <v>1111</v>
      </c>
      <c r="J80" s="218" t="s">
        <v>1114</v>
      </c>
      <c r="K80" s="211" t="s">
        <v>1111</v>
      </c>
    </row>
    <row r="81" spans="1:11" x14ac:dyDescent="0.2">
      <c r="A81" s="53"/>
      <c r="B81" s="169" t="str">
        <f>IF(ELEMENT!$AH$4=2,B82,
IF(ELEMENT!$AH$4=1,B80,B83))</f>
        <v>-tracks double glazed</v>
      </c>
      <c r="C81" s="281"/>
      <c r="D81" s="170"/>
      <c r="E81" s="170"/>
      <c r="F81" s="170"/>
      <c r="G81" s="170"/>
      <c r="H81" s="170"/>
      <c r="I81" s="170"/>
      <c r="J81" s="218"/>
      <c r="K81" s="170"/>
    </row>
    <row r="82" spans="1:11" x14ac:dyDescent="0.2">
      <c r="A82" s="53"/>
      <c r="B82" s="169" t="str">
        <f t="shared" si="2"/>
        <v>-tracks double glazed</v>
      </c>
      <c r="C82" s="284" t="s">
        <v>458</v>
      </c>
      <c r="D82" s="211" t="s">
        <v>458</v>
      </c>
      <c r="E82" s="211" t="s">
        <v>470</v>
      </c>
      <c r="F82" s="170" t="s">
        <v>433</v>
      </c>
      <c r="G82" s="211" t="s">
        <v>458</v>
      </c>
      <c r="H82" s="211" t="s">
        <v>664</v>
      </c>
      <c r="I82" s="211" t="s">
        <v>470</v>
      </c>
      <c r="J82" s="218" t="s">
        <v>539</v>
      </c>
      <c r="K82" s="211" t="s">
        <v>470</v>
      </c>
    </row>
    <row r="83" spans="1:11" x14ac:dyDescent="0.2">
      <c r="A83" s="53"/>
      <c r="B83" s="169" t="str">
        <f t="shared" si="2"/>
        <v>-tracks triple glazed</v>
      </c>
      <c r="C83" s="284" t="s">
        <v>461</v>
      </c>
      <c r="D83" s="211" t="s">
        <v>461</v>
      </c>
      <c r="E83" s="211" t="s">
        <v>471</v>
      </c>
      <c r="F83" s="170" t="s">
        <v>462</v>
      </c>
      <c r="G83" s="211" t="s">
        <v>461</v>
      </c>
      <c r="H83" s="211" t="s">
        <v>665</v>
      </c>
      <c r="I83" s="211" t="s">
        <v>471</v>
      </c>
      <c r="J83" s="218" t="s">
        <v>540</v>
      </c>
      <c r="K83" s="211" t="s">
        <v>471</v>
      </c>
    </row>
    <row r="84" spans="1:11" x14ac:dyDescent="0.2">
      <c r="A84" s="53"/>
      <c r="B84" s="169" t="str">
        <f t="shared" si="2"/>
        <v># of panel</v>
      </c>
      <c r="C84" s="281" t="s">
        <v>50</v>
      </c>
      <c r="D84" s="170" t="s">
        <v>50</v>
      </c>
      <c r="E84" s="170" t="s">
        <v>1133</v>
      </c>
      <c r="F84" s="170" t="s">
        <v>425</v>
      </c>
      <c r="G84" s="170" t="s">
        <v>50</v>
      </c>
      <c r="H84" s="170" t="s">
        <v>666</v>
      </c>
      <c r="I84" s="170" t="s">
        <v>322</v>
      </c>
      <c r="J84" s="217" t="s">
        <v>541</v>
      </c>
      <c r="K84" s="170" t="s">
        <v>322</v>
      </c>
    </row>
    <row r="85" spans="1:11" x14ac:dyDescent="0.2">
      <c r="A85" s="53"/>
      <c r="B85" s="169" t="str">
        <f t="shared" si="2"/>
        <v>sliding</v>
      </c>
      <c r="C85" s="281" t="s">
        <v>51</v>
      </c>
      <c r="D85" s="170" t="s">
        <v>51</v>
      </c>
      <c r="E85" s="170" t="s">
        <v>311</v>
      </c>
      <c r="F85" s="170" t="s">
        <v>426</v>
      </c>
      <c r="G85" s="170" t="s">
        <v>51</v>
      </c>
      <c r="H85" s="170" t="s">
        <v>624</v>
      </c>
      <c r="I85" s="170" t="s">
        <v>311</v>
      </c>
      <c r="J85" s="217" t="s">
        <v>542</v>
      </c>
      <c r="K85" s="170" t="s">
        <v>311</v>
      </c>
    </row>
    <row r="86" spans="1:11" x14ac:dyDescent="0.2">
      <c r="A86" s="53"/>
      <c r="B86" s="169" t="str">
        <f t="shared" si="2"/>
        <v>per</v>
      </c>
      <c r="C86" s="281" t="s">
        <v>52</v>
      </c>
      <c r="D86" s="170" t="s">
        <v>52</v>
      </c>
      <c r="E86" s="170" t="s">
        <v>52</v>
      </c>
      <c r="F86" s="170" t="s">
        <v>73</v>
      </c>
      <c r="G86" s="170" t="s">
        <v>52</v>
      </c>
      <c r="H86" s="170" t="s">
        <v>52</v>
      </c>
      <c r="I86" s="170" t="s">
        <v>52</v>
      </c>
      <c r="J86" s="217" t="s">
        <v>52</v>
      </c>
      <c r="K86" s="170" t="s">
        <v>52</v>
      </c>
    </row>
    <row r="87" spans="1:11" x14ac:dyDescent="0.2">
      <c r="A87" s="53"/>
      <c r="B87" s="169" t="str">
        <f t="shared" si="2"/>
        <v>glass</v>
      </c>
      <c r="C87" s="281" t="s">
        <v>3</v>
      </c>
      <c r="D87" s="170" t="s">
        <v>3</v>
      </c>
      <c r="E87" s="170" t="s">
        <v>318</v>
      </c>
      <c r="F87" s="170" t="s">
        <v>439</v>
      </c>
      <c r="G87" s="170" t="s">
        <v>3</v>
      </c>
      <c r="H87" s="170" t="s">
        <v>655</v>
      </c>
      <c r="I87" s="170" t="s">
        <v>318</v>
      </c>
      <c r="J87" s="217" t="s">
        <v>543</v>
      </c>
      <c r="K87" s="170" t="s">
        <v>318</v>
      </c>
    </row>
    <row r="88" spans="1:11" x14ac:dyDescent="0.2">
      <c r="A88" s="53"/>
      <c r="B88" s="169" t="str">
        <f t="shared" si="2"/>
        <v>text</v>
      </c>
      <c r="C88" s="281" t="s">
        <v>34</v>
      </c>
      <c r="D88" s="170" t="s">
        <v>34</v>
      </c>
      <c r="E88" s="170" t="s">
        <v>90</v>
      </c>
      <c r="F88" s="170" t="s">
        <v>440</v>
      </c>
      <c r="G88" s="170" t="s">
        <v>34</v>
      </c>
      <c r="H88" s="170" t="s">
        <v>667</v>
      </c>
      <c r="I88" s="170" t="s">
        <v>90</v>
      </c>
      <c r="J88" s="252" t="s">
        <v>90</v>
      </c>
      <c r="K88" s="170" t="s">
        <v>90</v>
      </c>
    </row>
    <row r="89" spans="1:11" x14ac:dyDescent="0.2">
      <c r="A89" s="53"/>
      <c r="B89" s="169" t="str">
        <f t="shared" si="2"/>
        <v>outdated version</v>
      </c>
      <c r="C89" s="281" t="s">
        <v>60</v>
      </c>
      <c r="D89" s="170" t="s">
        <v>60</v>
      </c>
      <c r="E89" s="170" t="s">
        <v>91</v>
      </c>
      <c r="F89" s="170" t="s">
        <v>280</v>
      </c>
      <c r="G89" s="170" t="s">
        <v>60</v>
      </c>
      <c r="H89" s="170" t="s">
        <v>668</v>
      </c>
      <c r="I89" s="170" t="s">
        <v>91</v>
      </c>
      <c r="J89" s="217" t="s">
        <v>544</v>
      </c>
      <c r="K89" s="170" t="s">
        <v>91</v>
      </c>
    </row>
    <row r="90" spans="1:11" x14ac:dyDescent="0.2">
      <c r="A90" s="53"/>
      <c r="B90" s="169" t="str">
        <f t="shared" si="2"/>
        <v>alt.</v>
      </c>
      <c r="C90" s="281" t="s">
        <v>245</v>
      </c>
      <c r="D90" s="170" t="s">
        <v>245</v>
      </c>
      <c r="E90" s="170" t="s">
        <v>323</v>
      </c>
      <c r="F90" s="170" t="s">
        <v>281</v>
      </c>
      <c r="G90" s="170" t="s">
        <v>245</v>
      </c>
      <c r="H90" s="170" t="s">
        <v>281</v>
      </c>
      <c r="I90" s="170" t="s">
        <v>323</v>
      </c>
      <c r="J90" s="217" t="s">
        <v>545</v>
      </c>
      <c r="K90" s="170" t="s">
        <v>323</v>
      </c>
    </row>
    <row r="91" spans="1:11" x14ac:dyDescent="0.2">
      <c r="A91" s="53"/>
      <c r="B91" s="169" t="str">
        <f t="shared" si="2"/>
        <v>surface:</v>
      </c>
      <c r="C91" s="281" t="s">
        <v>64</v>
      </c>
      <c r="D91" s="170" t="s">
        <v>64</v>
      </c>
      <c r="E91" s="170" t="s">
        <v>1195</v>
      </c>
      <c r="F91" s="170" t="s">
        <v>875</v>
      </c>
      <c r="G91" s="170" t="s">
        <v>64</v>
      </c>
      <c r="H91" s="170" t="s">
        <v>876</v>
      </c>
      <c r="I91" s="170" t="s">
        <v>1195</v>
      </c>
      <c r="J91" s="252" t="s">
        <v>877</v>
      </c>
      <c r="K91" s="170" t="s">
        <v>1195</v>
      </c>
    </row>
    <row r="92" spans="1:11" x14ac:dyDescent="0.2">
      <c r="A92" s="53"/>
      <c r="B92" s="169" t="str">
        <f t="shared" si="2"/>
        <v>standard plain anodized</v>
      </c>
      <c r="C92" s="281" t="s">
        <v>65</v>
      </c>
      <c r="D92" s="170" t="s">
        <v>65</v>
      </c>
      <c r="E92" s="170" t="s">
        <v>324</v>
      </c>
      <c r="F92" s="170" t="s">
        <v>282</v>
      </c>
      <c r="G92" s="170" t="s">
        <v>65</v>
      </c>
      <c r="H92" s="170" t="s">
        <v>669</v>
      </c>
      <c r="I92" s="170" t="s">
        <v>324</v>
      </c>
      <c r="J92" s="217" t="s">
        <v>546</v>
      </c>
      <c r="K92" s="170" t="s">
        <v>324</v>
      </c>
    </row>
    <row r="93" spans="1:11" x14ac:dyDescent="0.2">
      <c r="A93" s="53"/>
      <c r="B93" s="169" t="str">
        <f t="shared" si="2"/>
        <v>RAL powder coating</v>
      </c>
      <c r="C93" s="281" t="s">
        <v>66</v>
      </c>
      <c r="D93" s="170" t="s">
        <v>66</v>
      </c>
      <c r="E93" s="170" t="s">
        <v>325</v>
      </c>
      <c r="F93" s="170" t="s">
        <v>283</v>
      </c>
      <c r="G93" s="170" t="s">
        <v>66</v>
      </c>
      <c r="H93" s="170" t="s">
        <v>670</v>
      </c>
      <c r="I93" s="170" t="s">
        <v>325</v>
      </c>
      <c r="J93" s="217" t="s">
        <v>547</v>
      </c>
      <c r="K93" s="170" t="s">
        <v>325</v>
      </c>
    </row>
    <row r="94" spans="1:11" ht="25.5" x14ac:dyDescent="0.2">
      <c r="A94" s="53"/>
      <c r="B94" s="169" t="str">
        <f t="shared" si="2"/>
        <v>Additional charge for alternative surface of all active items:</v>
      </c>
      <c r="C94" s="281" t="s">
        <v>466</v>
      </c>
      <c r="D94" s="170" t="s">
        <v>466</v>
      </c>
      <c r="E94" s="170" t="s">
        <v>469</v>
      </c>
      <c r="F94" s="170" t="s">
        <v>892</v>
      </c>
      <c r="G94" s="170" t="s">
        <v>467</v>
      </c>
      <c r="H94" s="170" t="s">
        <v>671</v>
      </c>
      <c r="I94" s="170" t="s">
        <v>469</v>
      </c>
      <c r="J94" s="217" t="s">
        <v>548</v>
      </c>
      <c r="K94" s="170" t="s">
        <v>469</v>
      </c>
    </row>
    <row r="95" spans="1:11" x14ac:dyDescent="0.2">
      <c r="A95" s="53"/>
      <c r="B95" s="169" t="str">
        <f t="shared" si="2"/>
        <v>excluding TAX</v>
      </c>
      <c r="C95" s="281" t="s">
        <v>71</v>
      </c>
      <c r="D95" s="170" t="s">
        <v>71</v>
      </c>
      <c r="E95" s="170" t="s">
        <v>1281</v>
      </c>
      <c r="F95" s="170" t="s">
        <v>427</v>
      </c>
      <c r="G95" s="170" t="s">
        <v>71</v>
      </c>
      <c r="H95" s="170" t="s">
        <v>672</v>
      </c>
      <c r="I95" s="170" t="s">
        <v>326</v>
      </c>
      <c r="J95" s="217" t="s">
        <v>549</v>
      </c>
      <c r="K95" s="170" t="s">
        <v>326</v>
      </c>
    </row>
    <row r="96" spans="1:11" x14ac:dyDescent="0.2">
      <c r="A96" s="53"/>
      <c r="B96" s="169" t="str">
        <f t="shared" si="2"/>
        <v>cylinder</v>
      </c>
      <c r="C96" s="281" t="s">
        <v>74</v>
      </c>
      <c r="D96" s="170" t="s">
        <v>74</v>
      </c>
      <c r="E96" s="170" t="s">
        <v>92</v>
      </c>
      <c r="F96" s="170" t="s">
        <v>284</v>
      </c>
      <c r="G96" s="170" t="s">
        <v>74</v>
      </c>
      <c r="H96" s="170" t="s">
        <v>673</v>
      </c>
      <c r="I96" s="170" t="s">
        <v>92</v>
      </c>
      <c r="J96" s="217" t="s">
        <v>92</v>
      </c>
      <c r="K96" s="170" t="s">
        <v>92</v>
      </c>
    </row>
    <row r="97" spans="1:11" x14ac:dyDescent="0.2">
      <c r="A97" s="53"/>
      <c r="B97" s="169" t="str">
        <f t="shared" si="2"/>
        <v>insect screen extens.</v>
      </c>
      <c r="C97" s="283" t="s">
        <v>917</v>
      </c>
      <c r="D97" s="170" t="s">
        <v>917</v>
      </c>
      <c r="E97" s="170" t="s">
        <v>918</v>
      </c>
      <c r="F97" s="170" t="s">
        <v>928</v>
      </c>
      <c r="G97" s="170" t="s">
        <v>917</v>
      </c>
      <c r="H97" s="170" t="s">
        <v>921</v>
      </c>
      <c r="I97" s="170" t="s">
        <v>918</v>
      </c>
      <c r="J97" s="252" t="s">
        <v>922</v>
      </c>
      <c r="K97" s="170" t="s">
        <v>918</v>
      </c>
    </row>
    <row r="98" spans="1:11" x14ac:dyDescent="0.2">
      <c r="A98" s="53"/>
      <c r="B98" s="169" t="str">
        <f t="shared" si="2"/>
        <v>extendable insect screen (1m)</v>
      </c>
      <c r="C98" s="283" t="s">
        <v>923</v>
      </c>
      <c r="D98" s="283" t="s">
        <v>923</v>
      </c>
      <c r="E98" s="170" t="s">
        <v>1280</v>
      </c>
      <c r="F98" s="170" t="s">
        <v>925</v>
      </c>
      <c r="G98" s="283" t="s">
        <v>923</v>
      </c>
      <c r="H98" s="170" t="s">
        <v>926</v>
      </c>
      <c r="I98" s="170" t="s">
        <v>924</v>
      </c>
      <c r="J98" s="252" t="s">
        <v>927</v>
      </c>
      <c r="K98" s="170" t="s">
        <v>924</v>
      </c>
    </row>
    <row r="99" spans="1:11" x14ac:dyDescent="0.2">
      <c r="A99" s="53"/>
      <c r="B99" s="169" t="str">
        <f t="shared" si="2"/>
        <v>--&gt; fixed sections are wider than slider</v>
      </c>
      <c r="C99" s="281" t="s">
        <v>76</v>
      </c>
      <c r="D99" s="170" t="s">
        <v>76</v>
      </c>
      <c r="E99" s="170" t="s">
        <v>93</v>
      </c>
      <c r="F99" s="170" t="s">
        <v>285</v>
      </c>
      <c r="G99" s="170" t="s">
        <v>76</v>
      </c>
      <c r="H99" s="170" t="s">
        <v>674</v>
      </c>
      <c r="I99" s="170" t="s">
        <v>93</v>
      </c>
      <c r="J99" s="217" t="s">
        <v>550</v>
      </c>
      <c r="K99" s="170" t="s">
        <v>93</v>
      </c>
    </row>
    <row r="100" spans="1:11" x14ac:dyDescent="0.2">
      <c r="A100" s="53"/>
      <c r="B100" s="169" t="str">
        <f t="shared" si="2"/>
        <v>special cases</v>
      </c>
      <c r="C100" s="281" t="s">
        <v>77</v>
      </c>
      <c r="D100" s="170" t="s">
        <v>77</v>
      </c>
      <c r="E100" s="170" t="s">
        <v>113</v>
      </c>
      <c r="F100" s="170" t="s">
        <v>286</v>
      </c>
      <c r="G100" s="170" t="s">
        <v>77</v>
      </c>
      <c r="H100" s="170" t="s">
        <v>675</v>
      </c>
      <c r="I100" s="170" t="s">
        <v>113</v>
      </c>
      <c r="J100" s="217" t="s">
        <v>551</v>
      </c>
      <c r="K100" s="170" t="s">
        <v>113</v>
      </c>
    </row>
    <row r="101" spans="1:11" x14ac:dyDescent="0.2">
      <c r="A101" s="53"/>
      <c r="B101" s="169" t="str">
        <f t="shared" si="2"/>
        <v>surcharge</v>
      </c>
      <c r="C101" s="281" t="s">
        <v>78</v>
      </c>
      <c r="D101" s="170" t="s">
        <v>78</v>
      </c>
      <c r="E101" s="170" t="s">
        <v>114</v>
      </c>
      <c r="F101" s="170" t="s">
        <v>287</v>
      </c>
      <c r="G101" s="170" t="s">
        <v>78</v>
      </c>
      <c r="H101" s="170" t="s">
        <v>676</v>
      </c>
      <c r="I101" s="170" t="s">
        <v>114</v>
      </c>
      <c r="J101" s="217" t="s">
        <v>552</v>
      </c>
      <c r="K101" s="170" t="s">
        <v>114</v>
      </c>
    </row>
    <row r="102" spans="1:11" ht="25.5" x14ac:dyDescent="0.2">
      <c r="A102" s="53"/>
      <c r="B102" s="169" t="str">
        <f t="shared" si="2"/>
        <v>increased burglary 
protection RC2</v>
      </c>
      <c r="C102" s="285" t="s">
        <v>828</v>
      </c>
      <c r="D102" s="285" t="s">
        <v>828</v>
      </c>
      <c r="E102" s="170" t="s">
        <v>777</v>
      </c>
      <c r="F102" s="170" t="s">
        <v>829</v>
      </c>
      <c r="G102" s="285" t="s">
        <v>830</v>
      </c>
      <c r="H102" s="170" t="s">
        <v>831</v>
      </c>
      <c r="I102" s="170" t="s">
        <v>777</v>
      </c>
      <c r="J102" s="170" t="s">
        <v>832</v>
      </c>
      <c r="K102" s="170" t="s">
        <v>777</v>
      </c>
    </row>
    <row r="103" spans="1:11" x14ac:dyDescent="0.2">
      <c r="A103" s="53"/>
      <c r="B103" s="169" t="str">
        <f t="shared" si="2"/>
        <v>without glazing</v>
      </c>
      <c r="C103" s="281" t="s">
        <v>111</v>
      </c>
      <c r="D103" s="170" t="s">
        <v>111</v>
      </c>
      <c r="E103" s="170" t="s">
        <v>110</v>
      </c>
      <c r="F103" s="170" t="s">
        <v>288</v>
      </c>
      <c r="G103" s="170" t="s">
        <v>111</v>
      </c>
      <c r="H103" s="170" t="s">
        <v>677</v>
      </c>
      <c r="I103" s="170" t="s">
        <v>110</v>
      </c>
      <c r="J103" s="217" t="s">
        <v>553</v>
      </c>
      <c r="K103" s="170" t="s">
        <v>110</v>
      </c>
    </row>
    <row r="104" spans="1:11" x14ac:dyDescent="0.2">
      <c r="A104" s="53"/>
      <c r="B104" s="169" t="str">
        <f t="shared" si="2"/>
        <v>glass weight</v>
      </c>
      <c r="C104" s="281" t="s">
        <v>115</v>
      </c>
      <c r="D104" s="170" t="s">
        <v>115</v>
      </c>
      <c r="E104" s="170" t="s">
        <v>125</v>
      </c>
      <c r="F104" s="170" t="s">
        <v>289</v>
      </c>
      <c r="G104" s="170" t="s">
        <v>115</v>
      </c>
      <c r="H104" s="170" t="s">
        <v>678</v>
      </c>
      <c r="I104" s="170" t="s">
        <v>125</v>
      </c>
      <c r="J104" s="217" t="s">
        <v>554</v>
      </c>
      <c r="K104" s="170" t="s">
        <v>125</v>
      </c>
    </row>
    <row r="105" spans="1:11" x14ac:dyDescent="0.2">
      <c r="A105" s="53"/>
      <c r="B105" s="169" t="str">
        <f t="shared" si="2"/>
        <v>frame weight</v>
      </c>
      <c r="C105" s="281" t="s">
        <v>116</v>
      </c>
      <c r="D105" s="170" t="s">
        <v>116</v>
      </c>
      <c r="E105" s="170" t="s">
        <v>126</v>
      </c>
      <c r="F105" s="170" t="s">
        <v>290</v>
      </c>
      <c r="G105" s="170" t="s">
        <v>116</v>
      </c>
      <c r="H105" s="170" t="s">
        <v>679</v>
      </c>
      <c r="I105" s="170" t="s">
        <v>126</v>
      </c>
      <c r="J105" s="217" t="s">
        <v>555</v>
      </c>
      <c r="K105" s="170" t="s">
        <v>126</v>
      </c>
    </row>
    <row r="106" spans="1:11" x14ac:dyDescent="0.2">
      <c r="A106" s="53"/>
      <c r="B106" s="169" t="str">
        <f t="shared" si="2"/>
        <v>height</v>
      </c>
      <c r="C106" s="281" t="s">
        <v>17</v>
      </c>
      <c r="D106" s="170" t="s">
        <v>17</v>
      </c>
      <c r="E106" s="170" t="s">
        <v>127</v>
      </c>
      <c r="F106" s="170" t="s">
        <v>291</v>
      </c>
      <c r="G106" s="170" t="s">
        <v>17</v>
      </c>
      <c r="H106" s="170" t="s">
        <v>680</v>
      </c>
      <c r="I106" s="170" t="s">
        <v>127</v>
      </c>
      <c r="J106" s="217" t="s">
        <v>556</v>
      </c>
      <c r="K106" s="170" t="s">
        <v>127</v>
      </c>
    </row>
    <row r="107" spans="1:11" x14ac:dyDescent="0.2">
      <c r="A107" s="53"/>
      <c r="B107" s="169" t="str">
        <f t="shared" si="2"/>
        <v>frame</v>
      </c>
      <c r="C107" s="281" t="s">
        <v>19</v>
      </c>
      <c r="D107" s="170" t="s">
        <v>19</v>
      </c>
      <c r="E107" s="170" t="s">
        <v>128</v>
      </c>
      <c r="F107" s="170" t="s">
        <v>292</v>
      </c>
      <c r="G107" s="170" t="s">
        <v>19</v>
      </c>
      <c r="H107" s="170" t="s">
        <v>681</v>
      </c>
      <c r="I107" s="170" t="s">
        <v>128</v>
      </c>
      <c r="J107" s="217" t="s">
        <v>557</v>
      </c>
      <c r="K107" s="170" t="s">
        <v>128</v>
      </c>
    </row>
    <row r="108" spans="1:11" x14ac:dyDescent="0.2">
      <c r="A108" s="53"/>
      <c r="B108" s="169" t="str">
        <f t="shared" si="2"/>
        <v>width</v>
      </c>
      <c r="C108" s="281" t="s">
        <v>18</v>
      </c>
      <c r="D108" s="170" t="s">
        <v>18</v>
      </c>
      <c r="E108" s="170" t="s">
        <v>129</v>
      </c>
      <c r="F108" s="170" t="s">
        <v>293</v>
      </c>
      <c r="G108" s="170" t="s">
        <v>18</v>
      </c>
      <c r="H108" s="170" t="s">
        <v>682</v>
      </c>
      <c r="I108" s="170" t="s">
        <v>129</v>
      </c>
      <c r="J108" s="217" t="s">
        <v>558</v>
      </c>
      <c r="K108" s="170" t="s">
        <v>129</v>
      </c>
    </row>
    <row r="109" spans="1:11" x14ac:dyDescent="0.2">
      <c r="A109" s="53"/>
      <c r="B109" s="169" t="str">
        <f t="shared" si="2"/>
        <v>too small</v>
      </c>
      <c r="C109" s="281" t="s">
        <v>117</v>
      </c>
      <c r="D109" s="170" t="s">
        <v>117</v>
      </c>
      <c r="E109" s="170" t="s">
        <v>130</v>
      </c>
      <c r="F109" s="170" t="s">
        <v>428</v>
      </c>
      <c r="G109" s="170" t="s">
        <v>117</v>
      </c>
      <c r="H109" s="170" t="s">
        <v>683</v>
      </c>
      <c r="I109" s="170" t="s">
        <v>130</v>
      </c>
      <c r="J109" s="217" t="s">
        <v>559</v>
      </c>
      <c r="K109" s="170" t="s">
        <v>130</v>
      </c>
    </row>
    <row r="110" spans="1:11" x14ac:dyDescent="0.2">
      <c r="A110" s="53"/>
      <c r="B110" s="169" t="str">
        <f t="shared" si="2"/>
        <v>tracks?</v>
      </c>
      <c r="C110" s="283" t="s">
        <v>810</v>
      </c>
      <c r="D110" s="170" t="s">
        <v>810</v>
      </c>
      <c r="E110" s="170" t="s">
        <v>131</v>
      </c>
      <c r="F110" s="170" t="s">
        <v>816</v>
      </c>
      <c r="G110" s="170" t="s">
        <v>810</v>
      </c>
      <c r="H110" s="170" t="s">
        <v>684</v>
      </c>
      <c r="I110" s="170" t="s">
        <v>131</v>
      </c>
      <c r="J110" s="252" t="s">
        <v>817</v>
      </c>
      <c r="K110" s="170" t="s">
        <v>131</v>
      </c>
    </row>
    <row r="111" spans="1:11" x14ac:dyDescent="0.2">
      <c r="A111" s="53"/>
      <c r="B111" s="169" t="str">
        <f t="shared" si="2"/>
        <v>too high</v>
      </c>
      <c r="C111" s="281" t="s">
        <v>118</v>
      </c>
      <c r="D111" s="170" t="s">
        <v>118</v>
      </c>
      <c r="E111" s="170" t="s">
        <v>132</v>
      </c>
      <c r="F111" s="170" t="s">
        <v>294</v>
      </c>
      <c r="G111" s="170" t="s">
        <v>118</v>
      </c>
      <c r="H111" s="170" t="s">
        <v>685</v>
      </c>
      <c r="I111" s="170" t="s">
        <v>132</v>
      </c>
      <c r="J111" s="217" t="s">
        <v>560</v>
      </c>
      <c r="K111" s="170" t="s">
        <v>132</v>
      </c>
    </row>
    <row r="112" spans="1:11" x14ac:dyDescent="0.2">
      <c r="A112" s="53"/>
      <c r="B112" s="169" t="str">
        <f t="shared" si="2"/>
        <v>RC2 -glass?</v>
      </c>
      <c r="C112" s="283" t="s">
        <v>813</v>
      </c>
      <c r="D112" s="170" t="s">
        <v>812</v>
      </c>
      <c r="E112" s="170" t="s">
        <v>811</v>
      </c>
      <c r="F112" s="170" t="s">
        <v>814</v>
      </c>
      <c r="G112" s="170" t="s">
        <v>812</v>
      </c>
      <c r="H112" s="170" t="s">
        <v>815</v>
      </c>
      <c r="I112" s="170" t="s">
        <v>811</v>
      </c>
      <c r="J112" s="252" t="s">
        <v>813</v>
      </c>
      <c r="K112" s="170" t="s">
        <v>811</v>
      </c>
    </row>
    <row r="113" spans="1:11" x14ac:dyDescent="0.2">
      <c r="A113" s="53"/>
      <c r="B113" s="169" t="str">
        <f t="shared" si="2"/>
        <v>LSG?</v>
      </c>
      <c r="C113" s="283" t="s">
        <v>809</v>
      </c>
      <c r="D113" s="170" t="s">
        <v>809</v>
      </c>
      <c r="E113" s="170" t="s">
        <v>133</v>
      </c>
      <c r="F113" s="170" t="s">
        <v>295</v>
      </c>
      <c r="G113" s="170" t="s">
        <v>119</v>
      </c>
      <c r="H113" s="170" t="s">
        <v>686</v>
      </c>
      <c r="I113" s="170" t="s">
        <v>133</v>
      </c>
      <c r="J113" s="217" t="s">
        <v>561</v>
      </c>
      <c r="K113" s="170" t="s">
        <v>133</v>
      </c>
    </row>
    <row r="114" spans="1:11" x14ac:dyDescent="0.2">
      <c r="A114" s="53"/>
      <c r="B114" s="169" t="str">
        <f t="shared" si="2"/>
        <v>Ug-value</v>
      </c>
      <c r="C114" s="281" t="s">
        <v>246</v>
      </c>
      <c r="D114" s="170" t="s">
        <v>246</v>
      </c>
      <c r="E114" s="170" t="s">
        <v>1245</v>
      </c>
      <c r="F114" s="170" t="s">
        <v>429</v>
      </c>
      <c r="G114" s="170" t="s">
        <v>246</v>
      </c>
      <c r="H114" s="170" t="s">
        <v>1246</v>
      </c>
      <c r="I114" s="170" t="s">
        <v>1245</v>
      </c>
      <c r="J114" s="217" t="s">
        <v>562</v>
      </c>
      <c r="K114" s="170" t="s">
        <v>327</v>
      </c>
    </row>
    <row r="115" spans="1:11" x14ac:dyDescent="0.2">
      <c r="A115" s="53"/>
      <c r="B115" s="169" t="str">
        <f t="shared" si="2"/>
        <v>glass area?</v>
      </c>
      <c r="C115" s="281" t="s">
        <v>248</v>
      </c>
      <c r="D115" s="170" t="s">
        <v>248</v>
      </c>
      <c r="E115" s="170" t="s">
        <v>328</v>
      </c>
      <c r="F115" s="170" t="s">
        <v>296</v>
      </c>
      <c r="G115" s="170" t="s">
        <v>248</v>
      </c>
      <c r="H115" s="170" t="s">
        <v>687</v>
      </c>
      <c r="I115" s="170" t="s">
        <v>328</v>
      </c>
      <c r="J115" s="217" t="s">
        <v>563</v>
      </c>
      <c r="K115" s="170" t="s">
        <v>328</v>
      </c>
    </row>
    <row r="116" spans="1:11" x14ac:dyDescent="0.2">
      <c r="A116" s="53"/>
      <c r="B116" s="169" t="str">
        <f t="shared" si="2"/>
        <v>glass breakage control</v>
      </c>
      <c r="C116" s="281" t="s">
        <v>348</v>
      </c>
      <c r="D116" s="170" t="s">
        <v>348</v>
      </c>
      <c r="E116" s="170" t="s">
        <v>407</v>
      </c>
      <c r="F116" s="170" t="s">
        <v>397</v>
      </c>
      <c r="G116" s="170" t="s">
        <v>348</v>
      </c>
      <c r="H116" s="170" t="s">
        <v>688</v>
      </c>
      <c r="I116" s="170" t="s">
        <v>407</v>
      </c>
      <c r="J116" s="216" t="s">
        <v>564</v>
      </c>
      <c r="K116" s="170" t="s">
        <v>407</v>
      </c>
    </row>
    <row r="117" spans="1:11" x14ac:dyDescent="0.2">
      <c r="A117" s="53"/>
      <c r="B117" s="169" t="str">
        <f t="shared" si="2"/>
        <v>glass wider than 2m</v>
      </c>
      <c r="C117" s="281" t="s">
        <v>120</v>
      </c>
      <c r="D117" s="170" t="s">
        <v>120</v>
      </c>
      <c r="E117" s="170" t="s">
        <v>134</v>
      </c>
      <c r="F117" s="170" t="s">
        <v>297</v>
      </c>
      <c r="G117" s="170" t="s">
        <v>120</v>
      </c>
      <c r="H117" s="170" t="s">
        <v>689</v>
      </c>
      <c r="I117" s="170" t="s">
        <v>134</v>
      </c>
      <c r="J117" s="216" t="s">
        <v>565</v>
      </c>
      <c r="K117" s="170" t="s">
        <v>134</v>
      </c>
    </row>
    <row r="118" spans="1:11" x14ac:dyDescent="0.2">
      <c r="A118" s="53"/>
      <c r="B118" s="169" t="str">
        <f t="shared" si="2"/>
        <v>element thickness</v>
      </c>
      <c r="C118" s="281" t="s">
        <v>121</v>
      </c>
      <c r="D118" s="170" t="s">
        <v>121</v>
      </c>
      <c r="E118" s="170" t="s">
        <v>135</v>
      </c>
      <c r="F118" s="170" t="s">
        <v>298</v>
      </c>
      <c r="G118" s="170" t="s">
        <v>121</v>
      </c>
      <c r="H118" s="170" t="s">
        <v>690</v>
      </c>
      <c r="I118" s="170" t="s">
        <v>135</v>
      </c>
      <c r="J118" s="216" t="s">
        <v>566</v>
      </c>
      <c r="K118" s="170" t="s">
        <v>135</v>
      </c>
    </row>
    <row r="119" spans="1:11" x14ac:dyDescent="0.2">
      <c r="A119" s="53"/>
      <c r="B119" s="169" t="str">
        <f t="shared" si="2"/>
        <v>fixed panel</v>
      </c>
      <c r="C119" s="281" t="s">
        <v>122</v>
      </c>
      <c r="D119" s="170" t="s">
        <v>122</v>
      </c>
      <c r="E119" s="170" t="s">
        <v>329</v>
      </c>
      <c r="F119" s="170" t="s">
        <v>299</v>
      </c>
      <c r="G119" s="170" t="s">
        <v>122</v>
      </c>
      <c r="H119" s="170" t="s">
        <v>691</v>
      </c>
      <c r="I119" s="170" t="s">
        <v>329</v>
      </c>
      <c r="J119" s="216" t="s">
        <v>567</v>
      </c>
      <c r="K119" s="170" t="s">
        <v>329</v>
      </c>
    </row>
    <row r="120" spans="1:11" x14ac:dyDescent="0.2">
      <c r="A120" s="53"/>
      <c r="B120" s="169" t="str">
        <f t="shared" si="2"/>
        <v>cylinder?</v>
      </c>
      <c r="C120" s="281" t="s">
        <v>123</v>
      </c>
      <c r="D120" s="170" t="s">
        <v>123</v>
      </c>
      <c r="E120" s="170" t="s">
        <v>136</v>
      </c>
      <c r="F120" s="170" t="s">
        <v>398</v>
      </c>
      <c r="G120" s="170" t="s">
        <v>123</v>
      </c>
      <c r="H120" s="170" t="s">
        <v>692</v>
      </c>
      <c r="I120" s="170" t="s">
        <v>136</v>
      </c>
      <c r="J120" s="216" t="s">
        <v>568</v>
      </c>
      <c r="K120" s="170" t="s">
        <v>136</v>
      </c>
    </row>
    <row r="121" spans="1:11" x14ac:dyDescent="0.2">
      <c r="A121" s="53"/>
      <c r="B121" s="169" t="str">
        <f t="shared" si="2"/>
        <v>insect screen?</v>
      </c>
      <c r="C121" s="281" t="s">
        <v>124</v>
      </c>
      <c r="D121" s="170" t="s">
        <v>124</v>
      </c>
      <c r="E121" s="170" t="s">
        <v>797</v>
      </c>
      <c r="F121" s="170" t="s">
        <v>300</v>
      </c>
      <c r="G121" s="170" t="s">
        <v>124</v>
      </c>
      <c r="H121" s="170" t="s">
        <v>693</v>
      </c>
      <c r="I121" s="170" t="s">
        <v>797</v>
      </c>
      <c r="J121" s="216" t="s">
        <v>569</v>
      </c>
      <c r="K121" s="170" t="s">
        <v>797</v>
      </c>
    </row>
    <row r="122" spans="1:11" x14ac:dyDescent="0.2">
      <c r="A122" s="53"/>
      <c r="B122" s="169" t="str">
        <f t="shared" si="2"/>
        <v>Reinforced vertical profiles</v>
      </c>
      <c r="C122" s="281" t="s">
        <v>137</v>
      </c>
      <c r="D122" s="170" t="s">
        <v>137</v>
      </c>
      <c r="E122" s="170" t="s">
        <v>143</v>
      </c>
      <c r="F122" s="170" t="s">
        <v>301</v>
      </c>
      <c r="G122" s="170" t="s">
        <v>137</v>
      </c>
      <c r="H122" s="170" t="s">
        <v>694</v>
      </c>
      <c r="I122" s="170" t="s">
        <v>143</v>
      </c>
      <c r="J122" s="216" t="s">
        <v>570</v>
      </c>
      <c r="K122" s="170" t="s">
        <v>143</v>
      </c>
    </row>
    <row r="123" spans="1:11" x14ac:dyDescent="0.2">
      <c r="A123" s="53"/>
      <c r="B123" s="169" t="str">
        <f t="shared" si="2"/>
        <v>profiles with carbon fibre inlays</v>
      </c>
      <c r="C123" s="281" t="s">
        <v>140</v>
      </c>
      <c r="D123" s="170" t="s">
        <v>140</v>
      </c>
      <c r="E123" s="170" t="s">
        <v>798</v>
      </c>
      <c r="F123" s="170" t="s">
        <v>441</v>
      </c>
      <c r="G123" s="170" t="s">
        <v>140</v>
      </c>
      <c r="H123" s="170" t="s">
        <v>695</v>
      </c>
      <c r="I123" s="170" t="s">
        <v>798</v>
      </c>
      <c r="J123" s="216" t="s">
        <v>571</v>
      </c>
      <c r="K123" s="170" t="s">
        <v>798</v>
      </c>
    </row>
    <row r="124" spans="1:11" x14ac:dyDescent="0.2">
      <c r="A124" s="53"/>
      <c r="B124" s="169" t="str">
        <f t="shared" si="2"/>
        <v>profiles with steel inlays</v>
      </c>
      <c r="C124" s="281" t="s">
        <v>141</v>
      </c>
      <c r="D124" s="170" t="s">
        <v>141</v>
      </c>
      <c r="E124" s="170" t="s">
        <v>799</v>
      </c>
      <c r="F124" s="170" t="s">
        <v>442</v>
      </c>
      <c r="G124" s="170" t="s">
        <v>141</v>
      </c>
      <c r="H124" s="170" t="s">
        <v>696</v>
      </c>
      <c r="I124" s="170" t="s">
        <v>799</v>
      </c>
      <c r="J124" s="216" t="s">
        <v>572</v>
      </c>
      <c r="K124" s="170" t="s">
        <v>799</v>
      </c>
    </row>
    <row r="125" spans="1:11" x14ac:dyDescent="0.2">
      <c r="A125" s="53"/>
      <c r="B125" s="169" t="str">
        <f t="shared" si="2"/>
        <v>frame ?</v>
      </c>
      <c r="C125" s="281" t="s">
        <v>145</v>
      </c>
      <c r="D125" s="170" t="s">
        <v>145</v>
      </c>
      <c r="E125" s="170" t="s">
        <v>146</v>
      </c>
      <c r="F125" s="170" t="s">
        <v>399</v>
      </c>
      <c r="G125" s="170" t="s">
        <v>145</v>
      </c>
      <c r="H125" s="170" t="s">
        <v>697</v>
      </c>
      <c r="I125" s="170" t="s">
        <v>146</v>
      </c>
      <c r="J125" s="216" t="s">
        <v>573</v>
      </c>
      <c r="K125" s="170" t="s">
        <v>146</v>
      </c>
    </row>
    <row r="126" spans="1:11" x14ac:dyDescent="0.2">
      <c r="A126" s="53"/>
      <c r="B126" s="169" t="str">
        <f t="shared" si="2"/>
        <v>Calculation w/o guarantee</v>
      </c>
      <c r="C126" s="281" t="s">
        <v>147</v>
      </c>
      <c r="D126" s="170" t="s">
        <v>147</v>
      </c>
      <c r="E126" s="170" t="s">
        <v>408</v>
      </c>
      <c r="F126" s="170" t="s">
        <v>302</v>
      </c>
      <c r="G126" s="170" t="s">
        <v>147</v>
      </c>
      <c r="H126" s="170" t="s">
        <v>698</v>
      </c>
      <c r="I126" s="170" t="s">
        <v>408</v>
      </c>
      <c r="J126" s="216" t="s">
        <v>574</v>
      </c>
      <c r="K126" s="170" t="s">
        <v>408</v>
      </c>
    </row>
    <row r="127" spans="1:11" x14ac:dyDescent="0.2">
      <c r="A127" s="53"/>
      <c r="B127" s="169" t="str">
        <f t="shared" si="2"/>
        <v>90° corner</v>
      </c>
      <c r="C127" s="281" t="s">
        <v>224</v>
      </c>
      <c r="D127" s="170" t="s">
        <v>224</v>
      </c>
      <c r="E127" s="170" t="s">
        <v>330</v>
      </c>
      <c r="F127" s="170" t="s">
        <v>236</v>
      </c>
      <c r="G127" s="170" t="s">
        <v>224</v>
      </c>
      <c r="H127" s="170" t="s">
        <v>699</v>
      </c>
      <c r="I127" s="170" t="s">
        <v>330</v>
      </c>
      <c r="J127" s="216" t="s">
        <v>575</v>
      </c>
      <c r="K127" s="170" t="s">
        <v>330</v>
      </c>
    </row>
    <row r="128" spans="1:11" x14ac:dyDescent="0.2">
      <c r="A128" s="53"/>
      <c r="B128" s="169" t="str">
        <f t="shared" si="2"/>
        <v>opening type</v>
      </c>
      <c r="C128" s="281" t="s">
        <v>163</v>
      </c>
      <c r="D128" s="170" t="s">
        <v>163</v>
      </c>
      <c r="E128" s="170" t="s">
        <v>331</v>
      </c>
      <c r="F128" s="170" t="s">
        <v>237</v>
      </c>
      <c r="G128" s="170" t="s">
        <v>163</v>
      </c>
      <c r="H128" s="170" t="s">
        <v>700</v>
      </c>
      <c r="I128" s="170" t="s">
        <v>331</v>
      </c>
      <c r="J128" s="216" t="s">
        <v>576</v>
      </c>
      <c r="K128" s="170" t="s">
        <v>331</v>
      </c>
    </row>
    <row r="129" spans="1:11" x14ac:dyDescent="0.2">
      <c r="A129" s="53"/>
      <c r="B129" s="169" t="str">
        <f t="shared" si="2"/>
        <v>Lt / g-value</v>
      </c>
      <c r="C129" s="283" t="s">
        <v>800</v>
      </c>
      <c r="D129" s="170" t="s">
        <v>800</v>
      </c>
      <c r="E129" s="170" t="s">
        <v>801</v>
      </c>
      <c r="F129" s="170" t="s">
        <v>893</v>
      </c>
      <c r="G129" s="170" t="s">
        <v>800</v>
      </c>
      <c r="H129" s="170" t="s">
        <v>894</v>
      </c>
      <c r="I129" s="170" t="s">
        <v>801</v>
      </c>
      <c r="J129" s="170" t="s">
        <v>802</v>
      </c>
      <c r="K129" s="170" t="s">
        <v>801</v>
      </c>
    </row>
    <row r="130" spans="1:11" x14ac:dyDescent="0.2">
      <c r="A130" s="53"/>
      <c r="B130" s="169" t="str">
        <f t="shared" si="2"/>
        <v>E6 EV1 (20my)</v>
      </c>
      <c r="C130" s="170" t="s">
        <v>803</v>
      </c>
      <c r="D130" s="170" t="s">
        <v>803</v>
      </c>
      <c r="E130" s="170" t="s">
        <v>803</v>
      </c>
      <c r="F130" s="170" t="s">
        <v>803</v>
      </c>
      <c r="G130" s="170" t="s">
        <v>803</v>
      </c>
      <c r="H130" s="170" t="s">
        <v>803</v>
      </c>
      <c r="I130" s="170" t="s">
        <v>803</v>
      </c>
      <c r="J130" s="170" t="s">
        <v>803</v>
      </c>
      <c r="K130" s="170" t="s">
        <v>803</v>
      </c>
    </row>
    <row r="131" spans="1:11" x14ac:dyDescent="0.2">
      <c r="A131" s="53"/>
      <c r="B131" s="169" t="str">
        <f t="shared" si="2"/>
        <v>E6 EV1 (25my)</v>
      </c>
      <c r="C131" s="170" t="s">
        <v>804</v>
      </c>
      <c r="D131" s="170" t="s">
        <v>804</v>
      </c>
      <c r="E131" s="170" t="s">
        <v>804</v>
      </c>
      <c r="F131" s="170" t="s">
        <v>804</v>
      </c>
      <c r="G131" s="170" t="s">
        <v>804</v>
      </c>
      <c r="H131" s="170" t="s">
        <v>804</v>
      </c>
      <c r="I131" s="170" t="s">
        <v>804</v>
      </c>
      <c r="J131" s="170" t="s">
        <v>804</v>
      </c>
      <c r="K131" s="170" t="s">
        <v>804</v>
      </c>
    </row>
    <row r="132" spans="1:11" x14ac:dyDescent="0.2">
      <c r="A132" s="53"/>
      <c r="B132" s="169" t="str">
        <f t="shared" si="2"/>
        <v>powder RAL / NCS</v>
      </c>
      <c r="C132" s="283" t="s">
        <v>842</v>
      </c>
      <c r="D132" s="170" t="s">
        <v>842</v>
      </c>
      <c r="E132" s="170" t="s">
        <v>841</v>
      </c>
      <c r="F132" s="170" t="s">
        <v>843</v>
      </c>
      <c r="G132" s="170" t="s">
        <v>840</v>
      </c>
      <c r="H132" s="170" t="s">
        <v>844</v>
      </c>
      <c r="I132" s="170" t="s">
        <v>845</v>
      </c>
      <c r="J132" s="170" t="s">
        <v>846</v>
      </c>
      <c r="K132" s="170" t="s">
        <v>841</v>
      </c>
    </row>
    <row r="133" spans="1:11" x14ac:dyDescent="0.2">
      <c r="A133" s="53"/>
      <c r="B133" s="169" t="str">
        <f t="shared" si="2"/>
        <v>RAL / NCS powdercoated and predanodized</v>
      </c>
      <c r="C133" s="283" t="s">
        <v>847</v>
      </c>
      <c r="D133" s="170" t="s">
        <v>847</v>
      </c>
      <c r="E133" s="170" t="s">
        <v>848</v>
      </c>
      <c r="F133" s="170" t="s">
        <v>849</v>
      </c>
      <c r="G133" s="170" t="s">
        <v>847</v>
      </c>
      <c r="H133" s="170" t="s">
        <v>850</v>
      </c>
      <c r="I133" s="170" t="s">
        <v>848</v>
      </c>
      <c r="J133" s="170" t="s">
        <v>851</v>
      </c>
      <c r="K133" s="170" t="s">
        <v>848</v>
      </c>
    </row>
    <row r="134" spans="1:11" x14ac:dyDescent="0.2">
      <c r="A134" s="53"/>
      <c r="B134" s="169" t="str">
        <f t="shared" si="2"/>
        <v>Colinal E6 20/25my</v>
      </c>
      <c r="C134" s="281" t="s">
        <v>371</v>
      </c>
      <c r="D134" s="170" t="s">
        <v>371</v>
      </c>
      <c r="E134" s="170" t="s">
        <v>371</v>
      </c>
      <c r="F134" s="170" t="s">
        <v>371</v>
      </c>
      <c r="G134" s="170" t="s">
        <v>371</v>
      </c>
      <c r="H134" s="170" t="s">
        <v>371</v>
      </c>
      <c r="I134" s="170" t="s">
        <v>371</v>
      </c>
      <c r="J134" s="216" t="s">
        <v>577</v>
      </c>
      <c r="K134" s="170" t="s">
        <v>371</v>
      </c>
    </row>
    <row r="135" spans="1:11" x14ac:dyDescent="0.2">
      <c r="A135" s="53"/>
      <c r="B135" s="169" t="str">
        <f t="shared" si="2"/>
        <v>price class 5</v>
      </c>
      <c r="C135" s="281" t="s">
        <v>174</v>
      </c>
      <c r="D135" s="170" t="s">
        <v>174</v>
      </c>
      <c r="E135" s="170" t="s">
        <v>332</v>
      </c>
      <c r="F135" s="170" t="s">
        <v>238</v>
      </c>
      <c r="G135" s="170" t="s">
        <v>174</v>
      </c>
      <c r="H135" s="170" t="s">
        <v>701</v>
      </c>
      <c r="I135" s="170" t="s">
        <v>332</v>
      </c>
      <c r="J135" s="216" t="s">
        <v>578</v>
      </c>
      <c r="K135" s="170" t="s">
        <v>332</v>
      </c>
    </row>
    <row r="136" spans="1:11" x14ac:dyDescent="0.2">
      <c r="A136" s="53"/>
      <c r="B136" s="169" t="str">
        <f t="shared" si="2"/>
        <v>price class 6</v>
      </c>
      <c r="C136" s="281" t="s">
        <v>175</v>
      </c>
      <c r="D136" s="170" t="s">
        <v>175</v>
      </c>
      <c r="E136" s="170" t="s">
        <v>333</v>
      </c>
      <c r="F136" s="170" t="s">
        <v>239</v>
      </c>
      <c r="G136" s="170" t="s">
        <v>175</v>
      </c>
      <c r="H136" s="170" t="s">
        <v>702</v>
      </c>
      <c r="I136" s="170" t="s">
        <v>333</v>
      </c>
      <c r="J136" s="216" t="s">
        <v>579</v>
      </c>
      <c r="K136" s="170" t="s">
        <v>333</v>
      </c>
    </row>
    <row r="137" spans="1:11" x14ac:dyDescent="0.2">
      <c r="A137" s="53"/>
      <c r="B137" s="169" t="str">
        <f t="shared" si="2"/>
        <v>pocket door</v>
      </c>
      <c r="C137" s="281" t="s">
        <v>194</v>
      </c>
      <c r="D137" s="170" t="s">
        <v>194</v>
      </c>
      <c r="E137" s="170" t="s">
        <v>334</v>
      </c>
      <c r="F137" s="170" t="s">
        <v>443</v>
      </c>
      <c r="G137" s="170" t="s">
        <v>194</v>
      </c>
      <c r="H137" s="170" t="s">
        <v>703</v>
      </c>
      <c r="I137" s="170" t="s">
        <v>334</v>
      </c>
      <c r="J137" s="216" t="s">
        <v>580</v>
      </c>
      <c r="K137" s="170" t="s">
        <v>334</v>
      </c>
    </row>
    <row r="138" spans="1:11" x14ac:dyDescent="0.2">
      <c r="A138" s="53"/>
      <c r="B138" s="169" t="str">
        <f t="shared" si="2"/>
        <v>90° corner with adjoining element</v>
      </c>
      <c r="C138" s="281" t="s">
        <v>255</v>
      </c>
      <c r="D138" s="170" t="s">
        <v>255</v>
      </c>
      <c r="E138" s="170" t="s">
        <v>335</v>
      </c>
      <c r="F138" s="170" t="s">
        <v>400</v>
      </c>
      <c r="G138" s="170" t="s">
        <v>255</v>
      </c>
      <c r="H138" s="170" t="s">
        <v>704</v>
      </c>
      <c r="I138" s="170" t="s">
        <v>335</v>
      </c>
      <c r="J138" s="216" t="s">
        <v>581</v>
      </c>
      <c r="K138" s="170" t="s">
        <v>335</v>
      </c>
    </row>
    <row r="139" spans="1:11" x14ac:dyDescent="0.2">
      <c r="A139" s="53"/>
      <c r="B139" s="169" t="str">
        <f t="shared" si="2"/>
        <v>Item no. Client</v>
      </c>
      <c r="C139" s="281" t="s">
        <v>195</v>
      </c>
      <c r="D139" s="170" t="s">
        <v>195</v>
      </c>
      <c r="E139" s="170" t="s">
        <v>336</v>
      </c>
      <c r="F139" s="170" t="s">
        <v>430</v>
      </c>
      <c r="G139" s="170" t="s">
        <v>195</v>
      </c>
      <c r="H139" s="170" t="s">
        <v>705</v>
      </c>
      <c r="I139" s="170" t="s">
        <v>336</v>
      </c>
      <c r="J139" s="216" t="s">
        <v>582</v>
      </c>
      <c r="K139" s="170" t="s">
        <v>336</v>
      </c>
    </row>
    <row r="140" spans="1:11" x14ac:dyDescent="0.2">
      <c r="A140" s="53"/>
      <c r="B140" s="169" t="str">
        <f t="shared" ref="B140:B202" si="3">HLOOKUP($B$1,$C$2:$P$227,ROW()-1,FALSE)</f>
        <v xml:space="preserve"> = o/a frame size   L = clear size </v>
      </c>
      <c r="C140" s="283" t="s">
        <v>881</v>
      </c>
      <c r="D140" s="170" t="s">
        <v>879</v>
      </c>
      <c r="E140" s="170" t="s">
        <v>883</v>
      </c>
      <c r="F140" s="170" t="s">
        <v>885</v>
      </c>
      <c r="G140" s="170" t="s">
        <v>879</v>
      </c>
      <c r="H140" s="170" t="s">
        <v>887</v>
      </c>
      <c r="I140" s="170" t="s">
        <v>883</v>
      </c>
      <c r="J140" s="170" t="s">
        <v>890</v>
      </c>
      <c r="K140" s="170" t="s">
        <v>883</v>
      </c>
    </row>
    <row r="141" spans="1:11" x14ac:dyDescent="0.2">
      <c r="A141" s="53"/>
      <c r="B141" s="169" t="str">
        <f t="shared" si="3"/>
        <v xml:space="preserve"> = clear size   A = o/a frame size</v>
      </c>
      <c r="C141" s="283" t="s">
        <v>882</v>
      </c>
      <c r="D141" s="170" t="s">
        <v>880</v>
      </c>
      <c r="E141" s="170" t="s">
        <v>884</v>
      </c>
      <c r="F141" s="170" t="s">
        <v>886</v>
      </c>
      <c r="G141" s="170" t="s">
        <v>889</v>
      </c>
      <c r="H141" s="170" t="s">
        <v>888</v>
      </c>
      <c r="I141" s="170" t="s">
        <v>884</v>
      </c>
      <c r="J141" s="170" t="s">
        <v>891</v>
      </c>
      <c r="K141" s="170" t="s">
        <v>884</v>
      </c>
    </row>
    <row r="142" spans="1:11" x14ac:dyDescent="0.2">
      <c r="A142" s="53"/>
      <c r="B142" s="169" t="str">
        <f t="shared" si="3"/>
        <v>Additional items</v>
      </c>
      <c r="C142" s="281" t="s">
        <v>209</v>
      </c>
      <c r="D142" s="170" t="s">
        <v>209</v>
      </c>
      <c r="E142" s="170" t="s">
        <v>337</v>
      </c>
      <c r="F142" s="170" t="s">
        <v>240</v>
      </c>
      <c r="G142" s="170" t="s">
        <v>209</v>
      </c>
      <c r="H142" s="170" t="s">
        <v>706</v>
      </c>
      <c r="I142" s="170" t="s">
        <v>337</v>
      </c>
      <c r="J142" s="216" t="s">
        <v>583</v>
      </c>
      <c r="K142" s="170" t="s">
        <v>337</v>
      </c>
    </row>
    <row r="143" spans="1:11" x14ac:dyDescent="0.2">
      <c r="A143" s="53"/>
      <c r="B143" s="169" t="str">
        <f t="shared" si="3"/>
        <v>elements</v>
      </c>
      <c r="C143" s="281" t="s">
        <v>208</v>
      </c>
      <c r="D143" s="170" t="s">
        <v>208</v>
      </c>
      <c r="E143" s="170" t="s">
        <v>338</v>
      </c>
      <c r="F143" s="170" t="s">
        <v>401</v>
      </c>
      <c r="G143" s="170" t="s">
        <v>208</v>
      </c>
      <c r="H143" s="170" t="s">
        <v>707</v>
      </c>
      <c r="I143" s="170" t="s">
        <v>338</v>
      </c>
      <c r="J143" s="216" t="s">
        <v>477</v>
      </c>
      <c r="K143" s="170" t="s">
        <v>338</v>
      </c>
    </row>
    <row r="144" spans="1:11" x14ac:dyDescent="0.2">
      <c r="A144" s="53"/>
      <c r="B144" s="169" t="str">
        <f t="shared" si="3"/>
        <v>total</v>
      </c>
      <c r="C144" s="281" t="s">
        <v>16</v>
      </c>
      <c r="D144" s="170" t="s">
        <v>16</v>
      </c>
      <c r="E144" s="170" t="s">
        <v>97</v>
      </c>
      <c r="F144" s="170" t="s">
        <v>16</v>
      </c>
      <c r="G144" s="170" t="s">
        <v>16</v>
      </c>
      <c r="H144" s="170" t="s">
        <v>626</v>
      </c>
      <c r="I144" s="170" t="s">
        <v>97</v>
      </c>
      <c r="J144" s="216" t="s">
        <v>584</v>
      </c>
      <c r="K144" s="170" t="s">
        <v>97</v>
      </c>
    </row>
    <row r="145" spans="1:11" x14ac:dyDescent="0.2">
      <c r="A145" s="53"/>
      <c r="B145" s="169" t="str">
        <f t="shared" si="3"/>
        <v>left</v>
      </c>
      <c r="C145" s="281" t="s">
        <v>225</v>
      </c>
      <c r="D145" s="170" t="s">
        <v>225</v>
      </c>
      <c r="E145" s="170" t="s">
        <v>339</v>
      </c>
      <c r="F145" s="170" t="s">
        <v>303</v>
      </c>
      <c r="G145" s="170" t="s">
        <v>225</v>
      </c>
      <c r="H145" s="170" t="s">
        <v>708</v>
      </c>
      <c r="I145" s="170" t="s">
        <v>339</v>
      </c>
      <c r="J145" s="216" t="s">
        <v>585</v>
      </c>
      <c r="K145" s="170" t="s">
        <v>339</v>
      </c>
    </row>
    <row r="146" spans="1:11" x14ac:dyDescent="0.2">
      <c r="A146" s="53"/>
      <c r="B146" s="169" t="str">
        <f t="shared" si="3"/>
        <v>right</v>
      </c>
      <c r="C146" s="281" t="s">
        <v>226</v>
      </c>
      <c r="D146" s="170" t="s">
        <v>226</v>
      </c>
      <c r="E146" s="170" t="s">
        <v>340</v>
      </c>
      <c r="F146" s="170" t="s">
        <v>304</v>
      </c>
      <c r="G146" s="170" t="s">
        <v>226</v>
      </c>
      <c r="H146" s="170" t="s">
        <v>709</v>
      </c>
      <c r="I146" s="170" t="s">
        <v>340</v>
      </c>
      <c r="J146" s="216" t="s">
        <v>586</v>
      </c>
      <c r="K146" s="170" t="s">
        <v>340</v>
      </c>
    </row>
    <row r="147" spans="1:11" x14ac:dyDescent="0.2">
      <c r="A147" s="53"/>
      <c r="B147" s="169" t="str">
        <f t="shared" si="3"/>
        <v>w/o pocket</v>
      </c>
      <c r="C147" s="281" t="s">
        <v>228</v>
      </c>
      <c r="D147" s="170" t="s">
        <v>228</v>
      </c>
      <c r="E147" s="170" t="s">
        <v>341</v>
      </c>
      <c r="F147" s="170" t="s">
        <v>444</v>
      </c>
      <c r="G147" s="170" t="s">
        <v>228</v>
      </c>
      <c r="H147" s="170" t="s">
        <v>710</v>
      </c>
      <c r="I147" s="170" t="s">
        <v>341</v>
      </c>
      <c r="J147" s="216" t="s">
        <v>587</v>
      </c>
      <c r="K147" s="170" t="s">
        <v>341</v>
      </c>
    </row>
    <row r="148" spans="1:11" x14ac:dyDescent="0.2">
      <c r="A148" s="53"/>
      <c r="B148" s="169" t="str">
        <f t="shared" si="3"/>
        <v>increased burglary protection RC2 (frames only)</v>
      </c>
      <c r="C148" s="283" t="s">
        <v>929</v>
      </c>
      <c r="D148" s="170" t="s">
        <v>929</v>
      </c>
      <c r="E148" s="170" t="s">
        <v>775</v>
      </c>
      <c r="F148" s="170" t="s">
        <v>934</v>
      </c>
      <c r="G148" s="170" t="s">
        <v>929</v>
      </c>
      <c r="H148" s="170" t="s">
        <v>931</v>
      </c>
      <c r="I148" s="170" t="s">
        <v>775</v>
      </c>
      <c r="J148" s="170" t="s">
        <v>833</v>
      </c>
      <c r="K148" s="170" t="s">
        <v>775</v>
      </c>
    </row>
    <row r="149" spans="1:11" x14ac:dyDescent="0.2">
      <c r="A149" s="53"/>
      <c r="B149" s="169" t="str">
        <f t="shared" si="3"/>
        <v>increased burglary protection according to RC2</v>
      </c>
      <c r="C149" s="283" t="s">
        <v>930</v>
      </c>
      <c r="D149" s="170" t="s">
        <v>930</v>
      </c>
      <c r="E149" s="170" t="s">
        <v>776</v>
      </c>
      <c r="F149" s="170" t="s">
        <v>933</v>
      </c>
      <c r="G149" s="170" t="s">
        <v>930</v>
      </c>
      <c r="H149" s="170" t="s">
        <v>932</v>
      </c>
      <c r="I149" s="170" t="s">
        <v>776</v>
      </c>
      <c r="J149" s="170" t="s">
        <v>834</v>
      </c>
      <c r="K149" s="170" t="s">
        <v>776</v>
      </c>
    </row>
    <row r="150" spans="1:11" x14ac:dyDescent="0.2">
      <c r="A150" s="53"/>
      <c r="B150" s="169" t="str">
        <f t="shared" si="3"/>
        <v>Sliders with position survey</v>
      </c>
      <c r="C150" s="283" t="s">
        <v>935</v>
      </c>
      <c r="D150" s="170" t="s">
        <v>935</v>
      </c>
      <c r="E150" s="170" t="s">
        <v>353</v>
      </c>
      <c r="F150" s="170" t="s">
        <v>445</v>
      </c>
      <c r="G150" s="170" t="s">
        <v>935</v>
      </c>
      <c r="H150" s="170" t="s">
        <v>711</v>
      </c>
      <c r="I150" s="170" t="s">
        <v>353</v>
      </c>
      <c r="J150" s="216" t="s">
        <v>588</v>
      </c>
      <c r="K150" s="170" t="s">
        <v>353</v>
      </c>
    </row>
    <row r="151" spans="1:11" x14ac:dyDescent="0.2">
      <c r="A151" s="53"/>
      <c r="B151" s="169" t="str">
        <f t="shared" si="3"/>
        <v>Lock survey</v>
      </c>
      <c r="C151" s="281" t="s">
        <v>351</v>
      </c>
      <c r="D151" s="170" t="s">
        <v>457</v>
      </c>
      <c r="E151" s="170" t="s">
        <v>354</v>
      </c>
      <c r="F151" s="170" t="s">
        <v>446</v>
      </c>
      <c r="G151" s="170" t="s">
        <v>347</v>
      </c>
      <c r="H151" s="170" t="s">
        <v>712</v>
      </c>
      <c r="I151" s="170" t="s">
        <v>354</v>
      </c>
      <c r="J151" s="216" t="s">
        <v>589</v>
      </c>
      <c r="K151" s="170" t="s">
        <v>354</v>
      </c>
    </row>
    <row r="152" spans="1:11" x14ac:dyDescent="0.2">
      <c r="A152" s="53"/>
      <c r="B152" s="169" t="str">
        <f t="shared" si="3"/>
        <v>Glass breakage control</v>
      </c>
      <c r="C152" s="281" t="s">
        <v>346</v>
      </c>
      <c r="D152" s="170" t="s">
        <v>346</v>
      </c>
      <c r="E152" s="170" t="s">
        <v>355</v>
      </c>
      <c r="F152" s="170" t="s">
        <v>431</v>
      </c>
      <c r="G152" s="170" t="s">
        <v>346</v>
      </c>
      <c r="H152" s="170" t="s">
        <v>713</v>
      </c>
      <c r="I152" s="170" t="s">
        <v>355</v>
      </c>
      <c r="J152" s="216" t="s">
        <v>590</v>
      </c>
      <c r="K152" s="170" t="s">
        <v>355</v>
      </c>
    </row>
    <row r="153" spans="1:11" x14ac:dyDescent="0.2">
      <c r="A153" s="53"/>
      <c r="B153" s="169" t="str">
        <f t="shared" si="3"/>
        <v>Total Sky-Frame elements</v>
      </c>
      <c r="C153" s="281" t="s">
        <v>349</v>
      </c>
      <c r="D153" s="170" t="s">
        <v>349</v>
      </c>
      <c r="E153" s="170" t="s">
        <v>356</v>
      </c>
      <c r="F153" s="170" t="s">
        <v>805</v>
      </c>
      <c r="G153" s="170" t="s">
        <v>349</v>
      </c>
      <c r="H153" s="170" t="s">
        <v>714</v>
      </c>
      <c r="I153" s="170" t="s">
        <v>356</v>
      </c>
      <c r="J153" s="216" t="s">
        <v>591</v>
      </c>
      <c r="K153" s="170" t="s">
        <v>356</v>
      </c>
    </row>
    <row r="154" spans="1:11" x14ac:dyDescent="0.2">
      <c r="A154" s="53"/>
      <c r="B154" s="169" t="str">
        <f t="shared" si="3"/>
        <v>Total Sky-Frame options</v>
      </c>
      <c r="C154" s="281" t="s">
        <v>203</v>
      </c>
      <c r="D154" s="170" t="s">
        <v>203</v>
      </c>
      <c r="E154" s="170" t="s">
        <v>357</v>
      </c>
      <c r="F154" s="170" t="s">
        <v>806</v>
      </c>
      <c r="G154" s="170" t="s">
        <v>203</v>
      </c>
      <c r="H154" s="170" t="s">
        <v>715</v>
      </c>
      <c r="I154" s="170" t="s">
        <v>357</v>
      </c>
      <c r="J154" s="216" t="s">
        <v>592</v>
      </c>
      <c r="K154" s="170" t="s">
        <v>357</v>
      </c>
    </row>
    <row r="155" spans="1:11" x14ac:dyDescent="0.2">
      <c r="A155" s="53"/>
      <c r="B155" s="169" t="str">
        <f t="shared" si="3"/>
        <v>Summary Sky-Frame options</v>
      </c>
      <c r="C155" s="281" t="s">
        <v>350</v>
      </c>
      <c r="D155" s="170" t="s">
        <v>350</v>
      </c>
      <c r="E155" s="170" t="s">
        <v>358</v>
      </c>
      <c r="F155" s="170" t="s">
        <v>807</v>
      </c>
      <c r="G155" s="170" t="s">
        <v>350</v>
      </c>
      <c r="H155" s="170" t="s">
        <v>716</v>
      </c>
      <c r="I155" s="170" t="s">
        <v>358</v>
      </c>
      <c r="J155" s="216" t="s">
        <v>593</v>
      </c>
      <c r="K155" s="170" t="s">
        <v>358</v>
      </c>
    </row>
    <row r="156" spans="1:11" x14ac:dyDescent="0.2">
      <c r="A156" s="53"/>
      <c r="B156" s="169" t="str">
        <f t="shared" si="3"/>
        <v>substructure and equipment</v>
      </c>
      <c r="C156" s="281" t="s">
        <v>204</v>
      </c>
      <c r="D156" s="170" t="s">
        <v>204</v>
      </c>
      <c r="E156" s="170" t="s">
        <v>359</v>
      </c>
      <c r="F156" s="170" t="s">
        <v>808</v>
      </c>
      <c r="G156" s="170" t="s">
        <v>204</v>
      </c>
      <c r="H156" s="170" t="s">
        <v>717</v>
      </c>
      <c r="I156" s="170" t="s">
        <v>359</v>
      </c>
      <c r="J156" s="216" t="s">
        <v>594</v>
      </c>
      <c r="K156" s="170" t="s">
        <v>359</v>
      </c>
    </row>
    <row r="157" spans="1:11" x14ac:dyDescent="0.2">
      <c r="A157" s="53"/>
      <c r="B157" s="169" t="str">
        <f t="shared" si="3"/>
        <v>1 = with description of system</v>
      </c>
      <c r="C157" s="283" t="s">
        <v>835</v>
      </c>
      <c r="D157" s="170" t="s">
        <v>835</v>
      </c>
      <c r="E157" s="170" t="s">
        <v>836</v>
      </c>
      <c r="F157" s="170" t="s">
        <v>837</v>
      </c>
      <c r="G157" s="170" t="s">
        <v>835</v>
      </c>
      <c r="H157" s="170" t="s">
        <v>838</v>
      </c>
      <c r="I157" s="170" t="s">
        <v>836</v>
      </c>
      <c r="J157" s="170" t="s">
        <v>839</v>
      </c>
      <c r="K157" s="170" t="s">
        <v>836</v>
      </c>
    </row>
    <row r="158" spans="1:11" x14ac:dyDescent="0.2">
      <c r="A158" s="53"/>
      <c r="B158" s="169" t="str">
        <f t="shared" si="3"/>
        <v>Option  11-15 ?</v>
      </c>
      <c r="C158" s="281" t="s">
        <v>365</v>
      </c>
      <c r="D158" s="170" t="s">
        <v>365</v>
      </c>
      <c r="E158" s="170" t="s">
        <v>364</v>
      </c>
      <c r="F158" s="170" t="s">
        <v>365</v>
      </c>
      <c r="G158" s="170" t="s">
        <v>365</v>
      </c>
      <c r="H158" s="170" t="s">
        <v>718</v>
      </c>
      <c r="I158" s="170" t="s">
        <v>364</v>
      </c>
      <c r="J158" s="216" t="s">
        <v>595</v>
      </c>
      <c r="K158" s="170" t="s">
        <v>364</v>
      </c>
    </row>
    <row r="159" spans="1:11" x14ac:dyDescent="0.2">
      <c r="A159" s="53"/>
      <c r="B159" s="169" t="str">
        <f t="shared" si="3"/>
        <v>alternative currency factor</v>
      </c>
      <c r="C159" s="281" t="s">
        <v>366</v>
      </c>
      <c r="D159" s="170" t="s">
        <v>366</v>
      </c>
      <c r="E159" s="212" t="s">
        <v>474</v>
      </c>
      <c r="F159" s="170" t="s">
        <v>402</v>
      </c>
      <c r="G159" s="170" t="s">
        <v>366</v>
      </c>
      <c r="H159" s="213" t="s">
        <v>719</v>
      </c>
      <c r="I159" s="214" t="s">
        <v>474</v>
      </c>
      <c r="J159" s="216" t="s">
        <v>596</v>
      </c>
      <c r="K159" s="212" t="s">
        <v>474</v>
      </c>
    </row>
    <row r="160" spans="1:11" x14ac:dyDescent="0.2">
      <c r="A160" s="53"/>
      <c r="B160" s="169" t="str">
        <f t="shared" si="3"/>
        <v>alternative currency factor</v>
      </c>
      <c r="C160" s="281" t="s">
        <v>367</v>
      </c>
      <c r="D160" s="170" t="s">
        <v>367</v>
      </c>
      <c r="E160" s="212" t="s">
        <v>474</v>
      </c>
      <c r="F160" s="170" t="s">
        <v>403</v>
      </c>
      <c r="G160" s="170" t="s">
        <v>367</v>
      </c>
      <c r="H160" s="213" t="s">
        <v>720</v>
      </c>
      <c r="I160" s="214" t="s">
        <v>474</v>
      </c>
      <c r="J160" s="216" t="s">
        <v>597</v>
      </c>
      <c r="K160" s="212" t="s">
        <v>474</v>
      </c>
    </row>
    <row r="161" spans="1:11" x14ac:dyDescent="0.2">
      <c r="A161" s="53"/>
      <c r="B161" s="169" t="str">
        <f t="shared" si="3"/>
        <v>fixed corner glazing</v>
      </c>
      <c r="C161" s="281" t="s">
        <v>412</v>
      </c>
      <c r="D161" s="170" t="s">
        <v>412</v>
      </c>
      <c r="E161" s="170" t="s">
        <v>472</v>
      </c>
      <c r="F161" s="170" t="s">
        <v>432</v>
      </c>
      <c r="G161" s="170" t="s">
        <v>412</v>
      </c>
      <c r="H161" s="170" t="s">
        <v>721</v>
      </c>
      <c r="I161" s="170" t="s">
        <v>472</v>
      </c>
      <c r="J161" s="216" t="s">
        <v>598</v>
      </c>
      <c r="K161" s="170" t="s">
        <v>472</v>
      </c>
    </row>
    <row r="162" spans="1:11" x14ac:dyDescent="0.2">
      <c r="A162" s="53"/>
      <c r="B162" s="169" t="str">
        <f t="shared" si="3"/>
        <v>rounded</v>
      </c>
      <c r="C162" s="281" t="s">
        <v>415</v>
      </c>
      <c r="D162" s="170" t="s">
        <v>415</v>
      </c>
      <c r="E162" s="170" t="s">
        <v>473</v>
      </c>
      <c r="F162" s="170" t="s">
        <v>447</v>
      </c>
      <c r="G162" s="170" t="s">
        <v>415</v>
      </c>
      <c r="H162" s="170" t="s">
        <v>722</v>
      </c>
      <c r="I162" s="170" t="s">
        <v>473</v>
      </c>
      <c r="J162" s="216" t="s">
        <v>599</v>
      </c>
      <c r="K162" s="170" t="s">
        <v>473</v>
      </c>
    </row>
    <row r="163" spans="1:11" x14ac:dyDescent="0.2">
      <c r="A163" s="53"/>
      <c r="B163" s="169" t="str">
        <f t="shared" si="3"/>
        <v xml:space="preserve">Calculation shema, exemple </v>
      </c>
      <c r="C163" s="281" t="s">
        <v>961</v>
      </c>
      <c r="D163" s="170" t="s">
        <v>961</v>
      </c>
      <c r="E163" s="170" t="s">
        <v>962</v>
      </c>
      <c r="F163" s="170" t="s">
        <v>963</v>
      </c>
      <c r="G163" s="170" t="s">
        <v>961</v>
      </c>
      <c r="H163" s="170" t="s">
        <v>964</v>
      </c>
      <c r="I163" s="170" t="s">
        <v>961</v>
      </c>
      <c r="J163" s="214" t="s">
        <v>965</v>
      </c>
      <c r="K163" s="170" t="s">
        <v>962</v>
      </c>
    </row>
    <row r="164" spans="1:11" x14ac:dyDescent="0.2">
      <c r="A164" s="53"/>
      <c r="B164" s="169" t="str">
        <f t="shared" si="3"/>
        <v>Permalux</v>
      </c>
      <c r="C164" s="281" t="s">
        <v>852</v>
      </c>
      <c r="D164" s="281" t="s">
        <v>852</v>
      </c>
      <c r="E164" s="281" t="s">
        <v>852</v>
      </c>
      <c r="F164" s="281" t="s">
        <v>852</v>
      </c>
      <c r="G164" s="281" t="s">
        <v>852</v>
      </c>
      <c r="H164" s="281" t="s">
        <v>852</v>
      </c>
      <c r="I164" s="281" t="s">
        <v>852</v>
      </c>
      <c r="J164" s="281" t="s">
        <v>852</v>
      </c>
      <c r="K164" s="281" t="s">
        <v>852</v>
      </c>
    </row>
    <row r="165" spans="1:11" x14ac:dyDescent="0.2">
      <c r="A165" s="53"/>
      <c r="B165" s="169" t="str">
        <f t="shared" si="3"/>
        <v>Wood texture</v>
      </c>
      <c r="C165" s="281" t="s">
        <v>853</v>
      </c>
      <c r="D165" s="281" t="s">
        <v>853</v>
      </c>
      <c r="E165" s="283" t="s">
        <v>859</v>
      </c>
      <c r="F165" s="283" t="s">
        <v>863</v>
      </c>
      <c r="G165" s="281" t="s">
        <v>853</v>
      </c>
      <c r="H165" s="283" t="s">
        <v>867</v>
      </c>
      <c r="I165" s="283" t="s">
        <v>859</v>
      </c>
      <c r="J165" s="283" t="s">
        <v>874</v>
      </c>
      <c r="K165" s="283" t="s">
        <v>859</v>
      </c>
    </row>
    <row r="166" spans="1:11" x14ac:dyDescent="0.2">
      <c r="A166" s="53"/>
      <c r="B166" s="169" t="str">
        <f t="shared" si="3"/>
        <v>Price class 8</v>
      </c>
      <c r="C166" s="281" t="s">
        <v>854</v>
      </c>
      <c r="D166" s="281" t="s">
        <v>854</v>
      </c>
      <c r="E166" s="283" t="s">
        <v>860</v>
      </c>
      <c r="F166" s="283" t="s">
        <v>864</v>
      </c>
      <c r="G166" s="281" t="s">
        <v>854</v>
      </c>
      <c r="H166" s="283" t="s">
        <v>869</v>
      </c>
      <c r="I166" s="283" t="s">
        <v>860</v>
      </c>
      <c r="J166" s="283" t="s">
        <v>871</v>
      </c>
      <c r="K166" s="283" t="s">
        <v>860</v>
      </c>
    </row>
    <row r="167" spans="1:11" x14ac:dyDescent="0.2">
      <c r="A167" s="53"/>
      <c r="B167" s="169" t="str">
        <f t="shared" si="3"/>
        <v>Price class 9</v>
      </c>
      <c r="C167" s="281" t="s">
        <v>855</v>
      </c>
      <c r="D167" s="281" t="s">
        <v>855</v>
      </c>
      <c r="E167" s="283" t="s">
        <v>861</v>
      </c>
      <c r="F167" s="283" t="s">
        <v>865</v>
      </c>
      <c r="G167" s="281" t="s">
        <v>855</v>
      </c>
      <c r="H167" s="283" t="s">
        <v>870</v>
      </c>
      <c r="I167" s="283" t="s">
        <v>861</v>
      </c>
      <c r="J167" s="283" t="s">
        <v>872</v>
      </c>
      <c r="K167" s="283" t="s">
        <v>861</v>
      </c>
    </row>
    <row r="168" spans="1:11" x14ac:dyDescent="0.2">
      <c r="A168" s="53"/>
      <c r="B168" s="169" t="str">
        <f t="shared" si="3"/>
        <v>Price class 10</v>
      </c>
      <c r="C168" s="281" t="s">
        <v>856</v>
      </c>
      <c r="D168" s="281" t="s">
        <v>856</v>
      </c>
      <c r="E168" s="283" t="s">
        <v>862</v>
      </c>
      <c r="F168" s="283" t="s">
        <v>866</v>
      </c>
      <c r="G168" s="281" t="s">
        <v>856</v>
      </c>
      <c r="H168" s="283" t="s">
        <v>868</v>
      </c>
      <c r="I168" s="283" t="s">
        <v>862</v>
      </c>
      <c r="J168" s="283" t="s">
        <v>873</v>
      </c>
      <c r="K168" s="283" t="s">
        <v>862</v>
      </c>
    </row>
    <row r="169" spans="1:11" x14ac:dyDescent="0.2">
      <c r="A169" s="53"/>
      <c r="B169" s="169" t="str">
        <f t="shared" si="3"/>
        <v>Breitenerzwingung nicht möglich</v>
      </c>
      <c r="C169" s="283" t="s">
        <v>939</v>
      </c>
      <c r="D169" s="283" t="s">
        <v>939</v>
      </c>
      <c r="E169" s="283" t="s">
        <v>939</v>
      </c>
      <c r="F169" s="283" t="s">
        <v>939</v>
      </c>
      <c r="G169" s="283" t="s">
        <v>939</v>
      </c>
      <c r="H169" s="283" t="s">
        <v>939</v>
      </c>
      <c r="I169" s="283" t="s">
        <v>939</v>
      </c>
      <c r="J169" s="283" t="s">
        <v>939</v>
      </c>
      <c r="K169" s="283" t="s">
        <v>939</v>
      </c>
    </row>
    <row r="170" spans="1:11" ht="15" x14ac:dyDescent="0.2">
      <c r="A170" s="53"/>
      <c r="B170" s="169" t="str">
        <f t="shared" si="3"/>
        <v>side opening</v>
      </c>
      <c r="C170" s="283" t="s">
        <v>13</v>
      </c>
      <c r="D170" s="383" t="s">
        <v>13</v>
      </c>
      <c r="E170" s="384" t="s">
        <v>94</v>
      </c>
      <c r="F170" t="s">
        <v>1038</v>
      </c>
      <c r="G170" s="281">
        <f>IF(ELEMENT!$AH$4=3,'S3'!G162,'S2'!G162)</f>
        <v>0</v>
      </c>
      <c r="H170" s="281">
        <f>IF(ELEMENT!$AH$4=3,'S3'!H162,'S2'!H162)</f>
        <v>0</v>
      </c>
      <c r="I170" s="281">
        <f>IF(ELEMENT!$AH$4=3,'S3'!I162,'S2'!I162)</f>
        <v>0</v>
      </c>
      <c r="J170" s="281">
        <f>IF(ELEMENT!$AH$4=3,'S3'!J162,'S2'!J162)</f>
        <v>0</v>
      </c>
      <c r="K170" s="384" t="s">
        <v>94</v>
      </c>
    </row>
    <row r="171" spans="1:11" ht="15" x14ac:dyDescent="0.2">
      <c r="A171" s="53"/>
      <c r="B171" s="169" t="str">
        <f t="shared" si="3"/>
        <v>side fixed</v>
      </c>
      <c r="C171" s="283" t="s">
        <v>1017</v>
      </c>
      <c r="D171" s="383" t="s">
        <v>1017</v>
      </c>
      <c r="E171" s="384" t="s">
        <v>1039</v>
      </c>
      <c r="F171" t="s">
        <v>1040</v>
      </c>
      <c r="G171" s="281">
        <f>IF(ELEMENT!$AH$4=3,'S3'!G163,'S2'!G163)</f>
        <v>0</v>
      </c>
      <c r="H171" s="281">
        <f>IF(ELEMENT!$AH$4=3,'S3'!H163,'S2'!H163)</f>
        <v>0</v>
      </c>
      <c r="I171" s="281">
        <f>IF(ELEMENT!$AH$4=3,'S3'!I163,'S2'!I163)</f>
        <v>0</v>
      </c>
      <c r="J171" s="281">
        <f>IF(ELEMENT!$AH$4=3,'S3'!J163,'S2'!J163)</f>
        <v>0</v>
      </c>
      <c r="K171" s="384" t="s">
        <v>1039</v>
      </c>
    </row>
    <row r="172" spans="1:11" ht="15" x14ac:dyDescent="0.2">
      <c r="A172" s="53"/>
      <c r="B172" s="169" t="str">
        <f t="shared" si="3"/>
        <v>centre opening (offset / same level)</v>
      </c>
      <c r="C172" s="283" t="s">
        <v>1026</v>
      </c>
      <c r="D172" s="383" t="s">
        <v>1026</v>
      </c>
      <c r="E172" s="384" t="s">
        <v>1041</v>
      </c>
      <c r="F172" t="s">
        <v>1042</v>
      </c>
      <c r="G172" s="281">
        <f>IF(ELEMENT!$AH$4=3,'S3'!G164,'S2'!G164)</f>
        <v>0</v>
      </c>
      <c r="H172" s="281">
        <f>IF(ELEMENT!$AH$4=3,'S3'!H164,'S2'!H164)</f>
        <v>0</v>
      </c>
      <c r="I172" s="281">
        <f>IF(ELEMENT!$AH$4=3,'S3'!I164,'S2'!I164)</f>
        <v>0</v>
      </c>
      <c r="J172" s="281">
        <f>IF(ELEMENT!$AH$4=3,'S3'!J164,'S2'!J164)</f>
        <v>0</v>
      </c>
      <c r="K172" s="384" t="s">
        <v>1041</v>
      </c>
    </row>
    <row r="173" spans="1:11" ht="15" x14ac:dyDescent="0.2">
      <c r="A173" s="53"/>
      <c r="B173" s="169" t="str">
        <f t="shared" si="3"/>
        <v>labyrinth</v>
      </c>
      <c r="C173" s="283" t="s">
        <v>61</v>
      </c>
      <c r="D173" s="383" t="s">
        <v>61</v>
      </c>
      <c r="E173" s="384" t="s">
        <v>96</v>
      </c>
      <c r="F173" t="s">
        <v>96</v>
      </c>
      <c r="G173" s="281">
        <f>IF(ELEMENT!$AH$4=3,'S3'!G165,'S2'!G165)</f>
        <v>0</v>
      </c>
      <c r="H173" s="281">
        <f>IF(ELEMENT!$AH$4=3,'S3'!H165,'S2'!H165)</f>
        <v>0</v>
      </c>
      <c r="I173" s="281">
        <f>IF(ELEMENT!$AH$4=3,'S3'!I165,'S2'!I165)</f>
        <v>0</v>
      </c>
      <c r="J173" s="281">
        <f>IF(ELEMENT!$AH$4=3,'S3'!J165,'S2'!J165)</f>
        <v>0</v>
      </c>
      <c r="K173" s="384" t="s">
        <v>96</v>
      </c>
    </row>
    <row r="174" spans="1:11" ht="15" x14ac:dyDescent="0.2">
      <c r="A174" s="53"/>
      <c r="B174" s="169" t="str">
        <f t="shared" si="3"/>
        <v>corners</v>
      </c>
      <c r="C174" s="283" t="s">
        <v>1016</v>
      </c>
      <c r="D174" s="383" t="s">
        <v>1016</v>
      </c>
      <c r="E174" s="384" t="s">
        <v>1043</v>
      </c>
      <c r="F174" t="s">
        <v>1044</v>
      </c>
      <c r="G174" s="281">
        <f>IF(ELEMENT!$AH$4=3,'S3'!G166,'S2'!G166)</f>
        <v>0</v>
      </c>
      <c r="H174" s="281">
        <f>IF(ELEMENT!$AH$4=3,'S3'!H166,'S2'!H166)</f>
        <v>0</v>
      </c>
      <c r="I174" s="281">
        <f>IF(ELEMENT!$AH$4=3,'S3'!I166,'S2'!I166)</f>
        <v>0</v>
      </c>
      <c r="J174" s="281">
        <f>IF(ELEMENT!$AH$4=3,'S3'!J166,'S2'!J166)</f>
        <v>0</v>
      </c>
      <c r="K174" s="384" t="s">
        <v>1043</v>
      </c>
    </row>
    <row r="175" spans="1:11" ht="15" x14ac:dyDescent="0.2">
      <c r="A175" s="53"/>
      <c r="B175" s="169" t="str">
        <f t="shared" si="3"/>
        <v>Uf, per type: [W/m2K]</v>
      </c>
      <c r="C175" s="283" t="s">
        <v>1020</v>
      </c>
      <c r="D175" s="383" t="s">
        <v>1020</v>
      </c>
      <c r="E175" s="384" t="s">
        <v>1045</v>
      </c>
      <c r="F175" t="s">
        <v>1046</v>
      </c>
      <c r="G175" s="281">
        <f>IF(ELEMENT!$AH$4=3,'S3'!G167,'S2'!G167)</f>
        <v>0</v>
      </c>
      <c r="H175" s="281">
        <f>IF(ELEMENT!$AH$4=3,'S3'!H167,'S2'!H167)</f>
        <v>0</v>
      </c>
      <c r="I175" s="281">
        <f>IF(ELEMENT!$AH$4=3,'S3'!I167,'S2'!I167)</f>
        <v>0</v>
      </c>
      <c r="J175" s="281">
        <f>IF(ELEMENT!$AH$4=3,'S3'!J167,'S2'!J167)</f>
        <v>0</v>
      </c>
      <c r="K175" s="384" t="s">
        <v>1045</v>
      </c>
    </row>
    <row r="176" spans="1:11" ht="15" x14ac:dyDescent="0.2">
      <c r="A176" s="53"/>
      <c r="B176" s="169" t="str">
        <f t="shared" si="3"/>
        <v>Uw calculation - proof of insulation:</v>
      </c>
      <c r="C176" s="283" t="s">
        <v>1023</v>
      </c>
      <c r="D176" s="383" t="s">
        <v>1023</v>
      </c>
      <c r="E176" s="384" t="s">
        <v>1047</v>
      </c>
      <c r="F176" t="s">
        <v>1048</v>
      </c>
      <c r="G176" s="281">
        <f>IF(ELEMENT!$AH$4=3,'S3'!G168,'S2'!G168)</f>
        <v>0</v>
      </c>
      <c r="H176" s="281">
        <f>IF(ELEMENT!$AH$4=3,'S3'!H168,'S2'!H168)</f>
        <v>0</v>
      </c>
      <c r="I176" s="281">
        <f>IF(ELEMENT!$AH$4=3,'S3'!I168,'S2'!I168)</f>
        <v>0</v>
      </c>
      <c r="J176" s="281">
        <f>IF(ELEMENT!$AH$4=3,'S3'!J168,'S2'!J168)</f>
        <v>0</v>
      </c>
      <c r="K176" s="384" t="s">
        <v>1047</v>
      </c>
    </row>
    <row r="177" spans="1:11" ht="15" x14ac:dyDescent="0.2">
      <c r="A177" s="53"/>
      <c r="B177" s="169" t="str">
        <f t="shared" si="3"/>
        <v>width (view):</v>
      </c>
      <c r="C177" s="283" t="s">
        <v>1019</v>
      </c>
      <c r="D177" s="383" t="s">
        <v>1019</v>
      </c>
      <c r="E177" s="384" t="s">
        <v>1049</v>
      </c>
      <c r="F177" t="s">
        <v>1050</v>
      </c>
      <c r="G177" s="281">
        <f>IF(ELEMENT!$AH$4=3,'S3'!G169,'S2'!G169)</f>
        <v>0</v>
      </c>
      <c r="H177" s="281">
        <f>IF(ELEMENT!$AH$4=3,'S3'!H169,'S2'!H169)</f>
        <v>0</v>
      </c>
      <c r="I177" s="281">
        <f>IF(ELEMENT!$AH$4=3,'S3'!I169,'S2'!I169)</f>
        <v>0</v>
      </c>
      <c r="J177" s="281">
        <f>IF(ELEMENT!$AH$4=3,'S3'!J169,'S2'!J169)</f>
        <v>0</v>
      </c>
      <c r="K177" s="384" t="s">
        <v>1049</v>
      </c>
    </row>
    <row r="178" spans="1:11" ht="15" x14ac:dyDescent="0.2">
      <c r="A178" s="53"/>
      <c r="B178" s="169" t="str">
        <f t="shared" si="3"/>
        <v>corners Af = always 0 (only PSI)</v>
      </c>
      <c r="C178" s="283" t="s">
        <v>1015</v>
      </c>
      <c r="D178" s="383" t="s">
        <v>1015</v>
      </c>
      <c r="E178" s="384" t="s">
        <v>1051</v>
      </c>
      <c r="F178" t="s">
        <v>1052</v>
      </c>
      <c r="G178" s="281">
        <f>IF(ELEMENT!$AH$4=3,'S3'!G170,'S2'!G170)</f>
        <v>0</v>
      </c>
      <c r="H178" s="281">
        <f>IF(ELEMENT!$AH$4=3,'S3'!H170,'S2'!H170)</f>
        <v>0</v>
      </c>
      <c r="I178" s="281">
        <f>IF(ELEMENT!$AH$4=3,'S3'!I170,'S2'!I170)</f>
        <v>0</v>
      </c>
      <c r="J178" s="281">
        <f>IF(ELEMENT!$AH$4=3,'S3'!J170,'S2'!J170)</f>
        <v>0</v>
      </c>
      <c r="K178" s="384" t="s">
        <v>1051</v>
      </c>
    </row>
    <row r="179" spans="1:11" ht="15" x14ac:dyDescent="0.2">
      <c r="A179" s="53"/>
      <c r="B179" s="169" t="str">
        <f t="shared" si="3"/>
        <v>Total sum Uf, vertical</v>
      </c>
      <c r="C179" s="283" t="s">
        <v>1014</v>
      </c>
      <c r="D179" s="383" t="s">
        <v>1014</v>
      </c>
      <c r="E179" s="384" t="s">
        <v>1053</v>
      </c>
      <c r="F179" t="s">
        <v>1054</v>
      </c>
      <c r="G179" s="281">
        <f>IF(ELEMENT!$AH$4=3,'S3'!G171,'S2'!G171)</f>
        <v>0</v>
      </c>
      <c r="H179" s="281">
        <f>IF(ELEMENT!$AH$4=3,'S3'!H171,'S2'!H171)</f>
        <v>0</v>
      </c>
      <c r="I179" s="281">
        <f>IF(ELEMENT!$AH$4=3,'S3'!I171,'S2'!I171)</f>
        <v>0</v>
      </c>
      <c r="J179" s="281">
        <f>IF(ELEMENT!$AH$4=3,'S3'!J171,'S2'!J171)</f>
        <v>0</v>
      </c>
      <c r="K179" s="384" t="s">
        <v>1053</v>
      </c>
    </row>
    <row r="180" spans="1:11" ht="15" x14ac:dyDescent="0.2">
      <c r="A180" s="53"/>
      <c r="B180" s="169" t="str">
        <f t="shared" si="3"/>
        <v xml:space="preserve">soffit </v>
      </c>
      <c r="C180" s="283" t="s">
        <v>986</v>
      </c>
      <c r="D180" s="383" t="s">
        <v>986</v>
      </c>
      <c r="E180" s="384" t="s">
        <v>1055</v>
      </c>
      <c r="F180" t="s">
        <v>1056</v>
      </c>
      <c r="G180" s="281">
        <f>IF(ELEMENT!$AH$4=3,'S3'!G172,'S2'!G172)</f>
        <v>0</v>
      </c>
      <c r="H180" s="281">
        <f>IF(ELEMENT!$AH$4=3,'S3'!H172,'S2'!H172)</f>
        <v>0</v>
      </c>
      <c r="I180" s="281">
        <f>IF(ELEMENT!$AH$4=3,'S3'!I172,'S2'!I172)</f>
        <v>0</v>
      </c>
      <c r="J180" s="281">
        <f>IF(ELEMENT!$AH$4=3,'S3'!J172,'S2'!J172)</f>
        <v>0</v>
      </c>
      <c r="K180" s="384" t="s">
        <v>1055</v>
      </c>
    </row>
    <row r="181" spans="1:11" ht="15" x14ac:dyDescent="0.2">
      <c r="A181" s="53"/>
      <c r="B181" s="169" t="str">
        <f t="shared" si="3"/>
        <v xml:space="preserve">base </v>
      </c>
      <c r="C181" s="283" t="s">
        <v>985</v>
      </c>
      <c r="D181" s="383" t="s">
        <v>985</v>
      </c>
      <c r="E181" s="384" t="s">
        <v>1057</v>
      </c>
      <c r="F181" t="s">
        <v>1058</v>
      </c>
      <c r="G181" s="281">
        <f>IF(ELEMENT!$AH$4=3,'S3'!G173,'S2'!G173)</f>
        <v>0</v>
      </c>
      <c r="H181" s="281">
        <f>IF(ELEMENT!$AH$4=3,'S3'!H173,'S2'!H173)</f>
        <v>0</v>
      </c>
      <c r="I181" s="281">
        <f>IF(ELEMENT!$AH$4=3,'S3'!I173,'S2'!I173)</f>
        <v>0</v>
      </c>
      <c r="J181" s="281">
        <f>IF(ELEMENT!$AH$4=3,'S3'!J173,'S2'!J173)</f>
        <v>0</v>
      </c>
      <c r="K181" s="384" t="s">
        <v>1057</v>
      </c>
    </row>
    <row r="182" spans="1:11" ht="15" x14ac:dyDescent="0.2">
      <c r="A182" s="53"/>
      <c r="B182" s="169" t="str">
        <f t="shared" si="3"/>
        <v>horizontally</v>
      </c>
      <c r="C182" s="283" t="s">
        <v>1027</v>
      </c>
      <c r="D182" s="383" t="s">
        <v>1027</v>
      </c>
      <c r="E182" s="384" t="s">
        <v>1059</v>
      </c>
      <c r="F182" t="s">
        <v>1060</v>
      </c>
      <c r="G182" s="281">
        <f>IF(ELEMENT!$AH$4=3,'S3'!G174,'S2'!G174)</f>
        <v>0</v>
      </c>
      <c r="H182" s="281">
        <f>IF(ELEMENT!$AH$4=3,'S3'!H174,'S2'!H174)</f>
        <v>0</v>
      </c>
      <c r="I182" s="281">
        <f>IF(ELEMENT!$AH$4=3,'S3'!I174,'S2'!I174)</f>
        <v>0</v>
      </c>
      <c r="J182" s="281">
        <f>IF(ELEMENT!$AH$4=3,'S3'!J174,'S2'!J174)</f>
        <v>0</v>
      </c>
      <c r="K182" s="384" t="s">
        <v>1059</v>
      </c>
    </row>
    <row r="183" spans="1:11" ht="15" x14ac:dyDescent="0.2">
      <c r="A183" s="53"/>
      <c r="B183" s="169" t="str">
        <f t="shared" si="3"/>
        <v>Total sum Uf, horizontal</v>
      </c>
      <c r="C183" s="283" t="s">
        <v>1013</v>
      </c>
      <c r="D183" s="383" t="s">
        <v>1013</v>
      </c>
      <c r="E183" s="384" t="s">
        <v>1061</v>
      </c>
      <c r="F183" t="s">
        <v>1062</v>
      </c>
      <c r="G183" s="281">
        <f>IF(ELEMENT!$AH$4=3,'S3'!G175,'S2'!G175)</f>
        <v>0</v>
      </c>
      <c r="H183" s="281">
        <f>IF(ELEMENT!$AH$4=3,'S3'!H175,'S2'!H175)</f>
        <v>0</v>
      </c>
      <c r="I183" s="281">
        <f>IF(ELEMENT!$AH$4=3,'S3'!I175,'S2'!I175)</f>
        <v>0</v>
      </c>
      <c r="J183" s="281">
        <f>IF(ELEMENT!$AH$4=3,'S3'!J175,'S2'!J175)</f>
        <v>0</v>
      </c>
      <c r="K183" s="384" t="s">
        <v>1061</v>
      </c>
    </row>
    <row r="184" spans="1:11" ht="15" x14ac:dyDescent="0.2">
      <c r="A184" s="53"/>
      <c r="B184" s="169" t="str">
        <f t="shared" si="3"/>
        <v>vertical</v>
      </c>
      <c r="C184" s="283" t="s">
        <v>1028</v>
      </c>
      <c r="D184" s="383" t="s">
        <v>1028</v>
      </c>
      <c r="E184" s="384" t="s">
        <v>1063</v>
      </c>
      <c r="F184" t="s">
        <v>1063</v>
      </c>
      <c r="G184" s="281">
        <f>IF(ELEMENT!$AH$4=3,'S3'!G176,'S2'!G176)</f>
        <v>0</v>
      </c>
      <c r="H184" s="281">
        <f>IF(ELEMENT!$AH$4=3,'S3'!H176,'S2'!H176)</f>
        <v>0</v>
      </c>
      <c r="I184" s="281">
        <f>IF(ELEMENT!$AH$4=3,'S3'!I176,'S2'!I176)</f>
        <v>0</v>
      </c>
      <c r="J184" s="281">
        <f>IF(ELEMENT!$AH$4=3,'S3'!J176,'S2'!J176)</f>
        <v>0</v>
      </c>
      <c r="K184" s="384" t="s">
        <v>1063</v>
      </c>
    </row>
    <row r="185" spans="1:11" ht="15" x14ac:dyDescent="0.2">
      <c r="A185" s="53"/>
      <c r="B185" s="169" t="str">
        <f t="shared" si="3"/>
        <v>area</v>
      </c>
      <c r="C185" s="283" t="s">
        <v>1030</v>
      </c>
      <c r="D185" s="383" t="s">
        <v>1030</v>
      </c>
      <c r="E185" s="384" t="s">
        <v>1064</v>
      </c>
      <c r="F185" t="s">
        <v>1065</v>
      </c>
      <c r="G185" s="281">
        <f>IF(ELEMENT!$AH$4=3,'S3'!G177,'S2'!G177)</f>
        <v>0</v>
      </c>
      <c r="H185" s="281">
        <f>IF(ELEMENT!$AH$4=3,'S3'!H177,'S2'!H177)</f>
        <v>0</v>
      </c>
      <c r="I185" s="281">
        <f>IF(ELEMENT!$AH$4=3,'S3'!I177,'S2'!I177)</f>
        <v>0</v>
      </c>
      <c r="J185" s="281">
        <f>IF(ELEMENT!$AH$4=3,'S3'!J177,'S2'!J177)</f>
        <v>0</v>
      </c>
      <c r="K185" s="384" t="s">
        <v>1064</v>
      </c>
    </row>
    <row r="186" spans="1:11" ht="15" x14ac:dyDescent="0.2">
      <c r="A186" s="53"/>
      <c r="B186" s="169" t="str">
        <f t="shared" si="3"/>
        <v>frame</v>
      </c>
      <c r="C186" s="283" t="s">
        <v>19</v>
      </c>
      <c r="D186" s="383" t="s">
        <v>19</v>
      </c>
      <c r="E186" s="384" t="s">
        <v>128</v>
      </c>
      <c r="F186" t="s">
        <v>292</v>
      </c>
      <c r="G186" s="281">
        <f>IF(ELEMENT!$AH$4=3,'S3'!G178,'S2'!G178)</f>
        <v>0</v>
      </c>
      <c r="H186" s="281">
        <f>IF(ELEMENT!$AH$4=3,'S3'!H178,'S2'!H178)</f>
        <v>0</v>
      </c>
      <c r="I186" s="281">
        <f>IF(ELEMENT!$AH$4=3,'S3'!I178,'S2'!I178)</f>
        <v>0</v>
      </c>
      <c r="J186" s="281">
        <f>IF(ELEMENT!$AH$4=3,'S3'!J178,'S2'!J178)</f>
        <v>0</v>
      </c>
      <c r="K186" s="384" t="s">
        <v>128</v>
      </c>
    </row>
    <row r="187" spans="1:11" ht="15" x14ac:dyDescent="0.2">
      <c r="A187"/>
      <c r="B187" s="169" t="str">
        <f t="shared" si="3"/>
        <v>element</v>
      </c>
      <c r="C187" s="283" t="s">
        <v>1029</v>
      </c>
      <c r="D187" s="383" t="s">
        <v>1029</v>
      </c>
      <c r="E187" s="384" t="s">
        <v>1066</v>
      </c>
      <c r="F187" t="s">
        <v>1066</v>
      </c>
      <c r="G187" s="286"/>
      <c r="H187" s="286"/>
      <c r="I187" s="286"/>
      <c r="J187" s="286"/>
      <c r="K187" s="384" t="s">
        <v>1066</v>
      </c>
    </row>
    <row r="188" spans="1:11" ht="15" x14ac:dyDescent="0.2">
      <c r="A188"/>
      <c r="B188" s="169" t="str">
        <f t="shared" si="3"/>
        <v>heat flow</v>
      </c>
      <c r="C188" s="283" t="s">
        <v>1031</v>
      </c>
      <c r="D188" s="383" t="s">
        <v>1031</v>
      </c>
      <c r="E188" s="384" t="s">
        <v>1067</v>
      </c>
      <c r="F188" t="s">
        <v>1068</v>
      </c>
      <c r="G188" s="286"/>
      <c r="H188" s="286"/>
      <c r="I188" s="286"/>
      <c r="J188" s="286"/>
      <c r="K188" s="384" t="s">
        <v>1067</v>
      </c>
    </row>
    <row r="189" spans="1:11" ht="15" x14ac:dyDescent="0.2">
      <c r="A189"/>
      <c r="B189" s="169" t="str">
        <f t="shared" si="3"/>
        <v>mullions + corners</v>
      </c>
      <c r="C189" s="283" t="s">
        <v>1032</v>
      </c>
      <c r="D189" s="383" t="s">
        <v>1069</v>
      </c>
      <c r="E189" s="384" t="s">
        <v>1070</v>
      </c>
      <c r="F189" t="s">
        <v>1071</v>
      </c>
      <c r="G189" s="286"/>
      <c r="H189" s="286"/>
      <c r="I189" s="286"/>
      <c r="J189" s="286"/>
      <c r="K189" s="384" t="s">
        <v>1070</v>
      </c>
    </row>
    <row r="190" spans="1:11" ht="15" x14ac:dyDescent="0.2">
      <c r="A190"/>
      <c r="B190" s="169" t="str">
        <f t="shared" si="3"/>
        <v>edge seal</v>
      </c>
      <c r="C190" s="374" t="s">
        <v>1033</v>
      </c>
      <c r="D190" s="385" t="s">
        <v>1033</v>
      </c>
      <c r="E190" s="384" t="s">
        <v>1072</v>
      </c>
      <c r="F190" t="s">
        <v>1073</v>
      </c>
      <c r="G190" s="286"/>
      <c r="H190" s="286"/>
      <c r="I190" s="286"/>
      <c r="J190" s="286"/>
      <c r="K190" s="384" t="s">
        <v>1072</v>
      </c>
    </row>
    <row r="191" spans="1:11" ht="15" x14ac:dyDescent="0.2">
      <c r="A191"/>
      <c r="B191" s="169" t="str">
        <f t="shared" si="3"/>
        <v>side profile</v>
      </c>
      <c r="C191" s="283" t="s">
        <v>1034</v>
      </c>
      <c r="D191" s="383" t="s">
        <v>1034</v>
      </c>
      <c r="E191" s="384" t="s">
        <v>1074</v>
      </c>
      <c r="F191" t="s">
        <v>1075</v>
      </c>
      <c r="G191" s="286"/>
      <c r="H191" s="286"/>
      <c r="I191" s="286"/>
      <c r="J191" s="286"/>
      <c r="K191" s="384" t="s">
        <v>1074</v>
      </c>
    </row>
    <row r="192" spans="1:11" ht="15" x14ac:dyDescent="0.2">
      <c r="A192"/>
      <c r="B192" s="169" t="str">
        <f t="shared" si="3"/>
        <v>result</v>
      </c>
      <c r="C192" s="283" t="s">
        <v>229</v>
      </c>
      <c r="D192" s="383" t="s">
        <v>229</v>
      </c>
      <c r="E192" s="386" t="s">
        <v>1076</v>
      </c>
      <c r="F192" t="s">
        <v>1077</v>
      </c>
      <c r="G192" s="286"/>
      <c r="H192" s="286"/>
      <c r="I192" s="286"/>
      <c r="J192" s="286"/>
      <c r="K192" s="386" t="s">
        <v>1076</v>
      </c>
    </row>
    <row r="193" spans="1:11" x14ac:dyDescent="0.2">
      <c r="A193"/>
      <c r="B193" s="169">
        <f t="shared" si="3"/>
        <v>0</v>
      </c>
      <c r="C193" s="286"/>
      <c r="D193" s="286"/>
      <c r="E193" s="286"/>
      <c r="F193" s="286"/>
      <c r="G193" s="286"/>
      <c r="H193" s="286"/>
      <c r="I193" s="286"/>
      <c r="J193" s="286"/>
      <c r="K193" s="286"/>
    </row>
    <row r="194" spans="1:11" x14ac:dyDescent="0.2">
      <c r="A194"/>
      <c r="B194" s="169">
        <f t="shared" si="3"/>
        <v>0</v>
      </c>
      <c r="C194" s="286"/>
      <c r="D194" s="286"/>
      <c r="E194" s="286"/>
      <c r="F194" s="286"/>
      <c r="G194" s="286"/>
      <c r="H194" s="286"/>
      <c r="I194" s="286"/>
      <c r="J194" s="286"/>
      <c r="K194" s="286"/>
    </row>
    <row r="195" spans="1:11" x14ac:dyDescent="0.2">
      <c r="A195"/>
      <c r="B195" s="169">
        <f t="shared" si="3"/>
        <v>0</v>
      </c>
      <c r="C195" s="286"/>
      <c r="D195" s="286"/>
      <c r="E195" s="286"/>
      <c r="F195" s="286"/>
      <c r="G195" s="286"/>
      <c r="H195" s="286"/>
      <c r="I195" s="286"/>
      <c r="J195" s="286"/>
      <c r="K195" s="286"/>
    </row>
    <row r="196" spans="1:11" x14ac:dyDescent="0.2">
      <c r="A196"/>
      <c r="B196" s="169">
        <f t="shared" si="3"/>
        <v>0</v>
      </c>
      <c r="C196" s="286"/>
      <c r="D196" s="286"/>
      <c r="E196" s="286"/>
      <c r="F196" s="286"/>
      <c r="G196" s="286"/>
      <c r="H196" s="286"/>
      <c r="I196" s="286"/>
      <c r="J196" s="286"/>
      <c r="K196" s="286"/>
    </row>
    <row r="197" spans="1:11" x14ac:dyDescent="0.2">
      <c r="A197"/>
      <c r="B197" s="169">
        <f t="shared" si="3"/>
        <v>0</v>
      </c>
      <c r="C197" s="286"/>
      <c r="D197" s="286"/>
      <c r="E197" s="286"/>
      <c r="F197" s="286"/>
      <c r="G197" s="286"/>
      <c r="H197" s="286"/>
      <c r="I197" s="286"/>
      <c r="J197" s="286"/>
      <c r="K197" s="286"/>
    </row>
    <row r="198" spans="1:11" x14ac:dyDescent="0.2">
      <c r="A198"/>
      <c r="B198" s="169">
        <f t="shared" si="3"/>
        <v>0</v>
      </c>
      <c r="C198" s="286"/>
      <c r="D198" s="286"/>
      <c r="E198" s="286"/>
      <c r="F198" s="286"/>
      <c r="G198" s="286"/>
      <c r="H198" s="286"/>
      <c r="I198" s="286"/>
      <c r="J198" s="286"/>
      <c r="K198" s="286"/>
    </row>
    <row r="199" spans="1:11" x14ac:dyDescent="0.2">
      <c r="A199"/>
      <c r="B199" s="169">
        <f t="shared" si="3"/>
        <v>0</v>
      </c>
      <c r="C199" s="286"/>
      <c r="D199" s="286"/>
      <c r="E199" s="286"/>
      <c r="F199" s="286"/>
      <c r="G199" s="286"/>
      <c r="H199" s="286"/>
      <c r="I199" s="286"/>
      <c r="J199" s="286"/>
      <c r="K199" s="286"/>
    </row>
    <row r="200" spans="1:11" x14ac:dyDescent="0.2">
      <c r="A200"/>
      <c r="B200" s="169">
        <f t="shared" si="3"/>
        <v>0</v>
      </c>
      <c r="C200" s="286"/>
      <c r="D200" s="286"/>
      <c r="E200" s="286"/>
      <c r="F200" s="286"/>
      <c r="G200" s="286"/>
      <c r="H200" s="286"/>
      <c r="I200" s="286"/>
      <c r="J200" s="286"/>
      <c r="K200" s="286"/>
    </row>
    <row r="201" spans="1:11" x14ac:dyDescent="0.2">
      <c r="A201"/>
      <c r="B201" s="169">
        <f t="shared" si="3"/>
        <v>0</v>
      </c>
      <c r="C201" s="286"/>
      <c r="D201" s="286"/>
      <c r="E201" s="286"/>
      <c r="F201" s="286"/>
      <c r="G201" s="286"/>
      <c r="H201" s="286"/>
      <c r="I201" s="286"/>
      <c r="J201" s="286"/>
      <c r="K201" s="286"/>
    </row>
    <row r="202" spans="1:11" x14ac:dyDescent="0.2">
      <c r="A202"/>
      <c r="B202" s="169">
        <f t="shared" si="3"/>
        <v>0</v>
      </c>
      <c r="C202" s="286"/>
      <c r="D202" s="286"/>
      <c r="E202" s="286"/>
      <c r="F202" s="286"/>
      <c r="G202" s="286"/>
      <c r="H202" s="286"/>
      <c r="I202" s="286"/>
      <c r="J202" s="286"/>
      <c r="K202" s="286"/>
    </row>
    <row r="203" spans="1:11" x14ac:dyDescent="0.2">
      <c r="A203"/>
      <c r="B203"/>
      <c r="C203" s="286"/>
      <c r="D203" s="286"/>
      <c r="E203" s="286"/>
      <c r="F203" s="286"/>
      <c r="G203" s="286"/>
      <c r="H203" s="286"/>
      <c r="I203" s="286"/>
      <c r="J203" s="286"/>
      <c r="K203" s="286"/>
    </row>
    <row r="204" spans="1:11" x14ac:dyDescent="0.2">
      <c r="A204"/>
      <c r="B204"/>
      <c r="C204" s="286"/>
      <c r="D204" s="286"/>
      <c r="E204" s="286"/>
      <c r="F204" s="286"/>
      <c r="G204" s="286"/>
      <c r="H204" s="286"/>
      <c r="I204" s="286"/>
      <c r="J204" s="286"/>
      <c r="K204" s="286"/>
    </row>
    <row r="205" spans="1:11" x14ac:dyDescent="0.2">
      <c r="A205"/>
      <c r="B205"/>
      <c r="C205" s="286"/>
      <c r="D205" s="286"/>
      <c r="E205" s="286"/>
      <c r="F205" s="286"/>
      <c r="G205" s="286"/>
      <c r="H205" s="286"/>
      <c r="I205" s="286"/>
      <c r="J205" s="286"/>
      <c r="K205" s="286"/>
    </row>
    <row r="206" spans="1:11" x14ac:dyDescent="0.2">
      <c r="A206"/>
      <c r="B206"/>
      <c r="C206" s="286"/>
      <c r="D206" s="286"/>
      <c r="E206" s="286"/>
      <c r="F206" s="286"/>
      <c r="G206" s="286"/>
      <c r="H206" s="286"/>
      <c r="I206" s="286"/>
      <c r="J206" s="286"/>
      <c r="K206" s="286"/>
    </row>
    <row r="207" spans="1:11" x14ac:dyDescent="0.2">
      <c r="A207"/>
      <c r="B207"/>
      <c r="C207" s="286"/>
      <c r="D207" s="286"/>
      <c r="E207" s="286"/>
      <c r="F207" s="286"/>
      <c r="G207" s="286"/>
      <c r="H207" s="286"/>
      <c r="I207" s="286"/>
      <c r="J207" s="286"/>
    </row>
    <row r="208" spans="1:11" x14ac:dyDescent="0.2">
      <c r="A208"/>
      <c r="B208"/>
      <c r="C208" s="286"/>
      <c r="D208" s="286"/>
      <c r="E208" s="286"/>
      <c r="F208" s="286"/>
      <c r="G208" s="286"/>
      <c r="H208" s="286"/>
      <c r="I208" s="286"/>
      <c r="J208" s="286"/>
    </row>
    <row r="209" spans="1:10" x14ac:dyDescent="0.2">
      <c r="A209"/>
      <c r="B209"/>
      <c r="C209" s="286"/>
      <c r="D209" s="286"/>
      <c r="E209" s="286"/>
      <c r="F209" s="286"/>
      <c r="G209" s="286"/>
      <c r="H209" s="286"/>
      <c r="I209" s="286"/>
      <c r="J209" s="286"/>
    </row>
    <row r="210" spans="1:10" x14ac:dyDescent="0.2">
      <c r="A210"/>
      <c r="B210"/>
      <c r="C210" s="286"/>
      <c r="D210" s="286"/>
      <c r="E210" s="286"/>
      <c r="F210" s="286"/>
      <c r="G210" s="286"/>
      <c r="H210" s="286"/>
      <c r="I210" s="286"/>
      <c r="J210" s="286"/>
    </row>
    <row r="211" spans="1:10" x14ac:dyDescent="0.2">
      <c r="A211"/>
      <c r="B211"/>
      <c r="C211"/>
      <c r="D211"/>
      <c r="E211"/>
      <c r="F211"/>
      <c r="G211"/>
      <c r="H211"/>
      <c r="I211"/>
      <c r="J211"/>
    </row>
    <row r="212" spans="1:10" x14ac:dyDescent="0.2">
      <c r="A212"/>
      <c r="B212"/>
      <c r="C212"/>
      <c r="D212"/>
      <c r="E212"/>
      <c r="F212"/>
      <c r="G212"/>
      <c r="H212"/>
      <c r="I212"/>
      <c r="J212"/>
    </row>
    <row r="213" spans="1:10" x14ac:dyDescent="0.2">
      <c r="A213"/>
      <c r="B213"/>
      <c r="C213"/>
      <c r="D213"/>
      <c r="E213"/>
      <c r="F213"/>
      <c r="G213"/>
      <c r="H213"/>
      <c r="I213"/>
      <c r="J213"/>
    </row>
    <row r="214" spans="1:10" x14ac:dyDescent="0.2">
      <c r="A214"/>
      <c r="B214"/>
      <c r="C214"/>
      <c r="D214"/>
      <c r="E214"/>
      <c r="F214"/>
      <c r="G214"/>
      <c r="H214"/>
      <c r="I214"/>
      <c r="J214"/>
    </row>
    <row r="215" spans="1:10" x14ac:dyDescent="0.2">
      <c r="A215"/>
      <c r="B215"/>
      <c r="C215"/>
      <c r="D215"/>
      <c r="E215"/>
      <c r="F215"/>
      <c r="G215"/>
      <c r="H215"/>
      <c r="I215"/>
      <c r="J215"/>
    </row>
    <row r="216" spans="1:10" x14ac:dyDescent="0.2">
      <c r="A216"/>
      <c r="B216"/>
      <c r="C216"/>
      <c r="D216"/>
      <c r="E216"/>
      <c r="F216"/>
      <c r="G216"/>
      <c r="H216"/>
      <c r="I216"/>
      <c r="J216"/>
    </row>
    <row r="217" spans="1:10" x14ac:dyDescent="0.2">
      <c r="A217"/>
      <c r="B217"/>
      <c r="C217"/>
      <c r="D217"/>
      <c r="E217"/>
      <c r="F217"/>
      <c r="G217"/>
      <c r="H217"/>
      <c r="I217"/>
      <c r="J217"/>
    </row>
    <row r="218" spans="1:10" x14ac:dyDescent="0.2">
      <c r="A218"/>
      <c r="B218"/>
      <c r="C218"/>
      <c r="D218"/>
      <c r="E218"/>
      <c r="F218"/>
      <c r="G218"/>
      <c r="H218"/>
      <c r="I218"/>
      <c r="J218"/>
    </row>
    <row r="219" spans="1:10" x14ac:dyDescent="0.2">
      <c r="A219"/>
      <c r="B219"/>
      <c r="C219"/>
      <c r="D219"/>
      <c r="E219"/>
      <c r="F219"/>
      <c r="G219"/>
      <c r="H219"/>
      <c r="I219"/>
      <c r="J219"/>
    </row>
    <row r="220" spans="1:10" x14ac:dyDescent="0.2">
      <c r="A220"/>
      <c r="B220"/>
      <c r="C220"/>
      <c r="D220"/>
      <c r="E220"/>
      <c r="F220"/>
      <c r="G220"/>
      <c r="H220"/>
      <c r="I220"/>
      <c r="J220"/>
    </row>
    <row r="221" spans="1:10" x14ac:dyDescent="0.2">
      <c r="A221"/>
      <c r="B221"/>
      <c r="C221"/>
      <c r="D221"/>
      <c r="E221"/>
      <c r="F221"/>
      <c r="G221"/>
      <c r="H221"/>
      <c r="I221"/>
      <c r="J221"/>
    </row>
    <row r="222" spans="1:10" x14ac:dyDescent="0.2">
      <c r="A222"/>
      <c r="B222"/>
      <c r="C222"/>
      <c r="D222"/>
      <c r="E222"/>
      <c r="F222"/>
      <c r="G222"/>
      <c r="H222"/>
      <c r="I222"/>
      <c r="J222"/>
    </row>
    <row r="223" spans="1:10" x14ac:dyDescent="0.2">
      <c r="A223"/>
      <c r="B223"/>
      <c r="C223"/>
      <c r="D223"/>
      <c r="E223"/>
      <c r="F223"/>
      <c r="G223"/>
      <c r="H223"/>
      <c r="I223"/>
      <c r="J223"/>
    </row>
    <row r="224" spans="1:10" x14ac:dyDescent="0.2">
      <c r="A224"/>
      <c r="B224"/>
      <c r="C224"/>
      <c r="D224"/>
      <c r="E224"/>
      <c r="F224"/>
      <c r="G224"/>
      <c r="H224"/>
      <c r="I224"/>
      <c r="J224"/>
    </row>
    <row r="225" spans="1:10" x14ac:dyDescent="0.2">
      <c r="A225"/>
      <c r="B225"/>
      <c r="C225"/>
      <c r="D225"/>
      <c r="E225"/>
      <c r="F225"/>
      <c r="G225"/>
      <c r="H225"/>
      <c r="I225"/>
      <c r="J225"/>
    </row>
    <row r="226" spans="1:10" x14ac:dyDescent="0.2">
      <c r="A226"/>
      <c r="B226"/>
      <c r="C226"/>
      <c r="D226"/>
      <c r="E226"/>
      <c r="F226"/>
      <c r="G226"/>
      <c r="H226"/>
      <c r="I226"/>
      <c r="J226"/>
    </row>
  </sheetData>
  <sheetProtection password="D424" sheet="1"/>
  <phoneticPr fontId="0" type="noConversion"/>
  <pageMargins left="0.78740157499999996" right="0.78740157499999996" top="0.984251969" bottom="0.984251969" header="0.4921259845" footer="0.4921259845"/>
  <pageSetup paperSize="9"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6">
    <pageSetUpPr fitToPage="1"/>
  </sheetPr>
  <dimension ref="N3:CJ86"/>
  <sheetViews>
    <sheetView showZeros="0" zoomScale="85" zoomScaleNormal="85" workbookViewId="0">
      <selection sqref="A1:IV65536"/>
    </sheetView>
  </sheetViews>
  <sheetFormatPr defaultColWidth="10.85546875" defaultRowHeight="12.75" x14ac:dyDescent="0.2"/>
  <cols>
    <col min="1" max="1" width="18.5703125" customWidth="1"/>
    <col min="2" max="10" width="52" customWidth="1"/>
    <col min="11" max="13" width="25.28515625" customWidth="1"/>
    <col min="18" max="18" width="18.28515625" customWidth="1"/>
    <col min="19" max="19" width="25.42578125" customWidth="1"/>
    <col min="20" max="28" width="9.28515625" customWidth="1"/>
    <col min="29" max="30" width="13.28515625" customWidth="1"/>
    <col min="34" max="34" width="14.7109375" customWidth="1"/>
    <col min="51" max="51" width="12.28515625" customWidth="1"/>
    <col min="52" max="52" width="17.7109375" customWidth="1"/>
    <col min="53" max="58" width="12.7109375" customWidth="1"/>
    <col min="59" max="65" width="5.7109375" customWidth="1"/>
    <col min="66" max="66" width="11.42578125" customWidth="1"/>
    <col min="67" max="67" width="20.7109375" customWidth="1"/>
    <col min="68" max="69" width="11.42578125" customWidth="1"/>
    <col min="70" max="70" width="16.7109375" customWidth="1"/>
    <col min="71" max="73" width="11.42578125" customWidth="1"/>
    <col min="74" max="75" width="13.42578125" customWidth="1"/>
    <col min="79" max="83" width="5.7109375" customWidth="1"/>
    <col min="85" max="85" width="30.7109375" customWidth="1"/>
    <col min="86" max="87" width="5.7109375" customWidth="1"/>
    <col min="88" max="88" width="16.7109375" customWidth="1"/>
  </cols>
  <sheetData>
    <row r="3" spans="14:88" ht="18" x14ac:dyDescent="0.25">
      <c r="AY3" t="s">
        <v>1243</v>
      </c>
      <c r="BA3" t="s">
        <v>791</v>
      </c>
      <c r="BC3">
        <f>23*1.42</f>
        <v>32.659999999999997</v>
      </c>
      <c r="BD3" t="s">
        <v>735</v>
      </c>
      <c r="BR3" t="s">
        <v>767</v>
      </c>
      <c r="BS3" t="s">
        <v>791</v>
      </c>
      <c r="BU3">
        <v>32.659999999999997</v>
      </c>
      <c r="BV3" t="s">
        <v>735</v>
      </c>
      <c r="CJ3" t="s">
        <v>1134</v>
      </c>
    </row>
    <row r="4" spans="14:88" ht="180" customHeight="1" x14ac:dyDescent="0.2">
      <c r="S4">
        <v>1</v>
      </c>
      <c r="T4">
        <f>ELEMENT!BG4</f>
        <v>0</v>
      </c>
      <c r="U4">
        <f>ELEMENT!BH4</f>
        <v>0</v>
      </c>
      <c r="V4">
        <f>ELEMENT!BI4</f>
        <v>0</v>
      </c>
      <c r="W4">
        <f>ELEMENT!BJ4</f>
        <v>0</v>
      </c>
      <c r="X4">
        <f>ELEMENT!BK4</f>
        <v>0</v>
      </c>
      <c r="Y4">
        <f>ELEMENT!BL4</f>
        <v>0</v>
      </c>
      <c r="Z4">
        <f>ELEMENT!BM4</f>
        <v>0</v>
      </c>
      <c r="AA4">
        <f>ELEMENT!BN4</f>
        <v>0</v>
      </c>
      <c r="AB4">
        <f>ELEMENT!BO4</f>
        <v>0</v>
      </c>
      <c r="BA4" t="s">
        <v>1087</v>
      </c>
      <c r="BB4" t="s">
        <v>1088</v>
      </c>
      <c r="BC4" t="s">
        <v>1089</v>
      </c>
      <c r="BD4" t="s">
        <v>1090</v>
      </c>
      <c r="BE4" t="s">
        <v>1091</v>
      </c>
      <c r="BF4" t="s">
        <v>1092</v>
      </c>
      <c r="BS4" t="s">
        <v>736</v>
      </c>
      <c r="BT4" t="s">
        <v>738</v>
      </c>
      <c r="BU4" t="s">
        <v>740</v>
      </c>
      <c r="BV4" t="s">
        <v>743</v>
      </c>
      <c r="BW4" t="s">
        <v>731</v>
      </c>
      <c r="BX4" t="s">
        <v>732</v>
      </c>
      <c r="BY4" t="s">
        <v>734</v>
      </c>
      <c r="BZ4" t="s">
        <v>733</v>
      </c>
      <c r="CJ4" t="s">
        <v>1242</v>
      </c>
    </row>
    <row r="5" spans="14:88" x14ac:dyDescent="0.2">
      <c r="P5" t="str">
        <f>IF(AV6=2,"GFK","ALU")</f>
        <v>ALU</v>
      </c>
      <c r="S5">
        <f>ELEMENT!BF5</f>
        <v>0</v>
      </c>
      <c r="AH5">
        <f>ELEMENT!K3</f>
        <v>2</v>
      </c>
      <c r="AI5" t="str">
        <f t="shared" ref="AI5:AU24" si="0">IF($AH$5=1,BS5,BA5)</f>
        <v>6</v>
      </c>
      <c r="AJ5" t="str">
        <f t="shared" si="0"/>
        <v>10</v>
      </c>
      <c r="AK5" t="str">
        <f t="shared" si="0"/>
        <v>12</v>
      </c>
      <c r="AL5" t="str">
        <f t="shared" si="0"/>
        <v>8-2</v>
      </c>
      <c r="AM5" t="str">
        <f t="shared" si="0"/>
        <v>10-2</v>
      </c>
      <c r="AN5" t="str">
        <f t="shared" si="0"/>
        <v>12-2</v>
      </c>
      <c r="AO5">
        <f t="shared" si="0"/>
        <v>0</v>
      </c>
      <c r="AP5">
        <f t="shared" si="0"/>
        <v>0</v>
      </c>
      <c r="AQ5">
        <f t="shared" si="0"/>
        <v>0</v>
      </c>
      <c r="AR5">
        <f t="shared" si="0"/>
        <v>0</v>
      </c>
      <c r="AS5">
        <f t="shared" si="0"/>
        <v>0</v>
      </c>
      <c r="AT5">
        <f t="shared" si="0"/>
        <v>0</v>
      </c>
      <c r="AU5">
        <f t="shared" si="0"/>
        <v>0</v>
      </c>
      <c r="AV5">
        <f>IF($AH$5=1,CF5,BN5)</f>
        <v>30</v>
      </c>
      <c r="BA5" t="s">
        <v>1100</v>
      </c>
      <c r="BB5" t="s">
        <v>1099</v>
      </c>
      <c r="BC5" t="s">
        <v>1093</v>
      </c>
      <c r="BD5" t="s">
        <v>1102</v>
      </c>
      <c r="BE5" t="s">
        <v>1101</v>
      </c>
      <c r="BF5" t="s">
        <v>1035</v>
      </c>
      <c r="BN5">
        <v>30</v>
      </c>
      <c r="BS5" t="s">
        <v>737</v>
      </c>
      <c r="BT5" t="s">
        <v>739</v>
      </c>
      <c r="BU5" t="s">
        <v>741</v>
      </c>
      <c r="BV5" t="s">
        <v>742</v>
      </c>
      <c r="BW5" t="s">
        <v>744</v>
      </c>
      <c r="BX5" t="s">
        <v>746</v>
      </c>
      <c r="BY5" t="s">
        <v>745</v>
      </c>
      <c r="BZ5" t="s">
        <v>747</v>
      </c>
      <c r="CF5">
        <v>150</v>
      </c>
    </row>
    <row r="6" spans="14:88" ht="12.75" customHeight="1" x14ac:dyDescent="0.2">
      <c r="N6" t="s">
        <v>1128</v>
      </c>
      <c r="O6" t="s">
        <v>157</v>
      </c>
      <c r="P6" t="s">
        <v>1127</v>
      </c>
      <c r="Q6" t="s">
        <v>1125</v>
      </c>
      <c r="S6">
        <f>ELEMENT!BF6</f>
        <v>0</v>
      </c>
      <c r="AF6" t="str">
        <f>AI6</f>
        <v>tempered safety glass 6</v>
      </c>
      <c r="AH6" t="str">
        <f t="shared" ref="AH6:AI21" si="1">IF($AH$5=1,BR6,AZ6)</f>
        <v>W/m2K</v>
      </c>
      <c r="AI6" t="str">
        <f t="shared" si="1"/>
        <v>tempered safety glass 6</v>
      </c>
      <c r="AJ6" t="str">
        <f t="shared" si="0"/>
        <v xml:space="preserve">tempered safety glass 10 </v>
      </c>
      <c r="AK6" t="str">
        <f t="shared" si="0"/>
        <v xml:space="preserve">tempered safety glass 12 </v>
      </c>
      <c r="AL6" t="str">
        <f t="shared" si="0"/>
        <v>laminated safety glass 8-2</v>
      </c>
      <c r="AM6" t="str">
        <f t="shared" si="0"/>
        <v>laminated safety glass 10-2</v>
      </c>
      <c r="AN6" t="str">
        <f t="shared" si="0"/>
        <v>laminated safety glass 12-2</v>
      </c>
      <c r="AO6">
        <f t="shared" ref="AO6:AO11" si="2">IF($AH$5=1,BY6,BG6)</f>
        <v>0</v>
      </c>
      <c r="AP6">
        <f t="shared" si="0"/>
        <v>0</v>
      </c>
      <c r="AQ6">
        <f t="shared" si="0"/>
        <v>0</v>
      </c>
      <c r="AR6">
        <f t="shared" si="0"/>
        <v>0</v>
      </c>
      <c r="AS6">
        <f t="shared" si="0"/>
        <v>0</v>
      </c>
      <c r="AT6">
        <f t="shared" si="0"/>
        <v>0</v>
      </c>
      <c r="AU6">
        <f t="shared" si="0"/>
        <v>0</v>
      </c>
      <c r="AV6">
        <f>IF($AH$5=1,CF6,BN6)</f>
        <v>1</v>
      </c>
      <c r="AZ6" t="s">
        <v>47</v>
      </c>
      <c r="BA6" t="str">
        <f>CONCATENATE(Sprache!$B$75," 6")</f>
        <v>tempered safety glass 6</v>
      </c>
      <c r="BB6" t="str">
        <f>CONCATENATE(Sprache!$B$75," 10 ")</f>
        <v xml:space="preserve">tempered safety glass 10 </v>
      </c>
      <c r="BC6" t="str">
        <f>CONCATENATE(Sprache!$B$75," 12 ")</f>
        <v xml:space="preserve">tempered safety glass 12 </v>
      </c>
      <c r="BD6" t="str">
        <f>CONCATENATE(Sprache!$B$74," 8-2")</f>
        <v>laminated safety glass 8-2</v>
      </c>
      <c r="BE6" t="str">
        <f>CONCATENATE(Sprache!$B$74," 10-2")</f>
        <v>laminated safety glass 10-2</v>
      </c>
      <c r="BF6" t="str">
        <f>CONCATENATE(Sprache!$B$74," 12-2")</f>
        <v>laminated safety glass 12-2</v>
      </c>
      <c r="BN6">
        <v>1</v>
      </c>
      <c r="BP6" t="s">
        <v>795</v>
      </c>
      <c r="BR6" t="s">
        <v>47</v>
      </c>
      <c r="BS6" t="s">
        <v>1117</v>
      </c>
      <c r="BT6" t="s">
        <v>1118</v>
      </c>
      <c r="BU6" t="s">
        <v>1119</v>
      </c>
      <c r="BV6" t="s">
        <v>1120</v>
      </c>
      <c r="BW6" t="s">
        <v>1121</v>
      </c>
      <c r="BX6" t="s">
        <v>1122</v>
      </c>
      <c r="BY6" t="s">
        <v>1123</v>
      </c>
      <c r="BZ6" t="s">
        <v>1124</v>
      </c>
      <c r="CF6">
        <v>1</v>
      </c>
    </row>
    <row r="7" spans="14:88" x14ac:dyDescent="0.2">
      <c r="N7">
        <v>-2</v>
      </c>
      <c r="O7">
        <v>58</v>
      </c>
      <c r="P7">
        <v>0.622</v>
      </c>
      <c r="Q7">
        <v>0.3</v>
      </c>
      <c r="S7">
        <f>ELEMENT!BF7</f>
        <v>0</v>
      </c>
      <c r="T7">
        <v>15</v>
      </c>
      <c r="U7">
        <v>20</v>
      </c>
      <c r="V7">
        <v>70</v>
      </c>
      <c r="W7">
        <v>5.5</v>
      </c>
      <c r="X7">
        <v>69.300000000000011</v>
      </c>
      <c r="Y7">
        <v>170</v>
      </c>
      <c r="Z7">
        <f t="shared" ref="Z7:Z27" si="3">IF($P$5="ALU",O7+N7,O7)</f>
        <v>56</v>
      </c>
      <c r="AA7">
        <f>IF($P$5="ALU",P7+Q7,P7)</f>
        <v>0.92199999999999993</v>
      </c>
      <c r="AB7">
        <v>4.0999999999999996</v>
      </c>
      <c r="AH7" t="str">
        <f t="shared" si="1"/>
        <v>Ug-value</v>
      </c>
      <c r="AI7">
        <f t="shared" si="1"/>
        <v>5.7</v>
      </c>
      <c r="AJ7">
        <f t="shared" si="0"/>
        <v>5.6</v>
      </c>
      <c r="AK7">
        <f t="shared" si="0"/>
        <v>5.5</v>
      </c>
      <c r="AL7">
        <f t="shared" si="0"/>
        <v>5.6</v>
      </c>
      <c r="AM7">
        <f t="shared" si="0"/>
        <v>5.6</v>
      </c>
      <c r="AN7">
        <f t="shared" si="0"/>
        <v>5.5</v>
      </c>
      <c r="AO7">
        <f t="shared" si="2"/>
        <v>0</v>
      </c>
      <c r="AP7">
        <f t="shared" si="0"/>
        <v>0</v>
      </c>
      <c r="AQ7">
        <f t="shared" si="0"/>
        <v>0</v>
      </c>
      <c r="AR7">
        <f t="shared" si="0"/>
        <v>0</v>
      </c>
      <c r="AS7">
        <f t="shared" si="0"/>
        <v>0</v>
      </c>
      <c r="AT7">
        <f t="shared" si="0"/>
        <v>0</v>
      </c>
      <c r="AU7">
        <f t="shared" si="0"/>
        <v>0</v>
      </c>
      <c r="AV7" t="str">
        <f>IF($AH$5=1,CF7,BN7)</f>
        <v>W</v>
      </c>
      <c r="AZ7" t="str">
        <f>Sprache!$B$114</f>
        <v>Ug-value</v>
      </c>
      <c r="BA7">
        <v>5.7</v>
      </c>
      <c r="BB7">
        <v>5.6</v>
      </c>
      <c r="BC7">
        <v>5.5</v>
      </c>
      <c r="BD7">
        <v>5.6</v>
      </c>
      <c r="BE7">
        <v>5.6</v>
      </c>
      <c r="BF7">
        <v>5.5</v>
      </c>
      <c r="BN7" t="s">
        <v>600</v>
      </c>
      <c r="BO7" t="s">
        <v>727</v>
      </c>
      <c r="BP7" t="s">
        <v>796</v>
      </c>
      <c r="BR7" t="str">
        <f>Sprache!$B$114</f>
        <v>Ug-value</v>
      </c>
      <c r="BS7">
        <v>1.1000000000000001</v>
      </c>
      <c r="BT7">
        <v>1.1000000000000001</v>
      </c>
      <c r="BU7">
        <v>1.1000000000000001</v>
      </c>
      <c r="BV7">
        <v>1.1000000000000001</v>
      </c>
      <c r="BW7">
        <v>1.1000000000000001</v>
      </c>
      <c r="BX7">
        <v>1.1000000000000001</v>
      </c>
      <c r="BY7">
        <v>1.1000000000000001</v>
      </c>
      <c r="BZ7">
        <v>1.1000000000000001</v>
      </c>
      <c r="CF7" t="s">
        <v>600</v>
      </c>
      <c r="CG7" t="s">
        <v>727</v>
      </c>
    </row>
    <row r="8" spans="14:88" x14ac:dyDescent="0.2">
      <c r="N8">
        <v>-1</v>
      </c>
      <c r="O8">
        <v>21</v>
      </c>
      <c r="P8">
        <v>0.29699999999999999</v>
      </c>
      <c r="Q8">
        <v>0.15</v>
      </c>
      <c r="S8">
        <f>ELEMENT!BF8</f>
        <v>0</v>
      </c>
      <c r="T8">
        <v>15</v>
      </c>
      <c r="U8">
        <v>5</v>
      </c>
      <c r="V8">
        <v>15</v>
      </c>
      <c r="W8">
        <v>5.5</v>
      </c>
      <c r="X8">
        <v>36.300000000000004</v>
      </c>
      <c r="Y8">
        <v>131</v>
      </c>
      <c r="Z8">
        <f t="shared" si="3"/>
        <v>20</v>
      </c>
      <c r="AA8">
        <f t="shared" ref="AA8:AA27" si="4">IF($P$5="ALU",P8+Q8,P8)</f>
        <v>0.44699999999999995</v>
      </c>
      <c r="AB8">
        <v>1.2869999999999999</v>
      </c>
      <c r="AH8" t="str">
        <f t="shared" si="1"/>
        <v>glass weight</v>
      </c>
      <c r="AI8">
        <f t="shared" si="1"/>
        <v>15</v>
      </c>
      <c r="AJ8">
        <f t="shared" si="0"/>
        <v>25</v>
      </c>
      <c r="AK8">
        <f t="shared" si="0"/>
        <v>30</v>
      </c>
      <c r="AL8">
        <f t="shared" si="0"/>
        <v>21.9</v>
      </c>
      <c r="AM8">
        <f t="shared" si="0"/>
        <v>26.9</v>
      </c>
      <c r="AN8">
        <f t="shared" si="0"/>
        <v>31.9</v>
      </c>
      <c r="AO8">
        <f t="shared" si="2"/>
        <v>0</v>
      </c>
      <c r="AP8">
        <f t="shared" si="0"/>
        <v>0</v>
      </c>
      <c r="AQ8">
        <f t="shared" si="0"/>
        <v>0</v>
      </c>
      <c r="AR8">
        <f t="shared" si="0"/>
        <v>0</v>
      </c>
      <c r="AS8">
        <f t="shared" si="0"/>
        <v>0</v>
      </c>
      <c r="AT8">
        <f t="shared" si="0"/>
        <v>0</v>
      </c>
      <c r="AU8">
        <f t="shared" si="0"/>
        <v>0</v>
      </c>
      <c r="AV8">
        <f>IF($AH$5=1,CF8,BN8)</f>
        <v>0</v>
      </c>
      <c r="AZ8" t="str">
        <f>Sprache!$B$104</f>
        <v>glass weight</v>
      </c>
      <c r="BA8">
        <v>15</v>
      </c>
      <c r="BB8">
        <v>25</v>
      </c>
      <c r="BC8">
        <v>30</v>
      </c>
      <c r="BD8">
        <v>21.9</v>
      </c>
      <c r="BE8">
        <v>26.9</v>
      </c>
      <c r="BF8">
        <v>31.9</v>
      </c>
      <c r="BO8" t="s">
        <v>728</v>
      </c>
      <c r="BR8" t="str">
        <f>Sprache!$B$104</f>
        <v>glass weight</v>
      </c>
      <c r="BS8">
        <v>30</v>
      </c>
      <c r="BT8">
        <v>40</v>
      </c>
      <c r="BU8">
        <v>35</v>
      </c>
      <c r="BV8">
        <v>40</v>
      </c>
      <c r="BW8">
        <v>36.9</v>
      </c>
      <c r="BX8">
        <v>41.9</v>
      </c>
      <c r="BY8">
        <v>36.9</v>
      </c>
      <c r="BZ8">
        <v>41.9</v>
      </c>
      <c r="CG8" t="s">
        <v>728</v>
      </c>
    </row>
    <row r="9" spans="14:88" x14ac:dyDescent="0.2">
      <c r="N9">
        <v>-2</v>
      </c>
      <c r="O9">
        <v>60</v>
      </c>
      <c r="P9">
        <v>0.61299999999999999</v>
      </c>
      <c r="Q9">
        <v>0.3</v>
      </c>
      <c r="S9">
        <f>ELEMENT!BF9</f>
        <v>0</v>
      </c>
      <c r="T9">
        <v>15</v>
      </c>
      <c r="U9">
        <v>5</v>
      </c>
      <c r="V9">
        <v>25</v>
      </c>
      <c r="W9">
        <v>6.6000000000000005</v>
      </c>
      <c r="X9">
        <v>68</v>
      </c>
      <c r="Y9">
        <v>151</v>
      </c>
      <c r="Z9">
        <f t="shared" si="3"/>
        <v>58</v>
      </c>
      <c r="AA9">
        <f t="shared" si="4"/>
        <v>0.91300000000000003</v>
      </c>
      <c r="AB9">
        <v>3.032</v>
      </c>
      <c r="AH9" t="str">
        <f t="shared" si="1"/>
        <v>Lt / g-value</v>
      </c>
      <c r="AI9" t="str">
        <f t="shared" si="1"/>
        <v>89 / 84</v>
      </c>
      <c r="AJ9" t="str">
        <f t="shared" si="0"/>
        <v>88 / 80</v>
      </c>
      <c r="AK9" t="str">
        <f t="shared" si="0"/>
        <v>87 / 77</v>
      </c>
      <c r="AL9" t="str">
        <f t="shared" si="0"/>
        <v>88 / 77</v>
      </c>
      <c r="AM9" t="str">
        <f t="shared" si="0"/>
        <v>87 / 76</v>
      </c>
      <c r="AN9" t="str">
        <f t="shared" si="0"/>
        <v>86 / 74</v>
      </c>
      <c r="AO9">
        <f t="shared" si="2"/>
        <v>0</v>
      </c>
      <c r="AP9">
        <f t="shared" si="0"/>
        <v>0</v>
      </c>
      <c r="AQ9">
        <f t="shared" si="0"/>
        <v>0</v>
      </c>
      <c r="AR9">
        <f t="shared" si="0"/>
        <v>0</v>
      </c>
      <c r="AS9">
        <f t="shared" si="0"/>
        <v>0</v>
      </c>
      <c r="AT9">
        <f t="shared" si="0"/>
        <v>0</v>
      </c>
      <c r="AU9">
        <f t="shared" si="0"/>
        <v>0</v>
      </c>
      <c r="AZ9" t="str">
        <f>Sprache!$B$129</f>
        <v>Lt / g-value</v>
      </c>
      <c r="BA9" t="s">
        <v>1096</v>
      </c>
      <c r="BB9" t="s">
        <v>1095</v>
      </c>
      <c r="BC9" t="s">
        <v>1094</v>
      </c>
      <c r="BD9" t="s">
        <v>1098</v>
      </c>
      <c r="BE9" t="s">
        <v>1097</v>
      </c>
      <c r="BF9" t="s">
        <v>1036</v>
      </c>
      <c r="BO9" t="s">
        <v>749</v>
      </c>
      <c r="BR9" t="str">
        <f>Sprache!$B$129</f>
        <v>Lt / g-value</v>
      </c>
      <c r="BS9" t="s">
        <v>758</v>
      </c>
      <c r="BT9" t="s">
        <v>759</v>
      </c>
      <c r="BU9" t="s">
        <v>758</v>
      </c>
      <c r="BV9" t="s">
        <v>760</v>
      </c>
      <c r="BW9" t="s">
        <v>760</v>
      </c>
      <c r="BX9" t="s">
        <v>759</v>
      </c>
      <c r="BY9" t="s">
        <v>760</v>
      </c>
      <c r="BZ9" t="s">
        <v>759</v>
      </c>
      <c r="CG9" t="s">
        <v>749</v>
      </c>
    </row>
    <row r="10" spans="14:88" x14ac:dyDescent="0.2">
      <c r="S10">
        <f>ELEMENT!BF10</f>
        <v>0</v>
      </c>
      <c r="W10">
        <v>0</v>
      </c>
      <c r="X10">
        <v>0</v>
      </c>
      <c r="Z10">
        <f t="shared" si="3"/>
        <v>0</v>
      </c>
      <c r="AA10">
        <f t="shared" si="4"/>
        <v>0</v>
      </c>
      <c r="AH10">
        <f t="shared" si="1"/>
        <v>0</v>
      </c>
      <c r="AI10">
        <f t="shared" si="1"/>
        <v>0</v>
      </c>
      <c r="AJ10">
        <f t="shared" si="0"/>
        <v>16</v>
      </c>
      <c r="AK10">
        <f t="shared" si="0"/>
        <v>28.97</v>
      </c>
      <c r="AL10">
        <f t="shared" si="0"/>
        <v>21.299999999999997</v>
      </c>
      <c r="AM10">
        <f t="shared" si="0"/>
        <v>28.11</v>
      </c>
      <c r="AN10">
        <f t="shared" si="0"/>
        <v>31.380000000000003</v>
      </c>
      <c r="AO10">
        <f t="shared" si="2"/>
        <v>0</v>
      </c>
      <c r="AP10">
        <f t="shared" si="0"/>
        <v>0</v>
      </c>
      <c r="AQ10">
        <f t="shared" si="0"/>
        <v>0</v>
      </c>
      <c r="AR10">
        <f t="shared" si="0"/>
        <v>0</v>
      </c>
      <c r="AS10">
        <f t="shared" si="0"/>
        <v>0</v>
      </c>
      <c r="AT10">
        <f t="shared" si="0"/>
        <v>0</v>
      </c>
      <c r="AU10">
        <f t="shared" si="0"/>
        <v>0</v>
      </c>
      <c r="AV10">
        <f>IF($AH$5=1,CF10,BN10)</f>
        <v>0</v>
      </c>
      <c r="AZ10">
        <f>ELEMENT!CU54</f>
        <v>0</v>
      </c>
      <c r="BA10">
        <v>0</v>
      </c>
      <c r="BB10">
        <v>16</v>
      </c>
      <c r="BC10">
        <v>28.97</v>
      </c>
      <c r="BD10">
        <v>21.299999999999997</v>
      </c>
      <c r="BE10">
        <v>28.11</v>
      </c>
      <c r="BF10">
        <v>31.380000000000003</v>
      </c>
      <c r="BP10" t="s">
        <v>730</v>
      </c>
      <c r="BR10" t="s">
        <v>156</v>
      </c>
      <c r="BS10">
        <v>0</v>
      </c>
      <c r="BT10">
        <v>45</v>
      </c>
      <c r="BU10">
        <v>22</v>
      </c>
      <c r="BV10">
        <v>45</v>
      </c>
      <c r="BW10">
        <v>25</v>
      </c>
      <c r="BX10">
        <v>55</v>
      </c>
      <c r="BY10">
        <v>58</v>
      </c>
      <c r="BZ10">
        <v>75</v>
      </c>
    </row>
    <row r="11" spans="14:88" x14ac:dyDescent="0.2">
      <c r="N11">
        <v>-2</v>
      </c>
      <c r="O11">
        <v>22</v>
      </c>
      <c r="P11">
        <v>0.42599999999999999</v>
      </c>
      <c r="Q11">
        <v>0.3</v>
      </c>
      <c r="S11">
        <f>ELEMENT!BF11</f>
        <v>0</v>
      </c>
      <c r="T11">
        <v>15</v>
      </c>
      <c r="U11">
        <v>5</v>
      </c>
      <c r="V11">
        <v>20</v>
      </c>
      <c r="W11">
        <v>11</v>
      </c>
      <c r="X11">
        <v>24.750000000000004</v>
      </c>
      <c r="Y11">
        <v>17</v>
      </c>
      <c r="Z11">
        <f t="shared" si="3"/>
        <v>20</v>
      </c>
      <c r="AA11">
        <f t="shared" si="4"/>
        <v>0.72599999999999998</v>
      </c>
      <c r="AB11">
        <v>1.87</v>
      </c>
      <c r="AH11">
        <f t="shared" si="1"/>
        <v>0</v>
      </c>
      <c r="AI11" t="str">
        <f t="shared" si="1"/>
        <v>24.71</v>
      </c>
      <c r="AJ11" t="str">
        <f t="shared" si="0"/>
        <v>40.71</v>
      </c>
      <c r="AK11" t="str">
        <f t="shared" si="0"/>
        <v>53.68</v>
      </c>
      <c r="AL11" t="str">
        <f t="shared" si="0"/>
        <v>46.01</v>
      </c>
      <c r="AM11" t="str">
        <f t="shared" si="0"/>
        <v>52.82</v>
      </c>
      <c r="AN11" t="str">
        <f t="shared" si="0"/>
        <v>56.09</v>
      </c>
      <c r="AO11">
        <f t="shared" si="2"/>
        <v>0</v>
      </c>
      <c r="AP11">
        <f t="shared" si="0"/>
        <v>0</v>
      </c>
      <c r="AQ11">
        <f t="shared" si="0"/>
        <v>0</v>
      </c>
      <c r="AR11">
        <f t="shared" si="0"/>
        <v>0</v>
      </c>
      <c r="AS11">
        <f t="shared" si="0"/>
        <v>0</v>
      </c>
      <c r="AT11">
        <f t="shared" si="0"/>
        <v>0</v>
      </c>
      <c r="AU11">
        <f t="shared" si="0"/>
        <v>0</v>
      </c>
      <c r="AV11">
        <f>IF($AH$5=1,CF11,BN11)</f>
        <v>0</v>
      </c>
      <c r="AZ11">
        <f>ELEMENT!CU55</f>
        <v>0</v>
      </c>
      <c r="BA11" t="s">
        <v>1103</v>
      </c>
      <c r="BB11" t="s">
        <v>1104</v>
      </c>
      <c r="BC11" t="s">
        <v>1105</v>
      </c>
      <c r="BD11" t="s">
        <v>1106</v>
      </c>
      <c r="BE11" t="s">
        <v>1107</v>
      </c>
      <c r="BF11" t="s">
        <v>1108</v>
      </c>
      <c r="BP11" t="s">
        <v>729</v>
      </c>
      <c r="BR11">
        <v>0</v>
      </c>
      <c r="BT11">
        <v>21.5</v>
      </c>
      <c r="BU11">
        <v>16.600000000000001</v>
      </c>
      <c r="BV11">
        <v>48.3</v>
      </c>
      <c r="BW11">
        <v>0.1</v>
      </c>
      <c r="BX11">
        <v>33.6</v>
      </c>
      <c r="BY11">
        <v>32.76</v>
      </c>
      <c r="BZ11">
        <v>0.1</v>
      </c>
    </row>
    <row r="12" spans="14:88" x14ac:dyDescent="0.2">
      <c r="S12">
        <f>ELEMENT!BF12</f>
        <v>0</v>
      </c>
      <c r="W12">
        <v>0</v>
      </c>
      <c r="X12">
        <v>0</v>
      </c>
      <c r="Z12">
        <f t="shared" si="3"/>
        <v>0</v>
      </c>
      <c r="AA12">
        <f t="shared" si="4"/>
        <v>0</v>
      </c>
      <c r="AH12" t="str">
        <f t="shared" si="1"/>
        <v>Ug-value</v>
      </c>
      <c r="AI12">
        <f t="shared" si="0"/>
        <v>0</v>
      </c>
      <c r="AJ12">
        <f t="shared" si="0"/>
        <v>0</v>
      </c>
      <c r="AK12">
        <f t="shared" si="0"/>
        <v>0</v>
      </c>
      <c r="AL12">
        <f t="shared" si="0"/>
        <v>0</v>
      </c>
      <c r="AM12">
        <f t="shared" si="0"/>
        <v>0</v>
      </c>
      <c r="AN12">
        <f t="shared" si="0"/>
        <v>0</v>
      </c>
      <c r="AO12">
        <f t="shared" si="0"/>
        <v>0</v>
      </c>
      <c r="AP12">
        <f t="shared" si="0"/>
        <v>0</v>
      </c>
      <c r="AQ12">
        <f t="shared" si="0"/>
        <v>0</v>
      </c>
      <c r="AR12">
        <f t="shared" si="0"/>
        <v>0</v>
      </c>
      <c r="AS12">
        <f t="shared" si="0"/>
        <v>0</v>
      </c>
      <c r="AT12">
        <f t="shared" si="0"/>
        <v>0</v>
      </c>
      <c r="AU12">
        <f t="shared" si="0"/>
        <v>0</v>
      </c>
      <c r="AV12">
        <f>IF($AH$5=1,CF12,BN12)</f>
        <v>0</v>
      </c>
      <c r="AZ12" t="str">
        <f>Sprache!$B$114</f>
        <v>Ug-value</v>
      </c>
      <c r="BP12" t="s">
        <v>735</v>
      </c>
      <c r="BR12" t="str">
        <f>Sprache!$B$114</f>
        <v>Ug-value</v>
      </c>
      <c r="BS12">
        <v>1</v>
      </c>
      <c r="BT12">
        <v>1</v>
      </c>
      <c r="BU12">
        <v>1</v>
      </c>
      <c r="BV12">
        <v>1</v>
      </c>
      <c r="BW12">
        <v>1</v>
      </c>
      <c r="BX12">
        <v>1</v>
      </c>
      <c r="BY12">
        <v>1</v>
      </c>
      <c r="BZ12">
        <v>1</v>
      </c>
      <c r="CF12" t="s">
        <v>12</v>
      </c>
      <c r="CG12" t="s">
        <v>723</v>
      </c>
    </row>
    <row r="13" spans="14:88" x14ac:dyDescent="0.2">
      <c r="S13">
        <f>ELEMENT!BF13</f>
        <v>0</v>
      </c>
      <c r="W13">
        <v>0</v>
      </c>
      <c r="X13">
        <v>0</v>
      </c>
      <c r="Z13">
        <f t="shared" si="3"/>
        <v>0</v>
      </c>
      <c r="AA13">
        <f t="shared" si="4"/>
        <v>0</v>
      </c>
      <c r="AH13">
        <f t="shared" si="1"/>
        <v>0</v>
      </c>
      <c r="AI13">
        <f t="shared" si="0"/>
        <v>0</v>
      </c>
      <c r="AJ13">
        <f t="shared" si="0"/>
        <v>0</v>
      </c>
      <c r="AK13">
        <f t="shared" si="0"/>
        <v>0</v>
      </c>
      <c r="AL13">
        <f t="shared" si="0"/>
        <v>0</v>
      </c>
      <c r="AM13">
        <f t="shared" si="0"/>
        <v>0</v>
      </c>
      <c r="AN13">
        <f t="shared" si="0"/>
        <v>0</v>
      </c>
      <c r="AO13">
        <f t="shared" si="0"/>
        <v>0</v>
      </c>
      <c r="AP13">
        <f t="shared" si="0"/>
        <v>0</v>
      </c>
      <c r="AQ13">
        <f t="shared" si="0"/>
        <v>0</v>
      </c>
      <c r="AR13">
        <f t="shared" si="0"/>
        <v>0</v>
      </c>
      <c r="AS13">
        <f t="shared" si="0"/>
        <v>0</v>
      </c>
      <c r="AT13">
        <f t="shared" si="0"/>
        <v>0</v>
      </c>
      <c r="AU13">
        <f t="shared" si="0"/>
        <v>0</v>
      </c>
      <c r="AV13">
        <f>IF($AH$5=1,CF13,BN13)</f>
        <v>0</v>
      </c>
      <c r="AZ13">
        <f>ELEMENT!CU57</f>
        <v>0</v>
      </c>
      <c r="BR13" t="s">
        <v>154</v>
      </c>
      <c r="BS13">
        <v>30</v>
      </c>
      <c r="BT13">
        <v>40</v>
      </c>
      <c r="BU13">
        <v>35</v>
      </c>
      <c r="BV13">
        <v>40</v>
      </c>
      <c r="BW13">
        <v>36.9</v>
      </c>
      <c r="BX13">
        <v>41.9</v>
      </c>
      <c r="BY13">
        <v>36.9</v>
      </c>
      <c r="BZ13">
        <v>41.9</v>
      </c>
      <c r="CG13" t="s">
        <v>725</v>
      </c>
    </row>
    <row r="14" spans="14:88" x14ac:dyDescent="0.2">
      <c r="S14">
        <f>ELEMENT!BF14</f>
        <v>0</v>
      </c>
      <c r="W14">
        <v>0</v>
      </c>
      <c r="X14">
        <v>0</v>
      </c>
      <c r="Z14">
        <f t="shared" si="3"/>
        <v>0</v>
      </c>
      <c r="AA14">
        <f t="shared" si="4"/>
        <v>0</v>
      </c>
      <c r="AH14" t="str">
        <f t="shared" si="1"/>
        <v>Lt / g-value</v>
      </c>
      <c r="AI14">
        <f t="shared" si="0"/>
        <v>0</v>
      </c>
      <c r="AJ14">
        <f t="shared" si="0"/>
        <v>0</v>
      </c>
      <c r="AK14">
        <f t="shared" si="0"/>
        <v>0</v>
      </c>
      <c r="AL14">
        <f t="shared" si="0"/>
        <v>0</v>
      </c>
      <c r="AM14">
        <f t="shared" si="0"/>
        <v>0</v>
      </c>
      <c r="AN14">
        <f t="shared" si="0"/>
        <v>0</v>
      </c>
      <c r="AO14">
        <f t="shared" si="0"/>
        <v>0</v>
      </c>
      <c r="AP14">
        <f t="shared" si="0"/>
        <v>0</v>
      </c>
      <c r="AQ14">
        <f t="shared" si="0"/>
        <v>0</v>
      </c>
      <c r="AR14">
        <f t="shared" si="0"/>
        <v>0</v>
      </c>
      <c r="AS14">
        <f t="shared" si="0"/>
        <v>0</v>
      </c>
      <c r="AT14">
        <f t="shared" si="0"/>
        <v>0</v>
      </c>
      <c r="AU14">
        <f t="shared" si="0"/>
        <v>0</v>
      </c>
      <c r="AZ14" t="str">
        <f>Sprache!$B$129</f>
        <v>Lt / g-value</v>
      </c>
      <c r="BR14" t="str">
        <f>Sprache!$B$129</f>
        <v>Lt / g-value</v>
      </c>
      <c r="BS14" t="s">
        <v>761</v>
      </c>
      <c r="BT14" t="s">
        <v>762</v>
      </c>
      <c r="BU14" t="s">
        <v>763</v>
      </c>
      <c r="BV14" t="s">
        <v>763</v>
      </c>
      <c r="BW14" t="s">
        <v>762</v>
      </c>
      <c r="BX14" t="s">
        <v>764</v>
      </c>
      <c r="BY14" t="s">
        <v>762</v>
      </c>
      <c r="BZ14" t="s">
        <v>764</v>
      </c>
      <c r="CG14" t="s">
        <v>749</v>
      </c>
    </row>
    <row r="15" spans="14:88" x14ac:dyDescent="0.2">
      <c r="N15">
        <v>-1</v>
      </c>
      <c r="O15">
        <v>58</v>
      </c>
      <c r="P15">
        <v>0.622</v>
      </c>
      <c r="Q15">
        <v>0.3</v>
      </c>
      <c r="S15">
        <f>ELEMENT!BF15</f>
        <v>0</v>
      </c>
      <c r="T15">
        <v>15</v>
      </c>
      <c r="U15">
        <v>20</v>
      </c>
      <c r="V15">
        <v>80</v>
      </c>
      <c r="W15">
        <v>5.5</v>
      </c>
      <c r="X15">
        <v>69.300000000000011</v>
      </c>
      <c r="Y15">
        <v>170</v>
      </c>
      <c r="Z15">
        <f t="shared" si="3"/>
        <v>57</v>
      </c>
      <c r="AA15">
        <f t="shared" si="4"/>
        <v>0.92199999999999993</v>
      </c>
      <c r="AB15">
        <v>4.0999999999999996</v>
      </c>
      <c r="AH15">
        <f t="shared" si="1"/>
        <v>0</v>
      </c>
      <c r="AI15">
        <f t="shared" si="0"/>
        <v>0</v>
      </c>
      <c r="AJ15">
        <f t="shared" si="0"/>
        <v>0</v>
      </c>
      <c r="AK15">
        <f t="shared" si="0"/>
        <v>0</v>
      </c>
      <c r="AL15">
        <f t="shared" si="0"/>
        <v>0</v>
      </c>
      <c r="AM15">
        <f t="shared" si="0"/>
        <v>0</v>
      </c>
      <c r="AN15">
        <f t="shared" si="0"/>
        <v>0</v>
      </c>
      <c r="AO15">
        <f t="shared" si="0"/>
        <v>0</v>
      </c>
      <c r="AP15">
        <f t="shared" si="0"/>
        <v>0</v>
      </c>
      <c r="AQ15">
        <f t="shared" si="0"/>
        <v>0</v>
      </c>
      <c r="AR15">
        <f t="shared" si="0"/>
        <v>0</v>
      </c>
      <c r="AS15">
        <f t="shared" si="0"/>
        <v>0</v>
      </c>
      <c r="AT15">
        <f t="shared" si="0"/>
        <v>0</v>
      </c>
      <c r="AU15">
        <f t="shared" si="0"/>
        <v>0</v>
      </c>
      <c r="AV15">
        <f>IF($AH$5=1,CF15,BN15)</f>
        <v>0</v>
      </c>
      <c r="AZ15">
        <f>ELEMENT!CU59</f>
        <v>0</v>
      </c>
      <c r="BP15" t="s">
        <v>730</v>
      </c>
      <c r="BR15" t="s">
        <v>156</v>
      </c>
      <c r="BS15">
        <v>10</v>
      </c>
      <c r="BT15">
        <v>55</v>
      </c>
      <c r="BU15">
        <v>32</v>
      </c>
      <c r="BV15">
        <v>50</v>
      </c>
      <c r="BW15">
        <v>35</v>
      </c>
      <c r="BX15">
        <v>65</v>
      </c>
      <c r="BY15">
        <v>68</v>
      </c>
      <c r="BZ15">
        <v>85</v>
      </c>
    </row>
    <row r="16" spans="14:88" x14ac:dyDescent="0.2">
      <c r="N16">
        <v>-1</v>
      </c>
      <c r="O16">
        <v>21</v>
      </c>
      <c r="P16">
        <v>0.29699999999999999</v>
      </c>
      <c r="Q16">
        <v>0.15</v>
      </c>
      <c r="S16">
        <f>ELEMENT!BF16</f>
        <v>0</v>
      </c>
      <c r="T16">
        <v>15</v>
      </c>
      <c r="U16">
        <v>5</v>
      </c>
      <c r="V16">
        <v>15</v>
      </c>
      <c r="W16">
        <v>5.5</v>
      </c>
      <c r="X16">
        <v>36.300000000000004</v>
      </c>
      <c r="Y16">
        <v>131</v>
      </c>
      <c r="Z16">
        <f t="shared" si="3"/>
        <v>20</v>
      </c>
      <c r="AA16">
        <f t="shared" si="4"/>
        <v>0.44699999999999995</v>
      </c>
      <c r="AB16">
        <v>1.2869999999999999</v>
      </c>
      <c r="AH16">
        <f t="shared" si="1"/>
        <v>0</v>
      </c>
      <c r="AI16">
        <f t="shared" si="0"/>
        <v>0</v>
      </c>
      <c r="AJ16">
        <f t="shared" si="0"/>
        <v>0</v>
      </c>
      <c r="AK16">
        <f t="shared" si="0"/>
        <v>0</v>
      </c>
      <c r="AL16">
        <f t="shared" si="0"/>
        <v>0</v>
      </c>
      <c r="AM16">
        <f t="shared" si="0"/>
        <v>0</v>
      </c>
      <c r="AN16">
        <f t="shared" si="0"/>
        <v>0</v>
      </c>
      <c r="AO16">
        <f t="shared" si="0"/>
        <v>0</v>
      </c>
      <c r="AP16">
        <f t="shared" si="0"/>
        <v>0</v>
      </c>
      <c r="AQ16">
        <f t="shared" si="0"/>
        <v>0</v>
      </c>
      <c r="AR16">
        <f t="shared" si="0"/>
        <v>0</v>
      </c>
      <c r="AS16">
        <f t="shared" si="0"/>
        <v>0</v>
      </c>
      <c r="AT16">
        <f t="shared" si="0"/>
        <v>0</v>
      </c>
      <c r="AU16">
        <f t="shared" si="0"/>
        <v>0</v>
      </c>
      <c r="AV16">
        <f>IF($AH$5=1,CF16,BN16)</f>
        <v>0</v>
      </c>
      <c r="AZ16">
        <f>ELEMENT!CU60</f>
        <v>0</v>
      </c>
      <c r="BP16" t="s">
        <v>729</v>
      </c>
      <c r="BR16">
        <v>0</v>
      </c>
      <c r="BS16">
        <v>8</v>
      </c>
      <c r="BT16">
        <v>49.1</v>
      </c>
      <c r="BU16">
        <v>26.55</v>
      </c>
      <c r="BV16">
        <v>56.39</v>
      </c>
      <c r="BW16">
        <v>24.82</v>
      </c>
      <c r="BX16">
        <v>43.31</v>
      </c>
      <c r="BY16">
        <v>27.97</v>
      </c>
      <c r="BZ16">
        <v>49.79</v>
      </c>
    </row>
    <row r="17" spans="14:85" x14ac:dyDescent="0.2">
      <c r="N17">
        <v>-1</v>
      </c>
      <c r="O17">
        <v>73</v>
      </c>
      <c r="P17">
        <v>0.82</v>
      </c>
      <c r="Q17">
        <v>0.3</v>
      </c>
      <c r="S17">
        <f>ELEMENT!BF17</f>
        <v>0</v>
      </c>
      <c r="T17">
        <v>15</v>
      </c>
      <c r="U17">
        <v>5</v>
      </c>
      <c r="V17">
        <v>25</v>
      </c>
      <c r="W17">
        <v>6.6000000000000005</v>
      </c>
      <c r="X17">
        <v>76</v>
      </c>
      <c r="Y17">
        <v>151</v>
      </c>
      <c r="Z17">
        <f t="shared" si="3"/>
        <v>72</v>
      </c>
      <c r="AA17">
        <f t="shared" si="4"/>
        <v>1.1199999999999999</v>
      </c>
      <c r="AB17">
        <v>4.1779999999999999</v>
      </c>
      <c r="AH17" t="str">
        <f t="shared" si="1"/>
        <v>Ug-value</v>
      </c>
      <c r="AI17">
        <f t="shared" si="0"/>
        <v>0</v>
      </c>
      <c r="AJ17">
        <f t="shared" si="0"/>
        <v>0</v>
      </c>
      <c r="AK17">
        <f t="shared" si="0"/>
        <v>0</v>
      </c>
      <c r="AL17">
        <f t="shared" si="0"/>
        <v>0</v>
      </c>
      <c r="AM17">
        <f t="shared" si="0"/>
        <v>0</v>
      </c>
      <c r="AN17">
        <f t="shared" si="0"/>
        <v>0</v>
      </c>
      <c r="AO17">
        <f t="shared" si="0"/>
        <v>0</v>
      </c>
      <c r="AP17">
        <f t="shared" si="0"/>
        <v>0</v>
      </c>
      <c r="AQ17">
        <f t="shared" si="0"/>
        <v>0</v>
      </c>
      <c r="AR17">
        <f t="shared" si="0"/>
        <v>0</v>
      </c>
      <c r="AS17">
        <f t="shared" si="0"/>
        <v>0</v>
      </c>
      <c r="AT17">
        <f t="shared" si="0"/>
        <v>0</v>
      </c>
      <c r="AU17">
        <f t="shared" si="0"/>
        <v>0</v>
      </c>
      <c r="AV17">
        <f>IF($AH$5=1,CF17,BN17)</f>
        <v>0</v>
      </c>
      <c r="AZ17" t="str">
        <f>Sprache!$B$114</f>
        <v>Ug-value</v>
      </c>
      <c r="BP17" t="s">
        <v>735</v>
      </c>
      <c r="BR17" t="str">
        <f>Sprache!$B$114</f>
        <v>Ug-value</v>
      </c>
      <c r="BS17">
        <v>1.1000000000000001</v>
      </c>
      <c r="BT17">
        <v>1.1000000000000001</v>
      </c>
      <c r="BU17">
        <v>1</v>
      </c>
      <c r="BV17">
        <v>1.1000000000000001</v>
      </c>
      <c r="BW17">
        <v>1.1000000000000001</v>
      </c>
      <c r="BX17">
        <v>1</v>
      </c>
      <c r="BY17">
        <v>1.1000000000000001</v>
      </c>
      <c r="BZ17">
        <v>1</v>
      </c>
      <c r="CF17" t="s">
        <v>913</v>
      </c>
      <c r="CG17" t="s">
        <v>724</v>
      </c>
    </row>
    <row r="18" spans="14:85" x14ac:dyDescent="0.2">
      <c r="S18">
        <f>ELEMENT!BF18</f>
        <v>0</v>
      </c>
      <c r="W18">
        <v>0</v>
      </c>
      <c r="X18">
        <v>0</v>
      </c>
      <c r="Y18">
        <v>0</v>
      </c>
      <c r="Z18">
        <f t="shared" si="3"/>
        <v>0</v>
      </c>
      <c r="AA18">
        <f t="shared" si="4"/>
        <v>0</v>
      </c>
      <c r="AH18">
        <f t="shared" si="1"/>
        <v>0</v>
      </c>
      <c r="AI18">
        <f t="shared" si="0"/>
        <v>0</v>
      </c>
      <c r="AJ18">
        <f t="shared" si="0"/>
        <v>0</v>
      </c>
      <c r="AK18">
        <f t="shared" si="0"/>
        <v>0</v>
      </c>
      <c r="AL18">
        <f t="shared" si="0"/>
        <v>0</v>
      </c>
      <c r="AM18">
        <f t="shared" si="0"/>
        <v>0</v>
      </c>
      <c r="AN18">
        <f t="shared" si="0"/>
        <v>0</v>
      </c>
      <c r="AO18">
        <f t="shared" si="0"/>
        <v>0</v>
      </c>
      <c r="AP18">
        <f t="shared" si="0"/>
        <v>0</v>
      </c>
      <c r="AQ18">
        <f t="shared" si="0"/>
        <v>0</v>
      </c>
      <c r="AR18">
        <f t="shared" si="0"/>
        <v>0</v>
      </c>
      <c r="AS18">
        <f t="shared" si="0"/>
        <v>0</v>
      </c>
      <c r="AT18">
        <f t="shared" si="0"/>
        <v>0</v>
      </c>
      <c r="AU18">
        <f t="shared" si="0"/>
        <v>0</v>
      </c>
      <c r="AV18">
        <f>IF($AH$5=1,CF18,BN18)</f>
        <v>0</v>
      </c>
      <c r="AZ18">
        <f>ELEMENT!CU62</f>
        <v>0</v>
      </c>
      <c r="BR18" t="s">
        <v>154</v>
      </c>
      <c r="BS18">
        <v>30</v>
      </c>
      <c r="BT18">
        <v>40</v>
      </c>
      <c r="BU18">
        <v>35</v>
      </c>
      <c r="BV18">
        <v>40</v>
      </c>
      <c r="BW18">
        <v>36.9</v>
      </c>
      <c r="BX18">
        <v>41.9</v>
      </c>
      <c r="BY18">
        <v>36.9</v>
      </c>
      <c r="BZ18">
        <v>41.9</v>
      </c>
      <c r="CG18" t="s">
        <v>726</v>
      </c>
    </row>
    <row r="19" spans="14:85" x14ac:dyDescent="0.2">
      <c r="N19">
        <v>-2</v>
      </c>
      <c r="O19">
        <v>122</v>
      </c>
      <c r="P19">
        <v>0.42599999999999999</v>
      </c>
      <c r="Q19">
        <v>0.3</v>
      </c>
      <c r="S19">
        <f>ELEMENT!BF19</f>
        <v>0</v>
      </c>
      <c r="T19">
        <v>15</v>
      </c>
      <c r="U19">
        <v>5</v>
      </c>
      <c r="V19">
        <v>25</v>
      </c>
      <c r="W19">
        <v>11</v>
      </c>
      <c r="X19">
        <v>35.75</v>
      </c>
      <c r="Y19">
        <v>17</v>
      </c>
      <c r="Z19">
        <f t="shared" si="3"/>
        <v>120</v>
      </c>
      <c r="AA19">
        <f t="shared" si="4"/>
        <v>0.72599999999999998</v>
      </c>
      <c r="AB19">
        <v>1.9</v>
      </c>
      <c r="AH19" t="str">
        <f t="shared" si="1"/>
        <v>Lt / g-value</v>
      </c>
      <c r="AI19">
        <f t="shared" si="0"/>
        <v>0</v>
      </c>
      <c r="AJ19">
        <f t="shared" si="0"/>
        <v>0</v>
      </c>
      <c r="AK19">
        <f t="shared" si="0"/>
        <v>0</v>
      </c>
      <c r="AL19">
        <f t="shared" si="0"/>
        <v>0</v>
      </c>
      <c r="AM19">
        <f t="shared" si="0"/>
        <v>0</v>
      </c>
      <c r="AN19">
        <f t="shared" si="0"/>
        <v>0</v>
      </c>
      <c r="AO19">
        <f t="shared" si="0"/>
        <v>0</v>
      </c>
      <c r="AP19">
        <f t="shared" si="0"/>
        <v>0</v>
      </c>
      <c r="AQ19">
        <f t="shared" si="0"/>
        <v>0</v>
      </c>
      <c r="AR19">
        <f t="shared" si="0"/>
        <v>0</v>
      </c>
      <c r="AS19">
        <f t="shared" si="0"/>
        <v>0</v>
      </c>
      <c r="AT19">
        <f t="shared" si="0"/>
        <v>0</v>
      </c>
      <c r="AU19">
        <f t="shared" si="0"/>
        <v>0</v>
      </c>
      <c r="AZ19" t="str">
        <f>Sprache!$B$129</f>
        <v>Lt / g-value</v>
      </c>
      <c r="BP19">
        <v>6</v>
      </c>
      <c r="BQ19" t="s">
        <v>751</v>
      </c>
      <c r="BR19" t="str">
        <f>Sprache!$B$129</f>
        <v>Lt / g-value</v>
      </c>
      <c r="BS19" t="s">
        <v>765</v>
      </c>
      <c r="BT19" t="s">
        <v>766</v>
      </c>
      <c r="BU19" t="s">
        <v>766</v>
      </c>
      <c r="BV19" t="s">
        <v>766</v>
      </c>
      <c r="BW19" t="s">
        <v>765</v>
      </c>
      <c r="BX19" t="s">
        <v>765</v>
      </c>
      <c r="BY19" t="s">
        <v>765</v>
      </c>
      <c r="BZ19" t="s">
        <v>765</v>
      </c>
      <c r="CG19" t="s">
        <v>750</v>
      </c>
    </row>
    <row r="20" spans="14:85" x14ac:dyDescent="0.2">
      <c r="S20">
        <f>ELEMENT!BF20</f>
        <v>0</v>
      </c>
      <c r="W20">
        <v>0</v>
      </c>
      <c r="X20">
        <v>0</v>
      </c>
      <c r="Z20">
        <f t="shared" si="3"/>
        <v>0</v>
      </c>
      <c r="AA20">
        <f t="shared" si="4"/>
        <v>0</v>
      </c>
      <c r="AH20">
        <f t="shared" si="1"/>
        <v>0</v>
      </c>
      <c r="AI20">
        <f t="shared" si="0"/>
        <v>0</v>
      </c>
      <c r="AJ20">
        <f t="shared" si="0"/>
        <v>0</v>
      </c>
      <c r="AK20">
        <f t="shared" si="0"/>
        <v>0</v>
      </c>
      <c r="AL20">
        <f t="shared" si="0"/>
        <v>0</v>
      </c>
      <c r="AM20">
        <f t="shared" si="0"/>
        <v>0</v>
      </c>
      <c r="AN20">
        <f t="shared" si="0"/>
        <v>0</v>
      </c>
      <c r="AO20">
        <f t="shared" si="0"/>
        <v>0</v>
      </c>
      <c r="AP20">
        <f t="shared" si="0"/>
        <v>0</v>
      </c>
      <c r="AQ20">
        <f t="shared" si="0"/>
        <v>0</v>
      </c>
      <c r="AR20">
        <f t="shared" si="0"/>
        <v>0</v>
      </c>
      <c r="AS20">
        <f t="shared" si="0"/>
        <v>0</v>
      </c>
      <c r="AT20">
        <f t="shared" si="0"/>
        <v>0</v>
      </c>
      <c r="AU20">
        <f t="shared" si="0"/>
        <v>0</v>
      </c>
      <c r="AV20">
        <f>IF($AH$5=1,CF20,BN20)</f>
        <v>0</v>
      </c>
      <c r="AZ20">
        <f>ELEMENT!CU64</f>
        <v>0</v>
      </c>
      <c r="BP20" t="s">
        <v>730</v>
      </c>
      <c r="BR20" t="s">
        <v>156</v>
      </c>
      <c r="BS20">
        <v>45</v>
      </c>
      <c r="BT20">
        <v>64.900000000000006</v>
      </c>
      <c r="BU20">
        <v>56.61</v>
      </c>
      <c r="BV20">
        <v>63.25</v>
      </c>
      <c r="BW20">
        <v>83.16</v>
      </c>
      <c r="BX20">
        <v>113.42</v>
      </c>
      <c r="BY20">
        <v>115.82</v>
      </c>
      <c r="BZ20">
        <v>115.82</v>
      </c>
      <c r="CG20" t="s">
        <v>906</v>
      </c>
    </row>
    <row r="21" spans="14:85" x14ac:dyDescent="0.2">
      <c r="S21">
        <f>ELEMENT!BF21</f>
        <v>0</v>
      </c>
      <c r="W21">
        <v>0</v>
      </c>
      <c r="X21">
        <v>0</v>
      </c>
      <c r="Z21">
        <f t="shared" si="3"/>
        <v>0</v>
      </c>
      <c r="AA21">
        <f t="shared" si="4"/>
        <v>0</v>
      </c>
      <c r="AH21">
        <f t="shared" si="1"/>
        <v>0</v>
      </c>
      <c r="AI21">
        <f t="shared" si="0"/>
        <v>0</v>
      </c>
      <c r="AJ21">
        <f t="shared" si="0"/>
        <v>0</v>
      </c>
      <c r="AK21">
        <f t="shared" si="0"/>
        <v>0</v>
      </c>
      <c r="AL21">
        <f t="shared" si="0"/>
        <v>0</v>
      </c>
      <c r="AM21">
        <f t="shared" si="0"/>
        <v>0</v>
      </c>
      <c r="AN21">
        <f t="shared" si="0"/>
        <v>0</v>
      </c>
      <c r="AO21">
        <f t="shared" si="0"/>
        <v>0</v>
      </c>
      <c r="AP21">
        <f t="shared" si="0"/>
        <v>0</v>
      </c>
      <c r="AQ21">
        <f t="shared" si="0"/>
        <v>0</v>
      </c>
      <c r="AR21">
        <f t="shared" si="0"/>
        <v>0</v>
      </c>
      <c r="AS21">
        <f t="shared" si="0"/>
        <v>0</v>
      </c>
      <c r="AT21">
        <f t="shared" si="0"/>
        <v>0</v>
      </c>
      <c r="AU21">
        <f t="shared" si="0"/>
        <v>0</v>
      </c>
      <c r="AV21">
        <f>IF($AH$5=1,CF21,BN21)</f>
        <v>0</v>
      </c>
      <c r="AZ21">
        <f>ELEMENT!CU65</f>
        <v>0</v>
      </c>
      <c r="BP21" t="s">
        <v>729</v>
      </c>
      <c r="BR21">
        <v>0</v>
      </c>
      <c r="BS21">
        <v>39</v>
      </c>
      <c r="BT21">
        <v>58.9</v>
      </c>
      <c r="BU21">
        <v>50.61</v>
      </c>
      <c r="BV21">
        <v>57.25</v>
      </c>
      <c r="BW21">
        <v>77.16</v>
      </c>
      <c r="BX21">
        <v>107.42</v>
      </c>
      <c r="BY21">
        <v>109.82</v>
      </c>
      <c r="BZ21">
        <v>109.82</v>
      </c>
    </row>
    <row r="22" spans="14:85" x14ac:dyDescent="0.2">
      <c r="S22">
        <f>ELEMENT!BF22</f>
        <v>0</v>
      </c>
      <c r="W22">
        <v>0</v>
      </c>
      <c r="X22">
        <v>0</v>
      </c>
      <c r="Z22">
        <f t="shared" si="3"/>
        <v>0</v>
      </c>
      <c r="AA22">
        <f t="shared" si="4"/>
        <v>0</v>
      </c>
      <c r="AH22">
        <f t="shared" ref="AH22:AH44" si="5">IF($AH$5=1,BR22,AZ22)</f>
        <v>0</v>
      </c>
      <c r="AI22">
        <f t="shared" si="0"/>
        <v>0</v>
      </c>
      <c r="AJ22">
        <f t="shared" si="0"/>
        <v>0</v>
      </c>
      <c r="AK22">
        <f t="shared" si="0"/>
        <v>0</v>
      </c>
      <c r="AL22">
        <f t="shared" si="0"/>
        <v>0</v>
      </c>
      <c r="AM22">
        <f t="shared" si="0"/>
        <v>0</v>
      </c>
      <c r="AN22">
        <f t="shared" si="0"/>
        <v>0</v>
      </c>
      <c r="AO22">
        <f t="shared" si="0"/>
        <v>0</v>
      </c>
      <c r="AP22">
        <f t="shared" si="0"/>
        <v>0</v>
      </c>
      <c r="AQ22">
        <f t="shared" si="0"/>
        <v>0</v>
      </c>
      <c r="AR22">
        <f t="shared" si="0"/>
        <v>0</v>
      </c>
      <c r="AS22">
        <f t="shared" si="0"/>
        <v>0</v>
      </c>
      <c r="AT22">
        <f t="shared" si="0"/>
        <v>0</v>
      </c>
      <c r="AU22">
        <f t="shared" si="0"/>
        <v>0</v>
      </c>
      <c r="AV22">
        <f>IF($AH$5=1,CF22,BN22)</f>
        <v>0</v>
      </c>
      <c r="AZ22">
        <f>ELEMENT!CU66</f>
        <v>0</v>
      </c>
      <c r="BP22" t="s">
        <v>735</v>
      </c>
      <c r="BR22" t="s">
        <v>46</v>
      </c>
    </row>
    <row r="23" spans="14:85" x14ac:dyDescent="0.2">
      <c r="N23">
        <v>-2</v>
      </c>
      <c r="O23">
        <v>58</v>
      </c>
      <c r="P23">
        <v>0.622</v>
      </c>
      <c r="Q23">
        <v>0.3</v>
      </c>
      <c r="S23">
        <f>ELEMENT!BF23</f>
        <v>0</v>
      </c>
      <c r="T23">
        <v>15</v>
      </c>
      <c r="U23">
        <v>20</v>
      </c>
      <c r="V23">
        <v>90</v>
      </c>
      <c r="W23">
        <v>5.5</v>
      </c>
      <c r="X23">
        <v>69.300000000000011</v>
      </c>
      <c r="Y23">
        <v>170</v>
      </c>
      <c r="Z23">
        <f t="shared" si="3"/>
        <v>56</v>
      </c>
      <c r="AA23">
        <f t="shared" si="4"/>
        <v>0.92199999999999993</v>
      </c>
      <c r="AB23">
        <v>4.0999999999999996</v>
      </c>
      <c r="AH23">
        <f t="shared" si="5"/>
        <v>0</v>
      </c>
      <c r="AI23">
        <f t="shared" si="0"/>
        <v>0</v>
      </c>
      <c r="AJ23">
        <f t="shared" si="0"/>
        <v>0</v>
      </c>
      <c r="AK23">
        <f t="shared" si="0"/>
        <v>0</v>
      </c>
      <c r="AL23">
        <f t="shared" si="0"/>
        <v>0</v>
      </c>
      <c r="AM23">
        <f t="shared" si="0"/>
        <v>0</v>
      </c>
      <c r="AN23">
        <f t="shared" si="0"/>
        <v>0</v>
      </c>
      <c r="AO23">
        <f t="shared" si="0"/>
        <v>0</v>
      </c>
      <c r="AP23">
        <f t="shared" si="0"/>
        <v>0</v>
      </c>
      <c r="AQ23">
        <f t="shared" si="0"/>
        <v>0</v>
      </c>
      <c r="AR23">
        <f t="shared" si="0"/>
        <v>0</v>
      </c>
      <c r="AS23">
        <f t="shared" si="0"/>
        <v>0</v>
      </c>
      <c r="AT23">
        <f t="shared" si="0"/>
        <v>0</v>
      </c>
      <c r="AU23">
        <f t="shared" si="0"/>
        <v>0</v>
      </c>
      <c r="AV23">
        <f>IF($AH$5=1,CF23,BN23)</f>
        <v>0</v>
      </c>
      <c r="AZ23">
        <f>ELEMENT!CU67</f>
        <v>0</v>
      </c>
      <c r="BR23" t="s">
        <v>154</v>
      </c>
    </row>
    <row r="24" spans="14:85" x14ac:dyDescent="0.2">
      <c r="N24">
        <v>-1</v>
      </c>
      <c r="O24">
        <v>21</v>
      </c>
      <c r="P24">
        <v>0.29699999999999999</v>
      </c>
      <c r="Q24">
        <v>0.15</v>
      </c>
      <c r="S24">
        <f>ELEMENT!BF24</f>
        <v>0</v>
      </c>
      <c r="T24">
        <v>15</v>
      </c>
      <c r="U24">
        <v>10</v>
      </c>
      <c r="V24">
        <v>15</v>
      </c>
      <c r="W24">
        <v>5.5</v>
      </c>
      <c r="X24">
        <v>36.300000000000004</v>
      </c>
      <c r="Y24">
        <v>131</v>
      </c>
      <c r="Z24">
        <f t="shared" si="3"/>
        <v>20</v>
      </c>
      <c r="AA24">
        <f t="shared" si="4"/>
        <v>0.44699999999999995</v>
      </c>
      <c r="AB24">
        <v>1.2869999999999999</v>
      </c>
      <c r="AH24">
        <f t="shared" si="5"/>
        <v>0</v>
      </c>
      <c r="AI24">
        <f t="shared" si="0"/>
        <v>0</v>
      </c>
      <c r="AJ24">
        <f t="shared" si="0"/>
        <v>0</v>
      </c>
      <c r="AK24">
        <f t="shared" si="0"/>
        <v>0</v>
      </c>
      <c r="AL24">
        <f t="shared" si="0"/>
        <v>0</v>
      </c>
      <c r="AM24">
        <f t="shared" si="0"/>
        <v>0</v>
      </c>
      <c r="AN24">
        <f t="shared" si="0"/>
        <v>0</v>
      </c>
      <c r="AO24">
        <f t="shared" si="0"/>
        <v>0</v>
      </c>
      <c r="AP24">
        <f t="shared" si="0"/>
        <v>0</v>
      </c>
      <c r="AQ24">
        <f t="shared" ref="AM24:AU39" si="6">IF($AH$5=1,CA24,BI24)</f>
        <v>0</v>
      </c>
      <c r="AR24">
        <f t="shared" si="6"/>
        <v>0</v>
      </c>
      <c r="AS24">
        <f t="shared" si="6"/>
        <v>0</v>
      </c>
      <c r="AT24">
        <f t="shared" si="6"/>
        <v>0</v>
      </c>
      <c r="AU24">
        <f t="shared" si="6"/>
        <v>0</v>
      </c>
      <c r="AZ24">
        <f>ELEMENT!CU68</f>
        <v>0</v>
      </c>
      <c r="BR24" t="s">
        <v>155</v>
      </c>
    </row>
    <row r="25" spans="14:85" x14ac:dyDescent="0.2">
      <c r="N25">
        <v>-2</v>
      </c>
      <c r="O25">
        <v>110</v>
      </c>
      <c r="P25">
        <v>0.874</v>
      </c>
      <c r="Q25">
        <v>0.3</v>
      </c>
      <c r="S25">
        <f>ELEMENT!BF25</f>
        <v>0</v>
      </c>
      <c r="T25">
        <v>15</v>
      </c>
      <c r="U25">
        <v>10</v>
      </c>
      <c r="V25">
        <v>25</v>
      </c>
      <c r="W25">
        <v>6.6000000000000005</v>
      </c>
      <c r="X25">
        <v>96</v>
      </c>
      <c r="Y25">
        <v>167</v>
      </c>
      <c r="Z25">
        <f t="shared" si="3"/>
        <v>108</v>
      </c>
      <c r="AA25">
        <f t="shared" si="4"/>
        <v>1.1739999999999999</v>
      </c>
      <c r="AB25">
        <v>9.8000000000000007</v>
      </c>
      <c r="AH25">
        <f t="shared" si="5"/>
        <v>0</v>
      </c>
      <c r="AI25">
        <f t="shared" ref="AI25:AV53" si="7">IF($AH$5=1,BS25,BA25)</f>
        <v>0</v>
      </c>
      <c r="AJ25">
        <f t="shared" si="7"/>
        <v>0</v>
      </c>
      <c r="AK25">
        <f t="shared" si="7"/>
        <v>0</v>
      </c>
      <c r="AL25">
        <f t="shared" si="7"/>
        <v>0</v>
      </c>
      <c r="AM25">
        <f t="shared" si="6"/>
        <v>0</v>
      </c>
      <c r="AN25">
        <f t="shared" si="6"/>
        <v>0</v>
      </c>
      <c r="AO25">
        <f t="shared" si="6"/>
        <v>0</v>
      </c>
      <c r="AP25">
        <f t="shared" si="6"/>
        <v>0</v>
      </c>
      <c r="AQ25">
        <f t="shared" si="6"/>
        <v>0</v>
      </c>
      <c r="AR25">
        <f t="shared" si="6"/>
        <v>0</v>
      </c>
      <c r="AS25">
        <f t="shared" si="6"/>
        <v>0</v>
      </c>
      <c r="AT25">
        <f t="shared" si="6"/>
        <v>0</v>
      </c>
      <c r="AU25">
        <f t="shared" si="6"/>
        <v>0</v>
      </c>
      <c r="AV25">
        <f>IF($AH$5=1,CF25,BN25)</f>
        <v>0</v>
      </c>
      <c r="AZ25">
        <f>ELEMENT!CU69</f>
        <v>0</v>
      </c>
      <c r="BR25" t="s">
        <v>156</v>
      </c>
    </row>
    <row r="26" spans="14:85" x14ac:dyDescent="0.2">
      <c r="S26">
        <f>ELEMENT!BF26</f>
        <v>0</v>
      </c>
      <c r="W26">
        <v>0</v>
      </c>
      <c r="X26">
        <v>0</v>
      </c>
      <c r="Z26">
        <f t="shared" si="3"/>
        <v>0</v>
      </c>
      <c r="AA26">
        <f t="shared" si="4"/>
        <v>0</v>
      </c>
      <c r="AH26">
        <f t="shared" si="5"/>
        <v>0</v>
      </c>
      <c r="AI26">
        <f t="shared" si="7"/>
        <v>0</v>
      </c>
      <c r="AJ26">
        <f t="shared" si="7"/>
        <v>0</v>
      </c>
      <c r="AK26">
        <f t="shared" si="7"/>
        <v>0</v>
      </c>
      <c r="AL26">
        <f t="shared" si="7"/>
        <v>0</v>
      </c>
      <c r="AM26">
        <f t="shared" si="6"/>
        <v>0</v>
      </c>
      <c r="AN26">
        <f t="shared" si="6"/>
        <v>0</v>
      </c>
      <c r="AO26">
        <f t="shared" si="6"/>
        <v>0</v>
      </c>
      <c r="AP26">
        <f t="shared" si="6"/>
        <v>0</v>
      </c>
      <c r="AQ26">
        <f t="shared" si="6"/>
        <v>0</v>
      </c>
      <c r="AR26">
        <f t="shared" si="6"/>
        <v>0</v>
      </c>
      <c r="AS26">
        <f t="shared" si="6"/>
        <v>0</v>
      </c>
      <c r="AT26">
        <f t="shared" si="6"/>
        <v>0</v>
      </c>
      <c r="AU26">
        <f t="shared" si="6"/>
        <v>0</v>
      </c>
      <c r="AV26">
        <f>IF($AH$5=1,CF26,BN26)</f>
        <v>0</v>
      </c>
      <c r="AZ26">
        <f>ELEMENT!CU70</f>
        <v>0</v>
      </c>
      <c r="BR26">
        <v>0</v>
      </c>
    </row>
    <row r="27" spans="14:85" x14ac:dyDescent="0.2">
      <c r="N27">
        <v>-2</v>
      </c>
      <c r="O27">
        <v>58</v>
      </c>
      <c r="P27">
        <v>0.5</v>
      </c>
      <c r="Q27">
        <v>0.3</v>
      </c>
      <c r="S27">
        <f>ELEMENT!BF27</f>
        <v>0</v>
      </c>
      <c r="T27">
        <v>15</v>
      </c>
      <c r="U27">
        <v>10</v>
      </c>
      <c r="V27">
        <v>35</v>
      </c>
      <c r="W27">
        <v>16.5</v>
      </c>
      <c r="X27">
        <v>55.000000000000007</v>
      </c>
      <c r="Y27">
        <v>29</v>
      </c>
      <c r="Z27">
        <f t="shared" si="3"/>
        <v>56</v>
      </c>
      <c r="AA27">
        <f t="shared" si="4"/>
        <v>0.8</v>
      </c>
      <c r="AB27">
        <v>8.6999999999999993</v>
      </c>
      <c r="AH27">
        <f t="shared" si="5"/>
        <v>0</v>
      </c>
      <c r="AI27">
        <f t="shared" si="7"/>
        <v>0</v>
      </c>
      <c r="AJ27">
        <f t="shared" si="7"/>
        <v>0</v>
      </c>
      <c r="AK27">
        <f t="shared" si="7"/>
        <v>0</v>
      </c>
      <c r="AL27">
        <f t="shared" si="7"/>
        <v>0</v>
      </c>
      <c r="AM27">
        <f t="shared" si="6"/>
        <v>0</v>
      </c>
      <c r="AN27">
        <f t="shared" si="6"/>
        <v>0</v>
      </c>
      <c r="AO27">
        <f t="shared" si="6"/>
        <v>0</v>
      </c>
      <c r="AP27">
        <f t="shared" si="6"/>
        <v>0</v>
      </c>
      <c r="AQ27">
        <f t="shared" si="6"/>
        <v>0</v>
      </c>
      <c r="AR27">
        <f t="shared" si="6"/>
        <v>0</v>
      </c>
      <c r="AS27">
        <f t="shared" si="6"/>
        <v>0</v>
      </c>
      <c r="AT27">
        <f t="shared" si="6"/>
        <v>0</v>
      </c>
      <c r="AU27">
        <f t="shared" si="6"/>
        <v>0</v>
      </c>
      <c r="AV27">
        <f>IF($AH$5=1,CF27,BN27)</f>
        <v>0</v>
      </c>
      <c r="AZ27">
        <f>ELEMENT!CU71</f>
        <v>0</v>
      </c>
      <c r="BR27" t="s">
        <v>46</v>
      </c>
    </row>
    <row r="28" spans="14:85" x14ac:dyDescent="0.2">
      <c r="S28">
        <f>ELEMENT!BF28</f>
        <v>0</v>
      </c>
      <c r="AH28">
        <f t="shared" si="5"/>
        <v>0</v>
      </c>
      <c r="AI28">
        <f t="shared" si="7"/>
        <v>0</v>
      </c>
      <c r="AJ28">
        <f t="shared" si="7"/>
        <v>0</v>
      </c>
      <c r="AK28">
        <f t="shared" si="7"/>
        <v>0</v>
      </c>
      <c r="AL28">
        <f t="shared" si="7"/>
        <v>0</v>
      </c>
      <c r="AM28">
        <f t="shared" si="6"/>
        <v>0</v>
      </c>
      <c r="AN28">
        <f t="shared" si="6"/>
        <v>0</v>
      </c>
      <c r="AO28">
        <f t="shared" si="6"/>
        <v>0</v>
      </c>
      <c r="AP28">
        <f t="shared" si="6"/>
        <v>0</v>
      </c>
      <c r="AQ28">
        <f t="shared" si="6"/>
        <v>0</v>
      </c>
      <c r="AR28">
        <f t="shared" si="6"/>
        <v>0</v>
      </c>
      <c r="AS28">
        <f t="shared" si="6"/>
        <v>0</v>
      </c>
      <c r="AT28">
        <f t="shared" si="6"/>
        <v>0</v>
      </c>
      <c r="AU28">
        <f t="shared" si="6"/>
        <v>0</v>
      </c>
      <c r="AV28">
        <f>IF($AH$5=1,CF28,BN28)</f>
        <v>0</v>
      </c>
      <c r="AZ28">
        <f>ELEMENT!CU72</f>
        <v>0</v>
      </c>
      <c r="BR28" t="s">
        <v>154</v>
      </c>
    </row>
    <row r="29" spans="14:85" x14ac:dyDescent="0.2">
      <c r="S29">
        <f>ELEMENT!BF29</f>
        <v>0</v>
      </c>
      <c r="AH29">
        <f t="shared" si="5"/>
        <v>0</v>
      </c>
      <c r="AI29">
        <f t="shared" si="7"/>
        <v>0</v>
      </c>
      <c r="AJ29">
        <f t="shared" si="7"/>
        <v>0</v>
      </c>
      <c r="AK29">
        <f t="shared" si="7"/>
        <v>0</v>
      </c>
      <c r="AL29">
        <f t="shared" si="7"/>
        <v>0</v>
      </c>
      <c r="AM29">
        <f t="shared" si="6"/>
        <v>0</v>
      </c>
      <c r="AN29">
        <f t="shared" si="6"/>
        <v>0</v>
      </c>
      <c r="AO29">
        <f t="shared" si="6"/>
        <v>0</v>
      </c>
      <c r="AP29">
        <f t="shared" si="6"/>
        <v>0</v>
      </c>
      <c r="AQ29">
        <f t="shared" si="6"/>
        <v>0</v>
      </c>
      <c r="AR29">
        <f t="shared" si="6"/>
        <v>0</v>
      </c>
      <c r="AS29">
        <f t="shared" si="6"/>
        <v>0</v>
      </c>
      <c r="AT29">
        <f t="shared" si="6"/>
        <v>0</v>
      </c>
      <c r="AU29">
        <f t="shared" si="6"/>
        <v>0</v>
      </c>
      <c r="AZ29">
        <f>ELEMENT!CU73</f>
        <v>0</v>
      </c>
      <c r="BR29" t="s">
        <v>155</v>
      </c>
    </row>
    <row r="30" spans="14:85" x14ac:dyDescent="0.2">
      <c r="S30">
        <f>ELEMENT!BF30</f>
        <v>0</v>
      </c>
      <c r="AH30">
        <f t="shared" si="5"/>
        <v>0</v>
      </c>
      <c r="AI30">
        <f t="shared" si="7"/>
        <v>0</v>
      </c>
      <c r="AJ30">
        <f t="shared" si="7"/>
        <v>0</v>
      </c>
      <c r="AK30">
        <f t="shared" si="7"/>
        <v>0</v>
      </c>
      <c r="AL30">
        <f t="shared" si="7"/>
        <v>0</v>
      </c>
      <c r="AM30">
        <f t="shared" si="6"/>
        <v>0</v>
      </c>
      <c r="AN30">
        <f t="shared" si="6"/>
        <v>0</v>
      </c>
      <c r="AO30">
        <f t="shared" si="6"/>
        <v>0</v>
      </c>
      <c r="AP30">
        <f t="shared" si="6"/>
        <v>0</v>
      </c>
      <c r="AQ30">
        <f t="shared" si="6"/>
        <v>0</v>
      </c>
      <c r="AR30">
        <f t="shared" si="6"/>
        <v>0</v>
      </c>
      <c r="AS30">
        <f t="shared" si="6"/>
        <v>0</v>
      </c>
      <c r="AT30">
        <f t="shared" si="6"/>
        <v>0</v>
      </c>
      <c r="AU30">
        <f t="shared" si="6"/>
        <v>0</v>
      </c>
      <c r="AV30">
        <f>IF($AH$5=1,CF30,BN30)</f>
        <v>0</v>
      </c>
      <c r="AZ30">
        <f>ELEMENT!CU74</f>
        <v>0</v>
      </c>
      <c r="BR30" t="s">
        <v>156</v>
      </c>
    </row>
    <row r="31" spans="14:85" x14ac:dyDescent="0.2">
      <c r="S31">
        <f>ELEMENT!BF31</f>
        <v>37365</v>
      </c>
      <c r="T31">
        <f>CI47</f>
        <v>0</v>
      </c>
      <c r="U31">
        <f t="shared" ref="U31:AB32" si="8">CJ47</f>
        <v>0</v>
      </c>
      <c r="V31">
        <f t="shared" si="8"/>
        <v>0</v>
      </c>
      <c r="W31">
        <f t="shared" si="8"/>
        <v>0</v>
      </c>
      <c r="X31">
        <f t="shared" si="8"/>
        <v>0</v>
      </c>
      <c r="Y31">
        <f t="shared" si="8"/>
        <v>0</v>
      </c>
      <c r="Z31">
        <f t="shared" si="8"/>
        <v>0</v>
      </c>
      <c r="AB31">
        <f t="shared" si="8"/>
        <v>0</v>
      </c>
      <c r="AH31">
        <f t="shared" si="5"/>
        <v>0</v>
      </c>
      <c r="AI31">
        <f t="shared" si="7"/>
        <v>0</v>
      </c>
      <c r="AJ31">
        <f t="shared" si="7"/>
        <v>0</v>
      </c>
      <c r="AK31">
        <f t="shared" si="7"/>
        <v>0</v>
      </c>
      <c r="AL31">
        <f t="shared" si="7"/>
        <v>0</v>
      </c>
      <c r="AM31">
        <f t="shared" si="6"/>
        <v>0</v>
      </c>
      <c r="AN31">
        <f t="shared" si="6"/>
        <v>0</v>
      </c>
      <c r="AO31">
        <f t="shared" si="6"/>
        <v>0</v>
      </c>
      <c r="AP31">
        <f t="shared" si="6"/>
        <v>0</v>
      </c>
      <c r="AQ31">
        <f t="shared" si="6"/>
        <v>0</v>
      </c>
      <c r="AR31">
        <f t="shared" si="6"/>
        <v>0</v>
      </c>
      <c r="AS31">
        <f t="shared" si="6"/>
        <v>0</v>
      </c>
      <c r="AT31">
        <f t="shared" si="6"/>
        <v>0</v>
      </c>
      <c r="AU31">
        <f t="shared" si="6"/>
        <v>0</v>
      </c>
      <c r="AV31">
        <f>IF($AH$5=1,CF31,BN31)</f>
        <v>0</v>
      </c>
      <c r="AZ31">
        <f>ELEMENT!CU75</f>
        <v>0</v>
      </c>
      <c r="BR31">
        <v>0</v>
      </c>
    </row>
    <row r="32" spans="14:85" x14ac:dyDescent="0.2">
      <c r="S32">
        <f ca="1">ELEMENT!BF32</f>
        <v>0</v>
      </c>
      <c r="X32">
        <f t="shared" si="8"/>
        <v>0</v>
      </c>
      <c r="Y32">
        <f t="shared" si="8"/>
        <v>0</v>
      </c>
      <c r="AH32">
        <f t="shared" si="5"/>
        <v>0</v>
      </c>
      <c r="AI32">
        <f t="shared" si="7"/>
        <v>0</v>
      </c>
      <c r="AJ32">
        <f t="shared" si="7"/>
        <v>0</v>
      </c>
      <c r="AK32">
        <f t="shared" si="7"/>
        <v>0</v>
      </c>
      <c r="AL32">
        <f t="shared" si="7"/>
        <v>0</v>
      </c>
      <c r="AM32">
        <f t="shared" si="6"/>
        <v>0</v>
      </c>
      <c r="AN32">
        <f t="shared" si="6"/>
        <v>0</v>
      </c>
      <c r="AO32">
        <f t="shared" si="6"/>
        <v>0</v>
      </c>
      <c r="AP32">
        <f t="shared" si="6"/>
        <v>0</v>
      </c>
      <c r="AQ32">
        <f t="shared" si="6"/>
        <v>0</v>
      </c>
      <c r="AR32">
        <f t="shared" si="6"/>
        <v>0</v>
      </c>
      <c r="AS32">
        <f t="shared" si="6"/>
        <v>0</v>
      </c>
      <c r="AT32">
        <f t="shared" si="6"/>
        <v>0</v>
      </c>
      <c r="AU32">
        <f t="shared" si="6"/>
        <v>0</v>
      </c>
      <c r="AV32">
        <f>IF($AH$5=1,CF32,BN32)</f>
        <v>0</v>
      </c>
      <c r="AZ32">
        <f>ELEMENT!CU76</f>
        <v>0</v>
      </c>
      <c r="BR32" t="s">
        <v>46</v>
      </c>
    </row>
    <row r="33" spans="14:78" x14ac:dyDescent="0.2">
      <c r="S33">
        <f>ELEMENT!BF33</f>
        <v>0</v>
      </c>
      <c r="AH33">
        <f t="shared" si="5"/>
        <v>0</v>
      </c>
      <c r="AI33">
        <f t="shared" si="7"/>
        <v>0</v>
      </c>
      <c r="AJ33">
        <f t="shared" si="7"/>
        <v>0</v>
      </c>
      <c r="AK33">
        <f t="shared" si="7"/>
        <v>0</v>
      </c>
      <c r="AL33">
        <f t="shared" si="7"/>
        <v>0</v>
      </c>
      <c r="AM33">
        <f t="shared" si="6"/>
        <v>0</v>
      </c>
      <c r="AN33">
        <f t="shared" si="6"/>
        <v>0</v>
      </c>
      <c r="AO33">
        <f t="shared" si="6"/>
        <v>0</v>
      </c>
      <c r="AP33">
        <f t="shared" si="6"/>
        <v>0</v>
      </c>
      <c r="AQ33">
        <f t="shared" si="6"/>
        <v>0</v>
      </c>
      <c r="AR33">
        <f t="shared" si="6"/>
        <v>0</v>
      </c>
      <c r="AS33">
        <f t="shared" si="6"/>
        <v>0</v>
      </c>
      <c r="AT33">
        <f t="shared" si="6"/>
        <v>0</v>
      </c>
      <c r="AU33">
        <f t="shared" si="6"/>
        <v>0</v>
      </c>
      <c r="AV33">
        <f>IF($AH$5=1,CF33,BN33)</f>
        <v>0</v>
      </c>
      <c r="AZ33">
        <f>ELEMENT!CU77</f>
        <v>0</v>
      </c>
      <c r="BR33" t="s">
        <v>154</v>
      </c>
    </row>
    <row r="34" spans="14:78" x14ac:dyDescent="0.2">
      <c r="S34">
        <v>45</v>
      </c>
      <c r="AH34">
        <f t="shared" si="5"/>
        <v>0</v>
      </c>
      <c r="AI34">
        <f t="shared" si="7"/>
        <v>0</v>
      </c>
      <c r="AJ34">
        <f t="shared" si="7"/>
        <v>0</v>
      </c>
      <c r="AK34">
        <f t="shared" si="7"/>
        <v>0</v>
      </c>
      <c r="AL34">
        <f t="shared" si="7"/>
        <v>0</v>
      </c>
      <c r="AM34">
        <f t="shared" si="6"/>
        <v>0</v>
      </c>
      <c r="AN34">
        <f t="shared" si="6"/>
        <v>0</v>
      </c>
      <c r="AO34">
        <f t="shared" si="6"/>
        <v>0</v>
      </c>
      <c r="AP34">
        <f t="shared" si="6"/>
        <v>0</v>
      </c>
      <c r="AQ34">
        <f t="shared" si="6"/>
        <v>0</v>
      </c>
      <c r="AR34">
        <f t="shared" si="6"/>
        <v>0</v>
      </c>
      <c r="AS34">
        <f t="shared" si="6"/>
        <v>0</v>
      </c>
      <c r="AT34">
        <f t="shared" si="6"/>
        <v>0</v>
      </c>
      <c r="AU34">
        <f t="shared" si="6"/>
        <v>0</v>
      </c>
      <c r="AZ34">
        <f>ELEMENT!CU78</f>
        <v>0</v>
      </c>
      <c r="BR34" t="s">
        <v>155</v>
      </c>
    </row>
    <row r="35" spans="14:78" x14ac:dyDescent="0.2">
      <c r="S35">
        <v>95</v>
      </c>
      <c r="AH35">
        <f t="shared" si="5"/>
        <v>0</v>
      </c>
      <c r="AI35">
        <f t="shared" si="7"/>
        <v>0</v>
      </c>
      <c r="AJ35">
        <f t="shared" si="7"/>
        <v>0</v>
      </c>
      <c r="AK35">
        <f t="shared" si="7"/>
        <v>0</v>
      </c>
      <c r="AL35">
        <f t="shared" si="7"/>
        <v>0</v>
      </c>
      <c r="AM35">
        <f t="shared" si="6"/>
        <v>0</v>
      </c>
      <c r="AN35">
        <f t="shared" si="6"/>
        <v>0</v>
      </c>
      <c r="AO35">
        <f t="shared" si="6"/>
        <v>0</v>
      </c>
      <c r="AP35">
        <f t="shared" si="6"/>
        <v>0</v>
      </c>
      <c r="AQ35">
        <f t="shared" si="6"/>
        <v>0</v>
      </c>
      <c r="AR35">
        <f t="shared" si="6"/>
        <v>0</v>
      </c>
      <c r="AS35">
        <f t="shared" si="6"/>
        <v>0</v>
      </c>
      <c r="AT35">
        <f t="shared" si="6"/>
        <v>0</v>
      </c>
      <c r="AU35">
        <f t="shared" si="6"/>
        <v>0</v>
      </c>
      <c r="AV35">
        <f>IF($AH$5=1,CF35,BN35)</f>
        <v>0</v>
      </c>
      <c r="AZ35">
        <f>ELEMENT!CU79</f>
        <v>0</v>
      </c>
      <c r="BR35" t="s">
        <v>156</v>
      </c>
    </row>
    <row r="36" spans="14:78" x14ac:dyDescent="0.2">
      <c r="S36">
        <f>ELEMENT!BF36</f>
        <v>0</v>
      </c>
      <c r="T36">
        <v>40</v>
      </c>
      <c r="U36">
        <v>70</v>
      </c>
      <c r="V36">
        <v>160</v>
      </c>
      <c r="AH36">
        <f t="shared" si="5"/>
        <v>0</v>
      </c>
      <c r="AI36">
        <f t="shared" si="7"/>
        <v>0</v>
      </c>
      <c r="AJ36">
        <f t="shared" si="7"/>
        <v>0</v>
      </c>
      <c r="AK36">
        <f t="shared" si="7"/>
        <v>0</v>
      </c>
      <c r="AL36">
        <f t="shared" si="7"/>
        <v>0</v>
      </c>
      <c r="AM36">
        <f t="shared" si="6"/>
        <v>0</v>
      </c>
      <c r="AN36">
        <f t="shared" si="6"/>
        <v>0</v>
      </c>
      <c r="AO36">
        <f t="shared" si="6"/>
        <v>0</v>
      </c>
      <c r="AP36">
        <f t="shared" si="6"/>
        <v>0</v>
      </c>
      <c r="AQ36">
        <f t="shared" si="6"/>
        <v>0</v>
      </c>
      <c r="AR36">
        <f t="shared" si="6"/>
        <v>0</v>
      </c>
      <c r="AS36">
        <f t="shared" si="6"/>
        <v>0</v>
      </c>
      <c r="AT36">
        <f t="shared" si="6"/>
        <v>0</v>
      </c>
      <c r="AU36">
        <f t="shared" si="6"/>
        <v>0</v>
      </c>
      <c r="AV36">
        <f>IF($AH$5=1,CF36,BN36)</f>
        <v>0</v>
      </c>
      <c r="AZ36">
        <f>ELEMENT!CU80</f>
        <v>0</v>
      </c>
      <c r="BR36">
        <v>0</v>
      </c>
    </row>
    <row r="37" spans="14:78" x14ac:dyDescent="0.2">
      <c r="S37">
        <f>ELEMENT!BF37</f>
        <v>0</v>
      </c>
      <c r="T37">
        <v>10</v>
      </c>
      <c r="U37">
        <v>30</v>
      </c>
      <c r="V37">
        <v>60</v>
      </c>
      <c r="AC37">
        <v>290</v>
      </c>
      <c r="AH37">
        <f t="shared" si="5"/>
        <v>0</v>
      </c>
      <c r="AI37">
        <f t="shared" si="7"/>
        <v>0</v>
      </c>
      <c r="AJ37">
        <f t="shared" si="7"/>
        <v>0</v>
      </c>
      <c r="AK37">
        <f t="shared" si="7"/>
        <v>0</v>
      </c>
      <c r="AL37">
        <f t="shared" si="7"/>
        <v>0</v>
      </c>
      <c r="AM37">
        <f t="shared" si="6"/>
        <v>0</v>
      </c>
      <c r="AN37">
        <f t="shared" si="6"/>
        <v>0</v>
      </c>
      <c r="AO37">
        <f t="shared" si="6"/>
        <v>0</v>
      </c>
      <c r="AP37">
        <f t="shared" si="6"/>
        <v>0</v>
      </c>
      <c r="AQ37">
        <f t="shared" si="6"/>
        <v>0</v>
      </c>
      <c r="AR37">
        <f t="shared" si="6"/>
        <v>0</v>
      </c>
      <c r="AS37">
        <f t="shared" si="6"/>
        <v>0</v>
      </c>
      <c r="AT37">
        <f t="shared" si="6"/>
        <v>0</v>
      </c>
      <c r="AU37">
        <f t="shared" si="6"/>
        <v>0</v>
      </c>
      <c r="AV37">
        <f>IF($AH$5=1,CF37,BN37)</f>
        <v>0</v>
      </c>
      <c r="AZ37">
        <f>ELEMENT!CU81</f>
        <v>0</v>
      </c>
      <c r="BR37" t="s">
        <v>46</v>
      </c>
    </row>
    <row r="38" spans="14:78" x14ac:dyDescent="0.2">
      <c r="S38">
        <f>ELEMENT!BF38</f>
        <v>0</v>
      </c>
      <c r="T38">
        <v>10</v>
      </c>
      <c r="U38">
        <v>30</v>
      </c>
      <c r="V38">
        <v>60</v>
      </c>
      <c r="AH38">
        <f t="shared" si="5"/>
        <v>0</v>
      </c>
      <c r="AI38">
        <f t="shared" si="7"/>
        <v>0</v>
      </c>
      <c r="AJ38">
        <f t="shared" si="7"/>
        <v>0</v>
      </c>
      <c r="AK38">
        <f t="shared" si="7"/>
        <v>0</v>
      </c>
      <c r="AL38">
        <f t="shared" si="7"/>
        <v>0</v>
      </c>
      <c r="AM38">
        <f t="shared" si="6"/>
        <v>0</v>
      </c>
      <c r="AN38">
        <f t="shared" si="6"/>
        <v>0</v>
      </c>
      <c r="AO38">
        <f t="shared" si="6"/>
        <v>0</v>
      </c>
      <c r="AP38">
        <f t="shared" si="6"/>
        <v>0</v>
      </c>
      <c r="AQ38">
        <f t="shared" si="6"/>
        <v>0</v>
      </c>
      <c r="AR38">
        <f t="shared" si="6"/>
        <v>0</v>
      </c>
      <c r="AS38">
        <f t="shared" si="6"/>
        <v>0</v>
      </c>
      <c r="AT38">
        <f t="shared" si="6"/>
        <v>0</v>
      </c>
      <c r="AU38">
        <f t="shared" si="6"/>
        <v>0</v>
      </c>
      <c r="AV38">
        <f>IF($AH$5=1,CF38,BN38)</f>
        <v>0</v>
      </c>
      <c r="AZ38">
        <f>ELEMENT!CU82</f>
        <v>0</v>
      </c>
      <c r="BR38" t="s">
        <v>154</v>
      </c>
    </row>
    <row r="39" spans="14:78" x14ac:dyDescent="0.2">
      <c r="O39">
        <v>46</v>
      </c>
      <c r="S39">
        <f>ELEMENT!BF39</f>
        <v>0</v>
      </c>
      <c r="T39">
        <v>40</v>
      </c>
      <c r="U39">
        <v>70</v>
      </c>
      <c r="V39">
        <v>120</v>
      </c>
      <c r="W39">
        <v>35.200000000000003</v>
      </c>
      <c r="X39">
        <v>17.600000000000001</v>
      </c>
      <c r="Y39">
        <v>23</v>
      </c>
      <c r="Z39">
        <f t="shared" ref="Z39:Z45" si="9">IF($P$5="ALU",O39+N39,O39)</f>
        <v>46</v>
      </c>
      <c r="AA39">
        <f t="shared" ref="AA39:AA47" si="10">IF($P$5="ALU",P39+Q39,P39)</f>
        <v>0</v>
      </c>
      <c r="AB39">
        <v>0.86</v>
      </c>
      <c r="AH39">
        <f t="shared" si="5"/>
        <v>0</v>
      </c>
      <c r="AI39">
        <f t="shared" si="7"/>
        <v>0</v>
      </c>
      <c r="AJ39">
        <f t="shared" si="7"/>
        <v>0</v>
      </c>
      <c r="AK39">
        <f t="shared" si="7"/>
        <v>0</v>
      </c>
      <c r="AL39">
        <f t="shared" si="7"/>
        <v>0</v>
      </c>
      <c r="AM39">
        <f t="shared" si="6"/>
        <v>0</v>
      </c>
      <c r="AN39">
        <f t="shared" si="6"/>
        <v>0</v>
      </c>
      <c r="AO39">
        <f t="shared" si="6"/>
        <v>0</v>
      </c>
      <c r="AP39">
        <f t="shared" si="6"/>
        <v>0</v>
      </c>
      <c r="AQ39">
        <f t="shared" si="6"/>
        <v>0</v>
      </c>
      <c r="AR39">
        <f t="shared" si="6"/>
        <v>0</v>
      </c>
      <c r="AS39">
        <f t="shared" si="6"/>
        <v>0</v>
      </c>
      <c r="AT39">
        <f t="shared" si="6"/>
        <v>0</v>
      </c>
      <c r="AU39">
        <f t="shared" si="6"/>
        <v>0</v>
      </c>
      <c r="AZ39">
        <f>ELEMENT!CU83</f>
        <v>0</v>
      </c>
      <c r="BR39" t="s">
        <v>155</v>
      </c>
    </row>
    <row r="40" spans="14:78" x14ac:dyDescent="0.2">
      <c r="O40">
        <v>125</v>
      </c>
      <c r="P40">
        <v>1.341</v>
      </c>
      <c r="Q40">
        <v>0.15</v>
      </c>
      <c r="S40">
        <f>ELEMENT!BF40</f>
        <v>0</v>
      </c>
      <c r="T40">
        <v>10</v>
      </c>
      <c r="U40">
        <v>30</v>
      </c>
      <c r="V40">
        <v>60</v>
      </c>
      <c r="W40">
        <v>12.353846153846154</v>
      </c>
      <c r="X40">
        <v>22</v>
      </c>
      <c r="Y40">
        <v>26</v>
      </c>
      <c r="Z40">
        <f t="shared" si="9"/>
        <v>125</v>
      </c>
      <c r="AA40">
        <f t="shared" si="10"/>
        <v>1.4909999999999999</v>
      </c>
      <c r="AB40">
        <v>5.44</v>
      </c>
      <c r="AC40">
        <v>230</v>
      </c>
      <c r="AH40">
        <f t="shared" si="5"/>
        <v>0</v>
      </c>
      <c r="AI40">
        <f t="shared" si="7"/>
        <v>0</v>
      </c>
      <c r="AJ40">
        <f t="shared" si="7"/>
        <v>0</v>
      </c>
      <c r="AK40">
        <f t="shared" si="7"/>
        <v>0</v>
      </c>
      <c r="AL40">
        <f t="shared" si="7"/>
        <v>0</v>
      </c>
      <c r="AM40">
        <f t="shared" si="7"/>
        <v>0</v>
      </c>
      <c r="AN40">
        <f t="shared" si="7"/>
        <v>0</v>
      </c>
      <c r="AO40">
        <f t="shared" si="7"/>
        <v>0</v>
      </c>
      <c r="AP40">
        <f t="shared" si="7"/>
        <v>0</v>
      </c>
      <c r="AQ40">
        <f t="shared" si="7"/>
        <v>0</v>
      </c>
      <c r="AR40">
        <f t="shared" si="7"/>
        <v>0</v>
      </c>
      <c r="AS40">
        <f t="shared" si="7"/>
        <v>0</v>
      </c>
      <c r="AT40">
        <f t="shared" si="7"/>
        <v>0</v>
      </c>
      <c r="AU40">
        <f t="shared" si="7"/>
        <v>0</v>
      </c>
      <c r="AV40">
        <f t="shared" si="7"/>
        <v>0</v>
      </c>
      <c r="AZ40">
        <f>ELEMENT!CU84</f>
        <v>0</v>
      </c>
      <c r="BR40" t="s">
        <v>156</v>
      </c>
    </row>
    <row r="41" spans="14:78" x14ac:dyDescent="0.2">
      <c r="O41">
        <v>171</v>
      </c>
      <c r="P41">
        <v>1.4410000000000001</v>
      </c>
      <c r="Q41">
        <v>0.15</v>
      </c>
      <c r="S41">
        <f>ELEMENT!BF41</f>
        <v>0</v>
      </c>
      <c r="T41">
        <v>10</v>
      </c>
      <c r="U41">
        <v>30</v>
      </c>
      <c r="V41">
        <v>60</v>
      </c>
      <c r="W41">
        <v>12.184615384615386</v>
      </c>
      <c r="X41">
        <v>44</v>
      </c>
      <c r="Y41">
        <v>66</v>
      </c>
      <c r="Z41">
        <f t="shared" si="9"/>
        <v>171</v>
      </c>
      <c r="AA41">
        <f t="shared" si="10"/>
        <v>1.591</v>
      </c>
      <c r="AB41">
        <v>9.1310000000000002</v>
      </c>
      <c r="AH41">
        <f t="shared" si="5"/>
        <v>0</v>
      </c>
      <c r="AI41">
        <f t="shared" si="7"/>
        <v>0</v>
      </c>
      <c r="AJ41">
        <f t="shared" si="7"/>
        <v>0</v>
      </c>
      <c r="AK41">
        <f t="shared" si="7"/>
        <v>0</v>
      </c>
      <c r="AL41">
        <f t="shared" si="7"/>
        <v>0</v>
      </c>
      <c r="AM41">
        <f t="shared" si="7"/>
        <v>0</v>
      </c>
      <c r="AN41">
        <f t="shared" si="7"/>
        <v>0</v>
      </c>
      <c r="AO41">
        <f t="shared" si="7"/>
        <v>0</v>
      </c>
      <c r="AP41">
        <f t="shared" si="7"/>
        <v>0</v>
      </c>
      <c r="AQ41">
        <f t="shared" si="7"/>
        <v>0</v>
      </c>
      <c r="AR41">
        <f t="shared" si="7"/>
        <v>0</v>
      </c>
      <c r="AS41">
        <f t="shared" si="7"/>
        <v>0</v>
      </c>
      <c r="AT41">
        <f t="shared" si="7"/>
        <v>0</v>
      </c>
      <c r="AU41">
        <f t="shared" si="7"/>
        <v>0</v>
      </c>
      <c r="AV41">
        <f t="shared" si="7"/>
        <v>0</v>
      </c>
      <c r="AZ41">
        <f>ELEMENT!CU85</f>
        <v>0</v>
      </c>
      <c r="BR41" t="s">
        <v>968</v>
      </c>
    </row>
    <row r="42" spans="14:78" x14ac:dyDescent="0.2">
      <c r="O42">
        <v>36</v>
      </c>
      <c r="S42">
        <f>ELEMENT!BF42</f>
        <v>0</v>
      </c>
      <c r="T42">
        <v>40</v>
      </c>
      <c r="U42">
        <v>55</v>
      </c>
      <c r="V42">
        <v>90</v>
      </c>
      <c r="W42">
        <v>26.400000000000002</v>
      </c>
      <c r="X42">
        <v>13.200000000000001</v>
      </c>
      <c r="Y42">
        <v>18</v>
      </c>
      <c r="Z42">
        <f t="shared" si="9"/>
        <v>36</v>
      </c>
      <c r="AA42">
        <f t="shared" si="10"/>
        <v>0</v>
      </c>
      <c r="AB42">
        <v>0.66</v>
      </c>
      <c r="AH42" t="str">
        <f t="shared" si="5"/>
        <v>Weissglaszuschlag</v>
      </c>
      <c r="AI42">
        <f t="shared" si="7"/>
        <v>0</v>
      </c>
      <c r="AJ42">
        <f t="shared" si="7"/>
        <v>0</v>
      </c>
      <c r="AK42">
        <f t="shared" si="7"/>
        <v>0</v>
      </c>
      <c r="AL42">
        <f t="shared" si="7"/>
        <v>0</v>
      </c>
      <c r="AM42">
        <f t="shared" si="7"/>
        <v>0</v>
      </c>
      <c r="AN42">
        <f t="shared" si="7"/>
        <v>0</v>
      </c>
      <c r="AO42">
        <f t="shared" si="7"/>
        <v>0</v>
      </c>
      <c r="AP42">
        <f t="shared" si="7"/>
        <v>0</v>
      </c>
      <c r="AQ42">
        <f t="shared" si="7"/>
        <v>0</v>
      </c>
      <c r="AR42">
        <f t="shared" si="7"/>
        <v>0</v>
      </c>
      <c r="AS42">
        <f t="shared" si="7"/>
        <v>0</v>
      </c>
      <c r="AT42">
        <f t="shared" si="7"/>
        <v>0</v>
      </c>
      <c r="AU42">
        <f t="shared" si="7"/>
        <v>0</v>
      </c>
      <c r="AV42">
        <f t="shared" si="7"/>
        <v>0</v>
      </c>
      <c r="AZ42" t="str">
        <f>ELEMENT!CU86</f>
        <v>Weissglaszuschlag</v>
      </c>
      <c r="BR42" t="s">
        <v>475</v>
      </c>
    </row>
    <row r="43" spans="14:78" x14ac:dyDescent="0.2">
      <c r="O43">
        <v>81.099999999999994</v>
      </c>
      <c r="P43">
        <v>0.99199999999999999</v>
      </c>
      <c r="Q43">
        <v>0.15</v>
      </c>
      <c r="S43">
        <f>ELEMENT!BF43</f>
        <v>0</v>
      </c>
      <c r="T43">
        <v>10</v>
      </c>
      <c r="U43">
        <v>30</v>
      </c>
      <c r="V43">
        <v>60</v>
      </c>
      <c r="W43">
        <v>9.1384615384615397</v>
      </c>
      <c r="X43">
        <v>13.200000000000001</v>
      </c>
      <c r="Y43">
        <v>21</v>
      </c>
      <c r="Z43">
        <f t="shared" si="9"/>
        <v>81.099999999999994</v>
      </c>
      <c r="AA43">
        <f t="shared" si="10"/>
        <v>1.1419999999999999</v>
      </c>
      <c r="AB43">
        <v>3.96</v>
      </c>
      <c r="AC43">
        <v>170</v>
      </c>
      <c r="AH43">
        <f t="shared" si="5"/>
        <v>0</v>
      </c>
      <c r="AI43" t="str">
        <f t="shared" si="7"/>
        <v>nein</v>
      </c>
      <c r="AJ43" t="str">
        <f t="shared" si="7"/>
        <v>nein</v>
      </c>
      <c r="AK43" t="str">
        <f t="shared" si="7"/>
        <v>nein</v>
      </c>
      <c r="AL43" t="str">
        <f t="shared" si="7"/>
        <v>nein</v>
      </c>
      <c r="AM43" t="str">
        <f t="shared" si="7"/>
        <v>nein</v>
      </c>
      <c r="AN43" t="str">
        <f t="shared" si="7"/>
        <v>nein</v>
      </c>
      <c r="AO43">
        <f t="shared" si="7"/>
        <v>0</v>
      </c>
      <c r="AP43">
        <f t="shared" si="7"/>
        <v>0</v>
      </c>
      <c r="AQ43">
        <f t="shared" si="7"/>
        <v>0</v>
      </c>
      <c r="AR43">
        <f t="shared" si="7"/>
        <v>0</v>
      </c>
      <c r="AS43">
        <f t="shared" si="7"/>
        <v>0</v>
      </c>
      <c r="AT43">
        <f t="shared" si="7"/>
        <v>0</v>
      </c>
      <c r="AU43">
        <f t="shared" si="7"/>
        <v>0</v>
      </c>
      <c r="AV43">
        <f t="shared" si="7"/>
        <v>0</v>
      </c>
      <c r="AZ43">
        <f>ELEMENT!CU87</f>
        <v>0</v>
      </c>
      <c r="BA43" t="s">
        <v>375</v>
      </c>
      <c r="BB43" t="s">
        <v>375</v>
      </c>
      <c r="BC43" t="s">
        <v>375</v>
      </c>
      <c r="BD43" t="s">
        <v>375</v>
      </c>
      <c r="BE43" t="s">
        <v>375</v>
      </c>
      <c r="BF43" t="s">
        <v>375</v>
      </c>
      <c r="BR43" t="s">
        <v>380</v>
      </c>
      <c r="BS43" t="s">
        <v>375</v>
      </c>
      <c r="BT43" t="s">
        <v>375</v>
      </c>
      <c r="BU43" t="s">
        <v>375</v>
      </c>
      <c r="BV43" t="s">
        <v>375</v>
      </c>
      <c r="BW43" t="s">
        <v>375</v>
      </c>
      <c r="BX43" t="s">
        <v>375</v>
      </c>
    </row>
    <row r="44" spans="14:78" x14ac:dyDescent="0.2">
      <c r="O44">
        <v>110</v>
      </c>
      <c r="P44">
        <v>1.0920000000000001</v>
      </c>
      <c r="Q44">
        <v>0.15</v>
      </c>
      <c r="S44">
        <f>ELEMENT!BF44</f>
        <v>0</v>
      </c>
      <c r="T44">
        <v>10</v>
      </c>
      <c r="U44">
        <v>30</v>
      </c>
      <c r="V44">
        <v>60</v>
      </c>
      <c r="W44">
        <v>8.9692307692307693</v>
      </c>
      <c r="X44">
        <v>33</v>
      </c>
      <c r="Y44">
        <v>41</v>
      </c>
      <c r="Z44">
        <f t="shared" si="9"/>
        <v>110</v>
      </c>
      <c r="AA44">
        <f t="shared" si="10"/>
        <v>1.242</v>
      </c>
      <c r="AB44">
        <v>6.94</v>
      </c>
      <c r="AH44">
        <f t="shared" si="5"/>
        <v>0</v>
      </c>
      <c r="AI44" t="str">
        <f t="shared" si="7"/>
        <v>nein</v>
      </c>
      <c r="AJ44" t="str">
        <f t="shared" si="7"/>
        <v>nein</v>
      </c>
      <c r="AK44" t="str">
        <f t="shared" si="7"/>
        <v>nein</v>
      </c>
      <c r="AL44" t="str">
        <f t="shared" si="7"/>
        <v>nein</v>
      </c>
      <c r="AM44" t="str">
        <f t="shared" si="7"/>
        <v>nein</v>
      </c>
      <c r="AN44" t="str">
        <f t="shared" si="7"/>
        <v>nein</v>
      </c>
      <c r="AO44">
        <f t="shared" si="7"/>
        <v>0</v>
      </c>
      <c r="AP44">
        <f t="shared" si="7"/>
        <v>0</v>
      </c>
      <c r="AQ44">
        <f t="shared" si="7"/>
        <v>0</v>
      </c>
      <c r="AR44">
        <f t="shared" si="7"/>
        <v>0</v>
      </c>
      <c r="AS44">
        <f t="shared" si="7"/>
        <v>0</v>
      </c>
      <c r="AT44">
        <f t="shared" si="7"/>
        <v>0</v>
      </c>
      <c r="AU44">
        <f t="shared" si="7"/>
        <v>0</v>
      </c>
      <c r="AV44">
        <f t="shared" si="7"/>
        <v>0</v>
      </c>
      <c r="AZ44">
        <f>ELEMENT!CU88</f>
        <v>0</v>
      </c>
      <c r="BA44" t="s">
        <v>375</v>
      </c>
      <c r="BB44" t="s">
        <v>375</v>
      </c>
      <c r="BC44" t="s">
        <v>375</v>
      </c>
      <c r="BD44" t="s">
        <v>375</v>
      </c>
      <c r="BE44" t="s">
        <v>375</v>
      </c>
      <c r="BF44" t="s">
        <v>375</v>
      </c>
      <c r="BR44" t="s">
        <v>373</v>
      </c>
      <c r="BW44" t="s">
        <v>375</v>
      </c>
      <c r="BX44" t="s">
        <v>375</v>
      </c>
      <c r="BY44" t="s">
        <v>375</v>
      </c>
      <c r="BZ44" t="s">
        <v>375</v>
      </c>
    </row>
    <row r="45" spans="14:78" x14ac:dyDescent="0.2">
      <c r="O45">
        <v>26</v>
      </c>
      <c r="S45">
        <f>ELEMENT!BF45</f>
        <v>0</v>
      </c>
      <c r="T45">
        <v>40</v>
      </c>
      <c r="U45">
        <v>45</v>
      </c>
      <c r="V45">
        <v>90</v>
      </c>
      <c r="W45">
        <v>22</v>
      </c>
      <c r="X45">
        <v>11</v>
      </c>
      <c r="Y45">
        <v>13</v>
      </c>
      <c r="Z45">
        <f t="shared" si="9"/>
        <v>26</v>
      </c>
      <c r="AA45">
        <f t="shared" si="10"/>
        <v>0</v>
      </c>
      <c r="AB45">
        <v>0.36</v>
      </c>
      <c r="AH45">
        <f>ELEMENT!CU89</f>
        <v>0</v>
      </c>
      <c r="AI45" t="str">
        <f t="shared" si="7"/>
        <v>6</v>
      </c>
      <c r="AJ45" t="str">
        <f t="shared" si="7"/>
        <v>10</v>
      </c>
      <c r="AK45" t="str">
        <f t="shared" si="7"/>
        <v>12</v>
      </c>
      <c r="AL45" t="str">
        <f t="shared" si="7"/>
        <v>8-2</v>
      </c>
      <c r="AM45" t="str">
        <f t="shared" si="7"/>
        <v>10-2</v>
      </c>
      <c r="AN45" t="str">
        <f t="shared" si="7"/>
        <v>12-2</v>
      </c>
      <c r="AO45">
        <f t="shared" si="7"/>
        <v>0</v>
      </c>
      <c r="AP45">
        <f t="shared" si="7"/>
        <v>0</v>
      </c>
      <c r="AQ45">
        <f t="shared" si="7"/>
        <v>0</v>
      </c>
      <c r="AR45">
        <f t="shared" si="7"/>
        <v>0</v>
      </c>
      <c r="AS45">
        <f t="shared" si="7"/>
        <v>0</v>
      </c>
      <c r="AT45">
        <f t="shared" si="7"/>
        <v>0</v>
      </c>
      <c r="AU45">
        <f t="shared" si="7"/>
        <v>0</v>
      </c>
      <c r="AV45">
        <f t="shared" si="7"/>
        <v>0</v>
      </c>
      <c r="AZ45">
        <f>ELEMENT!CU89</f>
        <v>0</v>
      </c>
      <c r="BA45" t="str">
        <f t="shared" ref="BA45:BF45" si="11">BA5</f>
        <v>6</v>
      </c>
      <c r="BB45" t="str">
        <f t="shared" si="11"/>
        <v>10</v>
      </c>
      <c r="BC45" t="str">
        <f t="shared" si="11"/>
        <v>12</v>
      </c>
      <c r="BD45" t="str">
        <f t="shared" si="11"/>
        <v>8-2</v>
      </c>
      <c r="BE45" t="str">
        <f t="shared" si="11"/>
        <v>10-2</v>
      </c>
      <c r="BF45" t="str">
        <f t="shared" si="11"/>
        <v>12-2</v>
      </c>
      <c r="BR45">
        <v>0</v>
      </c>
      <c r="BS45" t="s">
        <v>737</v>
      </c>
      <c r="BT45" t="s">
        <v>739</v>
      </c>
      <c r="BU45" t="s">
        <v>741</v>
      </c>
      <c r="BV45" t="s">
        <v>742</v>
      </c>
      <c r="BW45" t="s">
        <v>744</v>
      </c>
      <c r="BX45" t="s">
        <v>746</v>
      </c>
      <c r="BY45" t="s">
        <v>745</v>
      </c>
      <c r="BZ45" t="s">
        <v>747</v>
      </c>
    </row>
    <row r="46" spans="14:78" x14ac:dyDescent="0.2">
      <c r="N46">
        <v>-10</v>
      </c>
      <c r="O46">
        <v>49.5</v>
      </c>
      <c r="P46">
        <v>0.71099999999999997</v>
      </c>
      <c r="Q46">
        <v>0.15</v>
      </c>
      <c r="S46">
        <f>ELEMENT!BF46</f>
        <v>0</v>
      </c>
      <c r="T46">
        <v>10</v>
      </c>
      <c r="U46">
        <v>30</v>
      </c>
      <c r="V46">
        <v>60</v>
      </c>
      <c r="W46">
        <v>7.6153846153846159</v>
      </c>
      <c r="X46">
        <v>8.8000000000000007</v>
      </c>
      <c r="Y46">
        <v>16</v>
      </c>
      <c r="Z46">
        <f>O46+N46</f>
        <v>39.5</v>
      </c>
      <c r="AA46">
        <f t="shared" si="10"/>
        <v>0.86099999999999999</v>
      </c>
      <c r="AB46">
        <v>2.5499999999999998</v>
      </c>
      <c r="AC46">
        <v>110</v>
      </c>
      <c r="AD46">
        <v>45</v>
      </c>
      <c r="AH46">
        <f>ELEMENT!CU90</f>
        <v>0</v>
      </c>
      <c r="AI46">
        <f t="shared" si="7"/>
        <v>0</v>
      </c>
      <c r="AJ46">
        <f t="shared" si="7"/>
        <v>0</v>
      </c>
      <c r="AK46">
        <f t="shared" si="7"/>
        <v>0</v>
      </c>
      <c r="AL46">
        <f t="shared" si="7"/>
        <v>0</v>
      </c>
      <c r="AM46">
        <f t="shared" si="7"/>
        <v>0</v>
      </c>
      <c r="AN46">
        <f t="shared" si="7"/>
        <v>0</v>
      </c>
      <c r="AO46">
        <f t="shared" si="7"/>
        <v>0</v>
      </c>
      <c r="AP46">
        <f t="shared" si="7"/>
        <v>0</v>
      </c>
      <c r="AQ46">
        <f t="shared" si="7"/>
        <v>0</v>
      </c>
      <c r="AR46">
        <f t="shared" si="7"/>
        <v>0</v>
      </c>
      <c r="AS46">
        <f t="shared" si="7"/>
        <v>0</v>
      </c>
      <c r="AT46">
        <f t="shared" si="7"/>
        <v>0</v>
      </c>
      <c r="AU46">
        <f t="shared" si="7"/>
        <v>0</v>
      </c>
      <c r="AV46">
        <f t="shared" si="7"/>
        <v>0</v>
      </c>
      <c r="AZ46">
        <f>ELEMENT!CU90</f>
        <v>0</v>
      </c>
      <c r="BA46">
        <f>ELEMENT!DN90</f>
        <v>0</v>
      </c>
      <c r="BR46">
        <v>0</v>
      </c>
      <c r="BS46">
        <v>0</v>
      </c>
    </row>
    <row r="47" spans="14:78" x14ac:dyDescent="0.2">
      <c r="N47">
        <v>-15</v>
      </c>
      <c r="O47">
        <v>76.5</v>
      </c>
      <c r="P47">
        <v>0.69299999999999995</v>
      </c>
      <c r="Q47">
        <v>0.15</v>
      </c>
      <c r="S47">
        <f>ELEMENT!BF47</f>
        <v>0</v>
      </c>
      <c r="T47">
        <v>10</v>
      </c>
      <c r="U47">
        <v>30</v>
      </c>
      <c r="V47">
        <v>60</v>
      </c>
      <c r="W47">
        <v>8.1230769230769244</v>
      </c>
      <c r="X47">
        <v>26.400000000000002</v>
      </c>
      <c r="Y47">
        <v>29</v>
      </c>
      <c r="Z47">
        <f>O47+N47</f>
        <v>61.5</v>
      </c>
      <c r="AA47">
        <f t="shared" si="10"/>
        <v>0.84299999999999997</v>
      </c>
      <c r="AB47">
        <v>4.66</v>
      </c>
      <c r="AD47">
        <v>90</v>
      </c>
      <c r="AH47">
        <f>ELEMENT!CU91</f>
        <v>0</v>
      </c>
      <c r="AI47">
        <f t="shared" si="7"/>
        <v>2200</v>
      </c>
      <c r="AJ47">
        <f t="shared" si="7"/>
        <v>3200</v>
      </c>
      <c r="AK47">
        <f t="shared" si="7"/>
        <v>3200</v>
      </c>
      <c r="AL47">
        <f t="shared" si="7"/>
        <v>2200</v>
      </c>
      <c r="AM47">
        <f t="shared" si="7"/>
        <v>2200</v>
      </c>
      <c r="AN47">
        <f t="shared" si="7"/>
        <v>3200</v>
      </c>
      <c r="AO47">
        <f t="shared" si="7"/>
        <v>0</v>
      </c>
      <c r="AP47">
        <f t="shared" si="7"/>
        <v>0</v>
      </c>
      <c r="AQ47">
        <f t="shared" si="7"/>
        <v>0</v>
      </c>
      <c r="AR47">
        <f t="shared" si="7"/>
        <v>0</v>
      </c>
      <c r="AS47">
        <f t="shared" si="7"/>
        <v>0</v>
      </c>
      <c r="AT47">
        <f t="shared" si="7"/>
        <v>0</v>
      </c>
      <c r="AU47">
        <f t="shared" si="7"/>
        <v>0</v>
      </c>
      <c r="AV47">
        <f t="shared" si="7"/>
        <v>0</v>
      </c>
      <c r="AZ47">
        <f>ELEMENT!CU91</f>
        <v>0</v>
      </c>
      <c r="BA47">
        <v>2200</v>
      </c>
      <c r="BB47">
        <v>3200</v>
      </c>
      <c r="BC47">
        <v>3200</v>
      </c>
      <c r="BD47">
        <v>2200</v>
      </c>
      <c r="BE47">
        <v>2200</v>
      </c>
      <c r="BF47">
        <v>3200</v>
      </c>
      <c r="BR47" t="s">
        <v>162</v>
      </c>
      <c r="BS47">
        <v>2200</v>
      </c>
      <c r="BT47">
        <v>2600</v>
      </c>
      <c r="BU47">
        <v>2200</v>
      </c>
      <c r="BV47">
        <v>2200</v>
      </c>
      <c r="BW47">
        <v>2200</v>
      </c>
      <c r="BX47">
        <v>2600</v>
      </c>
      <c r="BY47">
        <v>2200</v>
      </c>
      <c r="BZ47">
        <v>2600</v>
      </c>
    </row>
    <row r="48" spans="14:78" x14ac:dyDescent="0.2">
      <c r="S48">
        <f>ELEMENT!BF48</f>
        <v>0</v>
      </c>
      <c r="U48" t="s">
        <v>158</v>
      </c>
      <c r="V48" t="s">
        <v>4</v>
      </c>
      <c r="W48">
        <v>0</v>
      </c>
      <c r="X48">
        <v>0</v>
      </c>
      <c r="AH48">
        <f>ELEMENT!CU92</f>
        <v>0</v>
      </c>
      <c r="AI48">
        <f t="shared" si="7"/>
        <v>4000</v>
      </c>
      <c r="AJ48">
        <f t="shared" si="7"/>
        <v>4500</v>
      </c>
      <c r="AK48">
        <f t="shared" si="7"/>
        <v>4500</v>
      </c>
      <c r="AL48">
        <f t="shared" si="7"/>
        <v>4000</v>
      </c>
      <c r="AM48">
        <f t="shared" si="7"/>
        <v>4000</v>
      </c>
      <c r="AN48">
        <f t="shared" si="7"/>
        <v>4500</v>
      </c>
      <c r="AO48">
        <f t="shared" si="7"/>
        <v>0</v>
      </c>
      <c r="AP48">
        <f t="shared" si="7"/>
        <v>0</v>
      </c>
      <c r="AQ48">
        <f t="shared" si="7"/>
        <v>0</v>
      </c>
      <c r="AR48">
        <f t="shared" si="7"/>
        <v>0</v>
      </c>
      <c r="AS48">
        <f t="shared" si="7"/>
        <v>0</v>
      </c>
      <c r="AT48">
        <f t="shared" si="7"/>
        <v>0</v>
      </c>
      <c r="AU48">
        <f t="shared" si="7"/>
        <v>0</v>
      </c>
      <c r="AV48">
        <f t="shared" si="7"/>
        <v>0</v>
      </c>
      <c r="AZ48">
        <f>ELEMENT!CU92</f>
        <v>0</v>
      </c>
      <c r="BA48">
        <v>4000</v>
      </c>
      <c r="BB48">
        <v>4500</v>
      </c>
      <c r="BC48">
        <v>4500</v>
      </c>
      <c r="BD48">
        <v>4000</v>
      </c>
      <c r="BE48">
        <v>4000</v>
      </c>
      <c r="BF48">
        <v>4500</v>
      </c>
      <c r="BR48" t="s">
        <v>11</v>
      </c>
      <c r="BS48">
        <v>3800</v>
      </c>
      <c r="BT48">
        <v>4000</v>
      </c>
      <c r="BU48">
        <v>3800</v>
      </c>
      <c r="BV48">
        <v>3800</v>
      </c>
      <c r="BW48">
        <v>3800</v>
      </c>
      <c r="BX48">
        <v>4000</v>
      </c>
      <c r="BY48">
        <v>3800</v>
      </c>
      <c r="BZ48">
        <v>4000</v>
      </c>
    </row>
    <row r="49" spans="19:78" x14ac:dyDescent="0.2">
      <c r="S49">
        <f>ELEMENT!BF49</f>
        <v>0</v>
      </c>
      <c r="U49">
        <v>35</v>
      </c>
      <c r="V49">
        <v>30</v>
      </c>
      <c r="W49">
        <v>5.5</v>
      </c>
      <c r="X49">
        <v>20</v>
      </c>
      <c r="AH49">
        <f>ELEMENT!CU93</f>
        <v>0</v>
      </c>
      <c r="AI49">
        <f t="shared" si="7"/>
        <v>2200</v>
      </c>
      <c r="AJ49">
        <v>3150</v>
      </c>
      <c r="AK49">
        <f t="shared" si="7"/>
        <v>3200</v>
      </c>
      <c r="AL49">
        <v>3150</v>
      </c>
      <c r="AM49">
        <f t="shared" si="7"/>
        <v>2200</v>
      </c>
      <c r="AN49">
        <f t="shared" si="7"/>
        <v>3200</v>
      </c>
      <c r="AO49">
        <f t="shared" si="7"/>
        <v>0</v>
      </c>
      <c r="AP49">
        <f t="shared" si="7"/>
        <v>0</v>
      </c>
      <c r="AQ49">
        <f t="shared" si="7"/>
        <v>0</v>
      </c>
      <c r="AR49">
        <f t="shared" si="7"/>
        <v>0</v>
      </c>
      <c r="AS49">
        <f t="shared" si="7"/>
        <v>0</v>
      </c>
      <c r="AT49">
        <f t="shared" si="7"/>
        <v>0</v>
      </c>
      <c r="AU49">
        <f t="shared" si="7"/>
        <v>0</v>
      </c>
      <c r="AV49">
        <f t="shared" si="7"/>
        <v>0</v>
      </c>
      <c r="AZ49">
        <f>ELEMENT!CU93</f>
        <v>0</v>
      </c>
      <c r="BA49">
        <v>2200</v>
      </c>
      <c r="BB49">
        <v>3200</v>
      </c>
      <c r="BC49">
        <v>3200</v>
      </c>
      <c r="BD49">
        <v>2200</v>
      </c>
      <c r="BE49">
        <v>2200</v>
      </c>
      <c r="BF49">
        <v>3200</v>
      </c>
      <c r="BR49" t="s">
        <v>173</v>
      </c>
      <c r="BS49">
        <v>2200</v>
      </c>
      <c r="BT49">
        <v>2300</v>
      </c>
      <c r="BU49">
        <v>2300</v>
      </c>
      <c r="BV49">
        <v>2300</v>
      </c>
      <c r="BW49">
        <v>2300</v>
      </c>
      <c r="BX49">
        <v>2300</v>
      </c>
      <c r="BY49">
        <v>2300</v>
      </c>
      <c r="BZ49">
        <v>2300</v>
      </c>
    </row>
    <row r="50" spans="19:78" x14ac:dyDescent="0.2">
      <c r="S50">
        <f>ELEMENT!BF50</f>
        <v>0</v>
      </c>
      <c r="AH50">
        <f>ELEMENT!CU94</f>
        <v>0</v>
      </c>
      <c r="AI50">
        <f t="shared" si="7"/>
        <v>0</v>
      </c>
      <c r="AJ50">
        <f t="shared" si="7"/>
        <v>0</v>
      </c>
      <c r="AK50">
        <f t="shared" si="7"/>
        <v>0</v>
      </c>
      <c r="AL50">
        <f t="shared" si="7"/>
        <v>0</v>
      </c>
      <c r="AM50">
        <f t="shared" si="7"/>
        <v>0</v>
      </c>
      <c r="AN50">
        <f t="shared" si="7"/>
        <v>0</v>
      </c>
      <c r="AO50">
        <f t="shared" si="7"/>
        <v>0</v>
      </c>
      <c r="AP50">
        <f t="shared" si="7"/>
        <v>0</v>
      </c>
      <c r="AQ50">
        <f t="shared" si="7"/>
        <v>0</v>
      </c>
      <c r="AR50">
        <f t="shared" si="7"/>
        <v>0</v>
      </c>
      <c r="AS50">
        <f t="shared" si="7"/>
        <v>0</v>
      </c>
      <c r="AT50">
        <f t="shared" si="7"/>
        <v>0</v>
      </c>
      <c r="AU50">
        <f t="shared" si="7"/>
        <v>0</v>
      </c>
      <c r="AV50">
        <f t="shared" si="7"/>
        <v>0</v>
      </c>
      <c r="AZ50">
        <f>ELEMENT!CU94</f>
        <v>0</v>
      </c>
      <c r="BR50">
        <v>0</v>
      </c>
    </row>
    <row r="51" spans="19:78" x14ac:dyDescent="0.2">
      <c r="S51">
        <f>ELEMENT!BF51</f>
        <v>0</v>
      </c>
      <c r="AH51">
        <f>ELEMENT!CU95</f>
        <v>0</v>
      </c>
      <c r="AI51">
        <f t="shared" si="7"/>
        <v>0</v>
      </c>
      <c r="AJ51">
        <f t="shared" si="7"/>
        <v>0</v>
      </c>
      <c r="AK51">
        <f t="shared" si="7"/>
        <v>0</v>
      </c>
      <c r="AL51">
        <f t="shared" si="7"/>
        <v>0</v>
      </c>
      <c r="AM51">
        <f t="shared" si="7"/>
        <v>0</v>
      </c>
      <c r="AN51">
        <f t="shared" si="7"/>
        <v>0</v>
      </c>
      <c r="AO51">
        <f t="shared" si="7"/>
        <v>0</v>
      </c>
      <c r="AP51">
        <f t="shared" si="7"/>
        <v>0</v>
      </c>
      <c r="AQ51">
        <f t="shared" si="7"/>
        <v>0</v>
      </c>
      <c r="AR51">
        <f t="shared" si="7"/>
        <v>0</v>
      </c>
      <c r="AS51">
        <f t="shared" si="7"/>
        <v>0</v>
      </c>
      <c r="AT51">
        <f t="shared" si="7"/>
        <v>0</v>
      </c>
      <c r="AU51">
        <f t="shared" si="7"/>
        <v>0</v>
      </c>
      <c r="AV51">
        <f t="shared" si="7"/>
        <v>0</v>
      </c>
      <c r="AZ51">
        <f>ELEMENT!CU95</f>
        <v>0</v>
      </c>
      <c r="BC51">
        <f>ELEMENT!DP95</f>
        <v>0</v>
      </c>
      <c r="BR51">
        <v>0</v>
      </c>
      <c r="BS51">
        <v>0</v>
      </c>
    </row>
    <row r="52" spans="19:78" x14ac:dyDescent="0.2">
      <c r="S52">
        <f>ELEMENT!BF52</f>
        <v>0</v>
      </c>
      <c r="T52">
        <v>10</v>
      </c>
      <c r="V52">
        <v>120</v>
      </c>
      <c r="W52">
        <v>0</v>
      </c>
      <c r="X52">
        <v>70</v>
      </c>
      <c r="Y52">
        <v>71</v>
      </c>
      <c r="AH52">
        <f>ELEMENT!CU96</f>
        <v>0</v>
      </c>
      <c r="AI52">
        <f t="shared" si="7"/>
        <v>4000</v>
      </c>
      <c r="AJ52">
        <f t="shared" si="7"/>
        <v>4500</v>
      </c>
      <c r="AK52">
        <f t="shared" si="7"/>
        <v>4500</v>
      </c>
      <c r="AL52">
        <f t="shared" si="7"/>
        <v>4000</v>
      </c>
      <c r="AM52">
        <f t="shared" si="7"/>
        <v>4000</v>
      </c>
      <c r="AN52">
        <f t="shared" si="7"/>
        <v>4500</v>
      </c>
      <c r="AO52">
        <f t="shared" si="7"/>
        <v>0</v>
      </c>
      <c r="AP52">
        <f t="shared" si="7"/>
        <v>0</v>
      </c>
      <c r="AQ52">
        <f t="shared" si="7"/>
        <v>0</v>
      </c>
      <c r="AR52">
        <f t="shared" si="7"/>
        <v>0</v>
      </c>
      <c r="AS52">
        <f t="shared" si="7"/>
        <v>0</v>
      </c>
      <c r="AT52">
        <f t="shared" si="7"/>
        <v>0</v>
      </c>
      <c r="AU52">
        <f t="shared" si="7"/>
        <v>0</v>
      </c>
      <c r="AV52">
        <f t="shared" si="7"/>
        <v>0</v>
      </c>
      <c r="AZ52">
        <f>ELEMENT!CU96</f>
        <v>0</v>
      </c>
      <c r="BA52">
        <v>4000</v>
      </c>
      <c r="BB52">
        <v>4500</v>
      </c>
      <c r="BC52">
        <v>4500</v>
      </c>
      <c r="BD52">
        <v>4000</v>
      </c>
      <c r="BE52">
        <v>4000</v>
      </c>
      <c r="BF52">
        <v>4500</v>
      </c>
      <c r="BR52" t="s">
        <v>162</v>
      </c>
      <c r="BS52">
        <v>3800</v>
      </c>
      <c r="BT52">
        <v>4000</v>
      </c>
      <c r="BU52">
        <v>3800</v>
      </c>
      <c r="BV52">
        <v>3800</v>
      </c>
      <c r="BW52">
        <v>3800</v>
      </c>
      <c r="BX52">
        <v>4000</v>
      </c>
      <c r="BY52">
        <v>3800</v>
      </c>
      <c r="BZ52">
        <v>4000</v>
      </c>
    </row>
    <row r="53" spans="19:78" x14ac:dyDescent="0.2">
      <c r="S53">
        <f>ELEMENT!BF53</f>
        <v>0</v>
      </c>
      <c r="T53">
        <v>10</v>
      </c>
      <c r="V53">
        <v>150</v>
      </c>
      <c r="W53">
        <v>0</v>
      </c>
      <c r="X53">
        <v>90</v>
      </c>
      <c r="Y53">
        <v>78</v>
      </c>
      <c r="AH53">
        <f>ELEMENT!CU97</f>
        <v>0</v>
      </c>
      <c r="AI53">
        <v>3150</v>
      </c>
      <c r="AJ53">
        <v>3150</v>
      </c>
      <c r="AK53">
        <f t="shared" si="7"/>
        <v>3200</v>
      </c>
      <c r="AL53">
        <v>3150</v>
      </c>
      <c r="AM53">
        <f t="shared" si="7"/>
        <v>2200</v>
      </c>
      <c r="AN53">
        <f t="shared" si="7"/>
        <v>3200</v>
      </c>
      <c r="AO53">
        <f t="shared" si="7"/>
        <v>0</v>
      </c>
      <c r="AP53">
        <f t="shared" si="7"/>
        <v>0</v>
      </c>
      <c r="AQ53">
        <f t="shared" si="7"/>
        <v>0</v>
      </c>
      <c r="AR53">
        <f t="shared" si="7"/>
        <v>0</v>
      </c>
      <c r="AS53">
        <f t="shared" si="7"/>
        <v>0</v>
      </c>
      <c r="AT53">
        <f t="shared" si="7"/>
        <v>0</v>
      </c>
      <c r="AU53">
        <f t="shared" si="7"/>
        <v>0</v>
      </c>
      <c r="AV53">
        <f t="shared" ref="AV53:AV65" si="12">IF($AH$5=1,CF53,BN53)</f>
        <v>0</v>
      </c>
      <c r="AZ53">
        <f>ELEMENT!CU97</f>
        <v>0</v>
      </c>
      <c r="BA53">
        <v>2200</v>
      </c>
      <c r="BB53">
        <v>3200</v>
      </c>
      <c r="BC53">
        <v>3200</v>
      </c>
      <c r="BD53">
        <v>2200</v>
      </c>
      <c r="BE53">
        <v>2200</v>
      </c>
      <c r="BF53">
        <v>3200</v>
      </c>
      <c r="BR53" t="s">
        <v>11</v>
      </c>
      <c r="BS53">
        <v>2200</v>
      </c>
      <c r="BT53">
        <v>2600</v>
      </c>
      <c r="BU53">
        <v>2200</v>
      </c>
      <c r="BV53">
        <v>2200</v>
      </c>
      <c r="BW53">
        <v>2200</v>
      </c>
      <c r="BX53">
        <v>2600</v>
      </c>
      <c r="BY53">
        <v>2200</v>
      </c>
      <c r="BZ53">
        <v>2600</v>
      </c>
    </row>
    <row r="54" spans="19:78" x14ac:dyDescent="0.2">
      <c r="S54">
        <f>ELEMENT!BF54</f>
        <v>0</v>
      </c>
      <c r="T54">
        <v>20</v>
      </c>
      <c r="V54">
        <v>20</v>
      </c>
      <c r="W54">
        <v>0</v>
      </c>
      <c r="X54">
        <v>77</v>
      </c>
      <c r="Y54">
        <v>45</v>
      </c>
      <c r="AH54">
        <f>ELEMENT!CU98</f>
        <v>0</v>
      </c>
      <c r="AI54">
        <v>3150</v>
      </c>
      <c r="AJ54">
        <v>3150</v>
      </c>
      <c r="AK54">
        <f t="shared" ref="AK54:AK65" si="13">IF($AH$5=1,BU54,BC54)</f>
        <v>3200</v>
      </c>
      <c r="AL54">
        <f t="shared" ref="AL54:AL65" si="14">IF($AH$5=1,BV54,BD54)</f>
        <v>3200</v>
      </c>
      <c r="AM54">
        <f t="shared" ref="AM54:AM65" si="15">IF($AH$5=1,BW54,BE54)</f>
        <v>3200</v>
      </c>
      <c r="AN54">
        <f t="shared" ref="AN54:AN65" si="16">IF($AH$5=1,BX54,BF54)</f>
        <v>3200</v>
      </c>
      <c r="AO54">
        <f t="shared" ref="AO54:AO65" si="17">IF($AH$5=1,BY54,BG54)</f>
        <v>0</v>
      </c>
      <c r="AP54">
        <f t="shared" ref="AP54:AP65" si="18">IF($AH$5=1,BZ54,BH54)</f>
        <v>0</v>
      </c>
      <c r="AQ54">
        <f t="shared" ref="AQ54:AQ65" si="19">IF($AH$5=1,CA54,BI54)</f>
        <v>0</v>
      </c>
      <c r="AR54">
        <f t="shared" ref="AR54:AR65" si="20">IF($AH$5=1,CB54,BJ54)</f>
        <v>0</v>
      </c>
      <c r="AS54">
        <f t="shared" ref="AS54:AS65" si="21">IF($AH$5=1,CC54,BK54)</f>
        <v>0</v>
      </c>
      <c r="AT54">
        <f t="shared" ref="AT54:AT65" si="22">IF($AH$5=1,CD54,BL54)</f>
        <v>0</v>
      </c>
      <c r="AU54">
        <f t="shared" ref="AU54:AU65" si="23">IF($AH$5=1,CE54,BM54)</f>
        <v>0</v>
      </c>
      <c r="AV54">
        <f t="shared" si="12"/>
        <v>0</v>
      </c>
      <c r="AZ54">
        <f>ELEMENT!CU98</f>
        <v>0</v>
      </c>
      <c r="BA54">
        <v>3200</v>
      </c>
      <c r="BB54">
        <v>3200</v>
      </c>
      <c r="BC54">
        <v>3200</v>
      </c>
      <c r="BD54">
        <v>3200</v>
      </c>
      <c r="BE54">
        <v>3200</v>
      </c>
      <c r="BF54">
        <v>3200</v>
      </c>
      <c r="BR54" t="s">
        <v>173</v>
      </c>
      <c r="BS54">
        <v>2200</v>
      </c>
      <c r="BT54">
        <v>2300</v>
      </c>
      <c r="BU54">
        <v>2300</v>
      </c>
      <c r="BV54">
        <v>2300</v>
      </c>
      <c r="BW54">
        <v>2300</v>
      </c>
      <c r="BX54">
        <v>2300</v>
      </c>
      <c r="BY54">
        <v>2300</v>
      </c>
      <c r="BZ54">
        <v>2300</v>
      </c>
    </row>
    <row r="55" spans="19:78" x14ac:dyDescent="0.2">
      <c r="S55">
        <f>ELEMENT!BF55</f>
        <v>0</v>
      </c>
      <c r="T55">
        <v>30</v>
      </c>
      <c r="V55">
        <v>30</v>
      </c>
      <c r="W55">
        <v>0</v>
      </c>
      <c r="X55">
        <v>120</v>
      </c>
      <c r="Y55">
        <v>82.98</v>
      </c>
      <c r="AH55">
        <f>ELEMENT!CU99</f>
        <v>0</v>
      </c>
      <c r="AI55">
        <f t="shared" ref="AI55:AI65" si="24">IF($AH$5=1,BS55,BA55)</f>
        <v>0</v>
      </c>
      <c r="AJ55">
        <f t="shared" ref="AJ55:AJ65" si="25">IF($AH$5=1,BT55,BB55)</f>
        <v>0</v>
      </c>
      <c r="AK55">
        <f t="shared" si="13"/>
        <v>0</v>
      </c>
      <c r="AL55">
        <f t="shared" si="14"/>
        <v>0</v>
      </c>
      <c r="AM55">
        <f t="shared" si="15"/>
        <v>0</v>
      </c>
      <c r="AN55">
        <f t="shared" si="16"/>
        <v>0</v>
      </c>
      <c r="AO55">
        <f t="shared" si="17"/>
        <v>0</v>
      </c>
      <c r="AP55">
        <f t="shared" si="18"/>
        <v>0</v>
      </c>
      <c r="AQ55">
        <f t="shared" si="19"/>
        <v>0</v>
      </c>
      <c r="AR55">
        <f t="shared" si="20"/>
        <v>0</v>
      </c>
      <c r="AS55">
        <f t="shared" si="21"/>
        <v>0</v>
      </c>
      <c r="AT55">
        <f t="shared" si="22"/>
        <v>0</v>
      </c>
      <c r="AU55">
        <f t="shared" si="23"/>
        <v>0</v>
      </c>
      <c r="AV55">
        <f t="shared" si="12"/>
        <v>0</v>
      </c>
      <c r="AZ55">
        <f>ELEMENT!CU99</f>
        <v>0</v>
      </c>
      <c r="BR55">
        <v>0</v>
      </c>
    </row>
    <row r="56" spans="19:78" x14ac:dyDescent="0.2">
      <c r="S56">
        <f>ELEMENT!BF56</f>
        <v>2300</v>
      </c>
      <c r="W56">
        <v>0</v>
      </c>
      <c r="X56">
        <v>0</v>
      </c>
      <c r="AH56">
        <f>ELEMENT!CU100</f>
        <v>0</v>
      </c>
      <c r="AI56">
        <f t="shared" si="24"/>
        <v>0</v>
      </c>
      <c r="AJ56">
        <f t="shared" si="25"/>
        <v>0</v>
      </c>
      <c r="AK56">
        <f t="shared" si="13"/>
        <v>0</v>
      </c>
      <c r="AL56">
        <f t="shared" si="14"/>
        <v>0</v>
      </c>
      <c r="AM56">
        <f t="shared" si="15"/>
        <v>0</v>
      </c>
      <c r="AN56">
        <f t="shared" si="16"/>
        <v>0</v>
      </c>
      <c r="AO56">
        <f t="shared" si="17"/>
        <v>0</v>
      </c>
      <c r="AP56">
        <f t="shared" si="18"/>
        <v>0</v>
      </c>
      <c r="AQ56">
        <f t="shared" si="19"/>
        <v>0</v>
      </c>
      <c r="AR56">
        <f t="shared" si="20"/>
        <v>0</v>
      </c>
      <c r="AS56">
        <f t="shared" si="21"/>
        <v>0</v>
      </c>
      <c r="AT56">
        <f t="shared" si="22"/>
        <v>0</v>
      </c>
      <c r="AU56">
        <f t="shared" si="23"/>
        <v>0</v>
      </c>
      <c r="AV56">
        <f t="shared" si="12"/>
        <v>0</v>
      </c>
      <c r="AZ56">
        <f>ELEMENT!CU100</f>
        <v>0</v>
      </c>
      <c r="BC56">
        <f>ELEMENT!DP100</f>
        <v>0</v>
      </c>
      <c r="BR56">
        <v>0</v>
      </c>
      <c r="BS56">
        <v>0</v>
      </c>
    </row>
    <row r="57" spans="19:78" x14ac:dyDescent="0.2">
      <c r="S57">
        <f>ELEMENT!BF57</f>
        <v>0</v>
      </c>
      <c r="T57">
        <v>10</v>
      </c>
      <c r="V57">
        <v>90</v>
      </c>
      <c r="X57">
        <v>90</v>
      </c>
      <c r="Y57">
        <v>450</v>
      </c>
      <c r="Z57">
        <v>20</v>
      </c>
      <c r="AA57">
        <v>0.25</v>
      </c>
      <c r="AH57">
        <f>ELEMENT!CU101</f>
        <v>0</v>
      </c>
      <c r="AI57">
        <v>3150</v>
      </c>
      <c r="AJ57">
        <v>3150</v>
      </c>
      <c r="AK57">
        <f t="shared" si="13"/>
        <v>3200</v>
      </c>
      <c r="AL57">
        <v>3150</v>
      </c>
      <c r="AM57">
        <f t="shared" si="15"/>
        <v>2200</v>
      </c>
      <c r="AN57">
        <f t="shared" si="16"/>
        <v>3200</v>
      </c>
      <c r="AO57">
        <f t="shared" si="17"/>
        <v>0</v>
      </c>
      <c r="AP57">
        <f t="shared" si="18"/>
        <v>0</v>
      </c>
      <c r="AQ57">
        <f t="shared" si="19"/>
        <v>0</v>
      </c>
      <c r="AR57">
        <f t="shared" si="20"/>
        <v>0</v>
      </c>
      <c r="AS57">
        <f t="shared" si="21"/>
        <v>0</v>
      </c>
      <c r="AT57">
        <f t="shared" si="22"/>
        <v>0</v>
      </c>
      <c r="AU57">
        <f t="shared" si="23"/>
        <v>0</v>
      </c>
      <c r="AV57">
        <f t="shared" si="12"/>
        <v>0</v>
      </c>
      <c r="AZ57">
        <f>ELEMENT!CU101</f>
        <v>0</v>
      </c>
      <c r="BA57">
        <v>2200</v>
      </c>
      <c r="BB57">
        <v>3200</v>
      </c>
      <c r="BC57">
        <v>3200</v>
      </c>
      <c r="BD57">
        <v>2200</v>
      </c>
      <c r="BE57">
        <v>2200</v>
      </c>
      <c r="BF57">
        <v>3200</v>
      </c>
      <c r="BR57" t="s">
        <v>162</v>
      </c>
      <c r="BS57">
        <v>2200</v>
      </c>
      <c r="BT57">
        <v>2600</v>
      </c>
      <c r="BU57">
        <v>2200</v>
      </c>
      <c r="BV57">
        <v>2200</v>
      </c>
      <c r="BW57">
        <v>2200</v>
      </c>
      <c r="BX57">
        <v>2600</v>
      </c>
      <c r="BY57">
        <v>2200</v>
      </c>
      <c r="BZ57">
        <v>2600</v>
      </c>
    </row>
    <row r="58" spans="19:78" x14ac:dyDescent="0.2">
      <c r="S58">
        <f>ELEMENT!BF58</f>
        <v>0</v>
      </c>
      <c r="T58">
        <v>2</v>
      </c>
      <c r="Y58">
        <v>48</v>
      </c>
      <c r="AH58">
        <f>ELEMENT!CU102</f>
        <v>0</v>
      </c>
      <c r="AI58">
        <f t="shared" si="24"/>
        <v>4000</v>
      </c>
      <c r="AJ58">
        <f t="shared" si="25"/>
        <v>4500</v>
      </c>
      <c r="AK58">
        <f t="shared" si="13"/>
        <v>4500</v>
      </c>
      <c r="AL58">
        <f t="shared" si="14"/>
        <v>4000</v>
      </c>
      <c r="AM58">
        <f t="shared" si="15"/>
        <v>4000</v>
      </c>
      <c r="AN58">
        <f t="shared" si="16"/>
        <v>4500</v>
      </c>
      <c r="AO58">
        <f t="shared" si="17"/>
        <v>0</v>
      </c>
      <c r="AP58">
        <f t="shared" si="18"/>
        <v>0</v>
      </c>
      <c r="AQ58">
        <f t="shared" si="19"/>
        <v>0</v>
      </c>
      <c r="AR58">
        <f t="shared" si="20"/>
        <v>0</v>
      </c>
      <c r="AS58">
        <f t="shared" si="21"/>
        <v>0</v>
      </c>
      <c r="AT58">
        <f t="shared" si="22"/>
        <v>0</v>
      </c>
      <c r="AU58">
        <f t="shared" si="23"/>
        <v>0</v>
      </c>
      <c r="AV58">
        <f t="shared" si="12"/>
        <v>0</v>
      </c>
      <c r="AZ58">
        <f>ELEMENT!CU102</f>
        <v>0</v>
      </c>
      <c r="BA58">
        <v>4000</v>
      </c>
      <c r="BB58">
        <v>4500</v>
      </c>
      <c r="BC58">
        <v>4500</v>
      </c>
      <c r="BD58">
        <v>4000</v>
      </c>
      <c r="BE58">
        <v>4000</v>
      </c>
      <c r="BF58">
        <v>4500</v>
      </c>
      <c r="BR58" t="s">
        <v>11</v>
      </c>
      <c r="BS58">
        <v>3800</v>
      </c>
      <c r="BT58">
        <v>4000</v>
      </c>
      <c r="BU58">
        <v>3800</v>
      </c>
      <c r="BV58">
        <v>3800</v>
      </c>
      <c r="BW58">
        <v>3800</v>
      </c>
      <c r="BX58">
        <v>4000</v>
      </c>
      <c r="BY58">
        <v>3800</v>
      </c>
      <c r="BZ58">
        <v>4000</v>
      </c>
    </row>
    <row r="59" spans="19:78" x14ac:dyDescent="0.2">
      <c r="S59">
        <f>ELEMENT!BF59</f>
        <v>0</v>
      </c>
      <c r="AH59">
        <f>ELEMENT!CU103</f>
        <v>0</v>
      </c>
      <c r="AI59">
        <v>3150</v>
      </c>
      <c r="AJ59">
        <v>3150</v>
      </c>
      <c r="AK59">
        <f t="shared" si="13"/>
        <v>3200</v>
      </c>
      <c r="AL59">
        <v>3150</v>
      </c>
      <c r="AM59">
        <f t="shared" si="15"/>
        <v>2200</v>
      </c>
      <c r="AN59">
        <f t="shared" si="16"/>
        <v>3200</v>
      </c>
      <c r="AO59">
        <f t="shared" si="17"/>
        <v>0</v>
      </c>
      <c r="AP59">
        <f t="shared" si="18"/>
        <v>0</v>
      </c>
      <c r="AQ59">
        <f t="shared" si="19"/>
        <v>0</v>
      </c>
      <c r="AR59">
        <f t="shared" si="20"/>
        <v>0</v>
      </c>
      <c r="AS59">
        <f t="shared" si="21"/>
        <v>0</v>
      </c>
      <c r="AT59">
        <f t="shared" si="22"/>
        <v>0</v>
      </c>
      <c r="AU59">
        <f t="shared" si="23"/>
        <v>0</v>
      </c>
      <c r="AV59">
        <f t="shared" si="12"/>
        <v>0</v>
      </c>
      <c r="AZ59">
        <f>ELEMENT!CU103</f>
        <v>0</v>
      </c>
      <c r="BA59">
        <v>2200</v>
      </c>
      <c r="BB59">
        <v>3200</v>
      </c>
      <c r="BC59">
        <v>3200</v>
      </c>
      <c r="BD59">
        <v>2200</v>
      </c>
      <c r="BE59">
        <v>2200</v>
      </c>
      <c r="BF59">
        <v>3200</v>
      </c>
      <c r="BR59" t="s">
        <v>173</v>
      </c>
      <c r="BS59">
        <v>2200</v>
      </c>
      <c r="BT59">
        <v>2300</v>
      </c>
      <c r="BU59">
        <v>2300</v>
      </c>
      <c r="BV59">
        <v>2300</v>
      </c>
      <c r="BW59">
        <v>2300</v>
      </c>
      <c r="BX59">
        <v>2300</v>
      </c>
      <c r="BY59">
        <v>2300</v>
      </c>
      <c r="BZ59">
        <v>2300</v>
      </c>
    </row>
    <row r="60" spans="19:78" x14ac:dyDescent="0.2">
      <c r="S60">
        <f>ELEMENT!BF60</f>
        <v>0</v>
      </c>
      <c r="T60">
        <f>ELEMENT!BG60</f>
        <v>0</v>
      </c>
      <c r="U60">
        <f>ELEMENT!BH60</f>
        <v>0</v>
      </c>
      <c r="V60">
        <f>ELEMENT!BI60</f>
        <v>0</v>
      </c>
      <c r="W60">
        <f>ELEMENT!BJ60</f>
        <v>0</v>
      </c>
      <c r="X60">
        <f>ELEMENT!BK60</f>
        <v>0</v>
      </c>
      <c r="Y60">
        <f>ELEMENT!BL60</f>
        <v>0</v>
      </c>
      <c r="Z60">
        <f>ELEMENT!BM60</f>
        <v>0</v>
      </c>
      <c r="AA60">
        <f>ELEMENT!BN60</f>
        <v>0</v>
      </c>
      <c r="AB60">
        <f>ELEMENT!BO60</f>
        <v>0</v>
      </c>
      <c r="AH60">
        <f>ELEMENT!CU104</f>
        <v>0</v>
      </c>
      <c r="AI60">
        <f t="shared" si="24"/>
        <v>14.4</v>
      </c>
      <c r="AJ60">
        <f t="shared" si="25"/>
        <v>14.4</v>
      </c>
      <c r="AK60">
        <f t="shared" si="13"/>
        <v>14.4</v>
      </c>
      <c r="AL60">
        <f t="shared" si="14"/>
        <v>14.4</v>
      </c>
      <c r="AM60">
        <f t="shared" si="15"/>
        <v>14.4</v>
      </c>
      <c r="AN60">
        <f t="shared" si="16"/>
        <v>14.4</v>
      </c>
      <c r="AO60">
        <f t="shared" si="17"/>
        <v>0</v>
      </c>
      <c r="AP60">
        <f t="shared" si="18"/>
        <v>0</v>
      </c>
      <c r="AQ60">
        <f t="shared" si="19"/>
        <v>0</v>
      </c>
      <c r="AR60">
        <f t="shared" si="20"/>
        <v>0</v>
      </c>
      <c r="AS60">
        <f t="shared" si="21"/>
        <v>0</v>
      </c>
      <c r="AT60">
        <f t="shared" si="22"/>
        <v>0</v>
      </c>
      <c r="AU60">
        <f t="shared" si="23"/>
        <v>0</v>
      </c>
      <c r="AV60">
        <f t="shared" si="12"/>
        <v>0</v>
      </c>
      <c r="AZ60">
        <f>ELEMENT!CU104</f>
        <v>0</v>
      </c>
      <c r="BA60">
        <v>14.4</v>
      </c>
      <c r="BB60">
        <v>14.4</v>
      </c>
      <c r="BC60">
        <v>14.4</v>
      </c>
      <c r="BD60">
        <v>14.4</v>
      </c>
      <c r="BE60">
        <v>14.4</v>
      </c>
      <c r="BF60">
        <v>14.4</v>
      </c>
      <c r="BR60" t="s">
        <v>249</v>
      </c>
      <c r="BS60">
        <v>8</v>
      </c>
      <c r="BT60">
        <v>8</v>
      </c>
      <c r="BU60">
        <v>8</v>
      </c>
      <c r="BV60">
        <v>8</v>
      </c>
      <c r="BW60">
        <v>8</v>
      </c>
      <c r="BX60">
        <v>8</v>
      </c>
      <c r="BY60">
        <v>8</v>
      </c>
      <c r="BZ60">
        <v>8</v>
      </c>
    </row>
    <row r="61" spans="19:78" x14ac:dyDescent="0.2">
      <c r="S61">
        <f>ELEMENT!BF61</f>
        <v>0</v>
      </c>
      <c r="T61">
        <v>5</v>
      </c>
      <c r="V61">
        <v>20</v>
      </c>
      <c r="X61">
        <v>30</v>
      </c>
      <c r="Y61">
        <v>87</v>
      </c>
      <c r="AH61">
        <f>ELEMENT!CU105</f>
        <v>0</v>
      </c>
      <c r="AI61">
        <f t="shared" si="24"/>
        <v>14.4</v>
      </c>
      <c r="AJ61">
        <f t="shared" si="25"/>
        <v>14.4</v>
      </c>
      <c r="AK61">
        <f t="shared" si="13"/>
        <v>14.4</v>
      </c>
      <c r="AL61">
        <f t="shared" si="14"/>
        <v>14.4</v>
      </c>
      <c r="AM61">
        <f t="shared" si="15"/>
        <v>14.4</v>
      </c>
      <c r="AN61">
        <f t="shared" si="16"/>
        <v>14.4</v>
      </c>
      <c r="AO61">
        <f t="shared" si="17"/>
        <v>0</v>
      </c>
      <c r="AP61">
        <f t="shared" si="18"/>
        <v>0</v>
      </c>
      <c r="AQ61">
        <f t="shared" si="19"/>
        <v>0</v>
      </c>
      <c r="AR61">
        <f t="shared" si="20"/>
        <v>0</v>
      </c>
      <c r="AS61">
        <f t="shared" si="21"/>
        <v>0</v>
      </c>
      <c r="AT61">
        <f t="shared" si="22"/>
        <v>0</v>
      </c>
      <c r="AU61">
        <f t="shared" si="23"/>
        <v>0</v>
      </c>
      <c r="AV61">
        <f t="shared" si="12"/>
        <v>0</v>
      </c>
      <c r="AZ61">
        <f>ELEMENT!CU105</f>
        <v>0</v>
      </c>
      <c r="BA61">
        <v>14.4</v>
      </c>
      <c r="BB61">
        <v>14.4</v>
      </c>
      <c r="BC61">
        <v>14.4</v>
      </c>
      <c r="BD61">
        <v>14.4</v>
      </c>
      <c r="BE61">
        <v>14.4</v>
      </c>
      <c r="BF61">
        <v>14.4</v>
      </c>
      <c r="BR61" t="s">
        <v>250</v>
      </c>
      <c r="BS61">
        <v>12.6</v>
      </c>
      <c r="BT61">
        <v>12.6</v>
      </c>
      <c r="BU61">
        <v>12.6</v>
      </c>
      <c r="BV61">
        <v>12.6</v>
      </c>
      <c r="BW61">
        <v>12.6</v>
      </c>
      <c r="BX61">
        <v>12.6</v>
      </c>
      <c r="BY61">
        <v>12.6</v>
      </c>
      <c r="BZ61">
        <v>12.6</v>
      </c>
    </row>
    <row r="62" spans="19:78" x14ac:dyDescent="0.2">
      <c r="S62">
        <f>ELEMENT!BF62</f>
        <v>0</v>
      </c>
      <c r="T62">
        <v>5</v>
      </c>
      <c r="V62">
        <v>30</v>
      </c>
      <c r="X62">
        <v>80</v>
      </c>
      <c r="Y62">
        <v>153.5</v>
      </c>
      <c r="AH62">
        <f>ELEMENT!CU106</f>
        <v>0</v>
      </c>
      <c r="AI62">
        <f t="shared" si="24"/>
        <v>0</v>
      </c>
      <c r="AJ62">
        <f t="shared" si="25"/>
        <v>0</v>
      </c>
      <c r="AK62">
        <f t="shared" si="13"/>
        <v>0</v>
      </c>
      <c r="AL62">
        <f t="shared" si="14"/>
        <v>0</v>
      </c>
      <c r="AM62">
        <f t="shared" si="15"/>
        <v>0</v>
      </c>
      <c r="AN62">
        <f t="shared" si="16"/>
        <v>0</v>
      </c>
      <c r="AO62">
        <f t="shared" si="17"/>
        <v>0</v>
      </c>
      <c r="AP62">
        <f t="shared" si="18"/>
        <v>0</v>
      </c>
      <c r="AQ62">
        <f t="shared" si="19"/>
        <v>0</v>
      </c>
      <c r="AR62">
        <f t="shared" si="20"/>
        <v>0</v>
      </c>
      <c r="AS62">
        <f t="shared" si="21"/>
        <v>0</v>
      </c>
      <c r="AT62">
        <f t="shared" si="22"/>
        <v>0</v>
      </c>
      <c r="AU62">
        <f t="shared" si="23"/>
        <v>0</v>
      </c>
      <c r="AV62">
        <f t="shared" si="12"/>
        <v>0</v>
      </c>
      <c r="AZ62">
        <f>ELEMENT!CU106</f>
        <v>0</v>
      </c>
      <c r="BR62">
        <v>0</v>
      </c>
    </row>
    <row r="63" spans="19:78" x14ac:dyDescent="0.2">
      <c r="S63">
        <f>ELEMENT!BF63</f>
        <v>0</v>
      </c>
      <c r="V63">
        <v>10</v>
      </c>
      <c r="AH63">
        <f>ELEMENT!CU107</f>
        <v>0</v>
      </c>
      <c r="AI63">
        <f t="shared" si="24"/>
        <v>0</v>
      </c>
      <c r="AJ63" t="str">
        <f t="shared" si="25"/>
        <v>s</v>
      </c>
      <c r="AK63" t="str">
        <f t="shared" si="13"/>
        <v>c</v>
      </c>
      <c r="AL63">
        <f t="shared" si="14"/>
        <v>0</v>
      </c>
      <c r="AM63">
        <f t="shared" si="15"/>
        <v>0</v>
      </c>
      <c r="AN63">
        <f t="shared" si="16"/>
        <v>0</v>
      </c>
      <c r="AO63">
        <f t="shared" si="17"/>
        <v>0</v>
      </c>
      <c r="AP63">
        <f t="shared" si="18"/>
        <v>0</v>
      </c>
      <c r="AQ63">
        <f t="shared" si="19"/>
        <v>0</v>
      </c>
      <c r="AR63">
        <f t="shared" si="20"/>
        <v>0</v>
      </c>
      <c r="AS63">
        <f t="shared" si="21"/>
        <v>0</v>
      </c>
      <c r="AT63">
        <f t="shared" si="22"/>
        <v>0</v>
      </c>
      <c r="AU63">
        <f t="shared" si="23"/>
        <v>0</v>
      </c>
      <c r="AV63">
        <f t="shared" si="12"/>
        <v>0</v>
      </c>
      <c r="AZ63">
        <f>ELEMENT!CU107</f>
        <v>0</v>
      </c>
      <c r="BB63" t="s">
        <v>138</v>
      </c>
      <c r="BC63" t="s">
        <v>139</v>
      </c>
      <c r="BR63">
        <v>0</v>
      </c>
      <c r="BT63" t="s">
        <v>138</v>
      </c>
      <c r="BU63" t="s">
        <v>139</v>
      </c>
    </row>
    <row r="64" spans="19:78" x14ac:dyDescent="0.2">
      <c r="S64">
        <f>ELEMENT!BF64</f>
        <v>0</v>
      </c>
      <c r="T64">
        <v>0</v>
      </c>
      <c r="V64">
        <v>10</v>
      </c>
      <c r="AH64">
        <f>ELEMENT!CU108</f>
        <v>0</v>
      </c>
      <c r="AI64">
        <v>4500</v>
      </c>
      <c r="AJ64">
        <f t="shared" si="25"/>
        <v>4500</v>
      </c>
      <c r="AK64">
        <f t="shared" si="13"/>
        <v>3900</v>
      </c>
      <c r="AL64">
        <f t="shared" si="14"/>
        <v>0</v>
      </c>
      <c r="AM64">
        <f t="shared" si="15"/>
        <v>0</v>
      </c>
      <c r="AN64">
        <f t="shared" si="16"/>
        <v>0</v>
      </c>
      <c r="AO64">
        <f t="shared" si="17"/>
        <v>0</v>
      </c>
      <c r="AP64">
        <f t="shared" si="18"/>
        <v>0</v>
      </c>
      <c r="AQ64">
        <f t="shared" si="19"/>
        <v>0</v>
      </c>
      <c r="AR64">
        <f t="shared" si="20"/>
        <v>0</v>
      </c>
      <c r="AS64">
        <f t="shared" si="21"/>
        <v>0</v>
      </c>
      <c r="AT64">
        <f t="shared" si="22"/>
        <v>0</v>
      </c>
      <c r="AU64">
        <f t="shared" si="23"/>
        <v>0</v>
      </c>
      <c r="AV64">
        <f t="shared" si="12"/>
        <v>0</v>
      </c>
      <c r="AZ64">
        <f>ELEMENT!CU108</f>
        <v>0</v>
      </c>
      <c r="BA64">
        <v>3400</v>
      </c>
      <c r="BB64">
        <v>4500</v>
      </c>
      <c r="BC64">
        <v>3900</v>
      </c>
      <c r="BR64">
        <v>0</v>
      </c>
      <c r="BS64">
        <v>3400</v>
      </c>
      <c r="BT64">
        <v>4500</v>
      </c>
      <c r="BU64">
        <v>3900</v>
      </c>
    </row>
    <row r="65" spans="19:70" x14ac:dyDescent="0.2">
      <c r="S65">
        <f>ELEMENT!BF65</f>
        <v>0</v>
      </c>
      <c r="T65">
        <v>10</v>
      </c>
      <c r="V65">
        <v>15</v>
      </c>
      <c r="X65">
        <v>20</v>
      </c>
      <c r="Y65">
        <v>26</v>
      </c>
      <c r="AH65">
        <f>ELEMENT!CU109</f>
        <v>0</v>
      </c>
      <c r="AI65">
        <f t="shared" si="24"/>
        <v>0</v>
      </c>
      <c r="AJ65">
        <f t="shared" si="25"/>
        <v>0</v>
      </c>
      <c r="AK65">
        <f t="shared" si="13"/>
        <v>0</v>
      </c>
      <c r="AL65">
        <f t="shared" si="14"/>
        <v>0</v>
      </c>
      <c r="AM65">
        <f t="shared" si="15"/>
        <v>0</v>
      </c>
      <c r="AN65">
        <f t="shared" si="16"/>
        <v>0</v>
      </c>
      <c r="AO65">
        <f t="shared" si="17"/>
        <v>0</v>
      </c>
      <c r="AP65">
        <f t="shared" si="18"/>
        <v>0</v>
      </c>
      <c r="AQ65">
        <f t="shared" si="19"/>
        <v>0</v>
      </c>
      <c r="AR65">
        <f t="shared" si="20"/>
        <v>0</v>
      </c>
      <c r="AS65">
        <f t="shared" si="21"/>
        <v>0</v>
      </c>
      <c r="AT65">
        <f t="shared" si="22"/>
        <v>0</v>
      </c>
      <c r="AU65">
        <f t="shared" si="23"/>
        <v>0</v>
      </c>
      <c r="AV65">
        <f t="shared" si="12"/>
        <v>0</v>
      </c>
      <c r="AZ65">
        <f>ELEMENT!CU109</f>
        <v>0</v>
      </c>
      <c r="BR65">
        <v>0</v>
      </c>
    </row>
    <row r="66" spans="19:70" x14ac:dyDescent="0.2">
      <c r="S66">
        <f>ELEMENT!BF66</f>
        <v>0</v>
      </c>
      <c r="T66">
        <f>ELEMENT!BG66</f>
        <v>0</v>
      </c>
      <c r="U66">
        <f>ELEMENT!BH66</f>
        <v>0</v>
      </c>
      <c r="V66">
        <f>ELEMENT!BI66</f>
        <v>0</v>
      </c>
      <c r="W66">
        <f>ELEMENT!BJ66</f>
        <v>0</v>
      </c>
      <c r="X66">
        <f>ELEMENT!BK66</f>
        <v>0</v>
      </c>
      <c r="Y66">
        <f>ELEMENT!BL66</f>
        <v>0</v>
      </c>
      <c r="Z66">
        <f>ELEMENT!BM66</f>
        <v>0</v>
      </c>
      <c r="AA66">
        <f>ELEMENT!BN66</f>
        <v>0</v>
      </c>
      <c r="AB66">
        <f>ELEMENT!BO66</f>
        <v>0</v>
      </c>
    </row>
    <row r="67" spans="19:70" x14ac:dyDescent="0.2">
      <c r="S67">
        <f>ELEMENT!BF67</f>
        <v>0</v>
      </c>
      <c r="T67">
        <v>5</v>
      </c>
      <c r="V67">
        <v>20</v>
      </c>
      <c r="W67">
        <v>10</v>
      </c>
      <c r="X67">
        <v>35</v>
      </c>
      <c r="Y67">
        <v>296</v>
      </c>
    </row>
    <row r="68" spans="19:70" x14ac:dyDescent="0.2">
      <c r="S68">
        <f>ELEMENT!BF68</f>
        <v>0</v>
      </c>
      <c r="T68">
        <v>5</v>
      </c>
      <c r="V68">
        <v>30</v>
      </c>
      <c r="W68">
        <v>10</v>
      </c>
      <c r="X68">
        <v>80</v>
      </c>
      <c r="Y68">
        <v>296</v>
      </c>
      <c r="BA68">
        <v>3400</v>
      </c>
      <c r="BB68">
        <v>4500</v>
      </c>
      <c r="BC68">
        <v>3900</v>
      </c>
    </row>
    <row r="69" spans="19:70" x14ac:dyDescent="0.2">
      <c r="S69">
        <f>ELEMENT!BF69</f>
        <v>0</v>
      </c>
      <c r="T69">
        <v>5</v>
      </c>
      <c r="V69">
        <v>15</v>
      </c>
      <c r="W69">
        <v>10</v>
      </c>
      <c r="X69">
        <v>95</v>
      </c>
      <c r="Y69">
        <v>171</v>
      </c>
    </row>
    <row r="70" spans="19:70" x14ac:dyDescent="0.2">
      <c r="S70">
        <f>ELEMENT!BF70</f>
        <v>0</v>
      </c>
      <c r="T70">
        <v>5</v>
      </c>
      <c r="V70">
        <v>10</v>
      </c>
      <c r="X70">
        <v>15</v>
      </c>
      <c r="Y70">
        <v>46</v>
      </c>
    </row>
    <row r="71" spans="19:70" x14ac:dyDescent="0.2">
      <c r="S71">
        <f>ELEMENT!BF71</f>
        <v>0</v>
      </c>
      <c r="T71">
        <v>5</v>
      </c>
      <c r="V71">
        <v>10</v>
      </c>
      <c r="X71">
        <v>45</v>
      </c>
      <c r="Y71">
        <v>60</v>
      </c>
    </row>
    <row r="72" spans="19:70" x14ac:dyDescent="0.2">
      <c r="S72">
        <f>ELEMENT!BF72</f>
        <v>0</v>
      </c>
    </row>
    <row r="74" spans="19:70" x14ac:dyDescent="0.2">
      <c r="AH74">
        <v>3501</v>
      </c>
      <c r="AI74">
        <v>2501</v>
      </c>
      <c r="AJ74">
        <v>0.3</v>
      </c>
    </row>
    <row r="75" spans="19:70" x14ac:dyDescent="0.2">
      <c r="AH75">
        <v>3701</v>
      </c>
      <c r="AI75">
        <v>2701</v>
      </c>
      <c r="AJ75">
        <v>0.6</v>
      </c>
    </row>
    <row r="76" spans="19:70" x14ac:dyDescent="0.2">
      <c r="AH76">
        <v>4001</v>
      </c>
      <c r="AI76">
        <v>2801</v>
      </c>
      <c r="AJ76">
        <v>0.8</v>
      </c>
    </row>
    <row r="77" spans="19:70" x14ac:dyDescent="0.2">
      <c r="AH77">
        <v>4001</v>
      </c>
      <c r="AI77">
        <v>3001</v>
      </c>
      <c r="AJ77">
        <v>1</v>
      </c>
    </row>
    <row r="84" spans="20:24" x14ac:dyDescent="0.2">
      <c r="T84">
        <f>ELEMENT!CJ72</f>
        <v>0</v>
      </c>
    </row>
    <row r="85" spans="20:24" x14ac:dyDescent="0.2">
      <c r="U85" t="s">
        <v>216</v>
      </c>
      <c r="V85" t="s">
        <v>241</v>
      </c>
      <c r="W85" t="s">
        <v>1126</v>
      </c>
      <c r="X85" t="s">
        <v>1126</v>
      </c>
    </row>
    <row r="86" spans="20:24" x14ac:dyDescent="0.2">
      <c r="W86" t="s">
        <v>375</v>
      </c>
      <c r="X86" t="s">
        <v>375</v>
      </c>
    </row>
  </sheetData>
  <pageMargins left="0.25" right="0.25" top="0.75" bottom="0.75" header="0.3" footer="0.3"/>
  <pageSetup paperSize="8" scale="46"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11">
    <pageSetUpPr fitToPage="1"/>
  </sheetPr>
  <dimension ref="S3:CY86"/>
  <sheetViews>
    <sheetView showZeros="0" zoomScale="85" zoomScaleNormal="85" workbookViewId="0">
      <selection sqref="A1:IV65536"/>
    </sheetView>
  </sheetViews>
  <sheetFormatPr defaultColWidth="10.85546875" defaultRowHeight="12.75" x14ac:dyDescent="0.2"/>
  <cols>
    <col min="1" max="1" width="18.5703125" customWidth="1"/>
    <col min="2" max="10" width="52" customWidth="1"/>
    <col min="11" max="13" width="25.28515625" customWidth="1"/>
    <col min="18" max="18" width="18.28515625" customWidth="1"/>
    <col min="19" max="19" width="25.42578125" customWidth="1"/>
    <col min="20" max="28" width="9.28515625" customWidth="1"/>
    <col min="29" max="30" width="13.28515625" customWidth="1"/>
    <col min="34" max="34" width="14.7109375" customWidth="1"/>
    <col min="51" max="51" width="12.28515625" customWidth="1"/>
    <col min="52" max="52" width="17.7109375" customWidth="1"/>
    <col min="53" max="60" width="12.28515625" customWidth="1"/>
    <col min="61" max="65" width="5.7109375" customWidth="1"/>
    <col min="66" max="66" width="11.42578125" customWidth="1"/>
    <col min="67" max="67" width="25.7109375" customWidth="1"/>
    <col min="68" max="69" width="5.7109375" customWidth="1"/>
    <col min="70" max="70" width="17.7109375" customWidth="1"/>
    <col min="71" max="79" width="12.28515625" customWidth="1"/>
    <col min="80" max="83" width="5.7109375" customWidth="1"/>
    <col min="85" max="85" width="25.7109375" customWidth="1"/>
    <col min="86" max="87" width="5.7109375" customWidth="1"/>
    <col min="88" max="88" width="16.7109375" customWidth="1"/>
    <col min="89" max="94" width="13.42578125" customWidth="1"/>
    <col min="95" max="101" width="5.7109375" customWidth="1"/>
    <col min="103" max="103" width="30.7109375" customWidth="1"/>
  </cols>
  <sheetData>
    <row r="3" spans="19:103" ht="18" x14ac:dyDescent="0.25">
      <c r="AY3" t="s">
        <v>1243</v>
      </c>
      <c r="BA3" t="s">
        <v>791</v>
      </c>
      <c r="BC3">
        <f>23*1.42</f>
        <v>32.659999999999997</v>
      </c>
      <c r="BD3" t="s">
        <v>735</v>
      </c>
      <c r="BR3" t="s">
        <v>767</v>
      </c>
      <c r="BS3" t="s">
        <v>905</v>
      </c>
      <c r="BU3">
        <v>12</v>
      </c>
      <c r="BV3" t="s">
        <v>735</v>
      </c>
      <c r="CJ3" t="s">
        <v>1134</v>
      </c>
      <c r="CK3" t="s">
        <v>1135</v>
      </c>
      <c r="CM3">
        <v>40</v>
      </c>
      <c r="CN3" t="s">
        <v>1136</v>
      </c>
      <c r="CO3" t="s">
        <v>1196</v>
      </c>
    </row>
    <row r="4" spans="19:103" ht="180" customHeight="1" x14ac:dyDescent="0.2">
      <c r="S4">
        <v>2</v>
      </c>
      <c r="T4">
        <f>ELEMENT!BG4</f>
        <v>0</v>
      </c>
      <c r="U4">
        <f>ELEMENT!BH4</f>
        <v>0</v>
      </c>
      <c r="V4">
        <f>ELEMENT!BI4</f>
        <v>0</v>
      </c>
      <c r="W4">
        <f>ELEMENT!BJ4</f>
        <v>0</v>
      </c>
      <c r="X4">
        <f>ELEMENT!BK4</f>
        <v>0</v>
      </c>
      <c r="Y4">
        <f>ELEMENT!BL4</f>
        <v>0</v>
      </c>
      <c r="Z4">
        <f>ELEMENT!BM4</f>
        <v>0</v>
      </c>
      <c r="AA4">
        <f>ELEMENT!BN4</f>
        <v>0</v>
      </c>
      <c r="AB4">
        <f>ELEMENT!BO4</f>
        <v>0</v>
      </c>
      <c r="BA4" t="s">
        <v>736</v>
      </c>
      <c r="BB4" t="s">
        <v>738</v>
      </c>
      <c r="BC4" t="s">
        <v>740</v>
      </c>
      <c r="BD4" t="s">
        <v>743</v>
      </c>
      <c r="BE4" t="s">
        <v>731</v>
      </c>
      <c r="BF4" t="s">
        <v>732</v>
      </c>
      <c r="BG4" t="s">
        <v>734</v>
      </c>
      <c r="BH4" t="s">
        <v>733</v>
      </c>
      <c r="BS4" t="s">
        <v>736</v>
      </c>
      <c r="BT4" t="s">
        <v>738</v>
      </c>
      <c r="BU4" t="s">
        <v>740</v>
      </c>
      <c r="BV4" t="s">
        <v>743</v>
      </c>
      <c r="BW4" t="s">
        <v>731</v>
      </c>
      <c r="BX4" t="s">
        <v>732</v>
      </c>
      <c r="BY4" t="s">
        <v>768</v>
      </c>
      <c r="BZ4" t="s">
        <v>769</v>
      </c>
      <c r="CA4" t="s">
        <v>1244</v>
      </c>
      <c r="CJ4" t="s">
        <v>1137</v>
      </c>
      <c r="CK4" t="s">
        <v>736</v>
      </c>
      <c r="CL4" t="s">
        <v>738</v>
      </c>
      <c r="CM4" t="s">
        <v>740</v>
      </c>
      <c r="CN4" t="s">
        <v>743</v>
      </c>
      <c r="CO4" t="s">
        <v>731</v>
      </c>
      <c r="CP4" t="s">
        <v>732</v>
      </c>
    </row>
    <row r="5" spans="19:103" x14ac:dyDescent="0.2">
      <c r="S5">
        <f>ELEMENT!BF5</f>
        <v>0</v>
      </c>
      <c r="AH5">
        <f>ELEMENT!K3</f>
        <v>2</v>
      </c>
      <c r="AI5" t="str">
        <f>IF($AH$5=1,BS5,
IF($AH$5=2,CK5,BA5))</f>
        <v>6 / 6</v>
      </c>
      <c r="AJ5" t="str">
        <f t="shared" ref="AJ5:AJ65" si="0">IF($AH$5=1,BT5,
IF($AH$5=2,CL5,BB5))</f>
        <v>8 / 8</v>
      </c>
      <c r="AK5" t="str">
        <f t="shared" ref="AK5:AK65" si="1">IF($AH$5=1,BU5,
IF($AH$5=2,CM5,BC5))</f>
        <v>8 / 6</v>
      </c>
      <c r="AL5" t="str">
        <f t="shared" ref="AL5:AL65" si="2">IF($AH$5=1,BV5,
IF($AH$5=2,CN5,BD5))</f>
        <v>10 / 6</v>
      </c>
      <c r="AM5" t="str">
        <f t="shared" ref="AM5:AM65" si="3">IF($AH$5=1,BW5,
IF($AH$5=2,CO5,BE5))</f>
        <v>6 / 8-2</v>
      </c>
      <c r="AN5" t="str">
        <f t="shared" ref="AN5:AN65" si="4">IF($AH$5=1,BX5,
IF($AH$5=2,CP5,BF5))</f>
        <v>8 / 8-2</v>
      </c>
      <c r="AO5">
        <f t="shared" ref="AO5:AO65" si="5">IF($AH$5=1,BY5,
IF($AH$5=2,CQ5,BG5))</f>
        <v>0</v>
      </c>
      <c r="AP5">
        <f t="shared" ref="AP5:AP65" si="6">IF($AH$5=1,BZ5,
IF($AH$5=2,CR5,BH5))</f>
        <v>0</v>
      </c>
      <c r="AQ5">
        <f t="shared" ref="AQ5:AQ65" si="7">IF($AH$5=1,CA5,
IF($AH$5=2,CS5,BI5))</f>
        <v>0</v>
      </c>
      <c r="AR5">
        <f t="shared" ref="AR5:AR65" si="8">IF($AH$5=1,CB5,
IF($AH$5=2,CT5,BJ5))</f>
        <v>0</v>
      </c>
      <c r="AS5">
        <f t="shared" ref="AS5:AS65" si="9">IF($AH$5=1,CC5,
IF($AH$5=2,CU5,BK5))</f>
        <v>0</v>
      </c>
      <c r="AT5">
        <f t="shared" ref="AT5:AT65" si="10">IF($AH$5=1,CD5,
IF($AH$5=2,CV5,BL5))</f>
        <v>0</v>
      </c>
      <c r="AU5">
        <f t="shared" ref="AU5:AU65" si="11">IF($AH$5=1,CE5,
IF($AH$5=2,CW5,BM5))</f>
        <v>0</v>
      </c>
      <c r="AV5">
        <f t="shared" ref="AV5:AV65" si="12">IF($AH$5=1,CF5,
IF($AH$5=2,CX5,BN5))</f>
        <v>150</v>
      </c>
      <c r="BA5" t="s">
        <v>737</v>
      </c>
      <c r="BB5" t="s">
        <v>739</v>
      </c>
      <c r="BC5" t="s">
        <v>741</v>
      </c>
      <c r="BD5" t="s">
        <v>742</v>
      </c>
      <c r="BE5" t="s">
        <v>744</v>
      </c>
      <c r="BF5" t="s">
        <v>746</v>
      </c>
      <c r="BG5" t="s">
        <v>745</v>
      </c>
      <c r="BH5" t="s">
        <v>747</v>
      </c>
      <c r="BN5">
        <v>150</v>
      </c>
      <c r="BS5" t="s">
        <v>737</v>
      </c>
      <c r="BT5" t="s">
        <v>739</v>
      </c>
      <c r="BU5" t="s">
        <v>741</v>
      </c>
      <c r="BV5" t="s">
        <v>742</v>
      </c>
      <c r="BW5" t="s">
        <v>744</v>
      </c>
      <c r="BX5" t="s">
        <v>746</v>
      </c>
      <c r="BY5" t="s">
        <v>770</v>
      </c>
      <c r="BZ5" t="s">
        <v>771</v>
      </c>
      <c r="CA5" t="s">
        <v>1035</v>
      </c>
      <c r="CF5">
        <v>150</v>
      </c>
      <c r="CK5" t="s">
        <v>737</v>
      </c>
      <c r="CL5" t="s">
        <v>739</v>
      </c>
      <c r="CM5" t="s">
        <v>741</v>
      </c>
      <c r="CN5" t="s">
        <v>742</v>
      </c>
      <c r="CO5" t="s">
        <v>744</v>
      </c>
      <c r="CP5" t="s">
        <v>746</v>
      </c>
      <c r="CX5">
        <v>150</v>
      </c>
    </row>
    <row r="6" spans="19:103" x14ac:dyDescent="0.2">
      <c r="S6">
        <f>ELEMENT!BF6</f>
        <v>0</v>
      </c>
      <c r="AF6" t="str">
        <f>AI6</f>
        <v>tempered safety glass 6 / tempered safety glass 6</v>
      </c>
      <c r="AH6">
        <f t="shared" ref="AH6:AI65" si="13">IF($AH$5=1,BR6,
IF($AH$5=2,CJ6,AZ6))</f>
        <v>0</v>
      </c>
      <c r="AI6" t="str">
        <f t="shared" si="13"/>
        <v>tempered safety glass 6 / tempered safety glass 6</v>
      </c>
      <c r="AJ6" t="str">
        <f t="shared" si="0"/>
        <v>tempered safety glass 8 / tempered safety glass 8</v>
      </c>
      <c r="AK6" t="str">
        <f t="shared" si="1"/>
        <v>tempered safety glass 6 / tempered safety glass 8</v>
      </c>
      <c r="AL6" t="str">
        <f t="shared" si="2"/>
        <v>tempered safety glass 10 / tempered safety glass 6</v>
      </c>
      <c r="AM6" t="str">
        <f t="shared" si="3"/>
        <v>tempered safety glass 6 / laminated safety glass 8-2</v>
      </c>
      <c r="AN6" t="str">
        <f t="shared" si="4"/>
        <v>tempered safety glass 8 / laminated safety glass 8-2</v>
      </c>
      <c r="AO6">
        <f t="shared" si="5"/>
        <v>0</v>
      </c>
      <c r="AP6">
        <f t="shared" si="6"/>
        <v>0</v>
      </c>
      <c r="AQ6">
        <f t="shared" si="7"/>
        <v>0</v>
      </c>
      <c r="AR6">
        <f t="shared" si="8"/>
        <v>0</v>
      </c>
      <c r="AS6">
        <f t="shared" si="9"/>
        <v>0</v>
      </c>
      <c r="AT6">
        <f t="shared" si="10"/>
        <v>0</v>
      </c>
      <c r="AU6">
        <f t="shared" si="11"/>
        <v>0</v>
      </c>
      <c r="AV6">
        <f t="shared" si="12"/>
        <v>3</v>
      </c>
      <c r="AX6" t="s">
        <v>795</v>
      </c>
      <c r="AZ6" t="s">
        <v>47</v>
      </c>
      <c r="BA6" t="str">
        <f>CONCATENATE(Sprache!$B$75," 6 / ",Sprache!$B$75," 6")</f>
        <v>tempered safety glass 6 / tempered safety glass 6</v>
      </c>
      <c r="BB6" t="str">
        <f>CONCATENATE(Sprache!$B$75," 8 / ",Sprache!$B$75," 8")</f>
        <v>tempered safety glass 8 / tempered safety glass 8</v>
      </c>
      <c r="BC6" t="str">
        <f>CONCATENATE(Sprache!$B$75," 6 / ",Sprache!$B$75," 8")</f>
        <v>tempered safety glass 6 / tempered safety glass 8</v>
      </c>
      <c r="BD6" t="str">
        <f>CONCATENATE(Sprache!$B$75," 10 / ",Sprache!$B$75," 6")</f>
        <v>tempered safety glass 10 / tempered safety glass 6</v>
      </c>
      <c r="BE6" t="str">
        <f>CONCATENATE(Sprache!$B$75," 6 / ",Sprache!$B$74," 8-2")</f>
        <v>tempered safety glass 6 / laminated safety glass 8-2</v>
      </c>
      <c r="BF6" t="str">
        <f>CONCATENATE(Sprache!$B$75," 8 / ",Sprache!$B$74," 8-2")</f>
        <v>tempered safety glass 8 / laminated safety glass 8-2</v>
      </c>
      <c r="BG6" t="str">
        <f>CONCATENATE(Sprache!$B$75," 6 / ",Sprache!$B$74," 9-P4A")</f>
        <v>tempered safety glass 6 / laminated safety glass 9-P4A</v>
      </c>
      <c r="BH6" t="str">
        <f>CONCATENATE(Sprache!$B$75," 8 / ",Sprache!$B$74," 9-P4A")</f>
        <v>tempered safety glass 8 / laminated safety glass 9-P4A</v>
      </c>
      <c r="BN6">
        <v>2</v>
      </c>
      <c r="BR6" t="s">
        <v>47</v>
      </c>
      <c r="BS6" t="str">
        <f>CONCATENATE(Sprache!$B$75," 6 / ",Sprache!$B$75," 6")</f>
        <v>tempered safety glass 6 / tempered safety glass 6</v>
      </c>
      <c r="BT6" t="str">
        <f>CONCATENATE(Sprache!$B$75," 8 / ",Sprache!$B$75," 8")</f>
        <v>tempered safety glass 8 / tempered safety glass 8</v>
      </c>
      <c r="BU6" t="str">
        <f>CONCATENATE(Sprache!$B$75," 6 / ",Sprache!$B$75," 8")</f>
        <v>tempered safety glass 6 / tempered safety glass 8</v>
      </c>
      <c r="BV6" t="str">
        <f>CONCATENATE(Sprache!$B$75," 10 / ",Sprache!$B$75," 6")</f>
        <v>tempered safety glass 10 / tempered safety glass 6</v>
      </c>
      <c r="BW6" t="str">
        <f>CONCATENATE(Sprache!$B$75," 6 / ",Sprache!$B$74," 8-2")</f>
        <v>tempered safety glass 6 / laminated safety glass 8-2</v>
      </c>
      <c r="BX6" t="str">
        <f>CONCATENATE(Sprache!$B$75," 8 / ",Sprache!$B$74," 8-2")</f>
        <v>tempered safety glass 8 / laminated safety glass 8-2</v>
      </c>
      <c r="BY6" t="str">
        <f>CONCATENATE(Sprache!$B$75," 6 / ",Sprache!$B$74," 10-SP10")</f>
        <v>tempered safety glass 6 / laminated safety glass 10-SP10</v>
      </c>
      <c r="BZ6" t="str">
        <f>CONCATENATE(Sprache!$B$75," 8 / ",Sprache!$B$73," 10-SP10")</f>
        <v>tempered safety glass 8 / LSG-TVG 10-SP10</v>
      </c>
      <c r="CA6" t="str">
        <f>Sprache!T74&amp;" 12-2"</f>
        <v xml:space="preserve"> 12-2</v>
      </c>
      <c r="CF6">
        <v>2</v>
      </c>
      <c r="CK6" t="str">
        <f>CONCATENATE(Sprache!$B$75," 6 / ",Sprache!$B$75," 6")</f>
        <v>tempered safety glass 6 / tempered safety glass 6</v>
      </c>
      <c r="CL6" t="str">
        <f>CONCATENATE(Sprache!$B$75," 8 / ",Sprache!$B$75," 8")</f>
        <v>tempered safety glass 8 / tempered safety glass 8</v>
      </c>
      <c r="CM6" t="str">
        <f>CONCATENATE(Sprache!$B$75," 6 / ",Sprache!$B$75," 8")</f>
        <v>tempered safety glass 6 / tempered safety glass 8</v>
      </c>
      <c r="CN6" t="str">
        <f>CONCATENATE(Sprache!$B$75," 10 / ",Sprache!$B$75," 6")</f>
        <v>tempered safety glass 10 / tempered safety glass 6</v>
      </c>
      <c r="CO6" t="str">
        <f>CONCATENATE(Sprache!$B$75," 6 / ",Sprache!$B$74," 8-2")</f>
        <v>tempered safety glass 6 / laminated safety glass 8-2</v>
      </c>
      <c r="CP6" t="str">
        <f>CONCATENATE(Sprache!$B$75," 8 / ",Sprache!$B$74," 8-2")</f>
        <v>tempered safety glass 8 / laminated safety glass 8-2</v>
      </c>
      <c r="CX6">
        <v>3</v>
      </c>
    </row>
    <row r="7" spans="19:103" x14ac:dyDescent="0.2">
      <c r="S7">
        <f>ELEMENT!BF7</f>
        <v>0</v>
      </c>
      <c r="T7">
        <v>15</v>
      </c>
      <c r="U7">
        <v>20</v>
      </c>
      <c r="V7">
        <v>70</v>
      </c>
      <c r="W7">
        <v>5.5</v>
      </c>
      <c r="X7">
        <v>69.300000000000011</v>
      </c>
      <c r="Y7">
        <v>170</v>
      </c>
      <c r="Z7">
        <v>58</v>
      </c>
      <c r="AA7">
        <v>0.622</v>
      </c>
      <c r="AB7">
        <v>4.0999999999999996</v>
      </c>
      <c r="AH7" t="str">
        <f t="shared" si="13"/>
        <v>U-factor</v>
      </c>
      <c r="AI7">
        <f>IF($AH$5=1,BS7,
IF($AH$5=2,CK7,BA7))</f>
        <v>0.34</v>
      </c>
      <c r="AJ7">
        <f t="shared" si="0"/>
        <v>0.34</v>
      </c>
      <c r="AK7">
        <f t="shared" si="1"/>
        <v>0.34</v>
      </c>
      <c r="AL7">
        <f t="shared" si="2"/>
        <v>0.34</v>
      </c>
      <c r="AM7">
        <f t="shared" si="3"/>
        <v>0.34</v>
      </c>
      <c r="AN7">
        <f t="shared" si="4"/>
        <v>0.33</v>
      </c>
      <c r="AO7">
        <f t="shared" si="5"/>
        <v>0</v>
      </c>
      <c r="AP7">
        <f t="shared" si="6"/>
        <v>0</v>
      </c>
      <c r="AQ7">
        <f t="shared" si="7"/>
        <v>0</v>
      </c>
      <c r="AR7">
        <f t="shared" si="8"/>
        <v>0</v>
      </c>
      <c r="AS7">
        <f t="shared" si="9"/>
        <v>0</v>
      </c>
      <c r="AT7">
        <f t="shared" si="10"/>
        <v>0</v>
      </c>
      <c r="AU7">
        <f t="shared" si="11"/>
        <v>0</v>
      </c>
      <c r="AV7" t="str">
        <f t="shared" si="12"/>
        <v>W</v>
      </c>
      <c r="AX7" t="s">
        <v>796</v>
      </c>
      <c r="AZ7" t="str">
        <f>Sprache!$B$114</f>
        <v>Ug-value</v>
      </c>
      <c r="BA7">
        <v>1.1000000000000001</v>
      </c>
      <c r="BB7">
        <v>1.1000000000000001</v>
      </c>
      <c r="BC7">
        <v>1.1000000000000001</v>
      </c>
      <c r="BD7">
        <v>1.1000000000000001</v>
      </c>
      <c r="BE7">
        <v>1.1000000000000001</v>
      </c>
      <c r="BF7">
        <v>1.1000000000000001</v>
      </c>
      <c r="BG7">
        <v>1.1000000000000001</v>
      </c>
      <c r="BH7">
        <v>1.1000000000000001</v>
      </c>
      <c r="BN7" t="s">
        <v>600</v>
      </c>
      <c r="BO7" t="s">
        <v>727</v>
      </c>
      <c r="BR7" t="str">
        <f>Sprache!$B$114</f>
        <v>Ug-value</v>
      </c>
      <c r="BS7">
        <v>1.1000000000000001</v>
      </c>
      <c r="BT7">
        <v>1.1000000000000001</v>
      </c>
      <c r="BU7">
        <v>1.1000000000000001</v>
      </c>
      <c r="BV7">
        <v>1.1000000000000001</v>
      </c>
      <c r="BW7">
        <v>1.1000000000000001</v>
      </c>
      <c r="BX7">
        <v>1.1000000000000001</v>
      </c>
      <c r="BY7">
        <v>1.1000000000000001</v>
      </c>
      <c r="BZ7">
        <v>1.1000000000000001</v>
      </c>
      <c r="CA7">
        <v>5.5</v>
      </c>
      <c r="CF7" t="s">
        <v>600</v>
      </c>
      <c r="CG7" t="s">
        <v>727</v>
      </c>
      <c r="CJ7" t="s">
        <v>1138</v>
      </c>
      <c r="CK7">
        <v>0.34</v>
      </c>
      <c r="CL7">
        <v>0.34</v>
      </c>
      <c r="CM7">
        <v>0.34</v>
      </c>
      <c r="CN7">
        <v>0.34</v>
      </c>
      <c r="CO7">
        <v>0.34</v>
      </c>
      <c r="CP7">
        <v>0.33</v>
      </c>
      <c r="CX7" t="s">
        <v>600</v>
      </c>
      <c r="CY7" t="s">
        <v>727</v>
      </c>
    </row>
    <row r="8" spans="19:103" x14ac:dyDescent="0.2">
      <c r="S8">
        <f>ELEMENT!BF8</f>
        <v>0</v>
      </c>
      <c r="T8">
        <v>15</v>
      </c>
      <c r="U8">
        <v>5</v>
      </c>
      <c r="V8">
        <v>15</v>
      </c>
      <c r="W8">
        <v>5.5</v>
      </c>
      <c r="X8">
        <v>36.300000000000004</v>
      </c>
      <c r="Y8">
        <v>131</v>
      </c>
      <c r="Z8">
        <v>21</v>
      </c>
      <c r="AA8">
        <v>0.29699999999999999</v>
      </c>
      <c r="AB8">
        <v>1.2869999999999999</v>
      </c>
      <c r="AH8" t="str">
        <f t="shared" si="13"/>
        <v>glass weight</v>
      </c>
      <c r="AI8">
        <f t="shared" si="13"/>
        <v>30</v>
      </c>
      <c r="AJ8">
        <f t="shared" si="0"/>
        <v>40</v>
      </c>
      <c r="AK8">
        <f t="shared" si="1"/>
        <v>35</v>
      </c>
      <c r="AL8">
        <f t="shared" si="2"/>
        <v>40</v>
      </c>
      <c r="AM8">
        <f t="shared" si="3"/>
        <v>36.9</v>
      </c>
      <c r="AN8">
        <f t="shared" si="4"/>
        <v>41.9</v>
      </c>
      <c r="AO8">
        <f t="shared" si="5"/>
        <v>0</v>
      </c>
      <c r="AP8">
        <f t="shared" si="6"/>
        <v>0</v>
      </c>
      <c r="AQ8">
        <f t="shared" si="7"/>
        <v>0</v>
      </c>
      <c r="AR8">
        <f t="shared" si="8"/>
        <v>0</v>
      </c>
      <c r="AS8">
        <f t="shared" si="9"/>
        <v>0</v>
      </c>
      <c r="AT8">
        <f t="shared" si="10"/>
        <v>0</v>
      </c>
      <c r="AU8">
        <f t="shared" si="11"/>
        <v>0</v>
      </c>
      <c r="AV8">
        <f t="shared" si="12"/>
        <v>0</v>
      </c>
      <c r="AX8" t="s">
        <v>1198</v>
      </c>
      <c r="AZ8" t="str">
        <f>Sprache!$B$104</f>
        <v>glass weight</v>
      </c>
      <c r="BA8">
        <v>30</v>
      </c>
      <c r="BB8">
        <v>40</v>
      </c>
      <c r="BC8">
        <v>35</v>
      </c>
      <c r="BD8">
        <v>40</v>
      </c>
      <c r="BE8">
        <v>36.9</v>
      </c>
      <c r="BF8">
        <v>41.9</v>
      </c>
      <c r="BG8">
        <v>36.9</v>
      </c>
      <c r="BH8">
        <v>41.9</v>
      </c>
      <c r="BO8" t="s">
        <v>728</v>
      </c>
      <c r="BR8" t="str">
        <f>Sprache!$B$104</f>
        <v>glass weight</v>
      </c>
      <c r="BS8">
        <v>30</v>
      </c>
      <c r="BT8">
        <v>40</v>
      </c>
      <c r="BU8">
        <v>35</v>
      </c>
      <c r="BV8">
        <v>40</v>
      </c>
      <c r="BW8">
        <v>36.9</v>
      </c>
      <c r="BX8">
        <v>41.9</v>
      </c>
      <c r="BY8">
        <v>36.9</v>
      </c>
      <c r="BZ8">
        <v>41.9</v>
      </c>
      <c r="CA8">
        <v>30.8</v>
      </c>
      <c r="CG8" t="s">
        <v>728</v>
      </c>
      <c r="CJ8" t="str">
        <f>Sprache!$B$104</f>
        <v>glass weight</v>
      </c>
      <c r="CK8">
        <v>30</v>
      </c>
      <c r="CL8">
        <v>40</v>
      </c>
      <c r="CM8">
        <v>35</v>
      </c>
      <c r="CN8">
        <v>40</v>
      </c>
      <c r="CO8">
        <v>36.9</v>
      </c>
      <c r="CP8">
        <v>41.9</v>
      </c>
      <c r="CY8" t="s">
        <v>1140</v>
      </c>
    </row>
    <row r="9" spans="19:103" x14ac:dyDescent="0.2">
      <c r="S9">
        <f>ELEMENT!BF9</f>
        <v>0</v>
      </c>
      <c r="T9">
        <v>15</v>
      </c>
      <c r="U9">
        <v>5</v>
      </c>
      <c r="V9">
        <v>25</v>
      </c>
      <c r="W9">
        <v>6.6000000000000005</v>
      </c>
      <c r="X9">
        <v>68</v>
      </c>
      <c r="Y9">
        <v>151</v>
      </c>
      <c r="Z9">
        <v>60</v>
      </c>
      <c r="AA9">
        <v>0.61299999999999999</v>
      </c>
      <c r="AB9">
        <v>3.032</v>
      </c>
      <c r="AH9" t="str">
        <f t="shared" si="13"/>
        <v>SHGC / VT</v>
      </c>
      <c r="AI9" t="str">
        <f t="shared" si="13"/>
        <v>0.49 / 0.67</v>
      </c>
      <c r="AJ9" t="str">
        <f t="shared" si="0"/>
        <v>0.48 / 0.66</v>
      </c>
      <c r="AK9" t="str">
        <f t="shared" si="1"/>
        <v>0.49 / 0.67</v>
      </c>
      <c r="AL9" t="str">
        <f t="shared" si="2"/>
        <v>0.48 / 0.66</v>
      </c>
      <c r="AM9" t="str">
        <f t="shared" si="3"/>
        <v>0.49 / 0.66</v>
      </c>
      <c r="AN9" t="str">
        <f t="shared" si="4"/>
        <v>0.48 / 0.65</v>
      </c>
      <c r="AO9">
        <f t="shared" si="5"/>
        <v>0</v>
      </c>
      <c r="AP9">
        <f t="shared" si="6"/>
        <v>0</v>
      </c>
      <c r="AQ9">
        <f t="shared" si="7"/>
        <v>0</v>
      </c>
      <c r="AR9">
        <f t="shared" si="8"/>
        <v>0</v>
      </c>
      <c r="AS9">
        <f t="shared" si="9"/>
        <v>0</v>
      </c>
      <c r="AT9">
        <f t="shared" si="10"/>
        <v>0</v>
      </c>
      <c r="AU9">
        <f t="shared" si="11"/>
        <v>0</v>
      </c>
      <c r="AV9">
        <f t="shared" si="12"/>
        <v>0</v>
      </c>
      <c r="AZ9" t="str">
        <f>Sprache!$B$129</f>
        <v>Lt / g-value</v>
      </c>
      <c r="BA9" t="s">
        <v>1230</v>
      </c>
      <c r="BB9" t="s">
        <v>1231</v>
      </c>
      <c r="BC9" t="s">
        <v>1232</v>
      </c>
      <c r="BD9" t="s">
        <v>1233</v>
      </c>
      <c r="BE9" t="s">
        <v>1234</v>
      </c>
      <c r="BF9" t="s">
        <v>1235</v>
      </c>
      <c r="BG9" t="s">
        <v>1234</v>
      </c>
      <c r="BH9" t="s">
        <v>1235</v>
      </c>
      <c r="BO9" t="s">
        <v>749</v>
      </c>
      <c r="BR9" t="str">
        <f>Sprache!$B$129</f>
        <v>Lt / g-value</v>
      </c>
      <c r="BS9" t="s">
        <v>1230</v>
      </c>
      <c r="BT9" t="s">
        <v>1231</v>
      </c>
      <c r="BU9" t="s">
        <v>1232</v>
      </c>
      <c r="BV9" t="s">
        <v>1233</v>
      </c>
      <c r="BW9" t="s">
        <v>1234</v>
      </c>
      <c r="BX9" t="s">
        <v>1235</v>
      </c>
      <c r="BY9" t="s">
        <v>1234</v>
      </c>
      <c r="BZ9" t="s">
        <v>1235</v>
      </c>
      <c r="CA9" t="s">
        <v>1036</v>
      </c>
      <c r="CG9" t="s">
        <v>749</v>
      </c>
      <c r="CJ9" t="s">
        <v>1141</v>
      </c>
      <c r="CK9" t="s">
        <v>1175</v>
      </c>
      <c r="CL9" t="s">
        <v>1176</v>
      </c>
      <c r="CM9" t="s">
        <v>1175</v>
      </c>
      <c r="CN9" t="s">
        <v>1176</v>
      </c>
      <c r="CO9" t="s">
        <v>1177</v>
      </c>
      <c r="CP9" t="s">
        <v>1178</v>
      </c>
      <c r="CY9" t="s">
        <v>1149</v>
      </c>
    </row>
    <row r="10" spans="19:103" x14ac:dyDescent="0.2">
      <c r="S10">
        <f>ELEMENT!BF10</f>
        <v>0</v>
      </c>
      <c r="W10">
        <v>0</v>
      </c>
      <c r="X10">
        <v>0</v>
      </c>
      <c r="AH10" t="str">
        <f t="shared" si="13"/>
        <v>Mehrpreis</v>
      </c>
      <c r="AI10">
        <f t="shared" si="13"/>
        <v>0</v>
      </c>
      <c r="AJ10">
        <f t="shared" si="0"/>
        <v>45</v>
      </c>
      <c r="AK10">
        <f t="shared" si="1"/>
        <v>22</v>
      </c>
      <c r="AL10">
        <f t="shared" si="2"/>
        <v>45</v>
      </c>
      <c r="AM10">
        <f t="shared" si="3"/>
        <v>25</v>
      </c>
      <c r="AN10">
        <f t="shared" si="4"/>
        <v>55</v>
      </c>
      <c r="AO10">
        <f t="shared" si="5"/>
        <v>0</v>
      </c>
      <c r="AP10">
        <f t="shared" si="6"/>
        <v>0</v>
      </c>
      <c r="AQ10">
        <f t="shared" si="7"/>
        <v>0</v>
      </c>
      <c r="AR10">
        <f t="shared" si="8"/>
        <v>0</v>
      </c>
      <c r="AS10">
        <f t="shared" si="9"/>
        <v>0</v>
      </c>
      <c r="AT10">
        <f t="shared" si="10"/>
        <v>0</v>
      </c>
      <c r="AU10">
        <f t="shared" si="11"/>
        <v>0</v>
      </c>
      <c r="AV10">
        <f t="shared" si="12"/>
        <v>0</v>
      </c>
      <c r="AX10">
        <f>ELEMENT!$EH$65</f>
        <v>0</v>
      </c>
      <c r="AZ10">
        <f>ELEMENT!CU54</f>
        <v>0</v>
      </c>
      <c r="BA10">
        <v>0</v>
      </c>
      <c r="BB10">
        <v>45</v>
      </c>
      <c r="BC10">
        <v>22</v>
      </c>
      <c r="BD10">
        <v>45</v>
      </c>
      <c r="BE10">
        <v>25</v>
      </c>
      <c r="BF10">
        <v>55</v>
      </c>
      <c r="BG10">
        <v>58</v>
      </c>
      <c r="BH10">
        <v>75</v>
      </c>
      <c r="BR10">
        <f>ELEMENT!CU54</f>
        <v>0</v>
      </c>
      <c r="BS10">
        <v>0</v>
      </c>
      <c r="BT10">
        <v>45</v>
      </c>
      <c r="BU10">
        <v>22</v>
      </c>
      <c r="BV10">
        <v>45</v>
      </c>
      <c r="BW10">
        <v>25</v>
      </c>
      <c r="BX10">
        <v>55</v>
      </c>
      <c r="BY10">
        <f>BG10+BU3</f>
        <v>70</v>
      </c>
      <c r="BZ10">
        <v>87</v>
      </c>
      <c r="CA10">
        <v>-90</v>
      </c>
      <c r="CJ10" t="s">
        <v>78</v>
      </c>
      <c r="CK10">
        <v>0</v>
      </c>
      <c r="CL10">
        <v>45</v>
      </c>
      <c r="CM10">
        <v>22</v>
      </c>
      <c r="CN10">
        <v>45</v>
      </c>
      <c r="CO10">
        <v>25</v>
      </c>
      <c r="CP10">
        <v>55</v>
      </c>
    </row>
    <row r="11" spans="19:103" x14ac:dyDescent="0.2">
      <c r="S11">
        <f>ELEMENT!BF11</f>
        <v>0</v>
      </c>
      <c r="T11">
        <v>15</v>
      </c>
      <c r="U11">
        <v>5</v>
      </c>
      <c r="V11">
        <v>20</v>
      </c>
      <c r="W11">
        <v>11</v>
      </c>
      <c r="X11">
        <v>24.750000000000004</v>
      </c>
      <c r="Y11">
        <v>17</v>
      </c>
      <c r="Z11">
        <v>22</v>
      </c>
      <c r="AA11">
        <v>0.42599999999999999</v>
      </c>
      <c r="AB11">
        <v>1.87</v>
      </c>
      <c r="AH11">
        <f t="shared" si="13"/>
        <v>0</v>
      </c>
      <c r="AI11">
        <f t="shared" si="13"/>
        <v>0</v>
      </c>
      <c r="AJ11">
        <f t="shared" si="0"/>
        <v>0</v>
      </c>
      <c r="AK11">
        <f t="shared" si="1"/>
        <v>0</v>
      </c>
      <c r="AL11">
        <f t="shared" si="2"/>
        <v>0</v>
      </c>
      <c r="AM11">
        <f t="shared" si="3"/>
        <v>0</v>
      </c>
      <c r="AN11">
        <f t="shared" si="4"/>
        <v>0</v>
      </c>
      <c r="AO11">
        <f t="shared" si="5"/>
        <v>0</v>
      </c>
      <c r="AP11">
        <f t="shared" si="6"/>
        <v>0</v>
      </c>
      <c r="AQ11">
        <f t="shared" si="7"/>
        <v>0</v>
      </c>
      <c r="AR11">
        <f t="shared" si="8"/>
        <v>0</v>
      </c>
      <c r="AS11">
        <f t="shared" si="9"/>
        <v>0</v>
      </c>
      <c r="AT11">
        <f t="shared" si="10"/>
        <v>0</v>
      </c>
      <c r="AU11">
        <f t="shared" si="11"/>
        <v>0</v>
      </c>
      <c r="AV11">
        <f t="shared" si="12"/>
        <v>0</v>
      </c>
      <c r="AX11">
        <f>ELEMENT!$EH$64</f>
        <v>0</v>
      </c>
      <c r="AZ11">
        <f>ELEMENT!CU55</f>
        <v>0</v>
      </c>
      <c r="BB11">
        <v>21.5</v>
      </c>
      <c r="BC11">
        <v>16.600000000000001</v>
      </c>
      <c r="BD11">
        <v>48.3</v>
      </c>
      <c r="BE11">
        <v>0.1</v>
      </c>
      <c r="BF11">
        <v>33.6</v>
      </c>
      <c r="BG11">
        <v>19.88</v>
      </c>
      <c r="BH11">
        <v>46.46</v>
      </c>
      <c r="BR11">
        <f>ELEMENT!CU55</f>
        <v>0</v>
      </c>
      <c r="BT11">
        <v>21.5</v>
      </c>
      <c r="BU11">
        <v>16.600000000000001</v>
      </c>
      <c r="BV11">
        <v>48.3</v>
      </c>
      <c r="BW11">
        <v>0.1</v>
      </c>
      <c r="BX11">
        <v>33.6</v>
      </c>
      <c r="BY11">
        <v>41.49</v>
      </c>
      <c r="BZ11">
        <v>60.35</v>
      </c>
    </row>
    <row r="12" spans="19:103" x14ac:dyDescent="0.2">
      <c r="S12">
        <f>ELEMENT!BF12</f>
        <v>0</v>
      </c>
      <c r="W12">
        <v>0</v>
      </c>
      <c r="X12">
        <v>0</v>
      </c>
      <c r="AH12" t="str">
        <f t="shared" si="13"/>
        <v>U-factor</v>
      </c>
      <c r="AI12">
        <f t="shared" si="13"/>
        <v>0.34</v>
      </c>
      <c r="AJ12">
        <f t="shared" si="0"/>
        <v>0.33</v>
      </c>
      <c r="AK12">
        <f t="shared" si="1"/>
        <v>0.34</v>
      </c>
      <c r="AL12">
        <f t="shared" si="2"/>
        <v>0.33</v>
      </c>
      <c r="AM12">
        <f t="shared" si="3"/>
        <v>0.33</v>
      </c>
      <c r="AN12">
        <f t="shared" si="4"/>
        <v>0.33</v>
      </c>
      <c r="AO12">
        <f t="shared" si="5"/>
        <v>0</v>
      </c>
      <c r="AP12">
        <f t="shared" si="6"/>
        <v>0</v>
      </c>
      <c r="AQ12">
        <f t="shared" si="7"/>
        <v>0</v>
      </c>
      <c r="AR12">
        <f t="shared" si="8"/>
        <v>0</v>
      </c>
      <c r="AS12">
        <f t="shared" si="9"/>
        <v>0</v>
      </c>
      <c r="AT12">
        <f t="shared" si="10"/>
        <v>0</v>
      </c>
      <c r="AU12">
        <f t="shared" si="11"/>
        <v>0</v>
      </c>
      <c r="AV12" t="str">
        <f t="shared" si="12"/>
        <v>S</v>
      </c>
      <c r="AX12" t="s">
        <v>735</v>
      </c>
      <c r="AZ12">
        <f>ELEMENT!CU56</f>
        <v>0</v>
      </c>
      <c r="BA12">
        <v>1</v>
      </c>
      <c r="BB12">
        <v>1.1000000000000001</v>
      </c>
      <c r="BC12">
        <v>1</v>
      </c>
      <c r="BD12">
        <v>1.1000000000000001</v>
      </c>
      <c r="BE12">
        <v>1</v>
      </c>
      <c r="BF12">
        <v>1</v>
      </c>
      <c r="BG12">
        <v>1.1000000000000001</v>
      </c>
      <c r="BH12">
        <v>1</v>
      </c>
      <c r="BN12" t="s">
        <v>12</v>
      </c>
      <c r="BO12" t="s">
        <v>723</v>
      </c>
      <c r="BR12">
        <f>ELEMENT!CU56</f>
        <v>0</v>
      </c>
      <c r="BS12">
        <v>1</v>
      </c>
      <c r="BT12">
        <v>1.1000000000000001</v>
      </c>
      <c r="BU12">
        <v>1</v>
      </c>
      <c r="BV12">
        <v>1.1000000000000001</v>
      </c>
      <c r="BW12">
        <v>1.1000000000000001</v>
      </c>
      <c r="BX12">
        <v>1</v>
      </c>
      <c r="BY12">
        <v>1.1000000000000001</v>
      </c>
      <c r="BZ12">
        <v>1</v>
      </c>
      <c r="CF12" t="s">
        <v>12</v>
      </c>
      <c r="CG12" t="s">
        <v>723</v>
      </c>
      <c r="CJ12" t="s">
        <v>1138</v>
      </c>
      <c r="CK12">
        <v>0.34</v>
      </c>
      <c r="CL12">
        <v>0.33</v>
      </c>
      <c r="CM12">
        <v>0.34</v>
      </c>
      <c r="CN12">
        <v>0.33</v>
      </c>
      <c r="CO12">
        <v>0.33</v>
      </c>
      <c r="CP12">
        <v>0.33</v>
      </c>
      <c r="CX12" t="s">
        <v>12</v>
      </c>
      <c r="CY12" t="s">
        <v>723</v>
      </c>
    </row>
    <row r="13" spans="19:103" x14ac:dyDescent="0.2">
      <c r="S13">
        <f>ELEMENT!BF13</f>
        <v>0</v>
      </c>
      <c r="W13">
        <v>0</v>
      </c>
      <c r="X13">
        <v>0</v>
      </c>
      <c r="AH13" t="str">
        <f t="shared" si="13"/>
        <v>weight</v>
      </c>
      <c r="AI13">
        <f t="shared" si="13"/>
        <v>30</v>
      </c>
      <c r="AJ13">
        <f t="shared" si="0"/>
        <v>40</v>
      </c>
      <c r="AK13">
        <f t="shared" si="1"/>
        <v>35</v>
      </c>
      <c r="AL13">
        <f t="shared" si="2"/>
        <v>40</v>
      </c>
      <c r="AM13">
        <f t="shared" si="3"/>
        <v>36.9</v>
      </c>
      <c r="AN13">
        <f t="shared" si="4"/>
        <v>41.9</v>
      </c>
      <c r="AO13">
        <f t="shared" si="5"/>
        <v>0</v>
      </c>
      <c r="AP13">
        <f t="shared" si="6"/>
        <v>0</v>
      </c>
      <c r="AQ13">
        <f t="shared" si="7"/>
        <v>0</v>
      </c>
      <c r="AR13">
        <f t="shared" si="8"/>
        <v>0</v>
      </c>
      <c r="AS13">
        <f t="shared" si="9"/>
        <v>0</v>
      </c>
      <c r="AT13">
        <f t="shared" si="10"/>
        <v>0</v>
      </c>
      <c r="AU13">
        <f t="shared" si="11"/>
        <v>0</v>
      </c>
      <c r="AV13">
        <f t="shared" si="12"/>
        <v>0</v>
      </c>
      <c r="AX13" t="s">
        <v>1236</v>
      </c>
      <c r="AZ13">
        <f>ELEMENT!CU57</f>
        <v>0</v>
      </c>
      <c r="BA13">
        <v>30</v>
      </c>
      <c r="BB13">
        <v>40</v>
      </c>
      <c r="BC13">
        <v>35</v>
      </c>
      <c r="BD13">
        <v>40</v>
      </c>
      <c r="BE13">
        <v>36.9</v>
      </c>
      <c r="BF13">
        <v>41.9</v>
      </c>
      <c r="BG13">
        <v>36.9</v>
      </c>
      <c r="BH13">
        <v>41.9</v>
      </c>
      <c r="BO13" t="s">
        <v>725</v>
      </c>
      <c r="BR13">
        <f>ELEMENT!CU57</f>
        <v>0</v>
      </c>
      <c r="BS13">
        <v>30</v>
      </c>
      <c r="BT13">
        <v>40</v>
      </c>
      <c r="BU13">
        <v>35</v>
      </c>
      <c r="BV13">
        <v>40</v>
      </c>
      <c r="BW13">
        <v>36.9</v>
      </c>
      <c r="BX13">
        <v>41.9</v>
      </c>
      <c r="BY13">
        <v>36.9</v>
      </c>
      <c r="BZ13">
        <v>41.9</v>
      </c>
      <c r="CG13" t="s">
        <v>725</v>
      </c>
      <c r="CJ13" t="s">
        <v>1139</v>
      </c>
      <c r="CK13">
        <v>30</v>
      </c>
      <c r="CL13">
        <v>40</v>
      </c>
      <c r="CM13">
        <v>35</v>
      </c>
      <c r="CN13">
        <v>40</v>
      </c>
      <c r="CO13">
        <v>36.9</v>
      </c>
      <c r="CP13">
        <v>41.9</v>
      </c>
      <c r="CY13" t="s">
        <v>1150</v>
      </c>
    </row>
    <row r="14" spans="19:103" x14ac:dyDescent="0.2">
      <c r="S14">
        <f>ELEMENT!BF14</f>
        <v>0</v>
      </c>
      <c r="W14">
        <v>0</v>
      </c>
      <c r="X14">
        <v>0</v>
      </c>
      <c r="AH14" t="str">
        <f t="shared" si="13"/>
        <v>SHGC / VT</v>
      </c>
      <c r="AI14" t="str">
        <f t="shared" si="13"/>
        <v>0.41 / 0.59</v>
      </c>
      <c r="AJ14" t="str">
        <f t="shared" si="0"/>
        <v>0.40 / 0.58</v>
      </c>
      <c r="AK14" t="str">
        <f t="shared" si="1"/>
        <v>0.40 / 0.58</v>
      </c>
      <c r="AL14" t="str">
        <f t="shared" si="2"/>
        <v>0.40 / 0.58</v>
      </c>
      <c r="AM14" t="str">
        <f t="shared" si="3"/>
        <v>0.41 / 0.57</v>
      </c>
      <c r="AN14" t="str">
        <f t="shared" si="4"/>
        <v>0.40 / 0.57</v>
      </c>
      <c r="AO14">
        <f t="shared" si="5"/>
        <v>0</v>
      </c>
      <c r="AP14">
        <f t="shared" si="6"/>
        <v>0</v>
      </c>
      <c r="AQ14">
        <f t="shared" si="7"/>
        <v>0</v>
      </c>
      <c r="AR14">
        <f t="shared" si="8"/>
        <v>0</v>
      </c>
      <c r="AS14">
        <f t="shared" si="9"/>
        <v>0</v>
      </c>
      <c r="AT14">
        <f t="shared" si="10"/>
        <v>0</v>
      </c>
      <c r="AU14">
        <f t="shared" si="11"/>
        <v>0</v>
      </c>
      <c r="AV14">
        <f t="shared" si="12"/>
        <v>0</v>
      </c>
      <c r="AZ14" t="str">
        <f>Sprache!$B$129</f>
        <v>Lt / g-value</v>
      </c>
      <c r="BA14" t="s">
        <v>1237</v>
      </c>
      <c r="BB14" t="s">
        <v>790</v>
      </c>
      <c r="BC14" t="s">
        <v>1237</v>
      </c>
      <c r="BD14" t="s">
        <v>761</v>
      </c>
      <c r="BE14" t="s">
        <v>1238</v>
      </c>
      <c r="BF14" t="s">
        <v>1239</v>
      </c>
      <c r="BG14" t="s">
        <v>1238</v>
      </c>
      <c r="BH14" t="s">
        <v>1239</v>
      </c>
      <c r="BO14" t="s">
        <v>749</v>
      </c>
      <c r="BR14" t="str">
        <f>Sprache!$B$129</f>
        <v>Lt / g-value</v>
      </c>
      <c r="BS14" t="s">
        <v>1237</v>
      </c>
      <c r="BT14" t="s">
        <v>790</v>
      </c>
      <c r="BU14" t="s">
        <v>1237</v>
      </c>
      <c r="BV14" t="s">
        <v>761</v>
      </c>
      <c r="BW14" t="s">
        <v>1238</v>
      </c>
      <c r="BX14" t="s">
        <v>1239</v>
      </c>
      <c r="BY14" t="s">
        <v>1238</v>
      </c>
      <c r="BZ14" t="s">
        <v>1239</v>
      </c>
      <c r="CG14" t="s">
        <v>749</v>
      </c>
      <c r="CJ14" t="s">
        <v>1141</v>
      </c>
      <c r="CK14" t="s">
        <v>1142</v>
      </c>
      <c r="CL14" t="s">
        <v>1143</v>
      </c>
      <c r="CM14" t="s">
        <v>1143</v>
      </c>
      <c r="CN14" t="s">
        <v>1143</v>
      </c>
      <c r="CO14" t="s">
        <v>1179</v>
      </c>
      <c r="CP14" t="s">
        <v>1145</v>
      </c>
      <c r="CY14" t="s">
        <v>1149</v>
      </c>
    </row>
    <row r="15" spans="19:103" x14ac:dyDescent="0.2">
      <c r="S15">
        <f>ELEMENT!BF15</f>
        <v>0</v>
      </c>
      <c r="T15">
        <v>15</v>
      </c>
      <c r="U15">
        <v>20</v>
      </c>
      <c r="V15">
        <v>80</v>
      </c>
      <c r="W15">
        <v>5.5</v>
      </c>
      <c r="X15">
        <v>69.300000000000011</v>
      </c>
      <c r="Y15">
        <v>170</v>
      </c>
      <c r="Z15">
        <v>58</v>
      </c>
      <c r="AA15">
        <v>0.622</v>
      </c>
      <c r="AB15">
        <v>4.0999999999999996</v>
      </c>
      <c r="AH15" t="str">
        <f t="shared" si="13"/>
        <v>Mehrpreis</v>
      </c>
      <c r="AI15">
        <f t="shared" si="13"/>
        <v>10</v>
      </c>
      <c r="AJ15">
        <f t="shared" si="0"/>
        <v>55</v>
      </c>
      <c r="AK15">
        <f t="shared" si="1"/>
        <v>32</v>
      </c>
      <c r="AL15">
        <f t="shared" si="2"/>
        <v>50</v>
      </c>
      <c r="AM15">
        <f t="shared" si="3"/>
        <v>35</v>
      </c>
      <c r="AN15">
        <f t="shared" si="4"/>
        <v>65</v>
      </c>
      <c r="AO15">
        <f t="shared" si="5"/>
        <v>0</v>
      </c>
      <c r="AP15">
        <f t="shared" si="6"/>
        <v>0</v>
      </c>
      <c r="AQ15">
        <f t="shared" si="7"/>
        <v>0</v>
      </c>
      <c r="AR15">
        <f t="shared" si="8"/>
        <v>0</v>
      </c>
      <c r="AS15">
        <f t="shared" si="9"/>
        <v>0</v>
      </c>
      <c r="AT15">
        <f t="shared" si="10"/>
        <v>0</v>
      </c>
      <c r="AU15">
        <f t="shared" si="11"/>
        <v>0</v>
      </c>
      <c r="AV15" t="str">
        <f t="shared" si="12"/>
        <v>nein</v>
      </c>
      <c r="AX15">
        <f>ELEMENT!$EH$65</f>
        <v>0</v>
      </c>
      <c r="AZ15">
        <f>ELEMENT!CU59</f>
        <v>0</v>
      </c>
      <c r="BA15">
        <v>10</v>
      </c>
      <c r="BB15">
        <v>55</v>
      </c>
      <c r="BC15">
        <v>32</v>
      </c>
      <c r="BD15">
        <v>50</v>
      </c>
      <c r="BE15">
        <v>35</v>
      </c>
      <c r="BF15">
        <v>65</v>
      </c>
      <c r="BG15">
        <v>68</v>
      </c>
      <c r="BH15">
        <v>85</v>
      </c>
      <c r="BR15">
        <f>ELEMENT!CU59</f>
        <v>0</v>
      </c>
      <c r="BS15">
        <v>10</v>
      </c>
      <c r="BT15">
        <v>55</v>
      </c>
      <c r="BU15">
        <v>32</v>
      </c>
      <c r="BV15">
        <v>50</v>
      </c>
      <c r="BW15">
        <v>35</v>
      </c>
      <c r="BX15">
        <v>65</v>
      </c>
      <c r="BY15">
        <f>BG15+BU3+3</f>
        <v>83</v>
      </c>
      <c r="BZ15">
        <v>97</v>
      </c>
      <c r="CJ15" t="s">
        <v>78</v>
      </c>
      <c r="CK15">
        <v>10</v>
      </c>
      <c r="CL15">
        <v>55</v>
      </c>
      <c r="CM15">
        <v>32</v>
      </c>
      <c r="CN15">
        <v>50</v>
      </c>
      <c r="CO15">
        <v>35</v>
      </c>
      <c r="CP15">
        <v>65</v>
      </c>
      <c r="CX15" t="s">
        <v>375</v>
      </c>
    </row>
    <row r="16" spans="19:103" x14ac:dyDescent="0.2">
      <c r="S16">
        <f>ELEMENT!BF16</f>
        <v>0</v>
      </c>
      <c r="T16">
        <v>15</v>
      </c>
      <c r="U16">
        <v>5</v>
      </c>
      <c r="V16">
        <v>15</v>
      </c>
      <c r="W16">
        <v>5.5</v>
      </c>
      <c r="X16">
        <v>36.300000000000004</v>
      </c>
      <c r="Y16">
        <v>131</v>
      </c>
      <c r="Z16">
        <v>21</v>
      </c>
      <c r="AA16">
        <v>0.29699999999999999</v>
      </c>
      <c r="AB16">
        <v>1.2869999999999999</v>
      </c>
      <c r="AH16">
        <f t="shared" si="13"/>
        <v>0</v>
      </c>
      <c r="AI16">
        <f t="shared" si="13"/>
        <v>0</v>
      </c>
      <c r="AJ16">
        <f t="shared" si="0"/>
        <v>0</v>
      </c>
      <c r="AK16">
        <f t="shared" si="1"/>
        <v>0</v>
      </c>
      <c r="AL16">
        <f t="shared" si="2"/>
        <v>0</v>
      </c>
      <c r="AM16">
        <f t="shared" si="3"/>
        <v>0</v>
      </c>
      <c r="AN16">
        <f t="shared" si="4"/>
        <v>0</v>
      </c>
      <c r="AO16">
        <f t="shared" si="5"/>
        <v>0</v>
      </c>
      <c r="AP16">
        <f t="shared" si="6"/>
        <v>0</v>
      </c>
      <c r="AQ16">
        <f t="shared" si="7"/>
        <v>0</v>
      </c>
      <c r="AR16">
        <f t="shared" si="8"/>
        <v>0</v>
      </c>
      <c r="AS16">
        <f t="shared" si="9"/>
        <v>0</v>
      </c>
      <c r="AT16">
        <f t="shared" si="10"/>
        <v>0</v>
      </c>
      <c r="AU16">
        <f t="shared" si="11"/>
        <v>0</v>
      </c>
      <c r="AV16">
        <f t="shared" si="12"/>
        <v>0</v>
      </c>
      <c r="AX16">
        <f>ELEMENT!$EH$64</f>
        <v>0</v>
      </c>
      <c r="AZ16">
        <f>ELEMENT!CU60</f>
        <v>0</v>
      </c>
      <c r="BA16">
        <v>8</v>
      </c>
      <c r="BB16">
        <v>49.1</v>
      </c>
      <c r="BC16">
        <v>26.55</v>
      </c>
      <c r="BD16">
        <v>41.01</v>
      </c>
      <c r="BE16">
        <v>24.82</v>
      </c>
      <c r="BF16">
        <v>43.31</v>
      </c>
      <c r="BG16">
        <v>27.97</v>
      </c>
      <c r="BH16">
        <f>BF16+$BC$3</f>
        <v>75.97</v>
      </c>
      <c r="BR16">
        <f>ELEMENT!CU60</f>
        <v>0</v>
      </c>
      <c r="BS16">
        <v>8</v>
      </c>
      <c r="BT16">
        <v>49.1</v>
      </c>
      <c r="BU16">
        <v>26.55</v>
      </c>
      <c r="BV16">
        <v>41.01</v>
      </c>
      <c r="BW16">
        <v>24.82</v>
      </c>
      <c r="BX16">
        <v>43.31</v>
      </c>
      <c r="BY16">
        <v>49.79</v>
      </c>
      <c r="BZ16">
        <f>BX16+BC3+BU3</f>
        <v>87.97</v>
      </c>
    </row>
    <row r="17" spans="19:103" x14ac:dyDescent="0.2">
      <c r="S17">
        <f>ELEMENT!BF17</f>
        <v>0</v>
      </c>
      <c r="T17">
        <v>15</v>
      </c>
      <c r="U17">
        <v>5</v>
      </c>
      <c r="V17">
        <v>25</v>
      </c>
      <c r="W17">
        <v>6.6000000000000005</v>
      </c>
      <c r="X17">
        <v>76</v>
      </c>
      <c r="Y17">
        <v>151</v>
      </c>
      <c r="Z17">
        <v>73</v>
      </c>
      <c r="AA17">
        <v>0.82</v>
      </c>
      <c r="AB17">
        <v>4.1779999999999999</v>
      </c>
      <c r="AH17" t="str">
        <f t="shared" si="13"/>
        <v>U-factor</v>
      </c>
      <c r="AI17">
        <f t="shared" si="13"/>
        <v>0.34</v>
      </c>
      <c r="AJ17">
        <f t="shared" si="0"/>
        <v>0.33</v>
      </c>
      <c r="AK17">
        <f t="shared" si="1"/>
        <v>0.34</v>
      </c>
      <c r="AL17">
        <f t="shared" si="2"/>
        <v>0.33</v>
      </c>
      <c r="AM17">
        <f t="shared" si="3"/>
        <v>0.33</v>
      </c>
      <c r="AN17">
        <f t="shared" si="4"/>
        <v>0.33</v>
      </c>
      <c r="AO17">
        <f t="shared" si="5"/>
        <v>0</v>
      </c>
      <c r="AP17">
        <f t="shared" si="6"/>
        <v>0</v>
      </c>
      <c r="AQ17">
        <f t="shared" si="7"/>
        <v>0</v>
      </c>
      <c r="AR17">
        <f t="shared" si="8"/>
        <v>0</v>
      </c>
      <c r="AS17">
        <f t="shared" si="9"/>
        <v>0</v>
      </c>
      <c r="AT17">
        <f t="shared" si="10"/>
        <v>0</v>
      </c>
      <c r="AU17">
        <f t="shared" si="11"/>
        <v>0</v>
      </c>
      <c r="AV17" t="str">
        <f t="shared" si="12"/>
        <v xml:space="preserve">S+ </v>
      </c>
      <c r="AX17" t="s">
        <v>735</v>
      </c>
      <c r="AZ17">
        <f>ELEMENT!CU61</f>
        <v>0</v>
      </c>
      <c r="BA17">
        <v>1</v>
      </c>
      <c r="BB17">
        <v>1.1000000000000001</v>
      </c>
      <c r="BC17">
        <v>1</v>
      </c>
      <c r="BD17">
        <v>1.1000000000000001</v>
      </c>
      <c r="BE17">
        <v>1</v>
      </c>
      <c r="BF17">
        <v>1</v>
      </c>
      <c r="BG17">
        <v>1</v>
      </c>
      <c r="BH17">
        <v>1</v>
      </c>
      <c r="BN17" t="s">
        <v>913</v>
      </c>
      <c r="BO17" t="s">
        <v>724</v>
      </c>
      <c r="BR17">
        <f>ELEMENT!CU61</f>
        <v>0</v>
      </c>
      <c r="BS17">
        <v>1</v>
      </c>
      <c r="BT17">
        <v>1.1000000000000001</v>
      </c>
      <c r="BU17">
        <v>1</v>
      </c>
      <c r="BV17">
        <v>1.1000000000000001</v>
      </c>
      <c r="BW17">
        <v>1</v>
      </c>
      <c r="BX17">
        <v>1</v>
      </c>
      <c r="BY17">
        <v>1</v>
      </c>
      <c r="BZ17">
        <v>1</v>
      </c>
      <c r="CF17" t="s">
        <v>913</v>
      </c>
      <c r="CG17" t="s">
        <v>724</v>
      </c>
      <c r="CJ17" t="s">
        <v>1138</v>
      </c>
      <c r="CK17">
        <v>0.34</v>
      </c>
      <c r="CL17">
        <v>0.33</v>
      </c>
      <c r="CM17">
        <v>0.34</v>
      </c>
      <c r="CN17">
        <v>0.33</v>
      </c>
      <c r="CO17">
        <v>0.33</v>
      </c>
      <c r="CP17">
        <v>0.33</v>
      </c>
      <c r="CX17" t="s">
        <v>789</v>
      </c>
      <c r="CY17" t="s">
        <v>724</v>
      </c>
    </row>
    <row r="18" spans="19:103" x14ac:dyDescent="0.2">
      <c r="S18">
        <f>ELEMENT!BF18</f>
        <v>0</v>
      </c>
      <c r="W18">
        <v>0</v>
      </c>
      <c r="X18">
        <v>0</v>
      </c>
      <c r="Y18">
        <v>0</v>
      </c>
      <c r="AH18" t="str">
        <f t="shared" si="13"/>
        <v>weight</v>
      </c>
      <c r="AI18">
        <f t="shared" si="13"/>
        <v>30</v>
      </c>
      <c r="AJ18">
        <f t="shared" si="0"/>
        <v>40</v>
      </c>
      <c r="AK18">
        <f t="shared" si="1"/>
        <v>35</v>
      </c>
      <c r="AL18">
        <f t="shared" si="2"/>
        <v>40</v>
      </c>
      <c r="AM18">
        <f t="shared" si="3"/>
        <v>36.9</v>
      </c>
      <c r="AN18">
        <f t="shared" si="4"/>
        <v>41.9</v>
      </c>
      <c r="AO18">
        <f t="shared" si="5"/>
        <v>0</v>
      </c>
      <c r="AP18">
        <f t="shared" si="6"/>
        <v>0</v>
      </c>
      <c r="AQ18">
        <f t="shared" si="7"/>
        <v>0</v>
      </c>
      <c r="AR18">
        <f t="shared" si="8"/>
        <v>0</v>
      </c>
      <c r="AS18">
        <f t="shared" si="9"/>
        <v>0</v>
      </c>
      <c r="AT18">
        <f t="shared" si="10"/>
        <v>0</v>
      </c>
      <c r="AU18">
        <f t="shared" si="11"/>
        <v>0</v>
      </c>
      <c r="AV18">
        <f t="shared" si="12"/>
        <v>0</v>
      </c>
      <c r="AX18" t="s">
        <v>1236</v>
      </c>
      <c r="AZ18">
        <f>ELEMENT!CU62</f>
        <v>0</v>
      </c>
      <c r="BA18">
        <v>30</v>
      </c>
      <c r="BB18">
        <v>40</v>
      </c>
      <c r="BC18">
        <v>35</v>
      </c>
      <c r="BD18">
        <v>40</v>
      </c>
      <c r="BE18">
        <v>36.9</v>
      </c>
      <c r="BF18">
        <v>41.9</v>
      </c>
      <c r="BG18">
        <v>36.9</v>
      </c>
      <c r="BH18">
        <v>41.9</v>
      </c>
      <c r="BO18" t="s">
        <v>726</v>
      </c>
      <c r="BR18">
        <f>ELEMENT!CU62</f>
        <v>0</v>
      </c>
      <c r="BS18">
        <v>30</v>
      </c>
      <c r="BT18">
        <v>40</v>
      </c>
      <c r="BU18">
        <v>35</v>
      </c>
      <c r="BV18">
        <v>40</v>
      </c>
      <c r="BW18">
        <v>36.9</v>
      </c>
      <c r="BX18">
        <v>41.9</v>
      </c>
      <c r="BY18">
        <v>36.9</v>
      </c>
      <c r="BZ18">
        <v>41.9</v>
      </c>
      <c r="CG18" t="s">
        <v>726</v>
      </c>
      <c r="CJ18" t="s">
        <v>1139</v>
      </c>
      <c r="CK18">
        <v>30</v>
      </c>
      <c r="CL18">
        <v>40</v>
      </c>
      <c r="CM18">
        <v>35</v>
      </c>
      <c r="CN18">
        <v>40</v>
      </c>
      <c r="CO18">
        <v>36.9</v>
      </c>
      <c r="CP18">
        <v>41.9</v>
      </c>
      <c r="CY18" t="s">
        <v>1157</v>
      </c>
    </row>
    <row r="19" spans="19:103" x14ac:dyDescent="0.2">
      <c r="S19">
        <f>ELEMENT!BF19</f>
        <v>0</v>
      </c>
      <c r="T19">
        <v>15</v>
      </c>
      <c r="U19">
        <v>5</v>
      </c>
      <c r="V19">
        <v>25</v>
      </c>
      <c r="W19">
        <v>11</v>
      </c>
      <c r="X19">
        <v>35.75</v>
      </c>
      <c r="Y19">
        <v>17</v>
      </c>
      <c r="Z19">
        <v>122</v>
      </c>
      <c r="AA19">
        <v>0.42599999999999999</v>
      </c>
      <c r="AB19">
        <v>1.9</v>
      </c>
      <c r="AH19" t="str">
        <f t="shared" si="13"/>
        <v>SHGC / VT</v>
      </c>
      <c r="AI19" t="str">
        <f t="shared" si="13"/>
        <v>0.26 / 0.53</v>
      </c>
      <c r="AJ19" t="str">
        <f t="shared" si="0"/>
        <v>0.26 / 0.52</v>
      </c>
      <c r="AK19" t="str">
        <f t="shared" si="1"/>
        <v>0.26 / 0.52</v>
      </c>
      <c r="AL19" t="str">
        <f t="shared" si="2"/>
        <v>0.26 / 0.52</v>
      </c>
      <c r="AM19" t="str">
        <f t="shared" si="3"/>
        <v>0.26 / 0.52</v>
      </c>
      <c r="AN19" t="str">
        <f t="shared" si="4"/>
        <v>0.26 / 0.51</v>
      </c>
      <c r="AO19">
        <f t="shared" si="5"/>
        <v>0</v>
      </c>
      <c r="AP19">
        <f t="shared" si="6"/>
        <v>0</v>
      </c>
      <c r="AQ19">
        <f t="shared" si="7"/>
        <v>0</v>
      </c>
      <c r="AR19">
        <f t="shared" si="8"/>
        <v>0</v>
      </c>
      <c r="AS19">
        <f t="shared" si="9"/>
        <v>0</v>
      </c>
      <c r="AT19">
        <f t="shared" si="10"/>
        <v>0</v>
      </c>
      <c r="AU19">
        <f t="shared" si="11"/>
        <v>0</v>
      </c>
      <c r="AV19">
        <f t="shared" si="12"/>
        <v>0</v>
      </c>
      <c r="AX19">
        <v>6</v>
      </c>
      <c r="AY19" t="s">
        <v>751</v>
      </c>
      <c r="AZ19" t="str">
        <f>Sprache!$B$129</f>
        <v>Lt / g-value</v>
      </c>
      <c r="BA19" t="s">
        <v>1240</v>
      </c>
      <c r="BB19" t="s">
        <v>765</v>
      </c>
      <c r="BC19" t="s">
        <v>765</v>
      </c>
      <c r="BD19" t="s">
        <v>765</v>
      </c>
      <c r="BE19" t="s">
        <v>1240</v>
      </c>
      <c r="BF19" t="s">
        <v>765</v>
      </c>
      <c r="BG19" t="s">
        <v>1240</v>
      </c>
      <c r="BH19" t="s">
        <v>765</v>
      </c>
      <c r="BO19" t="s">
        <v>750</v>
      </c>
      <c r="BR19" t="str">
        <f>Sprache!$B$129</f>
        <v>Lt / g-value</v>
      </c>
      <c r="BS19" t="s">
        <v>1240</v>
      </c>
      <c r="BT19" t="s">
        <v>765</v>
      </c>
      <c r="BU19" t="s">
        <v>765</v>
      </c>
      <c r="BV19" t="s">
        <v>765</v>
      </c>
      <c r="BW19" t="s">
        <v>1240</v>
      </c>
      <c r="BX19" t="s">
        <v>765</v>
      </c>
      <c r="BY19" t="s">
        <v>1240</v>
      </c>
      <c r="BZ19" t="s">
        <v>765</v>
      </c>
      <c r="CG19" t="s">
        <v>750</v>
      </c>
      <c r="CJ19" t="s">
        <v>1141</v>
      </c>
      <c r="CK19" t="s">
        <v>1180</v>
      </c>
      <c r="CL19" t="s">
        <v>1181</v>
      </c>
      <c r="CM19" t="s">
        <v>1181</v>
      </c>
      <c r="CN19" t="s">
        <v>1181</v>
      </c>
      <c r="CO19" t="s">
        <v>1181</v>
      </c>
      <c r="CP19" t="s">
        <v>1163</v>
      </c>
      <c r="CY19" t="s">
        <v>1165</v>
      </c>
    </row>
    <row r="20" spans="19:103" x14ac:dyDescent="0.2">
      <c r="S20">
        <f>ELEMENT!BF20</f>
        <v>0</v>
      </c>
      <c r="W20">
        <v>0</v>
      </c>
      <c r="X20">
        <v>0</v>
      </c>
      <c r="AH20" t="str">
        <f t="shared" si="13"/>
        <v>Mehrpreis</v>
      </c>
      <c r="AI20">
        <f t="shared" si="13"/>
        <v>45</v>
      </c>
      <c r="AJ20">
        <f t="shared" si="0"/>
        <v>64.900000000000006</v>
      </c>
      <c r="AK20">
        <f t="shared" si="1"/>
        <v>56.61</v>
      </c>
      <c r="AL20">
        <f t="shared" si="2"/>
        <v>63.25</v>
      </c>
      <c r="AM20">
        <f t="shared" si="3"/>
        <v>83.16</v>
      </c>
      <c r="AN20">
        <f t="shared" si="4"/>
        <v>113.42</v>
      </c>
      <c r="AO20">
        <f t="shared" si="5"/>
        <v>0</v>
      </c>
      <c r="AP20">
        <f t="shared" si="6"/>
        <v>0</v>
      </c>
      <c r="AQ20">
        <f t="shared" si="7"/>
        <v>0</v>
      </c>
      <c r="AR20">
        <f t="shared" si="8"/>
        <v>0</v>
      </c>
      <c r="AS20">
        <f t="shared" si="9"/>
        <v>0</v>
      </c>
      <c r="AT20">
        <f t="shared" si="10"/>
        <v>0</v>
      </c>
      <c r="AU20">
        <f t="shared" si="11"/>
        <v>0</v>
      </c>
      <c r="AV20">
        <f t="shared" si="12"/>
        <v>0</v>
      </c>
      <c r="AX20">
        <f>ELEMENT!$EH$65</f>
        <v>0</v>
      </c>
      <c r="AZ20">
        <f>ELEMENT!CU64</f>
        <v>0</v>
      </c>
      <c r="BA20">
        <f>BA21+$AX$19</f>
        <v>45</v>
      </c>
      <c r="BB20">
        <f t="shared" ref="BB20:BH20" si="14">BB21+$AX$19</f>
        <v>64.900000000000006</v>
      </c>
      <c r="BC20">
        <f t="shared" si="14"/>
        <v>56.61</v>
      </c>
      <c r="BD20">
        <f t="shared" si="14"/>
        <v>63.25</v>
      </c>
      <c r="BE20">
        <f t="shared" si="14"/>
        <v>83.16</v>
      </c>
      <c r="BF20">
        <f t="shared" si="14"/>
        <v>113.42</v>
      </c>
      <c r="BG20">
        <f t="shared" si="14"/>
        <v>115.82</v>
      </c>
      <c r="BH20">
        <f t="shared" si="14"/>
        <v>146.07999999999998</v>
      </c>
      <c r="BO20" t="s">
        <v>906</v>
      </c>
      <c r="BR20">
        <f>ELEMENT!CU64</f>
        <v>0</v>
      </c>
      <c r="BS20">
        <f t="shared" ref="BS20:BX20" si="15">BS21+$AX$19</f>
        <v>45</v>
      </c>
      <c r="BT20">
        <f t="shared" si="15"/>
        <v>64.900000000000006</v>
      </c>
      <c r="BU20">
        <f t="shared" si="15"/>
        <v>56.61</v>
      </c>
      <c r="BV20">
        <f t="shared" si="15"/>
        <v>63.25</v>
      </c>
      <c r="BW20">
        <f t="shared" si="15"/>
        <v>83.16</v>
      </c>
      <c r="BX20">
        <f t="shared" si="15"/>
        <v>113.42</v>
      </c>
      <c r="BY20">
        <f>BG20+BU3</f>
        <v>127.82</v>
      </c>
      <c r="BZ20">
        <v>158.08000000000001</v>
      </c>
      <c r="CG20" t="s">
        <v>906</v>
      </c>
      <c r="CJ20" t="s">
        <v>78</v>
      </c>
      <c r="CK20">
        <v>45</v>
      </c>
      <c r="CL20">
        <v>64.900000000000006</v>
      </c>
      <c r="CM20">
        <v>56.61</v>
      </c>
      <c r="CN20">
        <v>63.25</v>
      </c>
      <c r="CO20">
        <v>83.16</v>
      </c>
      <c r="CP20">
        <v>113.42</v>
      </c>
    </row>
    <row r="21" spans="19:103" x14ac:dyDescent="0.2">
      <c r="S21">
        <f>ELEMENT!BF21</f>
        <v>0</v>
      </c>
      <c r="W21">
        <v>0</v>
      </c>
      <c r="X21">
        <v>0</v>
      </c>
      <c r="AH21">
        <f t="shared" si="13"/>
        <v>0</v>
      </c>
      <c r="AI21">
        <f t="shared" si="13"/>
        <v>0</v>
      </c>
      <c r="AJ21">
        <f t="shared" si="0"/>
        <v>0</v>
      </c>
      <c r="AK21">
        <f t="shared" si="1"/>
        <v>0</v>
      </c>
      <c r="AL21">
        <f t="shared" si="2"/>
        <v>0</v>
      </c>
      <c r="AM21">
        <f t="shared" si="3"/>
        <v>0</v>
      </c>
      <c r="AN21">
        <f t="shared" si="4"/>
        <v>0</v>
      </c>
      <c r="AO21">
        <f t="shared" si="5"/>
        <v>0</v>
      </c>
      <c r="AP21">
        <f t="shared" si="6"/>
        <v>0</v>
      </c>
      <c r="AQ21">
        <f t="shared" si="7"/>
        <v>0</v>
      </c>
      <c r="AR21">
        <f t="shared" si="8"/>
        <v>0</v>
      </c>
      <c r="AS21">
        <f t="shared" si="9"/>
        <v>0</v>
      </c>
      <c r="AT21">
        <f t="shared" si="10"/>
        <v>0</v>
      </c>
      <c r="AU21">
        <f t="shared" si="11"/>
        <v>0</v>
      </c>
      <c r="AV21">
        <f t="shared" si="12"/>
        <v>0</v>
      </c>
      <c r="AX21">
        <f>ELEMENT!$EH$64</f>
        <v>0</v>
      </c>
      <c r="AZ21">
        <f>ELEMENT!CU65</f>
        <v>0</v>
      </c>
      <c r="BA21">
        <v>39</v>
      </c>
      <c r="BB21">
        <v>58.9</v>
      </c>
      <c r="BC21">
        <v>50.61</v>
      </c>
      <c r="BD21">
        <v>57.25</v>
      </c>
      <c r="BE21">
        <v>77.16</v>
      </c>
      <c r="BF21">
        <v>107.42</v>
      </c>
      <c r="BG21">
        <f>BE21+BC3</f>
        <v>109.82</v>
      </c>
      <c r="BH21">
        <f>BF21+$BC$3</f>
        <v>140.07999999999998</v>
      </c>
      <c r="BR21">
        <f>ELEMENT!CU65</f>
        <v>0</v>
      </c>
      <c r="BS21">
        <v>39</v>
      </c>
      <c r="BT21">
        <v>58.9</v>
      </c>
      <c r="BU21">
        <v>50.61</v>
      </c>
      <c r="BV21">
        <v>57.25</v>
      </c>
      <c r="BW21">
        <v>77.16</v>
      </c>
      <c r="BX21">
        <v>107.42</v>
      </c>
      <c r="BY21">
        <f>BW21+BC3+BU3</f>
        <v>121.82</v>
      </c>
      <c r="BZ21">
        <v>152.08000000000001</v>
      </c>
    </row>
    <row r="22" spans="19:103" x14ac:dyDescent="0.2">
      <c r="S22">
        <f>ELEMENT!BF22</f>
        <v>0</v>
      </c>
      <c r="W22">
        <v>0</v>
      </c>
      <c r="X22">
        <v>0</v>
      </c>
      <c r="AH22" t="str">
        <f t="shared" si="13"/>
        <v>U-factor</v>
      </c>
      <c r="AI22">
        <f t="shared" si="13"/>
        <v>0.34</v>
      </c>
      <c r="AJ22">
        <f t="shared" si="0"/>
        <v>0.33</v>
      </c>
      <c r="AK22">
        <f t="shared" si="1"/>
        <v>0.34</v>
      </c>
      <c r="AL22">
        <f t="shared" si="2"/>
        <v>0.33</v>
      </c>
      <c r="AM22">
        <f t="shared" si="3"/>
        <v>0.33</v>
      </c>
      <c r="AN22">
        <f t="shared" si="4"/>
        <v>0.33</v>
      </c>
      <c r="AO22">
        <f t="shared" si="5"/>
        <v>0</v>
      </c>
      <c r="AP22">
        <f t="shared" si="6"/>
        <v>0</v>
      </c>
      <c r="AQ22">
        <f t="shared" si="7"/>
        <v>0</v>
      </c>
      <c r="AR22">
        <f t="shared" si="8"/>
        <v>0</v>
      </c>
      <c r="AS22">
        <f t="shared" si="9"/>
        <v>0</v>
      </c>
      <c r="AT22">
        <f t="shared" si="10"/>
        <v>0</v>
      </c>
      <c r="AU22">
        <f t="shared" si="11"/>
        <v>0</v>
      </c>
      <c r="AV22" t="str">
        <f t="shared" si="12"/>
        <v>S+ dark</v>
      </c>
      <c r="AX22" t="s">
        <v>735</v>
      </c>
      <c r="AZ22">
        <f>ELEMENT!CU66</f>
        <v>0</v>
      </c>
      <c r="BR22">
        <f>ELEMENT!CU66</f>
        <v>0</v>
      </c>
      <c r="CJ22" t="s">
        <v>1138</v>
      </c>
      <c r="CK22">
        <v>0.34</v>
      </c>
      <c r="CL22">
        <v>0.33</v>
      </c>
      <c r="CM22">
        <v>0.34</v>
      </c>
      <c r="CN22">
        <v>0.33</v>
      </c>
      <c r="CO22">
        <v>0.33</v>
      </c>
      <c r="CP22">
        <v>0.33</v>
      </c>
      <c r="CX22" t="s">
        <v>1224</v>
      </c>
      <c r="CY22" t="s">
        <v>1166</v>
      </c>
    </row>
    <row r="23" spans="19:103" x14ac:dyDescent="0.2">
      <c r="S23">
        <f>ELEMENT!BF23</f>
        <v>0</v>
      </c>
      <c r="T23">
        <v>15</v>
      </c>
      <c r="U23">
        <v>20</v>
      </c>
      <c r="V23">
        <v>90</v>
      </c>
      <c r="W23">
        <v>5.5</v>
      </c>
      <c r="X23">
        <v>69.300000000000011</v>
      </c>
      <c r="Y23">
        <v>170</v>
      </c>
      <c r="Z23">
        <v>58</v>
      </c>
      <c r="AA23">
        <v>0.622</v>
      </c>
      <c r="AB23">
        <v>4.0999999999999996</v>
      </c>
      <c r="AH23" t="str">
        <f t="shared" si="13"/>
        <v>weight</v>
      </c>
      <c r="AI23">
        <f t="shared" si="13"/>
        <v>30</v>
      </c>
      <c r="AJ23">
        <f t="shared" si="0"/>
        <v>40</v>
      </c>
      <c r="AK23">
        <f t="shared" si="1"/>
        <v>35</v>
      </c>
      <c r="AL23">
        <f t="shared" si="2"/>
        <v>40</v>
      </c>
      <c r="AM23">
        <f t="shared" si="3"/>
        <v>36.9</v>
      </c>
      <c r="AN23">
        <f t="shared" si="4"/>
        <v>41.9</v>
      </c>
      <c r="AO23">
        <f t="shared" si="5"/>
        <v>0</v>
      </c>
      <c r="AP23">
        <f t="shared" si="6"/>
        <v>0</v>
      </c>
      <c r="AQ23">
        <f t="shared" si="7"/>
        <v>0</v>
      </c>
      <c r="AR23">
        <f t="shared" si="8"/>
        <v>0</v>
      </c>
      <c r="AS23">
        <f t="shared" si="9"/>
        <v>0</v>
      </c>
      <c r="AT23">
        <f t="shared" si="10"/>
        <v>0</v>
      </c>
      <c r="AU23">
        <f t="shared" si="11"/>
        <v>0</v>
      </c>
      <c r="AV23">
        <f t="shared" si="12"/>
        <v>0</v>
      </c>
      <c r="AZ23">
        <f>ELEMENT!CU67</f>
        <v>0</v>
      </c>
      <c r="BR23">
        <f>ELEMENT!CU67</f>
        <v>0</v>
      </c>
      <c r="CJ23" t="s">
        <v>1139</v>
      </c>
      <c r="CK23">
        <v>30</v>
      </c>
      <c r="CL23">
        <v>40</v>
      </c>
      <c r="CM23">
        <v>35</v>
      </c>
      <c r="CN23">
        <v>40</v>
      </c>
      <c r="CO23">
        <v>36.9</v>
      </c>
      <c r="CP23">
        <v>41.9</v>
      </c>
      <c r="CY23" t="s">
        <v>1167</v>
      </c>
    </row>
    <row r="24" spans="19:103" x14ac:dyDescent="0.2">
      <c r="S24">
        <f>ELEMENT!BF24</f>
        <v>0</v>
      </c>
      <c r="T24">
        <v>15</v>
      </c>
      <c r="U24">
        <v>10</v>
      </c>
      <c r="V24">
        <v>15</v>
      </c>
      <c r="W24">
        <v>5.5</v>
      </c>
      <c r="X24">
        <v>36.300000000000004</v>
      </c>
      <c r="Y24">
        <v>131</v>
      </c>
      <c r="Z24">
        <v>21</v>
      </c>
      <c r="AA24">
        <v>0.29699999999999999</v>
      </c>
      <c r="AB24">
        <v>1.2869999999999999</v>
      </c>
      <c r="AH24" t="str">
        <f t="shared" si="13"/>
        <v>SHGC / VT</v>
      </c>
      <c r="AI24" t="str">
        <f t="shared" si="13"/>
        <v>0.22 / 0.43</v>
      </c>
      <c r="AJ24" t="str">
        <f t="shared" si="0"/>
        <v>0.22 / 0.42</v>
      </c>
      <c r="AK24" t="str">
        <f t="shared" si="1"/>
        <v>0.22 / 0.43</v>
      </c>
      <c r="AL24" t="str">
        <f t="shared" si="2"/>
        <v>0.22 / 0.42</v>
      </c>
      <c r="AM24" t="str">
        <f t="shared" si="3"/>
        <v>0.22 / 0.42</v>
      </c>
      <c r="AN24" t="str">
        <f t="shared" si="4"/>
        <v>0.22 / 0.42</v>
      </c>
      <c r="AO24">
        <f t="shared" si="5"/>
        <v>0</v>
      </c>
      <c r="AP24">
        <f t="shared" si="6"/>
        <v>0</v>
      </c>
      <c r="AQ24">
        <f t="shared" si="7"/>
        <v>0</v>
      </c>
      <c r="AR24">
        <f t="shared" si="8"/>
        <v>0</v>
      </c>
      <c r="AS24">
        <f t="shared" si="9"/>
        <v>0</v>
      </c>
      <c r="AT24">
        <f t="shared" si="10"/>
        <v>0</v>
      </c>
      <c r="AU24">
        <f t="shared" si="11"/>
        <v>0</v>
      </c>
      <c r="AV24">
        <f t="shared" si="12"/>
        <v>0</v>
      </c>
      <c r="AZ24">
        <f>ELEMENT!CU68</f>
        <v>0</v>
      </c>
      <c r="BR24">
        <f>ELEMENT!CU68</f>
        <v>0</v>
      </c>
      <c r="CJ24" t="s">
        <v>1141</v>
      </c>
      <c r="CK24" t="s">
        <v>1182</v>
      </c>
      <c r="CL24" t="s">
        <v>1172</v>
      </c>
      <c r="CM24" t="s">
        <v>1182</v>
      </c>
      <c r="CN24" t="s">
        <v>1172</v>
      </c>
      <c r="CO24" t="s">
        <v>1172</v>
      </c>
      <c r="CP24" t="s">
        <v>1172</v>
      </c>
      <c r="CY24" t="s">
        <v>1174</v>
      </c>
    </row>
    <row r="25" spans="19:103" x14ac:dyDescent="0.2">
      <c r="S25">
        <f>ELEMENT!BF25</f>
        <v>0</v>
      </c>
      <c r="T25">
        <v>15</v>
      </c>
      <c r="U25">
        <v>10</v>
      </c>
      <c r="V25">
        <v>25</v>
      </c>
      <c r="W25">
        <v>6.6000000000000005</v>
      </c>
      <c r="X25">
        <v>96</v>
      </c>
      <c r="Y25">
        <v>167</v>
      </c>
      <c r="Z25">
        <v>110</v>
      </c>
      <c r="AA25">
        <v>0.874</v>
      </c>
      <c r="AB25">
        <v>9.8000000000000007</v>
      </c>
      <c r="AH25" t="str">
        <f t="shared" si="13"/>
        <v>Mehrpreis</v>
      </c>
      <c r="AI25">
        <f t="shared" si="13"/>
        <v>146.02000000000001</v>
      </c>
      <c r="AJ25">
        <f t="shared" si="0"/>
        <v>190.94</v>
      </c>
      <c r="AK25">
        <f t="shared" si="1"/>
        <v>178.54</v>
      </c>
      <c r="AL25">
        <f t="shared" si="2"/>
        <v>178.3</v>
      </c>
      <c r="AM25">
        <f t="shared" si="3"/>
        <v>150.44999999999999</v>
      </c>
      <c r="AN25">
        <f t="shared" si="4"/>
        <v>193.7</v>
      </c>
      <c r="AO25">
        <f t="shared" si="5"/>
        <v>0</v>
      </c>
      <c r="AP25">
        <f t="shared" si="6"/>
        <v>0</v>
      </c>
      <c r="AQ25">
        <f t="shared" si="7"/>
        <v>0</v>
      </c>
      <c r="AR25">
        <f t="shared" si="8"/>
        <v>0</v>
      </c>
      <c r="AS25">
        <f t="shared" si="9"/>
        <v>0</v>
      </c>
      <c r="AT25">
        <f t="shared" si="10"/>
        <v>0</v>
      </c>
      <c r="AU25">
        <f t="shared" si="11"/>
        <v>0</v>
      </c>
      <c r="AV25">
        <f t="shared" si="12"/>
        <v>0</v>
      </c>
      <c r="AZ25">
        <f>ELEMENT!CU69</f>
        <v>0</v>
      </c>
      <c r="BR25">
        <f>ELEMENT!CU69</f>
        <v>0</v>
      </c>
      <c r="CJ25" t="s">
        <v>78</v>
      </c>
      <c r="CK25">
        <v>146.02000000000001</v>
      </c>
      <c r="CL25">
        <v>190.94</v>
      </c>
      <c r="CM25">
        <v>178.54</v>
      </c>
      <c r="CN25">
        <v>178.3</v>
      </c>
      <c r="CO25">
        <v>150.44999999999999</v>
      </c>
      <c r="CP25">
        <v>193.7</v>
      </c>
      <c r="CY25" t="s">
        <v>1225</v>
      </c>
    </row>
    <row r="26" spans="19:103" x14ac:dyDescent="0.2">
      <c r="S26">
        <f>ELEMENT!BF26</f>
        <v>0</v>
      </c>
      <c r="W26">
        <v>0</v>
      </c>
      <c r="X26">
        <v>0</v>
      </c>
      <c r="AH26">
        <f t="shared" si="13"/>
        <v>0</v>
      </c>
      <c r="AI26">
        <f t="shared" si="13"/>
        <v>0</v>
      </c>
      <c r="AJ26">
        <f t="shared" si="0"/>
        <v>0</v>
      </c>
      <c r="AK26">
        <f t="shared" si="1"/>
        <v>0</v>
      </c>
      <c r="AL26">
        <f t="shared" si="2"/>
        <v>0</v>
      </c>
      <c r="AM26">
        <f t="shared" si="3"/>
        <v>0</v>
      </c>
      <c r="AN26">
        <f t="shared" si="4"/>
        <v>0</v>
      </c>
      <c r="AO26">
        <f t="shared" si="5"/>
        <v>0</v>
      </c>
      <c r="AP26">
        <f t="shared" si="6"/>
        <v>0</v>
      </c>
      <c r="AQ26">
        <f t="shared" si="7"/>
        <v>0</v>
      </c>
      <c r="AR26">
        <f t="shared" si="8"/>
        <v>0</v>
      </c>
      <c r="AS26">
        <f t="shared" si="9"/>
        <v>0</v>
      </c>
      <c r="AT26">
        <f t="shared" si="10"/>
        <v>0</v>
      </c>
      <c r="AU26">
        <f t="shared" si="11"/>
        <v>0</v>
      </c>
      <c r="AV26">
        <f t="shared" si="12"/>
        <v>0</v>
      </c>
      <c r="AZ26">
        <f>ELEMENT!CU70</f>
        <v>0</v>
      </c>
      <c r="BR26">
        <f>ELEMENT!CU70</f>
        <v>0</v>
      </c>
    </row>
    <row r="27" spans="19:103" x14ac:dyDescent="0.2">
      <c r="S27">
        <f>ELEMENT!BF27</f>
        <v>0</v>
      </c>
      <c r="T27">
        <v>15</v>
      </c>
      <c r="U27">
        <v>10</v>
      </c>
      <c r="V27">
        <v>35</v>
      </c>
      <c r="W27">
        <v>16.5</v>
      </c>
      <c r="X27">
        <v>55.000000000000007</v>
      </c>
      <c r="Y27">
        <v>29</v>
      </c>
      <c r="Z27">
        <v>58</v>
      </c>
      <c r="AA27">
        <v>0.5</v>
      </c>
      <c r="AB27">
        <v>8.6999999999999993</v>
      </c>
      <c r="AH27" t="str">
        <f t="shared" si="13"/>
        <v>U-factor</v>
      </c>
      <c r="AI27">
        <f t="shared" si="13"/>
        <v>0</v>
      </c>
      <c r="AJ27">
        <f t="shared" si="0"/>
        <v>0</v>
      </c>
      <c r="AK27">
        <f t="shared" si="1"/>
        <v>0</v>
      </c>
      <c r="AL27">
        <f t="shared" si="2"/>
        <v>0</v>
      </c>
      <c r="AM27">
        <f t="shared" si="3"/>
        <v>0</v>
      </c>
      <c r="AN27">
        <f t="shared" si="4"/>
        <v>0</v>
      </c>
      <c r="AO27">
        <f t="shared" si="5"/>
        <v>0</v>
      </c>
      <c r="AP27">
        <f t="shared" si="6"/>
        <v>0</v>
      </c>
      <c r="AQ27">
        <f t="shared" si="7"/>
        <v>0</v>
      </c>
      <c r="AR27">
        <f t="shared" si="8"/>
        <v>0</v>
      </c>
      <c r="AS27">
        <f t="shared" si="9"/>
        <v>0</v>
      </c>
      <c r="AT27">
        <f t="shared" si="10"/>
        <v>0</v>
      </c>
      <c r="AU27">
        <f t="shared" si="11"/>
        <v>0</v>
      </c>
      <c r="AV27">
        <f t="shared" si="12"/>
        <v>0</v>
      </c>
      <c r="AZ27">
        <f>ELEMENT!CU71</f>
        <v>0</v>
      </c>
      <c r="BR27">
        <f>ELEMENT!CU71</f>
        <v>0</v>
      </c>
      <c r="CJ27" t="s">
        <v>1138</v>
      </c>
    </row>
    <row r="28" spans="19:103" x14ac:dyDescent="0.2">
      <c r="S28">
        <f>ELEMENT!BF28</f>
        <v>0</v>
      </c>
      <c r="AH28" t="str">
        <f t="shared" si="13"/>
        <v>weight</v>
      </c>
      <c r="AI28">
        <f t="shared" si="13"/>
        <v>0</v>
      </c>
      <c r="AJ28">
        <f t="shared" si="0"/>
        <v>0</v>
      </c>
      <c r="AK28">
        <f t="shared" si="1"/>
        <v>0</v>
      </c>
      <c r="AL28">
        <f t="shared" si="2"/>
        <v>0</v>
      </c>
      <c r="AM28">
        <f t="shared" si="3"/>
        <v>0</v>
      </c>
      <c r="AN28">
        <f t="shared" si="4"/>
        <v>0</v>
      </c>
      <c r="AO28">
        <f t="shared" si="5"/>
        <v>0</v>
      </c>
      <c r="AP28">
        <f t="shared" si="6"/>
        <v>0</v>
      </c>
      <c r="AQ28">
        <f t="shared" si="7"/>
        <v>0</v>
      </c>
      <c r="AR28">
        <f t="shared" si="8"/>
        <v>0</v>
      </c>
      <c r="AS28">
        <f t="shared" si="9"/>
        <v>0</v>
      </c>
      <c r="AT28">
        <f t="shared" si="10"/>
        <v>0</v>
      </c>
      <c r="AU28">
        <f t="shared" si="11"/>
        <v>0</v>
      </c>
      <c r="AV28">
        <f t="shared" si="12"/>
        <v>0</v>
      </c>
      <c r="AZ28">
        <f>ELEMENT!CU72</f>
        <v>0</v>
      </c>
      <c r="BR28">
        <f>ELEMENT!CU72</f>
        <v>0</v>
      </c>
      <c r="CJ28" t="s">
        <v>1139</v>
      </c>
    </row>
    <row r="29" spans="19:103" x14ac:dyDescent="0.2">
      <c r="S29">
        <f>ELEMENT!BF29</f>
        <v>0</v>
      </c>
      <c r="AH29" t="str">
        <f t="shared" si="13"/>
        <v>SHGC / VT</v>
      </c>
      <c r="AI29">
        <f t="shared" si="13"/>
        <v>0</v>
      </c>
      <c r="AJ29">
        <f t="shared" si="0"/>
        <v>0</v>
      </c>
      <c r="AK29">
        <f t="shared" si="1"/>
        <v>0</v>
      </c>
      <c r="AL29">
        <f t="shared" si="2"/>
        <v>0</v>
      </c>
      <c r="AM29">
        <f t="shared" si="3"/>
        <v>0</v>
      </c>
      <c r="AN29">
        <f t="shared" si="4"/>
        <v>0</v>
      </c>
      <c r="AO29">
        <f t="shared" si="5"/>
        <v>0</v>
      </c>
      <c r="AP29">
        <f t="shared" si="6"/>
        <v>0</v>
      </c>
      <c r="AQ29">
        <f t="shared" si="7"/>
        <v>0</v>
      </c>
      <c r="AR29">
        <f t="shared" si="8"/>
        <v>0</v>
      </c>
      <c r="AS29">
        <f t="shared" si="9"/>
        <v>0</v>
      </c>
      <c r="AT29">
        <f t="shared" si="10"/>
        <v>0</v>
      </c>
      <c r="AU29">
        <f t="shared" si="11"/>
        <v>0</v>
      </c>
      <c r="AV29">
        <f t="shared" si="12"/>
        <v>0</v>
      </c>
      <c r="AZ29">
        <f>ELEMENT!CU73</f>
        <v>0</v>
      </c>
      <c r="BR29">
        <f>ELEMENT!CU73</f>
        <v>0</v>
      </c>
      <c r="CJ29" t="s">
        <v>1141</v>
      </c>
    </row>
    <row r="30" spans="19:103" x14ac:dyDescent="0.2">
      <c r="S30">
        <f>ELEMENT!BF30</f>
        <v>0</v>
      </c>
      <c r="AH30" t="str">
        <f t="shared" si="13"/>
        <v>Mehrpreis</v>
      </c>
      <c r="AI30">
        <f t="shared" si="13"/>
        <v>0</v>
      </c>
      <c r="AJ30">
        <f t="shared" si="0"/>
        <v>0</v>
      </c>
      <c r="AK30">
        <f t="shared" si="1"/>
        <v>0</v>
      </c>
      <c r="AL30">
        <f t="shared" si="2"/>
        <v>0</v>
      </c>
      <c r="AM30">
        <f t="shared" si="3"/>
        <v>0</v>
      </c>
      <c r="AN30">
        <f t="shared" si="4"/>
        <v>0</v>
      </c>
      <c r="AO30">
        <f t="shared" si="5"/>
        <v>0</v>
      </c>
      <c r="AP30">
        <f t="shared" si="6"/>
        <v>0</v>
      </c>
      <c r="AQ30">
        <f t="shared" si="7"/>
        <v>0</v>
      </c>
      <c r="AR30">
        <f t="shared" si="8"/>
        <v>0</v>
      </c>
      <c r="AS30">
        <f t="shared" si="9"/>
        <v>0</v>
      </c>
      <c r="AT30">
        <f t="shared" si="10"/>
        <v>0</v>
      </c>
      <c r="AU30">
        <f t="shared" si="11"/>
        <v>0</v>
      </c>
      <c r="AV30">
        <f t="shared" si="12"/>
        <v>0</v>
      </c>
      <c r="AZ30">
        <f>ELEMENT!CU74</f>
        <v>0</v>
      </c>
      <c r="BR30">
        <f>ELEMENT!CU74</f>
        <v>0</v>
      </c>
      <c r="CJ30" t="s">
        <v>78</v>
      </c>
    </row>
    <row r="31" spans="19:103" x14ac:dyDescent="0.2">
      <c r="S31">
        <f>ELEMENT!BF31</f>
        <v>37365</v>
      </c>
      <c r="T31">
        <f>CI47</f>
        <v>0</v>
      </c>
      <c r="U31">
        <f t="shared" ref="U31:AB32" si="16">CJ47</f>
        <v>0</v>
      </c>
      <c r="V31">
        <f t="shared" si="16"/>
        <v>2300</v>
      </c>
      <c r="W31">
        <f t="shared" si="16"/>
        <v>2300</v>
      </c>
      <c r="X31">
        <f t="shared" si="16"/>
        <v>2300</v>
      </c>
      <c r="Y31">
        <f t="shared" si="16"/>
        <v>2300</v>
      </c>
      <c r="Z31">
        <f t="shared" si="16"/>
        <v>2300</v>
      </c>
      <c r="AB31">
        <f t="shared" si="16"/>
        <v>0</v>
      </c>
      <c r="AH31">
        <f t="shared" si="13"/>
        <v>0</v>
      </c>
      <c r="AI31">
        <f t="shared" si="13"/>
        <v>0</v>
      </c>
      <c r="AJ31">
        <f t="shared" si="0"/>
        <v>0</v>
      </c>
      <c r="AK31">
        <f t="shared" si="1"/>
        <v>0</v>
      </c>
      <c r="AL31">
        <f t="shared" si="2"/>
        <v>0</v>
      </c>
      <c r="AM31">
        <f t="shared" si="3"/>
        <v>0</v>
      </c>
      <c r="AN31">
        <f t="shared" si="4"/>
        <v>0</v>
      </c>
      <c r="AO31">
        <f t="shared" si="5"/>
        <v>0</v>
      </c>
      <c r="AP31">
        <f t="shared" si="6"/>
        <v>0</v>
      </c>
      <c r="AQ31">
        <f t="shared" si="7"/>
        <v>0</v>
      </c>
      <c r="AR31">
        <f t="shared" si="8"/>
        <v>0</v>
      </c>
      <c r="AS31">
        <f t="shared" si="9"/>
        <v>0</v>
      </c>
      <c r="AT31">
        <f t="shared" si="10"/>
        <v>0</v>
      </c>
      <c r="AU31">
        <f t="shared" si="11"/>
        <v>0</v>
      </c>
      <c r="AV31">
        <f t="shared" si="12"/>
        <v>0</v>
      </c>
      <c r="AZ31">
        <f>ELEMENT!CU75</f>
        <v>0</v>
      </c>
      <c r="BR31">
        <f>ELEMENT!CU75</f>
        <v>0</v>
      </c>
    </row>
    <row r="32" spans="19:103" x14ac:dyDescent="0.2">
      <c r="S32">
        <f ca="1">ELEMENT!BF32</f>
        <v>0</v>
      </c>
      <c r="X32">
        <f t="shared" si="16"/>
        <v>3500</v>
      </c>
      <c r="Y32">
        <f t="shared" si="16"/>
        <v>3500</v>
      </c>
      <c r="AH32" t="str">
        <f t="shared" si="13"/>
        <v>U-factor</v>
      </c>
      <c r="AI32">
        <f t="shared" si="13"/>
        <v>0</v>
      </c>
      <c r="AJ32">
        <f t="shared" si="0"/>
        <v>0</v>
      </c>
      <c r="AK32">
        <f t="shared" si="1"/>
        <v>0</v>
      </c>
      <c r="AL32">
        <f t="shared" si="2"/>
        <v>0</v>
      </c>
      <c r="AM32">
        <f t="shared" si="3"/>
        <v>0</v>
      </c>
      <c r="AN32">
        <f t="shared" si="4"/>
        <v>0</v>
      </c>
      <c r="AO32">
        <f t="shared" si="5"/>
        <v>0</v>
      </c>
      <c r="AP32">
        <f t="shared" si="6"/>
        <v>0</v>
      </c>
      <c r="AQ32">
        <f t="shared" si="7"/>
        <v>0</v>
      </c>
      <c r="AR32">
        <f t="shared" si="8"/>
        <v>0</v>
      </c>
      <c r="AS32">
        <f t="shared" si="9"/>
        <v>0</v>
      </c>
      <c r="AT32">
        <f t="shared" si="10"/>
        <v>0</v>
      </c>
      <c r="AU32">
        <f t="shared" si="11"/>
        <v>0</v>
      </c>
      <c r="AV32">
        <f t="shared" si="12"/>
        <v>0</v>
      </c>
      <c r="AZ32">
        <f>ELEMENT!CU76</f>
        <v>0</v>
      </c>
      <c r="BR32">
        <f>ELEMENT!CU76</f>
        <v>0</v>
      </c>
      <c r="CJ32" t="s">
        <v>1138</v>
      </c>
    </row>
    <row r="33" spans="19:101" x14ac:dyDescent="0.2">
      <c r="S33">
        <f>ELEMENT!BF33</f>
        <v>0</v>
      </c>
      <c r="AH33" t="str">
        <f t="shared" si="13"/>
        <v>weight</v>
      </c>
      <c r="AI33">
        <f t="shared" si="13"/>
        <v>0</v>
      </c>
      <c r="AJ33">
        <f t="shared" si="0"/>
        <v>0</v>
      </c>
      <c r="AK33">
        <f t="shared" si="1"/>
        <v>0</v>
      </c>
      <c r="AL33">
        <f t="shared" si="2"/>
        <v>0</v>
      </c>
      <c r="AM33">
        <f t="shared" si="3"/>
        <v>0</v>
      </c>
      <c r="AN33">
        <f t="shared" si="4"/>
        <v>0</v>
      </c>
      <c r="AO33">
        <f t="shared" si="5"/>
        <v>0</v>
      </c>
      <c r="AP33">
        <f t="shared" si="6"/>
        <v>0</v>
      </c>
      <c r="AQ33">
        <f t="shared" si="7"/>
        <v>0</v>
      </c>
      <c r="AR33">
        <f t="shared" si="8"/>
        <v>0</v>
      </c>
      <c r="AS33">
        <f t="shared" si="9"/>
        <v>0</v>
      </c>
      <c r="AT33">
        <f t="shared" si="10"/>
        <v>0</v>
      </c>
      <c r="AU33">
        <f t="shared" si="11"/>
        <v>0</v>
      </c>
      <c r="AV33">
        <f t="shared" si="12"/>
        <v>0</v>
      </c>
      <c r="AZ33">
        <f>ELEMENT!CU77</f>
        <v>0</v>
      </c>
      <c r="BR33">
        <f>ELEMENT!CU77</f>
        <v>0</v>
      </c>
      <c r="CJ33" t="s">
        <v>1139</v>
      </c>
    </row>
    <row r="34" spans="19:101" x14ac:dyDescent="0.2">
      <c r="S34">
        <v>45</v>
      </c>
      <c r="AH34" t="str">
        <f t="shared" si="13"/>
        <v>SHGC / VT</v>
      </c>
      <c r="AI34">
        <f t="shared" si="13"/>
        <v>0</v>
      </c>
      <c r="AJ34">
        <f t="shared" si="0"/>
        <v>0</v>
      </c>
      <c r="AK34">
        <f t="shared" si="1"/>
        <v>0</v>
      </c>
      <c r="AL34">
        <f t="shared" si="2"/>
        <v>0</v>
      </c>
      <c r="AM34">
        <f t="shared" si="3"/>
        <v>0</v>
      </c>
      <c r="AN34">
        <f t="shared" si="4"/>
        <v>0</v>
      </c>
      <c r="AO34">
        <f t="shared" si="5"/>
        <v>0</v>
      </c>
      <c r="AP34">
        <f t="shared" si="6"/>
        <v>0</v>
      </c>
      <c r="AQ34">
        <f t="shared" si="7"/>
        <v>0</v>
      </c>
      <c r="AR34">
        <f t="shared" si="8"/>
        <v>0</v>
      </c>
      <c r="AS34">
        <f t="shared" si="9"/>
        <v>0</v>
      </c>
      <c r="AT34">
        <f t="shared" si="10"/>
        <v>0</v>
      </c>
      <c r="AU34">
        <f t="shared" si="11"/>
        <v>0</v>
      </c>
      <c r="AV34">
        <f t="shared" si="12"/>
        <v>0</v>
      </c>
      <c r="AZ34">
        <f>ELEMENT!CU78</f>
        <v>0</v>
      </c>
      <c r="BR34">
        <f>ELEMENT!CU78</f>
        <v>0</v>
      </c>
      <c r="CJ34" t="s">
        <v>1141</v>
      </c>
    </row>
    <row r="35" spans="19:101" x14ac:dyDescent="0.2">
      <c r="S35">
        <v>95</v>
      </c>
      <c r="AH35" t="str">
        <f t="shared" si="13"/>
        <v>Mehrpreis</v>
      </c>
      <c r="AI35">
        <f t="shared" si="13"/>
        <v>0</v>
      </c>
      <c r="AJ35">
        <f t="shared" si="0"/>
        <v>0</v>
      </c>
      <c r="AK35">
        <f t="shared" si="1"/>
        <v>0</v>
      </c>
      <c r="AL35">
        <f t="shared" si="2"/>
        <v>0</v>
      </c>
      <c r="AM35">
        <f t="shared" si="3"/>
        <v>0</v>
      </c>
      <c r="AN35">
        <f t="shared" si="4"/>
        <v>0</v>
      </c>
      <c r="AO35">
        <f t="shared" si="5"/>
        <v>0</v>
      </c>
      <c r="AP35">
        <f t="shared" si="6"/>
        <v>0</v>
      </c>
      <c r="AQ35">
        <f t="shared" si="7"/>
        <v>0</v>
      </c>
      <c r="AR35">
        <f t="shared" si="8"/>
        <v>0</v>
      </c>
      <c r="AS35">
        <f t="shared" si="9"/>
        <v>0</v>
      </c>
      <c r="AT35">
        <f t="shared" si="10"/>
        <v>0</v>
      </c>
      <c r="AU35">
        <f t="shared" si="11"/>
        <v>0</v>
      </c>
      <c r="AV35">
        <f t="shared" si="12"/>
        <v>0</v>
      </c>
      <c r="AZ35">
        <f>ELEMENT!CU79</f>
        <v>0</v>
      </c>
      <c r="BR35">
        <f>ELEMENT!CU79</f>
        <v>0</v>
      </c>
      <c r="CJ35" t="s">
        <v>78</v>
      </c>
    </row>
    <row r="36" spans="19:101" x14ac:dyDescent="0.2">
      <c r="S36">
        <f>ELEMENT!BF36</f>
        <v>0</v>
      </c>
      <c r="T36">
        <v>40</v>
      </c>
      <c r="U36">
        <v>70</v>
      </c>
      <c r="V36">
        <v>160</v>
      </c>
      <c r="AH36">
        <f t="shared" si="13"/>
        <v>0</v>
      </c>
      <c r="AI36">
        <f t="shared" si="13"/>
        <v>0</v>
      </c>
      <c r="AJ36">
        <f t="shared" si="0"/>
        <v>0</v>
      </c>
      <c r="AK36">
        <f t="shared" si="1"/>
        <v>0</v>
      </c>
      <c r="AL36">
        <f t="shared" si="2"/>
        <v>0</v>
      </c>
      <c r="AM36">
        <f t="shared" si="3"/>
        <v>0</v>
      </c>
      <c r="AN36">
        <f t="shared" si="4"/>
        <v>0</v>
      </c>
      <c r="AO36">
        <f t="shared" si="5"/>
        <v>0</v>
      </c>
      <c r="AP36">
        <f t="shared" si="6"/>
        <v>0</v>
      </c>
      <c r="AQ36">
        <f t="shared" si="7"/>
        <v>0</v>
      </c>
      <c r="AR36">
        <f t="shared" si="8"/>
        <v>0</v>
      </c>
      <c r="AS36">
        <f t="shared" si="9"/>
        <v>0</v>
      </c>
      <c r="AT36">
        <f t="shared" si="10"/>
        <v>0</v>
      </c>
      <c r="AU36">
        <f t="shared" si="11"/>
        <v>0</v>
      </c>
      <c r="AV36">
        <f t="shared" si="12"/>
        <v>0</v>
      </c>
      <c r="AZ36">
        <f>ELEMENT!CU80</f>
        <v>0</v>
      </c>
      <c r="BR36">
        <f>ELEMENT!CU80</f>
        <v>0</v>
      </c>
    </row>
    <row r="37" spans="19:101" x14ac:dyDescent="0.2">
      <c r="S37">
        <f>ELEMENT!BF37</f>
        <v>0</v>
      </c>
      <c r="T37">
        <v>10</v>
      </c>
      <c r="U37">
        <v>30</v>
      </c>
      <c r="V37">
        <v>60</v>
      </c>
      <c r="AC37">
        <v>290</v>
      </c>
      <c r="AH37" t="str">
        <f t="shared" si="13"/>
        <v>U-factor</v>
      </c>
      <c r="AI37">
        <f t="shared" si="13"/>
        <v>0</v>
      </c>
      <c r="AJ37">
        <f t="shared" si="0"/>
        <v>0</v>
      </c>
      <c r="AK37">
        <f t="shared" si="1"/>
        <v>0</v>
      </c>
      <c r="AL37">
        <f t="shared" si="2"/>
        <v>0</v>
      </c>
      <c r="AM37">
        <f t="shared" si="3"/>
        <v>0</v>
      </c>
      <c r="AN37">
        <f t="shared" si="4"/>
        <v>0</v>
      </c>
      <c r="AO37">
        <f t="shared" si="5"/>
        <v>0</v>
      </c>
      <c r="AP37">
        <f t="shared" si="6"/>
        <v>0</v>
      </c>
      <c r="AQ37">
        <f t="shared" si="7"/>
        <v>0</v>
      </c>
      <c r="AR37">
        <f t="shared" si="8"/>
        <v>0</v>
      </c>
      <c r="AS37">
        <f t="shared" si="9"/>
        <v>0</v>
      </c>
      <c r="AT37">
        <f t="shared" si="10"/>
        <v>0</v>
      </c>
      <c r="AU37">
        <f t="shared" si="11"/>
        <v>0</v>
      </c>
      <c r="AV37">
        <f t="shared" si="12"/>
        <v>0</v>
      </c>
      <c r="AZ37">
        <f>ELEMENT!CU81</f>
        <v>0</v>
      </c>
      <c r="BR37">
        <f>ELEMENT!CU81</f>
        <v>0</v>
      </c>
      <c r="CJ37" t="s">
        <v>1138</v>
      </c>
    </row>
    <row r="38" spans="19:101" x14ac:dyDescent="0.2">
      <c r="S38">
        <f>ELEMENT!BF38</f>
        <v>0</v>
      </c>
      <c r="T38">
        <v>10</v>
      </c>
      <c r="U38">
        <v>30</v>
      </c>
      <c r="V38">
        <v>60</v>
      </c>
      <c r="AH38" t="str">
        <f t="shared" si="13"/>
        <v>weight</v>
      </c>
      <c r="AI38">
        <f t="shared" si="13"/>
        <v>0</v>
      </c>
      <c r="AJ38">
        <f t="shared" si="0"/>
        <v>0</v>
      </c>
      <c r="AK38">
        <f t="shared" si="1"/>
        <v>0</v>
      </c>
      <c r="AL38">
        <f t="shared" si="2"/>
        <v>0</v>
      </c>
      <c r="AM38">
        <f t="shared" si="3"/>
        <v>0</v>
      </c>
      <c r="AN38">
        <f t="shared" si="4"/>
        <v>0</v>
      </c>
      <c r="AO38">
        <f t="shared" si="5"/>
        <v>0</v>
      </c>
      <c r="AP38">
        <f t="shared" si="6"/>
        <v>0</v>
      </c>
      <c r="AQ38">
        <f t="shared" si="7"/>
        <v>0</v>
      </c>
      <c r="AR38">
        <f t="shared" si="8"/>
        <v>0</v>
      </c>
      <c r="AS38">
        <f t="shared" si="9"/>
        <v>0</v>
      </c>
      <c r="AT38">
        <f t="shared" si="10"/>
        <v>0</v>
      </c>
      <c r="AU38">
        <f t="shared" si="11"/>
        <v>0</v>
      </c>
      <c r="AV38">
        <f t="shared" si="12"/>
        <v>0</v>
      </c>
      <c r="AZ38">
        <f>ELEMENT!CU82</f>
        <v>0</v>
      </c>
      <c r="BR38">
        <f>ELEMENT!CU82</f>
        <v>0</v>
      </c>
      <c r="CJ38" t="s">
        <v>1139</v>
      </c>
    </row>
    <row r="39" spans="19:101" x14ac:dyDescent="0.2">
      <c r="S39">
        <f>ELEMENT!BF39</f>
        <v>0</v>
      </c>
      <c r="T39">
        <v>40</v>
      </c>
      <c r="U39">
        <v>70</v>
      </c>
      <c r="V39">
        <v>120</v>
      </c>
      <c r="W39">
        <v>35.200000000000003</v>
      </c>
      <c r="X39">
        <v>17.600000000000001</v>
      </c>
      <c r="Y39">
        <v>23</v>
      </c>
      <c r="Z39">
        <v>46</v>
      </c>
      <c r="AB39">
        <v>0.86</v>
      </c>
      <c r="AH39" t="str">
        <f t="shared" si="13"/>
        <v>SHGC / VT</v>
      </c>
      <c r="AI39">
        <f t="shared" si="13"/>
        <v>0</v>
      </c>
      <c r="AJ39">
        <f t="shared" si="0"/>
        <v>0</v>
      </c>
      <c r="AK39">
        <f t="shared" si="1"/>
        <v>0</v>
      </c>
      <c r="AL39">
        <f t="shared" si="2"/>
        <v>0</v>
      </c>
      <c r="AM39">
        <f t="shared" si="3"/>
        <v>0</v>
      </c>
      <c r="AN39">
        <f t="shared" si="4"/>
        <v>0</v>
      </c>
      <c r="AO39">
        <f t="shared" si="5"/>
        <v>0</v>
      </c>
      <c r="AP39">
        <f t="shared" si="6"/>
        <v>0</v>
      </c>
      <c r="AQ39">
        <f t="shared" si="7"/>
        <v>0</v>
      </c>
      <c r="AR39">
        <f t="shared" si="8"/>
        <v>0</v>
      </c>
      <c r="AS39">
        <f t="shared" si="9"/>
        <v>0</v>
      </c>
      <c r="AT39">
        <f t="shared" si="10"/>
        <v>0</v>
      </c>
      <c r="AU39">
        <f t="shared" si="11"/>
        <v>0</v>
      </c>
      <c r="AV39">
        <f t="shared" si="12"/>
        <v>0</v>
      </c>
      <c r="AZ39">
        <f>ELEMENT!CU83</f>
        <v>0</v>
      </c>
      <c r="BR39">
        <f>ELEMENT!CU83</f>
        <v>0</v>
      </c>
      <c r="CJ39" t="s">
        <v>1141</v>
      </c>
    </row>
    <row r="40" spans="19:101" x14ac:dyDescent="0.2">
      <c r="S40">
        <f>ELEMENT!BF40</f>
        <v>0</v>
      </c>
      <c r="T40">
        <v>10</v>
      </c>
      <c r="U40">
        <v>30</v>
      </c>
      <c r="V40">
        <v>60</v>
      </c>
      <c r="W40">
        <v>12.353846153846154</v>
      </c>
      <c r="X40">
        <v>22</v>
      </c>
      <c r="Y40">
        <v>26</v>
      </c>
      <c r="Z40">
        <v>125</v>
      </c>
      <c r="AA40">
        <v>1.341</v>
      </c>
      <c r="AB40">
        <v>5.44</v>
      </c>
      <c r="AC40">
        <v>230</v>
      </c>
      <c r="AH40" t="str">
        <f t="shared" si="13"/>
        <v>Mehrpreis</v>
      </c>
      <c r="AI40">
        <f t="shared" si="13"/>
        <v>0</v>
      </c>
      <c r="AJ40">
        <f t="shared" si="0"/>
        <v>0</v>
      </c>
      <c r="AK40">
        <f t="shared" si="1"/>
        <v>0</v>
      </c>
      <c r="AL40">
        <f t="shared" si="2"/>
        <v>0</v>
      </c>
      <c r="AM40">
        <f t="shared" si="3"/>
        <v>0</v>
      </c>
      <c r="AN40">
        <f t="shared" si="4"/>
        <v>0</v>
      </c>
      <c r="AO40">
        <f t="shared" si="5"/>
        <v>0</v>
      </c>
      <c r="AP40">
        <f t="shared" si="6"/>
        <v>0</v>
      </c>
      <c r="AQ40">
        <f t="shared" si="7"/>
        <v>0</v>
      </c>
      <c r="AR40">
        <f t="shared" si="8"/>
        <v>0</v>
      </c>
      <c r="AS40">
        <f t="shared" si="9"/>
        <v>0</v>
      </c>
      <c r="AT40">
        <f t="shared" si="10"/>
        <v>0</v>
      </c>
      <c r="AU40">
        <f t="shared" si="11"/>
        <v>0</v>
      </c>
      <c r="AV40">
        <f t="shared" si="12"/>
        <v>0</v>
      </c>
      <c r="AZ40">
        <f>ELEMENT!CU84</f>
        <v>0</v>
      </c>
      <c r="BR40">
        <f>ELEMENT!CU84</f>
        <v>0</v>
      </c>
      <c r="CJ40" t="s">
        <v>78</v>
      </c>
    </row>
    <row r="41" spans="19:101" x14ac:dyDescent="0.2">
      <c r="S41">
        <f>ELEMENT!BF41</f>
        <v>0</v>
      </c>
      <c r="T41">
        <v>10</v>
      </c>
      <c r="U41">
        <v>30</v>
      </c>
      <c r="V41">
        <v>60</v>
      </c>
      <c r="W41">
        <v>12.184615384615386</v>
      </c>
      <c r="X41">
        <v>44</v>
      </c>
      <c r="Y41">
        <v>66</v>
      </c>
      <c r="Z41">
        <v>171</v>
      </c>
      <c r="AA41">
        <v>1.4410000000000001</v>
      </c>
      <c r="AB41">
        <v>9.1310000000000002</v>
      </c>
      <c r="AH41">
        <f t="shared" si="13"/>
        <v>0</v>
      </c>
      <c r="AI41">
        <f t="shared" si="13"/>
        <v>0</v>
      </c>
      <c r="AJ41">
        <f t="shared" si="0"/>
        <v>0</v>
      </c>
      <c r="AK41">
        <f t="shared" si="1"/>
        <v>0</v>
      </c>
      <c r="AL41">
        <f t="shared" si="2"/>
        <v>0</v>
      </c>
      <c r="AM41">
        <f t="shared" si="3"/>
        <v>0</v>
      </c>
      <c r="AN41">
        <f t="shared" si="4"/>
        <v>0</v>
      </c>
      <c r="AO41">
        <f t="shared" si="5"/>
        <v>0</v>
      </c>
      <c r="AP41">
        <f t="shared" si="6"/>
        <v>0</v>
      </c>
      <c r="AQ41">
        <f t="shared" si="7"/>
        <v>0</v>
      </c>
      <c r="AR41">
        <f t="shared" si="8"/>
        <v>0</v>
      </c>
      <c r="AS41">
        <f t="shared" si="9"/>
        <v>0</v>
      </c>
      <c r="AT41">
        <f t="shared" si="10"/>
        <v>0</v>
      </c>
      <c r="AU41">
        <f t="shared" si="11"/>
        <v>0</v>
      </c>
      <c r="AV41">
        <f t="shared" si="12"/>
        <v>0</v>
      </c>
      <c r="AZ41">
        <f>ELEMENT!CU85</f>
        <v>0</v>
      </c>
      <c r="BR41">
        <f>ELEMENT!CU85</f>
        <v>0</v>
      </c>
      <c r="CJ41">
        <f>AZ41</f>
        <v>0</v>
      </c>
    </row>
    <row r="42" spans="19:101" x14ac:dyDescent="0.2">
      <c r="S42">
        <f>ELEMENT!BF42</f>
        <v>0</v>
      </c>
      <c r="T42">
        <v>40</v>
      </c>
      <c r="U42">
        <v>55</v>
      </c>
      <c r="V42">
        <v>90</v>
      </c>
      <c r="W42">
        <v>26.400000000000002</v>
      </c>
      <c r="X42">
        <v>13.200000000000001</v>
      </c>
      <c r="Y42">
        <v>18</v>
      </c>
      <c r="Z42">
        <v>36</v>
      </c>
      <c r="AB42">
        <v>0.66</v>
      </c>
      <c r="AH42" t="str">
        <f t="shared" si="13"/>
        <v>Weissglaszuschlag</v>
      </c>
      <c r="AI42">
        <f t="shared" si="13"/>
        <v>0</v>
      </c>
      <c r="AJ42">
        <f t="shared" si="0"/>
        <v>0</v>
      </c>
      <c r="AK42">
        <f t="shared" si="1"/>
        <v>0</v>
      </c>
      <c r="AL42">
        <f t="shared" si="2"/>
        <v>0</v>
      </c>
      <c r="AM42">
        <f t="shared" si="3"/>
        <v>0</v>
      </c>
      <c r="AN42">
        <f t="shared" si="4"/>
        <v>0</v>
      </c>
      <c r="AO42">
        <f t="shared" si="5"/>
        <v>0</v>
      </c>
      <c r="AP42">
        <f t="shared" si="6"/>
        <v>0</v>
      </c>
      <c r="AQ42">
        <f t="shared" si="7"/>
        <v>0</v>
      </c>
      <c r="AR42">
        <f t="shared" si="8"/>
        <v>0</v>
      </c>
      <c r="AS42">
        <f t="shared" si="9"/>
        <v>0</v>
      </c>
      <c r="AT42">
        <f t="shared" si="10"/>
        <v>0</v>
      </c>
      <c r="AU42">
        <f t="shared" si="11"/>
        <v>0</v>
      </c>
      <c r="AV42">
        <f t="shared" si="12"/>
        <v>0</v>
      </c>
      <c r="AZ42" t="str">
        <f>ELEMENT!CU86</f>
        <v>Weissglaszuschlag</v>
      </c>
      <c r="BR42" t="str">
        <f>ELEMENT!CU86</f>
        <v>Weissglaszuschlag</v>
      </c>
      <c r="CJ42" t="str">
        <f t="shared" ref="CJ42:CJ65" si="17">AZ42</f>
        <v>Weissglaszuschlag</v>
      </c>
    </row>
    <row r="43" spans="19:101" x14ac:dyDescent="0.2">
      <c r="S43">
        <f>ELEMENT!BF43</f>
        <v>0</v>
      </c>
      <c r="T43">
        <v>10</v>
      </c>
      <c r="U43">
        <v>30</v>
      </c>
      <c r="V43">
        <v>60</v>
      </c>
      <c r="W43">
        <v>9.1384615384615397</v>
      </c>
      <c r="X43">
        <v>13.200000000000001</v>
      </c>
      <c r="Y43">
        <v>21</v>
      </c>
      <c r="Z43">
        <v>81.099999999999994</v>
      </c>
      <c r="AA43">
        <v>0.99199999999999999</v>
      </c>
      <c r="AB43">
        <v>3.96</v>
      </c>
      <c r="AC43">
        <v>170</v>
      </c>
      <c r="AH43">
        <f t="shared" si="13"/>
        <v>0</v>
      </c>
      <c r="AI43" t="str">
        <f t="shared" si="13"/>
        <v>nein</v>
      </c>
      <c r="AJ43" t="str">
        <f t="shared" si="0"/>
        <v>nein</v>
      </c>
      <c r="AK43" t="str">
        <f t="shared" si="1"/>
        <v>nein</v>
      </c>
      <c r="AL43" t="str">
        <f t="shared" si="2"/>
        <v>nein</v>
      </c>
      <c r="AM43">
        <f t="shared" si="3"/>
        <v>0</v>
      </c>
      <c r="AN43">
        <f t="shared" si="4"/>
        <v>0</v>
      </c>
      <c r="AO43">
        <f t="shared" si="5"/>
        <v>0</v>
      </c>
      <c r="AP43">
        <f t="shared" si="6"/>
        <v>0</v>
      </c>
      <c r="AQ43">
        <f t="shared" si="7"/>
        <v>0</v>
      </c>
      <c r="AR43">
        <f t="shared" si="8"/>
        <v>0</v>
      </c>
      <c r="AS43">
        <f t="shared" si="9"/>
        <v>0</v>
      </c>
      <c r="AT43">
        <f t="shared" si="10"/>
        <v>0</v>
      </c>
      <c r="AU43">
        <f t="shared" si="11"/>
        <v>0</v>
      </c>
      <c r="AV43">
        <f t="shared" si="12"/>
        <v>0</v>
      </c>
      <c r="AZ43">
        <f>ELEMENT!CU87</f>
        <v>0</v>
      </c>
      <c r="BA43" t="s">
        <v>375</v>
      </c>
      <c r="BB43" t="s">
        <v>375</v>
      </c>
      <c r="BC43" t="s">
        <v>375</v>
      </c>
      <c r="BD43" t="s">
        <v>375</v>
      </c>
      <c r="BE43" t="s">
        <v>375</v>
      </c>
      <c r="BF43" t="s">
        <v>375</v>
      </c>
      <c r="BR43">
        <f>ELEMENT!CU87</f>
        <v>0</v>
      </c>
      <c r="BS43" t="s">
        <v>375</v>
      </c>
      <c r="BT43" t="s">
        <v>375</v>
      </c>
      <c r="BU43" t="s">
        <v>375</v>
      </c>
      <c r="BV43" t="s">
        <v>375</v>
      </c>
      <c r="BW43" t="s">
        <v>375</v>
      </c>
      <c r="BX43" t="s">
        <v>375</v>
      </c>
      <c r="CA43" t="s">
        <v>375</v>
      </c>
      <c r="CJ43">
        <f t="shared" si="17"/>
        <v>0</v>
      </c>
      <c r="CK43" t="s">
        <v>375</v>
      </c>
      <c r="CL43" t="s">
        <v>375</v>
      </c>
      <c r="CM43" t="s">
        <v>375</v>
      </c>
      <c r="CN43" t="s">
        <v>375</v>
      </c>
    </row>
    <row r="44" spans="19:101" x14ac:dyDescent="0.2">
      <c r="S44">
        <f>ELEMENT!BF44</f>
        <v>0</v>
      </c>
      <c r="T44">
        <v>10</v>
      </c>
      <c r="U44">
        <v>30</v>
      </c>
      <c r="V44">
        <v>60</v>
      </c>
      <c r="W44">
        <v>8.9692307692307693</v>
      </c>
      <c r="X44">
        <v>33</v>
      </c>
      <c r="Y44">
        <v>41</v>
      </c>
      <c r="Z44">
        <v>110</v>
      </c>
      <c r="AA44">
        <v>1.0920000000000001</v>
      </c>
      <c r="AB44">
        <v>6.94</v>
      </c>
      <c r="AH44">
        <f t="shared" si="13"/>
        <v>0</v>
      </c>
      <c r="AI44">
        <f t="shared" si="13"/>
        <v>0</v>
      </c>
      <c r="AJ44">
        <f t="shared" si="0"/>
        <v>0</v>
      </c>
      <c r="AK44">
        <f t="shared" si="1"/>
        <v>0</v>
      </c>
      <c r="AL44">
        <f t="shared" si="2"/>
        <v>0</v>
      </c>
      <c r="AM44" t="str">
        <f t="shared" si="3"/>
        <v>nein</v>
      </c>
      <c r="AN44" t="str">
        <f t="shared" si="4"/>
        <v>nein</v>
      </c>
      <c r="AO44">
        <f t="shared" si="5"/>
        <v>0</v>
      </c>
      <c r="AP44">
        <f t="shared" si="6"/>
        <v>0</v>
      </c>
      <c r="AQ44">
        <f t="shared" si="7"/>
        <v>0</v>
      </c>
      <c r="AR44">
        <f t="shared" si="8"/>
        <v>0</v>
      </c>
      <c r="AS44">
        <f t="shared" si="9"/>
        <v>0</v>
      </c>
      <c r="AT44">
        <f t="shared" si="10"/>
        <v>0</v>
      </c>
      <c r="AU44">
        <f t="shared" si="11"/>
        <v>0</v>
      </c>
      <c r="AV44">
        <f t="shared" si="12"/>
        <v>0</v>
      </c>
      <c r="AZ44">
        <f>ELEMENT!CU88</f>
        <v>0</v>
      </c>
      <c r="BE44" t="s">
        <v>375</v>
      </c>
      <c r="BF44" t="s">
        <v>375</v>
      </c>
      <c r="BG44" t="s">
        <v>375</v>
      </c>
      <c r="BH44" t="s">
        <v>375</v>
      </c>
      <c r="BR44">
        <f>ELEMENT!CU88</f>
        <v>0</v>
      </c>
      <c r="BW44" t="s">
        <v>375</v>
      </c>
      <c r="BX44" t="s">
        <v>375</v>
      </c>
      <c r="BY44" t="s">
        <v>375</v>
      </c>
      <c r="BZ44" t="s">
        <v>375</v>
      </c>
      <c r="CA44" t="s">
        <v>375</v>
      </c>
      <c r="CJ44">
        <f t="shared" si="17"/>
        <v>0</v>
      </c>
      <c r="CO44" t="s">
        <v>375</v>
      </c>
      <c r="CP44" t="s">
        <v>375</v>
      </c>
    </row>
    <row r="45" spans="19:101" x14ac:dyDescent="0.2">
      <c r="S45">
        <f>ELEMENT!BF45</f>
        <v>0</v>
      </c>
      <c r="T45">
        <v>40</v>
      </c>
      <c r="U45">
        <v>45</v>
      </c>
      <c r="V45">
        <v>90</v>
      </c>
      <c r="W45">
        <v>22</v>
      </c>
      <c r="X45">
        <v>11</v>
      </c>
      <c r="Y45">
        <v>13</v>
      </c>
      <c r="Z45">
        <v>26</v>
      </c>
      <c r="AB45">
        <v>0.36</v>
      </c>
      <c r="AH45">
        <f t="shared" si="13"/>
        <v>0</v>
      </c>
      <c r="AI45" t="str">
        <f t="shared" si="13"/>
        <v>6 / 6</v>
      </c>
      <c r="AJ45" t="str">
        <f t="shared" si="0"/>
        <v>8 / 8</v>
      </c>
      <c r="AK45" t="str">
        <f t="shared" si="1"/>
        <v>8 / 6</v>
      </c>
      <c r="AL45" t="str">
        <f t="shared" si="2"/>
        <v>10 / 6</v>
      </c>
      <c r="AM45" t="str">
        <f t="shared" si="3"/>
        <v>6 / 8-2</v>
      </c>
      <c r="AN45" t="str">
        <f t="shared" si="4"/>
        <v>8 / 8-2</v>
      </c>
      <c r="AO45">
        <f t="shared" si="5"/>
        <v>0</v>
      </c>
      <c r="AP45">
        <f t="shared" si="6"/>
        <v>0</v>
      </c>
      <c r="AQ45">
        <f t="shared" si="7"/>
        <v>0</v>
      </c>
      <c r="AR45" t="str">
        <f t="shared" si="8"/>
        <v>-</v>
      </c>
      <c r="AS45" t="str">
        <f t="shared" si="9"/>
        <v>-</v>
      </c>
      <c r="AT45" t="str">
        <f t="shared" si="10"/>
        <v>-</v>
      </c>
      <c r="AU45" t="str">
        <f t="shared" si="11"/>
        <v>-</v>
      </c>
      <c r="AV45">
        <f t="shared" si="12"/>
        <v>0</v>
      </c>
      <c r="AZ45">
        <f>ELEMENT!CU89</f>
        <v>0</v>
      </c>
      <c r="BA45" t="str">
        <f t="shared" ref="BA45:BG45" si="18">BA5</f>
        <v>6 / 6</v>
      </c>
      <c r="BB45" t="str">
        <f t="shared" si="18"/>
        <v>8 / 8</v>
      </c>
      <c r="BC45" t="str">
        <f t="shared" si="18"/>
        <v>8 / 6</v>
      </c>
      <c r="BD45" t="str">
        <f t="shared" si="18"/>
        <v>10 / 6</v>
      </c>
      <c r="BE45" t="str">
        <f t="shared" si="18"/>
        <v>6 / 8-2</v>
      </c>
      <c r="BF45" t="str">
        <f t="shared" si="18"/>
        <v>8 / 8-2</v>
      </c>
      <c r="BG45" t="str">
        <f t="shared" si="18"/>
        <v>6 / P4A</v>
      </c>
      <c r="BH45" t="str">
        <f>BH5</f>
        <v>8 / P4A</v>
      </c>
      <c r="BR45">
        <f>ELEMENT!CU89</f>
        <v>0</v>
      </c>
      <c r="BS45" t="str">
        <f t="shared" ref="BS45:BZ45" si="19">BS5</f>
        <v>6 / 6</v>
      </c>
      <c r="BT45" t="str">
        <f t="shared" si="19"/>
        <v>8 / 8</v>
      </c>
      <c r="BU45" t="str">
        <f t="shared" si="19"/>
        <v>8 / 6</v>
      </c>
      <c r="BV45" t="str">
        <f t="shared" si="19"/>
        <v>10 / 6</v>
      </c>
      <c r="BW45" t="str">
        <f t="shared" si="19"/>
        <v>6 / 8-2</v>
      </c>
      <c r="BX45" t="str">
        <f t="shared" si="19"/>
        <v>8 / 8-2</v>
      </c>
      <c r="BY45" t="str">
        <f t="shared" si="19"/>
        <v>6 / SP10</v>
      </c>
      <c r="BZ45" t="str">
        <f t="shared" si="19"/>
        <v>8 / SP10</v>
      </c>
      <c r="CA45" t="str">
        <f>CA5</f>
        <v>12-2</v>
      </c>
      <c r="CJ45">
        <f t="shared" si="17"/>
        <v>0</v>
      </c>
      <c r="CK45" t="str">
        <f t="shared" ref="CK45:CQ45" si="20">CK5</f>
        <v>6 / 6</v>
      </c>
      <c r="CL45" t="str">
        <f t="shared" si="20"/>
        <v>8 / 8</v>
      </c>
      <c r="CM45" t="str">
        <f t="shared" si="20"/>
        <v>8 / 6</v>
      </c>
      <c r="CN45" t="str">
        <f t="shared" si="20"/>
        <v>10 / 6</v>
      </c>
      <c r="CO45" t="str">
        <f t="shared" si="20"/>
        <v>6 / 8-2</v>
      </c>
      <c r="CP45" t="str">
        <f t="shared" si="20"/>
        <v>8 / 8-2</v>
      </c>
      <c r="CQ45">
        <f t="shared" si="20"/>
        <v>0</v>
      </c>
      <c r="CR45">
        <f>CR5</f>
        <v>0</v>
      </c>
      <c r="CS45">
        <f>CS5</f>
        <v>0</v>
      </c>
      <c r="CT45" t="s">
        <v>1126</v>
      </c>
      <c r="CU45" t="s">
        <v>1126</v>
      </c>
      <c r="CV45" t="s">
        <v>1126</v>
      </c>
      <c r="CW45" t="s">
        <v>1126</v>
      </c>
    </row>
    <row r="46" spans="19:101" x14ac:dyDescent="0.2">
      <c r="S46">
        <f>ELEMENT!BF46</f>
        <v>0</v>
      </c>
      <c r="T46">
        <v>10</v>
      </c>
      <c r="U46">
        <v>30</v>
      </c>
      <c r="V46">
        <v>60</v>
      </c>
      <c r="W46">
        <v>7.6153846153846159</v>
      </c>
      <c r="X46">
        <v>8.8000000000000007</v>
      </c>
      <c r="Y46">
        <v>16</v>
      </c>
      <c r="Z46">
        <v>49.5</v>
      </c>
      <c r="AA46">
        <v>0.71099999999999997</v>
      </c>
      <c r="AB46">
        <v>2.5499999999999998</v>
      </c>
      <c r="AC46">
        <v>110</v>
      </c>
      <c r="AD46">
        <v>45</v>
      </c>
      <c r="AH46">
        <f t="shared" si="13"/>
        <v>0</v>
      </c>
      <c r="AI46">
        <f t="shared" si="13"/>
        <v>0</v>
      </c>
      <c r="AJ46">
        <f t="shared" si="0"/>
        <v>0</v>
      </c>
      <c r="AK46">
        <f t="shared" si="1"/>
        <v>0</v>
      </c>
      <c r="AL46">
        <f t="shared" si="2"/>
        <v>0</v>
      </c>
      <c r="AM46">
        <f t="shared" si="3"/>
        <v>0</v>
      </c>
      <c r="AN46">
        <f t="shared" si="4"/>
        <v>0</v>
      </c>
      <c r="AO46">
        <f t="shared" si="5"/>
        <v>0</v>
      </c>
      <c r="AP46">
        <f t="shared" si="6"/>
        <v>0</v>
      </c>
      <c r="AQ46">
        <f t="shared" si="7"/>
        <v>0</v>
      </c>
      <c r="AR46">
        <f t="shared" si="8"/>
        <v>0</v>
      </c>
      <c r="AS46">
        <f t="shared" si="9"/>
        <v>0</v>
      </c>
      <c r="AT46">
        <f t="shared" si="10"/>
        <v>0</v>
      </c>
      <c r="AU46">
        <f t="shared" si="11"/>
        <v>0</v>
      </c>
      <c r="AV46">
        <f t="shared" si="12"/>
        <v>0</v>
      </c>
      <c r="AZ46">
        <f>ELEMENT!CU90</f>
        <v>0</v>
      </c>
      <c r="BA46">
        <f>ELEMENT!DN90</f>
        <v>0</v>
      </c>
      <c r="BR46">
        <f>ELEMENT!CU90</f>
        <v>0</v>
      </c>
      <c r="BS46">
        <f>ELEMENT!EA90</f>
        <v>0</v>
      </c>
      <c r="CJ46">
        <f t="shared" si="17"/>
        <v>0</v>
      </c>
      <c r="CK46">
        <f>DG22</f>
        <v>0</v>
      </c>
    </row>
    <row r="47" spans="19:101" x14ac:dyDescent="0.2">
      <c r="S47">
        <f>ELEMENT!BF47</f>
        <v>0</v>
      </c>
      <c r="T47">
        <v>10</v>
      </c>
      <c r="U47">
        <v>30</v>
      </c>
      <c r="V47">
        <v>60</v>
      </c>
      <c r="W47">
        <v>8.1230769230769244</v>
      </c>
      <c r="X47">
        <v>26.400000000000002</v>
      </c>
      <c r="Y47">
        <v>29</v>
      </c>
      <c r="Z47">
        <v>76.5</v>
      </c>
      <c r="AA47">
        <v>0.69299999999999995</v>
      </c>
      <c r="AB47">
        <v>4.66</v>
      </c>
      <c r="AD47">
        <v>90</v>
      </c>
      <c r="AH47">
        <f t="shared" si="13"/>
        <v>0</v>
      </c>
      <c r="AI47">
        <f t="shared" si="13"/>
        <v>2300</v>
      </c>
      <c r="AJ47">
        <f t="shared" si="0"/>
        <v>2300</v>
      </c>
      <c r="AK47">
        <f t="shared" si="1"/>
        <v>2300</v>
      </c>
      <c r="AL47">
        <f t="shared" si="2"/>
        <v>2300</v>
      </c>
      <c r="AM47">
        <f t="shared" si="3"/>
        <v>2300</v>
      </c>
      <c r="AN47">
        <f t="shared" si="4"/>
        <v>2300</v>
      </c>
      <c r="AO47">
        <f t="shared" si="5"/>
        <v>0</v>
      </c>
      <c r="AP47">
        <f t="shared" si="6"/>
        <v>0</v>
      </c>
      <c r="AQ47">
        <f t="shared" si="7"/>
        <v>0</v>
      </c>
      <c r="AR47">
        <f t="shared" si="8"/>
        <v>0</v>
      </c>
      <c r="AS47">
        <f t="shared" si="9"/>
        <v>0</v>
      </c>
      <c r="AT47">
        <f t="shared" si="10"/>
        <v>0</v>
      </c>
      <c r="AU47">
        <f t="shared" si="11"/>
        <v>0</v>
      </c>
      <c r="AV47">
        <f t="shared" si="12"/>
        <v>0</v>
      </c>
      <c r="AZ47">
        <f>ELEMENT!CU91</f>
        <v>0</v>
      </c>
      <c r="BA47">
        <v>2200</v>
      </c>
      <c r="BB47">
        <v>2600</v>
      </c>
      <c r="BC47">
        <v>2200</v>
      </c>
      <c r="BD47">
        <v>2200</v>
      </c>
      <c r="BE47">
        <v>2200</v>
      </c>
      <c r="BF47">
        <v>2600</v>
      </c>
      <c r="BG47">
        <v>2200</v>
      </c>
      <c r="BH47">
        <v>2600</v>
      </c>
      <c r="BR47">
        <f>ELEMENT!CU91</f>
        <v>0</v>
      </c>
      <c r="BS47">
        <v>2200</v>
      </c>
      <c r="BT47">
        <v>2600</v>
      </c>
      <c r="BU47">
        <v>2200</v>
      </c>
      <c r="BV47">
        <v>2200</v>
      </c>
      <c r="BW47">
        <v>2200</v>
      </c>
      <c r="BX47">
        <v>2600</v>
      </c>
      <c r="BY47">
        <v>2200</v>
      </c>
      <c r="BZ47">
        <v>2600</v>
      </c>
      <c r="CA47">
        <v>2200</v>
      </c>
      <c r="CJ47">
        <f t="shared" si="17"/>
        <v>0</v>
      </c>
      <c r="CK47">
        <v>2300</v>
      </c>
      <c r="CL47">
        <v>2300</v>
      </c>
      <c r="CM47">
        <v>2300</v>
      </c>
      <c r="CN47">
        <v>2300</v>
      </c>
      <c r="CO47">
        <v>2300</v>
      </c>
      <c r="CP47">
        <v>2300</v>
      </c>
    </row>
    <row r="48" spans="19:101" x14ac:dyDescent="0.2">
      <c r="S48">
        <f>ELEMENT!BF48</f>
        <v>0</v>
      </c>
      <c r="U48" t="s">
        <v>158</v>
      </c>
      <c r="V48" t="s">
        <v>4</v>
      </c>
      <c r="W48">
        <v>0</v>
      </c>
      <c r="X48">
        <v>0</v>
      </c>
      <c r="AH48">
        <f t="shared" si="13"/>
        <v>0</v>
      </c>
      <c r="AI48">
        <f t="shared" si="13"/>
        <v>3500</v>
      </c>
      <c r="AJ48">
        <f t="shared" si="0"/>
        <v>3500</v>
      </c>
      <c r="AK48">
        <f t="shared" si="1"/>
        <v>3500</v>
      </c>
      <c r="AL48">
        <f t="shared" si="2"/>
        <v>3500</v>
      </c>
      <c r="AM48">
        <f t="shared" si="3"/>
        <v>3500</v>
      </c>
      <c r="AN48">
        <f t="shared" si="4"/>
        <v>3500</v>
      </c>
      <c r="AO48">
        <f t="shared" si="5"/>
        <v>0</v>
      </c>
      <c r="AP48">
        <f t="shared" si="6"/>
        <v>0</v>
      </c>
      <c r="AQ48">
        <f t="shared" si="7"/>
        <v>0</v>
      </c>
      <c r="AR48">
        <f t="shared" si="8"/>
        <v>0</v>
      </c>
      <c r="AS48">
        <f t="shared" si="9"/>
        <v>0</v>
      </c>
      <c r="AT48">
        <f t="shared" si="10"/>
        <v>0</v>
      </c>
      <c r="AU48">
        <f t="shared" si="11"/>
        <v>0</v>
      </c>
      <c r="AV48">
        <f t="shared" si="12"/>
        <v>0</v>
      </c>
      <c r="AZ48">
        <f>ELEMENT!CU92</f>
        <v>0</v>
      </c>
      <c r="BA48">
        <v>3800</v>
      </c>
      <c r="BB48">
        <v>4000</v>
      </c>
      <c r="BC48">
        <v>3800</v>
      </c>
      <c r="BD48">
        <v>3800</v>
      </c>
      <c r="BE48">
        <v>3800</v>
      </c>
      <c r="BF48">
        <v>4000</v>
      </c>
      <c r="BG48">
        <v>3800</v>
      </c>
      <c r="BH48">
        <v>4000</v>
      </c>
      <c r="BR48">
        <f>ELEMENT!CU92</f>
        <v>0</v>
      </c>
      <c r="BS48">
        <v>3800</v>
      </c>
      <c r="BT48">
        <v>4000</v>
      </c>
      <c r="BU48">
        <v>3800</v>
      </c>
      <c r="BV48">
        <v>3800</v>
      </c>
      <c r="BW48">
        <v>3800</v>
      </c>
      <c r="BX48">
        <v>4000</v>
      </c>
      <c r="BY48">
        <v>3800</v>
      </c>
      <c r="BZ48">
        <v>4000</v>
      </c>
      <c r="CA48">
        <v>3800</v>
      </c>
      <c r="CJ48">
        <f t="shared" si="17"/>
        <v>0</v>
      </c>
      <c r="CK48">
        <v>3500</v>
      </c>
      <c r="CL48">
        <v>3500</v>
      </c>
      <c r="CM48">
        <v>3500</v>
      </c>
      <c r="CN48">
        <v>3500</v>
      </c>
      <c r="CO48">
        <v>3500</v>
      </c>
      <c r="CP48">
        <v>3500</v>
      </c>
    </row>
    <row r="49" spans="19:94" x14ac:dyDescent="0.2">
      <c r="S49">
        <f>ELEMENT!BF49</f>
        <v>0</v>
      </c>
      <c r="U49">
        <v>35</v>
      </c>
      <c r="V49">
        <v>30</v>
      </c>
      <c r="W49">
        <v>5.5</v>
      </c>
      <c r="X49">
        <v>20</v>
      </c>
      <c r="AH49">
        <f t="shared" si="13"/>
        <v>0</v>
      </c>
      <c r="AI49">
        <f t="shared" si="13"/>
        <v>2300</v>
      </c>
      <c r="AJ49">
        <f t="shared" si="0"/>
        <v>2300</v>
      </c>
      <c r="AK49">
        <f t="shared" si="1"/>
        <v>2300</v>
      </c>
      <c r="AL49">
        <f t="shared" si="2"/>
        <v>2300</v>
      </c>
      <c r="AM49">
        <f t="shared" si="3"/>
        <v>2300</v>
      </c>
      <c r="AN49">
        <f t="shared" si="4"/>
        <v>2300</v>
      </c>
      <c r="AO49">
        <f t="shared" si="5"/>
        <v>0</v>
      </c>
      <c r="AP49">
        <f t="shared" si="6"/>
        <v>0</v>
      </c>
      <c r="AQ49">
        <f t="shared" si="7"/>
        <v>0</v>
      </c>
      <c r="AR49">
        <f t="shared" si="8"/>
        <v>0</v>
      </c>
      <c r="AS49">
        <f t="shared" si="9"/>
        <v>0</v>
      </c>
      <c r="AT49">
        <f t="shared" si="10"/>
        <v>0</v>
      </c>
      <c r="AU49">
        <f t="shared" si="11"/>
        <v>0</v>
      </c>
      <c r="AV49">
        <f t="shared" si="12"/>
        <v>0</v>
      </c>
      <c r="AZ49">
        <f>ELEMENT!CU93</f>
        <v>0</v>
      </c>
      <c r="BA49">
        <v>2200</v>
      </c>
      <c r="BB49">
        <v>2300</v>
      </c>
      <c r="BC49">
        <v>2300</v>
      </c>
      <c r="BD49">
        <v>2300</v>
      </c>
      <c r="BE49">
        <v>2300</v>
      </c>
      <c r="BF49">
        <v>2300</v>
      </c>
      <c r="BG49">
        <v>2300</v>
      </c>
      <c r="BH49">
        <v>2300</v>
      </c>
      <c r="BR49">
        <f>ELEMENT!CU93</f>
        <v>0</v>
      </c>
      <c r="BS49">
        <v>2200</v>
      </c>
      <c r="BT49">
        <v>2300</v>
      </c>
      <c r="BU49">
        <v>2300</v>
      </c>
      <c r="BV49">
        <v>2300</v>
      </c>
      <c r="BW49">
        <v>2300</v>
      </c>
      <c r="BX49">
        <v>2300</v>
      </c>
      <c r="BY49">
        <v>2300</v>
      </c>
      <c r="BZ49">
        <v>2300</v>
      </c>
      <c r="CA49">
        <v>2200</v>
      </c>
      <c r="CJ49">
        <f t="shared" si="17"/>
        <v>0</v>
      </c>
      <c r="CK49">
        <v>2300</v>
      </c>
      <c r="CL49">
        <v>2300</v>
      </c>
      <c r="CM49">
        <v>2300</v>
      </c>
      <c r="CN49">
        <v>2300</v>
      </c>
      <c r="CO49">
        <v>2300</v>
      </c>
      <c r="CP49">
        <v>2300</v>
      </c>
    </row>
    <row r="50" spans="19:94" x14ac:dyDescent="0.2">
      <c r="S50">
        <f>ELEMENT!BF50</f>
        <v>0</v>
      </c>
      <c r="AH50">
        <f t="shared" si="13"/>
        <v>0</v>
      </c>
      <c r="AI50">
        <f t="shared" si="13"/>
        <v>0</v>
      </c>
      <c r="AJ50">
        <f t="shared" si="0"/>
        <v>0</v>
      </c>
      <c r="AK50">
        <f t="shared" si="1"/>
        <v>0</v>
      </c>
      <c r="AL50">
        <f t="shared" si="2"/>
        <v>0</v>
      </c>
      <c r="AM50">
        <f t="shared" si="3"/>
        <v>0</v>
      </c>
      <c r="AN50">
        <f t="shared" si="4"/>
        <v>0</v>
      </c>
      <c r="AO50">
        <f t="shared" si="5"/>
        <v>0</v>
      </c>
      <c r="AP50">
        <f t="shared" si="6"/>
        <v>0</v>
      </c>
      <c r="AQ50">
        <f t="shared" si="7"/>
        <v>0</v>
      </c>
      <c r="AR50">
        <f t="shared" si="8"/>
        <v>0</v>
      </c>
      <c r="AS50">
        <f t="shared" si="9"/>
        <v>0</v>
      </c>
      <c r="AT50">
        <f t="shared" si="10"/>
        <v>0</v>
      </c>
      <c r="AU50">
        <f t="shared" si="11"/>
        <v>0</v>
      </c>
      <c r="AV50">
        <f t="shared" si="12"/>
        <v>0</v>
      </c>
      <c r="AZ50">
        <f>ELEMENT!CU94</f>
        <v>0</v>
      </c>
      <c r="BR50">
        <f>ELEMENT!CU94</f>
        <v>0</v>
      </c>
      <c r="CJ50">
        <f t="shared" si="17"/>
        <v>0</v>
      </c>
    </row>
    <row r="51" spans="19:94" x14ac:dyDescent="0.2">
      <c r="S51">
        <f>ELEMENT!BF51</f>
        <v>0</v>
      </c>
      <c r="AH51">
        <f t="shared" si="13"/>
        <v>0</v>
      </c>
      <c r="AI51">
        <f t="shared" si="13"/>
        <v>0</v>
      </c>
      <c r="AJ51">
        <f t="shared" si="0"/>
        <v>0</v>
      </c>
      <c r="AK51">
        <f t="shared" si="1"/>
        <v>0</v>
      </c>
      <c r="AL51">
        <f t="shared" si="2"/>
        <v>0</v>
      </c>
      <c r="AM51">
        <f t="shared" si="3"/>
        <v>0</v>
      </c>
      <c r="AN51">
        <f t="shared" si="4"/>
        <v>0</v>
      </c>
      <c r="AO51">
        <f t="shared" si="5"/>
        <v>0</v>
      </c>
      <c r="AP51">
        <f t="shared" si="6"/>
        <v>0</v>
      </c>
      <c r="AQ51">
        <f t="shared" si="7"/>
        <v>0</v>
      </c>
      <c r="AR51">
        <f t="shared" si="8"/>
        <v>0</v>
      </c>
      <c r="AS51">
        <f t="shared" si="9"/>
        <v>0</v>
      </c>
      <c r="AT51">
        <f t="shared" si="10"/>
        <v>0</v>
      </c>
      <c r="AU51">
        <f t="shared" si="11"/>
        <v>0</v>
      </c>
      <c r="AV51">
        <f t="shared" si="12"/>
        <v>0</v>
      </c>
      <c r="AZ51">
        <f>ELEMENT!CU95</f>
        <v>0</v>
      </c>
      <c r="BA51">
        <f>ELEMENT!DN95</f>
        <v>0</v>
      </c>
      <c r="BR51">
        <f>ELEMENT!CU95</f>
        <v>0</v>
      </c>
      <c r="BS51">
        <f>ELEMENT!EA95</f>
        <v>0</v>
      </c>
      <c r="CJ51">
        <f t="shared" si="17"/>
        <v>0</v>
      </c>
      <c r="CK51">
        <f>DG23</f>
        <v>0</v>
      </c>
    </row>
    <row r="52" spans="19:94" x14ac:dyDescent="0.2">
      <c r="S52">
        <f>ELEMENT!BF52</f>
        <v>0</v>
      </c>
      <c r="T52">
        <v>10</v>
      </c>
      <c r="V52">
        <v>120</v>
      </c>
      <c r="W52">
        <v>0</v>
      </c>
      <c r="X52">
        <v>70</v>
      </c>
      <c r="Y52">
        <v>71</v>
      </c>
      <c r="AH52">
        <f t="shared" si="13"/>
        <v>0</v>
      </c>
      <c r="AI52">
        <f t="shared" si="13"/>
        <v>3500</v>
      </c>
      <c r="AJ52">
        <f t="shared" si="0"/>
        <v>3500</v>
      </c>
      <c r="AK52">
        <f t="shared" si="1"/>
        <v>3500</v>
      </c>
      <c r="AL52">
        <f t="shared" si="2"/>
        <v>3500</v>
      </c>
      <c r="AM52">
        <f t="shared" si="3"/>
        <v>3500</v>
      </c>
      <c r="AN52">
        <f t="shared" si="4"/>
        <v>3500</v>
      </c>
      <c r="AO52">
        <f t="shared" si="5"/>
        <v>0</v>
      </c>
      <c r="AP52">
        <f t="shared" si="6"/>
        <v>0</v>
      </c>
      <c r="AQ52">
        <f t="shared" si="7"/>
        <v>0</v>
      </c>
      <c r="AR52">
        <f t="shared" si="8"/>
        <v>0</v>
      </c>
      <c r="AS52">
        <f t="shared" si="9"/>
        <v>0</v>
      </c>
      <c r="AT52">
        <f t="shared" si="10"/>
        <v>0</v>
      </c>
      <c r="AU52">
        <f t="shared" si="11"/>
        <v>0</v>
      </c>
      <c r="AV52">
        <f t="shared" si="12"/>
        <v>0</v>
      </c>
      <c r="AZ52">
        <f>ELEMENT!CU96</f>
        <v>0</v>
      </c>
      <c r="BA52">
        <v>3800</v>
      </c>
      <c r="BB52">
        <v>4000</v>
      </c>
      <c r="BC52">
        <v>3800</v>
      </c>
      <c r="BD52">
        <v>3800</v>
      </c>
      <c r="BE52">
        <v>3800</v>
      </c>
      <c r="BF52">
        <v>4000</v>
      </c>
      <c r="BG52">
        <v>3800</v>
      </c>
      <c r="BH52">
        <v>4000</v>
      </c>
      <c r="BR52">
        <f>ELEMENT!CU96</f>
        <v>0</v>
      </c>
      <c r="BS52">
        <v>3800</v>
      </c>
      <c r="BT52">
        <v>4000</v>
      </c>
      <c r="BU52">
        <v>3800</v>
      </c>
      <c r="BV52">
        <v>3800</v>
      </c>
      <c r="BW52">
        <v>3800</v>
      </c>
      <c r="BX52">
        <v>4000</v>
      </c>
      <c r="BY52">
        <v>3800</v>
      </c>
      <c r="BZ52">
        <v>4000</v>
      </c>
      <c r="CA52">
        <v>3800</v>
      </c>
      <c r="CJ52">
        <f t="shared" si="17"/>
        <v>0</v>
      </c>
      <c r="CK52">
        <v>3500</v>
      </c>
      <c r="CL52">
        <v>3500</v>
      </c>
      <c r="CM52">
        <v>3500</v>
      </c>
      <c r="CN52">
        <v>3500</v>
      </c>
      <c r="CO52">
        <v>3500</v>
      </c>
      <c r="CP52">
        <v>3500</v>
      </c>
    </row>
    <row r="53" spans="19:94" x14ac:dyDescent="0.2">
      <c r="S53">
        <f>ELEMENT!BF53</f>
        <v>0</v>
      </c>
      <c r="T53">
        <v>10</v>
      </c>
      <c r="V53">
        <v>150</v>
      </c>
      <c r="W53">
        <v>0</v>
      </c>
      <c r="X53">
        <v>90</v>
      </c>
      <c r="Y53">
        <v>78</v>
      </c>
      <c r="AH53">
        <f t="shared" si="13"/>
        <v>0</v>
      </c>
      <c r="AI53">
        <f t="shared" si="13"/>
        <v>2300</v>
      </c>
      <c r="AJ53">
        <f t="shared" si="0"/>
        <v>2300</v>
      </c>
      <c r="AK53">
        <f t="shared" si="1"/>
        <v>2300</v>
      </c>
      <c r="AL53">
        <f t="shared" si="2"/>
        <v>2300</v>
      </c>
      <c r="AM53">
        <f t="shared" si="3"/>
        <v>2300</v>
      </c>
      <c r="AN53">
        <f t="shared" si="4"/>
        <v>2300</v>
      </c>
      <c r="AO53">
        <f t="shared" si="5"/>
        <v>0</v>
      </c>
      <c r="AP53">
        <f t="shared" si="6"/>
        <v>0</v>
      </c>
      <c r="AQ53">
        <f t="shared" si="7"/>
        <v>0</v>
      </c>
      <c r="AR53">
        <f t="shared" si="8"/>
        <v>0</v>
      </c>
      <c r="AS53">
        <f t="shared" si="9"/>
        <v>0</v>
      </c>
      <c r="AT53">
        <f t="shared" si="10"/>
        <v>0</v>
      </c>
      <c r="AU53">
        <f t="shared" si="11"/>
        <v>0</v>
      </c>
      <c r="AV53">
        <f t="shared" si="12"/>
        <v>0</v>
      </c>
      <c r="AZ53">
        <f>ELEMENT!CU97</f>
        <v>0</v>
      </c>
      <c r="BA53">
        <v>2200</v>
      </c>
      <c r="BB53">
        <v>2600</v>
      </c>
      <c r="BC53">
        <v>2200</v>
      </c>
      <c r="BD53">
        <v>2200</v>
      </c>
      <c r="BE53">
        <v>2200</v>
      </c>
      <c r="BF53">
        <v>2600</v>
      </c>
      <c r="BG53">
        <v>2200</v>
      </c>
      <c r="BH53">
        <v>2600</v>
      </c>
      <c r="BR53">
        <f>ELEMENT!CU97</f>
        <v>0</v>
      </c>
      <c r="BS53">
        <v>2200</v>
      </c>
      <c r="BT53">
        <v>2600</v>
      </c>
      <c r="BU53">
        <v>2200</v>
      </c>
      <c r="BV53">
        <v>2200</v>
      </c>
      <c r="BW53">
        <v>2200</v>
      </c>
      <c r="BX53">
        <v>2600</v>
      </c>
      <c r="BY53">
        <v>2200</v>
      </c>
      <c r="BZ53">
        <v>2600</v>
      </c>
      <c r="CA53">
        <v>2200</v>
      </c>
      <c r="CJ53">
        <f t="shared" si="17"/>
        <v>0</v>
      </c>
      <c r="CK53">
        <v>2300</v>
      </c>
      <c r="CL53">
        <v>2300</v>
      </c>
      <c r="CM53">
        <v>2300</v>
      </c>
      <c r="CN53">
        <v>2300</v>
      </c>
      <c r="CO53">
        <v>2300</v>
      </c>
      <c r="CP53">
        <v>2300</v>
      </c>
    </row>
    <row r="54" spans="19:94" x14ac:dyDescent="0.2">
      <c r="S54">
        <f>ELEMENT!BF54</f>
        <v>0</v>
      </c>
      <c r="T54">
        <v>20</v>
      </c>
      <c r="V54">
        <v>20</v>
      </c>
      <c r="W54">
        <v>0</v>
      </c>
      <c r="X54">
        <v>77</v>
      </c>
      <c r="Y54">
        <v>45</v>
      </c>
      <c r="AH54">
        <f t="shared" si="13"/>
        <v>0</v>
      </c>
      <c r="AI54">
        <f t="shared" si="13"/>
        <v>2300</v>
      </c>
      <c r="AJ54">
        <f t="shared" si="0"/>
        <v>2300</v>
      </c>
      <c r="AK54">
        <f t="shared" si="1"/>
        <v>2300</v>
      </c>
      <c r="AL54">
        <f t="shared" si="2"/>
        <v>2300</v>
      </c>
      <c r="AM54">
        <f t="shared" si="3"/>
        <v>2300</v>
      </c>
      <c r="AN54">
        <f t="shared" si="4"/>
        <v>2300</v>
      </c>
      <c r="AO54">
        <f t="shared" si="5"/>
        <v>0</v>
      </c>
      <c r="AP54">
        <f t="shared" si="6"/>
        <v>0</v>
      </c>
      <c r="AQ54">
        <f t="shared" si="7"/>
        <v>0</v>
      </c>
      <c r="AR54">
        <f t="shared" si="8"/>
        <v>0</v>
      </c>
      <c r="AS54">
        <f t="shared" si="9"/>
        <v>0</v>
      </c>
      <c r="AT54">
        <f t="shared" si="10"/>
        <v>0</v>
      </c>
      <c r="AU54">
        <f t="shared" si="11"/>
        <v>0</v>
      </c>
      <c r="AV54">
        <f t="shared" si="12"/>
        <v>0</v>
      </c>
      <c r="AZ54">
        <f>ELEMENT!CU98</f>
        <v>0</v>
      </c>
      <c r="BA54">
        <v>2200</v>
      </c>
      <c r="BB54">
        <v>2300</v>
      </c>
      <c r="BC54">
        <v>2300</v>
      </c>
      <c r="BD54">
        <v>2300</v>
      </c>
      <c r="BE54">
        <v>2300</v>
      </c>
      <c r="BF54">
        <v>2300</v>
      </c>
      <c r="BG54">
        <v>2300</v>
      </c>
      <c r="BH54">
        <v>2300</v>
      </c>
      <c r="BR54">
        <f>ELEMENT!CU98</f>
        <v>0</v>
      </c>
      <c r="BS54">
        <v>2200</v>
      </c>
      <c r="BT54">
        <v>2300</v>
      </c>
      <c r="BU54">
        <v>2300</v>
      </c>
      <c r="BV54">
        <v>2300</v>
      </c>
      <c r="BW54">
        <v>2300</v>
      </c>
      <c r="BX54">
        <v>2300</v>
      </c>
      <c r="BY54">
        <v>2300</v>
      </c>
      <c r="BZ54">
        <v>2300</v>
      </c>
      <c r="CA54">
        <v>2200</v>
      </c>
      <c r="CJ54">
        <f t="shared" si="17"/>
        <v>0</v>
      </c>
      <c r="CK54">
        <v>2300</v>
      </c>
      <c r="CL54">
        <v>2300</v>
      </c>
      <c r="CM54">
        <v>2300</v>
      </c>
      <c r="CN54">
        <v>2300</v>
      </c>
      <c r="CO54">
        <v>2300</v>
      </c>
      <c r="CP54">
        <v>2300</v>
      </c>
    </row>
    <row r="55" spans="19:94" x14ac:dyDescent="0.2">
      <c r="S55">
        <f>ELEMENT!BF55</f>
        <v>0</v>
      </c>
      <c r="T55">
        <v>30</v>
      </c>
      <c r="V55">
        <v>30</v>
      </c>
      <c r="W55">
        <v>0</v>
      </c>
      <c r="X55">
        <v>120</v>
      </c>
      <c r="Y55">
        <v>82.98</v>
      </c>
      <c r="AH55">
        <f t="shared" si="13"/>
        <v>0</v>
      </c>
      <c r="AI55">
        <f t="shared" si="13"/>
        <v>0</v>
      </c>
      <c r="AJ55">
        <f t="shared" si="0"/>
        <v>0</v>
      </c>
      <c r="AK55">
        <f t="shared" si="1"/>
        <v>0</v>
      </c>
      <c r="AL55">
        <f t="shared" si="2"/>
        <v>0</v>
      </c>
      <c r="AM55">
        <f t="shared" si="3"/>
        <v>0</v>
      </c>
      <c r="AN55">
        <f t="shared" si="4"/>
        <v>0</v>
      </c>
      <c r="AO55">
        <f t="shared" si="5"/>
        <v>0</v>
      </c>
      <c r="AP55">
        <f t="shared" si="6"/>
        <v>0</v>
      </c>
      <c r="AQ55">
        <f t="shared" si="7"/>
        <v>0</v>
      </c>
      <c r="AR55">
        <f t="shared" si="8"/>
        <v>0</v>
      </c>
      <c r="AS55">
        <f t="shared" si="9"/>
        <v>0</v>
      </c>
      <c r="AT55">
        <f t="shared" si="10"/>
        <v>0</v>
      </c>
      <c r="AU55">
        <f t="shared" si="11"/>
        <v>0</v>
      </c>
      <c r="AV55">
        <f t="shared" si="12"/>
        <v>0</v>
      </c>
      <c r="AZ55">
        <f>ELEMENT!CU99</f>
        <v>0</v>
      </c>
      <c r="BR55">
        <f>ELEMENT!CU99</f>
        <v>0</v>
      </c>
      <c r="CJ55">
        <f t="shared" si="17"/>
        <v>0</v>
      </c>
    </row>
    <row r="56" spans="19:94" x14ac:dyDescent="0.2">
      <c r="S56">
        <f>ELEMENT!BF56</f>
        <v>2300</v>
      </c>
      <c r="W56">
        <v>0</v>
      </c>
      <c r="X56">
        <v>0</v>
      </c>
      <c r="AH56">
        <f t="shared" si="13"/>
        <v>0</v>
      </c>
      <c r="AI56">
        <f t="shared" si="13"/>
        <v>0</v>
      </c>
      <c r="AJ56">
        <f t="shared" si="0"/>
        <v>0</v>
      </c>
      <c r="AK56">
        <f t="shared" si="1"/>
        <v>0</v>
      </c>
      <c r="AL56">
        <f t="shared" si="2"/>
        <v>0</v>
      </c>
      <c r="AM56">
        <f t="shared" si="3"/>
        <v>0</v>
      </c>
      <c r="AN56">
        <f t="shared" si="4"/>
        <v>0</v>
      </c>
      <c r="AO56">
        <f t="shared" si="5"/>
        <v>0</v>
      </c>
      <c r="AP56">
        <f t="shared" si="6"/>
        <v>0</v>
      </c>
      <c r="AQ56">
        <f t="shared" si="7"/>
        <v>0</v>
      </c>
      <c r="AR56">
        <f t="shared" si="8"/>
        <v>0</v>
      </c>
      <c r="AS56">
        <f t="shared" si="9"/>
        <v>0</v>
      </c>
      <c r="AT56">
        <f t="shared" si="10"/>
        <v>0</v>
      </c>
      <c r="AU56">
        <f t="shared" si="11"/>
        <v>0</v>
      </c>
      <c r="AV56">
        <f t="shared" si="12"/>
        <v>0</v>
      </c>
      <c r="AZ56">
        <f>ELEMENT!CU100</f>
        <v>0</v>
      </c>
      <c r="BA56">
        <f>ELEMENT!DN100</f>
        <v>0</v>
      </c>
      <c r="BR56">
        <f>ELEMENT!CU100</f>
        <v>0</v>
      </c>
      <c r="BS56">
        <f>ELEMENT!EA100</f>
        <v>0</v>
      </c>
      <c r="CJ56">
        <f t="shared" si="17"/>
        <v>0</v>
      </c>
      <c r="CK56">
        <f>DG24</f>
        <v>0</v>
      </c>
    </row>
    <row r="57" spans="19:94" x14ac:dyDescent="0.2">
      <c r="S57">
        <f>ELEMENT!BF57</f>
        <v>0</v>
      </c>
      <c r="T57">
        <v>10</v>
      </c>
      <c r="V57">
        <v>90</v>
      </c>
      <c r="X57">
        <v>90</v>
      </c>
      <c r="Y57">
        <v>450</v>
      </c>
      <c r="Z57">
        <v>20</v>
      </c>
      <c r="AA57">
        <v>0.25</v>
      </c>
      <c r="AH57">
        <f t="shared" si="13"/>
        <v>0</v>
      </c>
      <c r="AI57">
        <f t="shared" si="13"/>
        <v>2300</v>
      </c>
      <c r="AJ57">
        <f t="shared" si="0"/>
        <v>2300</v>
      </c>
      <c r="AK57">
        <f t="shared" si="1"/>
        <v>2300</v>
      </c>
      <c r="AL57">
        <f t="shared" si="2"/>
        <v>2300</v>
      </c>
      <c r="AM57">
        <f t="shared" si="3"/>
        <v>2300</v>
      </c>
      <c r="AN57">
        <f t="shared" si="4"/>
        <v>2300</v>
      </c>
      <c r="AO57">
        <f t="shared" si="5"/>
        <v>0</v>
      </c>
      <c r="AP57">
        <f t="shared" si="6"/>
        <v>0</v>
      </c>
      <c r="AQ57">
        <f t="shared" si="7"/>
        <v>0</v>
      </c>
      <c r="AR57">
        <f t="shared" si="8"/>
        <v>0</v>
      </c>
      <c r="AS57">
        <f t="shared" si="9"/>
        <v>0</v>
      </c>
      <c r="AT57">
        <f t="shared" si="10"/>
        <v>0</v>
      </c>
      <c r="AU57">
        <f t="shared" si="11"/>
        <v>0</v>
      </c>
      <c r="AV57">
        <f t="shared" si="12"/>
        <v>0</v>
      </c>
      <c r="AZ57">
        <f>ELEMENT!CU101</f>
        <v>0</v>
      </c>
      <c r="BA57">
        <v>2200</v>
      </c>
      <c r="BB57">
        <v>2600</v>
      </c>
      <c r="BC57">
        <v>2200</v>
      </c>
      <c r="BD57">
        <v>2200</v>
      </c>
      <c r="BE57">
        <v>2200</v>
      </c>
      <c r="BF57">
        <v>2600</v>
      </c>
      <c r="BG57">
        <v>2200</v>
      </c>
      <c r="BH57">
        <v>2600</v>
      </c>
      <c r="BR57">
        <f>ELEMENT!CU101</f>
        <v>0</v>
      </c>
      <c r="BS57">
        <v>2200</v>
      </c>
      <c r="BT57">
        <v>2600</v>
      </c>
      <c r="BU57">
        <v>2200</v>
      </c>
      <c r="BV57">
        <v>2200</v>
      </c>
      <c r="BW57">
        <v>2200</v>
      </c>
      <c r="BX57">
        <v>2600</v>
      </c>
      <c r="BY57">
        <v>2200</v>
      </c>
      <c r="BZ57">
        <v>2600</v>
      </c>
      <c r="CA57">
        <v>2200</v>
      </c>
      <c r="CJ57">
        <f t="shared" si="17"/>
        <v>0</v>
      </c>
      <c r="CK57">
        <v>2300</v>
      </c>
      <c r="CL57">
        <v>2300</v>
      </c>
      <c r="CM57">
        <v>2300</v>
      </c>
      <c r="CN57">
        <v>2300</v>
      </c>
      <c r="CO57">
        <v>2300</v>
      </c>
      <c r="CP57">
        <v>2300</v>
      </c>
    </row>
    <row r="58" spans="19:94" x14ac:dyDescent="0.2">
      <c r="S58">
        <f>ELEMENT!BF58</f>
        <v>0</v>
      </c>
      <c r="T58">
        <v>2</v>
      </c>
      <c r="Y58">
        <v>48</v>
      </c>
      <c r="AH58">
        <f t="shared" si="13"/>
        <v>0</v>
      </c>
      <c r="AI58">
        <f t="shared" si="13"/>
        <v>3500</v>
      </c>
      <c r="AJ58">
        <f t="shared" si="0"/>
        <v>3500</v>
      </c>
      <c r="AK58">
        <f t="shared" si="1"/>
        <v>3500</v>
      </c>
      <c r="AL58">
        <f t="shared" si="2"/>
        <v>3500</v>
      </c>
      <c r="AM58">
        <f t="shared" si="3"/>
        <v>3500</v>
      </c>
      <c r="AN58">
        <f t="shared" si="4"/>
        <v>3500</v>
      </c>
      <c r="AO58">
        <f t="shared" si="5"/>
        <v>0</v>
      </c>
      <c r="AP58">
        <f t="shared" si="6"/>
        <v>0</v>
      </c>
      <c r="AQ58">
        <f t="shared" si="7"/>
        <v>0</v>
      </c>
      <c r="AR58">
        <f t="shared" si="8"/>
        <v>0</v>
      </c>
      <c r="AS58">
        <f t="shared" si="9"/>
        <v>0</v>
      </c>
      <c r="AT58">
        <f t="shared" si="10"/>
        <v>0</v>
      </c>
      <c r="AU58">
        <f t="shared" si="11"/>
        <v>0</v>
      </c>
      <c r="AV58">
        <f t="shared" si="12"/>
        <v>0</v>
      </c>
      <c r="AZ58">
        <f>ELEMENT!CU102</f>
        <v>0</v>
      </c>
      <c r="BA58">
        <v>3800</v>
      </c>
      <c r="BB58">
        <v>4000</v>
      </c>
      <c r="BC58">
        <v>3800</v>
      </c>
      <c r="BD58">
        <v>3800</v>
      </c>
      <c r="BE58">
        <v>3800</v>
      </c>
      <c r="BF58">
        <v>4000</v>
      </c>
      <c r="BG58">
        <v>3800</v>
      </c>
      <c r="BH58">
        <v>4000</v>
      </c>
      <c r="BR58">
        <f>ELEMENT!CU102</f>
        <v>0</v>
      </c>
      <c r="BS58">
        <v>3800</v>
      </c>
      <c r="BT58">
        <v>4000</v>
      </c>
      <c r="BU58">
        <v>3800</v>
      </c>
      <c r="BV58">
        <v>3800</v>
      </c>
      <c r="BW58">
        <v>3800</v>
      </c>
      <c r="BX58">
        <v>4000</v>
      </c>
      <c r="BY58">
        <v>3800</v>
      </c>
      <c r="BZ58">
        <v>4000</v>
      </c>
      <c r="CA58">
        <v>3800</v>
      </c>
      <c r="CJ58">
        <f t="shared" si="17"/>
        <v>0</v>
      </c>
      <c r="CK58">
        <v>3500</v>
      </c>
      <c r="CL58">
        <v>3500</v>
      </c>
      <c r="CM58">
        <v>3500</v>
      </c>
      <c r="CN58">
        <v>3500</v>
      </c>
      <c r="CO58">
        <v>3500</v>
      </c>
      <c r="CP58">
        <v>3500</v>
      </c>
    </row>
    <row r="59" spans="19:94" x14ac:dyDescent="0.2">
      <c r="S59">
        <f>ELEMENT!BF59</f>
        <v>0</v>
      </c>
      <c r="AH59">
        <f t="shared" si="13"/>
        <v>0</v>
      </c>
      <c r="AI59">
        <f t="shared" si="13"/>
        <v>2300</v>
      </c>
      <c r="AJ59">
        <f t="shared" si="0"/>
        <v>2300</v>
      </c>
      <c r="AK59">
        <f t="shared" si="1"/>
        <v>2300</v>
      </c>
      <c r="AL59">
        <f t="shared" si="2"/>
        <v>2300</v>
      </c>
      <c r="AM59">
        <f t="shared" si="3"/>
        <v>2300</v>
      </c>
      <c r="AN59">
        <f t="shared" si="4"/>
        <v>2300</v>
      </c>
      <c r="AO59">
        <f t="shared" si="5"/>
        <v>0</v>
      </c>
      <c r="AP59">
        <f t="shared" si="6"/>
        <v>0</v>
      </c>
      <c r="AQ59">
        <f t="shared" si="7"/>
        <v>0</v>
      </c>
      <c r="AR59">
        <f t="shared" si="8"/>
        <v>0</v>
      </c>
      <c r="AS59">
        <f t="shared" si="9"/>
        <v>0</v>
      </c>
      <c r="AT59">
        <f t="shared" si="10"/>
        <v>0</v>
      </c>
      <c r="AU59">
        <f t="shared" si="11"/>
        <v>0</v>
      </c>
      <c r="AV59">
        <f t="shared" si="12"/>
        <v>0</v>
      </c>
      <c r="AZ59">
        <f>ELEMENT!CU103</f>
        <v>0</v>
      </c>
      <c r="BA59">
        <v>2200</v>
      </c>
      <c r="BB59">
        <v>2300</v>
      </c>
      <c r="BC59">
        <v>2300</v>
      </c>
      <c r="BD59">
        <v>2300</v>
      </c>
      <c r="BE59">
        <v>2300</v>
      </c>
      <c r="BF59">
        <v>2300</v>
      </c>
      <c r="BG59">
        <v>2300</v>
      </c>
      <c r="BH59">
        <v>2300</v>
      </c>
      <c r="BR59">
        <f>ELEMENT!CU103</f>
        <v>0</v>
      </c>
      <c r="BS59">
        <v>2200</v>
      </c>
      <c r="BT59">
        <v>2300</v>
      </c>
      <c r="BU59">
        <v>2300</v>
      </c>
      <c r="BV59">
        <v>2300</v>
      </c>
      <c r="BW59">
        <v>2300</v>
      </c>
      <c r="BX59">
        <v>2300</v>
      </c>
      <c r="BY59">
        <v>2300</v>
      </c>
      <c r="BZ59">
        <v>2300</v>
      </c>
      <c r="CA59">
        <v>2200</v>
      </c>
      <c r="CJ59">
        <f t="shared" si="17"/>
        <v>0</v>
      </c>
      <c r="CK59">
        <v>2300</v>
      </c>
      <c r="CL59">
        <v>2300</v>
      </c>
      <c r="CM59">
        <v>2300</v>
      </c>
      <c r="CN59">
        <v>2300</v>
      </c>
      <c r="CO59">
        <v>2300</v>
      </c>
      <c r="CP59">
        <v>2300</v>
      </c>
    </row>
    <row r="60" spans="19:94" x14ac:dyDescent="0.2">
      <c r="S60">
        <f>ELEMENT!BF60</f>
        <v>0</v>
      </c>
      <c r="T60">
        <f>ELEMENT!BG60</f>
        <v>0</v>
      </c>
      <c r="U60">
        <f>ELEMENT!BH60</f>
        <v>0</v>
      </c>
      <c r="V60">
        <f>ELEMENT!BI60</f>
        <v>0</v>
      </c>
      <c r="W60">
        <f>ELEMENT!BJ60</f>
        <v>0</v>
      </c>
      <c r="X60">
        <f>ELEMENT!BK60</f>
        <v>0</v>
      </c>
      <c r="Y60">
        <f>ELEMENT!BL60</f>
        <v>0</v>
      </c>
      <c r="Z60">
        <f>ELEMENT!BM60</f>
        <v>0</v>
      </c>
      <c r="AA60">
        <f>ELEMENT!BN60</f>
        <v>0</v>
      </c>
      <c r="AB60">
        <f>ELEMENT!BO60</f>
        <v>0</v>
      </c>
      <c r="AH60">
        <f t="shared" si="13"/>
        <v>0</v>
      </c>
      <c r="AI60">
        <f t="shared" si="13"/>
        <v>8</v>
      </c>
      <c r="AJ60">
        <f t="shared" si="0"/>
        <v>8</v>
      </c>
      <c r="AK60">
        <f t="shared" si="1"/>
        <v>8</v>
      </c>
      <c r="AL60">
        <f t="shared" si="2"/>
        <v>8</v>
      </c>
      <c r="AM60">
        <f t="shared" si="3"/>
        <v>8</v>
      </c>
      <c r="AN60">
        <f t="shared" si="4"/>
        <v>8</v>
      </c>
      <c r="AO60">
        <f t="shared" si="5"/>
        <v>0</v>
      </c>
      <c r="AP60">
        <f t="shared" si="6"/>
        <v>0</v>
      </c>
      <c r="AQ60">
        <f t="shared" si="7"/>
        <v>0</v>
      </c>
      <c r="AR60">
        <f t="shared" si="8"/>
        <v>0</v>
      </c>
      <c r="AS60">
        <f t="shared" si="9"/>
        <v>0</v>
      </c>
      <c r="AT60">
        <f t="shared" si="10"/>
        <v>0</v>
      </c>
      <c r="AU60">
        <f t="shared" si="11"/>
        <v>0</v>
      </c>
      <c r="AV60">
        <f t="shared" si="12"/>
        <v>0</v>
      </c>
      <c r="AZ60">
        <f>ELEMENT!CU104</f>
        <v>0</v>
      </c>
      <c r="BA60">
        <v>8</v>
      </c>
      <c r="BB60">
        <v>8</v>
      </c>
      <c r="BC60">
        <v>8</v>
      </c>
      <c r="BD60">
        <v>8</v>
      </c>
      <c r="BE60">
        <v>8</v>
      </c>
      <c r="BF60">
        <v>8</v>
      </c>
      <c r="BG60">
        <v>8</v>
      </c>
      <c r="BH60">
        <v>8</v>
      </c>
      <c r="BR60">
        <f>ELEMENT!CU104</f>
        <v>0</v>
      </c>
      <c r="BS60">
        <v>8</v>
      </c>
      <c r="BT60">
        <v>8</v>
      </c>
      <c r="BU60">
        <v>8</v>
      </c>
      <c r="BV60">
        <v>8</v>
      </c>
      <c r="BW60">
        <v>8</v>
      </c>
      <c r="BX60">
        <v>8</v>
      </c>
      <c r="BY60">
        <v>8</v>
      </c>
      <c r="BZ60">
        <v>8</v>
      </c>
      <c r="CA60">
        <v>8</v>
      </c>
      <c r="CJ60">
        <f t="shared" si="17"/>
        <v>0</v>
      </c>
      <c r="CK60">
        <v>8</v>
      </c>
      <c r="CL60">
        <v>8</v>
      </c>
      <c r="CM60">
        <v>8</v>
      </c>
      <c r="CN60">
        <v>8</v>
      </c>
      <c r="CO60">
        <v>8</v>
      </c>
      <c r="CP60">
        <v>8</v>
      </c>
    </row>
    <row r="61" spans="19:94" x14ac:dyDescent="0.2">
      <c r="S61">
        <f>ELEMENT!BF61</f>
        <v>0</v>
      </c>
      <c r="T61">
        <v>5</v>
      </c>
      <c r="V61">
        <v>20</v>
      </c>
      <c r="X61">
        <v>30</v>
      </c>
      <c r="Y61">
        <v>87</v>
      </c>
      <c r="AH61">
        <f t="shared" si="13"/>
        <v>0</v>
      </c>
      <c r="AI61">
        <f t="shared" si="13"/>
        <v>12.6</v>
      </c>
      <c r="AJ61">
        <f t="shared" si="0"/>
        <v>12.6</v>
      </c>
      <c r="AK61">
        <f t="shared" si="1"/>
        <v>12.6</v>
      </c>
      <c r="AL61">
        <f t="shared" si="2"/>
        <v>12.6</v>
      </c>
      <c r="AM61">
        <f t="shared" si="3"/>
        <v>12.6</v>
      </c>
      <c r="AN61">
        <f t="shared" si="4"/>
        <v>12.6</v>
      </c>
      <c r="AO61">
        <f t="shared" si="5"/>
        <v>0</v>
      </c>
      <c r="AP61">
        <f t="shared" si="6"/>
        <v>0</v>
      </c>
      <c r="AQ61">
        <f t="shared" si="7"/>
        <v>0</v>
      </c>
      <c r="AR61">
        <f t="shared" si="8"/>
        <v>0</v>
      </c>
      <c r="AS61">
        <f t="shared" si="9"/>
        <v>0</v>
      </c>
      <c r="AT61">
        <f t="shared" si="10"/>
        <v>0</v>
      </c>
      <c r="AU61">
        <f t="shared" si="11"/>
        <v>0</v>
      </c>
      <c r="AV61">
        <f t="shared" si="12"/>
        <v>0</v>
      </c>
      <c r="AZ61">
        <f>ELEMENT!CU105</f>
        <v>0</v>
      </c>
      <c r="BA61">
        <v>12.6</v>
      </c>
      <c r="BB61">
        <v>12.6</v>
      </c>
      <c r="BC61">
        <v>12.6</v>
      </c>
      <c r="BD61">
        <v>12.6</v>
      </c>
      <c r="BE61">
        <v>12.6</v>
      </c>
      <c r="BF61">
        <v>12.6</v>
      </c>
      <c r="BG61">
        <v>12.6</v>
      </c>
      <c r="BH61">
        <v>12.6</v>
      </c>
      <c r="BR61">
        <f>ELEMENT!CU105</f>
        <v>0</v>
      </c>
      <c r="BS61">
        <v>12.6</v>
      </c>
      <c r="BT61">
        <v>12.6</v>
      </c>
      <c r="BU61">
        <v>12.6</v>
      </c>
      <c r="BV61">
        <v>12.6</v>
      </c>
      <c r="BW61">
        <v>12.6</v>
      </c>
      <c r="BX61">
        <v>12.6</v>
      </c>
      <c r="BY61">
        <v>12.6</v>
      </c>
      <c r="BZ61">
        <v>12.6</v>
      </c>
      <c r="CA61">
        <v>12.6</v>
      </c>
      <c r="CJ61">
        <f t="shared" si="17"/>
        <v>0</v>
      </c>
      <c r="CK61">
        <v>12.6</v>
      </c>
      <c r="CL61">
        <v>12.6</v>
      </c>
      <c r="CM61">
        <v>12.6</v>
      </c>
      <c r="CN61">
        <v>12.6</v>
      </c>
      <c r="CO61">
        <v>12.6</v>
      </c>
      <c r="CP61">
        <v>12.6</v>
      </c>
    </row>
    <row r="62" spans="19:94" x14ac:dyDescent="0.2">
      <c r="S62">
        <f>ELEMENT!BF62</f>
        <v>0</v>
      </c>
      <c r="T62">
        <v>5</v>
      </c>
      <c r="V62">
        <v>30</v>
      </c>
      <c r="X62">
        <v>80</v>
      </c>
      <c r="Y62">
        <v>153.5</v>
      </c>
      <c r="AH62">
        <f t="shared" si="13"/>
        <v>0</v>
      </c>
      <c r="AI62">
        <f t="shared" si="13"/>
        <v>0</v>
      </c>
      <c r="AJ62">
        <f t="shared" si="0"/>
        <v>0</v>
      </c>
      <c r="AK62">
        <f t="shared" si="1"/>
        <v>0</v>
      </c>
      <c r="AL62">
        <f t="shared" si="2"/>
        <v>0</v>
      </c>
      <c r="AM62">
        <f t="shared" si="3"/>
        <v>0</v>
      </c>
      <c r="AN62">
        <f t="shared" si="4"/>
        <v>0</v>
      </c>
      <c r="AO62">
        <f t="shared" si="5"/>
        <v>0</v>
      </c>
      <c r="AP62">
        <f t="shared" si="6"/>
        <v>0</v>
      </c>
      <c r="AQ62">
        <f t="shared" si="7"/>
        <v>0</v>
      </c>
      <c r="AR62">
        <f t="shared" si="8"/>
        <v>0</v>
      </c>
      <c r="AS62">
        <f t="shared" si="9"/>
        <v>0</v>
      </c>
      <c r="AT62">
        <f t="shared" si="10"/>
        <v>0</v>
      </c>
      <c r="AU62">
        <f t="shared" si="11"/>
        <v>0</v>
      </c>
      <c r="AV62">
        <f t="shared" si="12"/>
        <v>0</v>
      </c>
      <c r="AZ62">
        <f>ELEMENT!CU106</f>
        <v>0</v>
      </c>
      <c r="BR62">
        <f>ELEMENT!CU106</f>
        <v>0</v>
      </c>
      <c r="CJ62">
        <f t="shared" si="17"/>
        <v>0</v>
      </c>
    </row>
    <row r="63" spans="19:94" x14ac:dyDescent="0.2">
      <c r="S63">
        <f>ELEMENT!BF63</f>
        <v>0</v>
      </c>
      <c r="V63">
        <v>10</v>
      </c>
      <c r="AH63">
        <f t="shared" si="13"/>
        <v>0</v>
      </c>
      <c r="AI63">
        <f t="shared" si="13"/>
        <v>0</v>
      </c>
      <c r="AJ63" t="str">
        <f t="shared" si="0"/>
        <v>s</v>
      </c>
      <c r="AK63" t="str">
        <f t="shared" si="1"/>
        <v>c</v>
      </c>
      <c r="AL63">
        <f t="shared" si="2"/>
        <v>0</v>
      </c>
      <c r="AM63">
        <f t="shared" si="3"/>
        <v>0</v>
      </c>
      <c r="AN63">
        <f t="shared" si="4"/>
        <v>0</v>
      </c>
      <c r="AO63">
        <f t="shared" si="5"/>
        <v>0</v>
      </c>
      <c r="AP63">
        <f t="shared" si="6"/>
        <v>0</v>
      </c>
      <c r="AQ63">
        <f t="shared" si="7"/>
        <v>0</v>
      </c>
      <c r="AR63">
        <f t="shared" si="8"/>
        <v>0</v>
      </c>
      <c r="AS63">
        <f t="shared" si="9"/>
        <v>0</v>
      </c>
      <c r="AT63">
        <f t="shared" si="10"/>
        <v>0</v>
      </c>
      <c r="AU63">
        <f t="shared" si="11"/>
        <v>0</v>
      </c>
      <c r="AV63">
        <f t="shared" si="12"/>
        <v>0</v>
      </c>
      <c r="AZ63">
        <f>ELEMENT!CU107</f>
        <v>0</v>
      </c>
      <c r="BB63" t="s">
        <v>138</v>
      </c>
      <c r="BC63" t="s">
        <v>139</v>
      </c>
      <c r="BR63">
        <f>ELEMENT!CU107</f>
        <v>0</v>
      </c>
      <c r="BT63" t="s">
        <v>138</v>
      </c>
      <c r="BU63" t="s">
        <v>139</v>
      </c>
      <c r="CJ63">
        <f t="shared" si="17"/>
        <v>0</v>
      </c>
      <c r="CL63" t="s">
        <v>138</v>
      </c>
      <c r="CM63" t="s">
        <v>139</v>
      </c>
    </row>
    <row r="64" spans="19:94" x14ac:dyDescent="0.2">
      <c r="S64">
        <f>ELEMENT!BF64</f>
        <v>0</v>
      </c>
      <c r="T64">
        <v>0</v>
      </c>
      <c r="V64">
        <v>10</v>
      </c>
      <c r="AH64">
        <f t="shared" si="13"/>
        <v>0</v>
      </c>
      <c r="AI64">
        <f t="shared" si="13"/>
        <v>3200</v>
      </c>
      <c r="AJ64">
        <f t="shared" si="0"/>
        <v>4500</v>
      </c>
      <c r="AK64">
        <f t="shared" si="1"/>
        <v>3600</v>
      </c>
      <c r="AL64">
        <f t="shared" si="2"/>
        <v>0</v>
      </c>
      <c r="AM64">
        <f t="shared" si="3"/>
        <v>0</v>
      </c>
      <c r="AN64">
        <f t="shared" si="4"/>
        <v>0</v>
      </c>
      <c r="AO64">
        <f t="shared" si="5"/>
        <v>0</v>
      </c>
      <c r="AP64">
        <f t="shared" si="6"/>
        <v>0</v>
      </c>
      <c r="AQ64">
        <f t="shared" si="7"/>
        <v>0</v>
      </c>
      <c r="AR64">
        <f t="shared" si="8"/>
        <v>0</v>
      </c>
      <c r="AS64">
        <f t="shared" si="9"/>
        <v>0</v>
      </c>
      <c r="AT64">
        <f t="shared" si="10"/>
        <v>0</v>
      </c>
      <c r="AU64">
        <f t="shared" si="11"/>
        <v>0</v>
      </c>
      <c r="AV64">
        <f t="shared" si="12"/>
        <v>0</v>
      </c>
      <c r="AZ64">
        <f>ELEMENT!CU108</f>
        <v>0</v>
      </c>
      <c r="BA64">
        <v>3400</v>
      </c>
      <c r="BB64">
        <v>4500</v>
      </c>
      <c r="BC64">
        <v>3900</v>
      </c>
      <c r="BR64">
        <f>ELEMENT!CU108</f>
        <v>0</v>
      </c>
      <c r="BS64">
        <v>3400</v>
      </c>
      <c r="BT64">
        <v>4500</v>
      </c>
      <c r="BU64">
        <v>3900</v>
      </c>
      <c r="CJ64">
        <f t="shared" si="17"/>
        <v>0</v>
      </c>
      <c r="CK64">
        <v>3200</v>
      </c>
      <c r="CL64">
        <v>4500</v>
      </c>
      <c r="CM64">
        <v>3600</v>
      </c>
    </row>
    <row r="65" spans="19:91" x14ac:dyDescent="0.2">
      <c r="S65">
        <f>ELEMENT!BF65</f>
        <v>0</v>
      </c>
      <c r="T65">
        <v>10</v>
      </c>
      <c r="V65">
        <v>15</v>
      </c>
      <c r="X65">
        <v>20</v>
      </c>
      <c r="Y65">
        <v>26</v>
      </c>
      <c r="AH65">
        <f t="shared" si="13"/>
        <v>0</v>
      </c>
      <c r="AI65">
        <f t="shared" si="13"/>
        <v>0</v>
      </c>
      <c r="AJ65">
        <f t="shared" si="0"/>
        <v>0</v>
      </c>
      <c r="AK65">
        <f t="shared" si="1"/>
        <v>0</v>
      </c>
      <c r="AL65">
        <f t="shared" si="2"/>
        <v>0</v>
      </c>
      <c r="AM65">
        <f t="shared" si="3"/>
        <v>0</v>
      </c>
      <c r="AN65">
        <f t="shared" si="4"/>
        <v>0</v>
      </c>
      <c r="AO65">
        <f t="shared" si="5"/>
        <v>0</v>
      </c>
      <c r="AP65">
        <f t="shared" si="6"/>
        <v>0</v>
      </c>
      <c r="AQ65">
        <f t="shared" si="7"/>
        <v>0</v>
      </c>
      <c r="AR65">
        <f t="shared" si="8"/>
        <v>0</v>
      </c>
      <c r="AS65">
        <f t="shared" si="9"/>
        <v>0</v>
      </c>
      <c r="AT65">
        <f t="shared" si="10"/>
        <v>0</v>
      </c>
      <c r="AU65">
        <f t="shared" si="11"/>
        <v>0</v>
      </c>
      <c r="AV65">
        <f t="shared" si="12"/>
        <v>0</v>
      </c>
      <c r="AZ65">
        <f>ELEMENT!CU109</f>
        <v>0</v>
      </c>
      <c r="BR65">
        <f>ELEMENT!CU109</f>
        <v>0</v>
      </c>
      <c r="CJ65">
        <f t="shared" si="17"/>
        <v>0</v>
      </c>
    </row>
    <row r="66" spans="19:91" x14ac:dyDescent="0.2">
      <c r="S66">
        <f>ELEMENT!BF66</f>
        <v>0</v>
      </c>
      <c r="T66">
        <f>CI47</f>
        <v>0</v>
      </c>
      <c r="U66">
        <f t="shared" ref="U66:AB66" si="21">CJ47</f>
        <v>0</v>
      </c>
      <c r="V66">
        <f t="shared" si="21"/>
        <v>2300</v>
      </c>
      <c r="W66">
        <f t="shared" si="21"/>
        <v>2300</v>
      </c>
      <c r="X66">
        <f t="shared" si="21"/>
        <v>2300</v>
      </c>
      <c r="Y66">
        <f t="shared" si="21"/>
        <v>2300</v>
      </c>
      <c r="Z66">
        <f t="shared" si="21"/>
        <v>2300</v>
      </c>
      <c r="AB66">
        <f t="shared" si="21"/>
        <v>0</v>
      </c>
    </row>
    <row r="67" spans="19:91" x14ac:dyDescent="0.2">
      <c r="S67">
        <f>ELEMENT!BF67</f>
        <v>0</v>
      </c>
      <c r="T67">
        <v>5</v>
      </c>
      <c r="V67">
        <v>20</v>
      </c>
      <c r="W67">
        <v>10</v>
      </c>
      <c r="X67">
        <v>35</v>
      </c>
      <c r="Y67">
        <v>296</v>
      </c>
    </row>
    <row r="68" spans="19:91" x14ac:dyDescent="0.2">
      <c r="S68">
        <f>ELEMENT!BF68</f>
        <v>0</v>
      </c>
      <c r="T68">
        <v>5</v>
      </c>
      <c r="V68">
        <v>30</v>
      </c>
      <c r="W68">
        <v>10</v>
      </c>
      <c r="X68">
        <v>80</v>
      </c>
      <c r="Y68">
        <v>296</v>
      </c>
    </row>
    <row r="69" spans="19:91" x14ac:dyDescent="0.2">
      <c r="S69">
        <f>ELEMENT!BF69</f>
        <v>0</v>
      </c>
      <c r="T69">
        <v>5</v>
      </c>
      <c r="V69">
        <v>15</v>
      </c>
      <c r="W69">
        <v>10</v>
      </c>
      <c r="X69">
        <v>95</v>
      </c>
      <c r="Y69">
        <v>171</v>
      </c>
      <c r="CJ69" t="s">
        <v>1226</v>
      </c>
    </row>
    <row r="70" spans="19:91" x14ac:dyDescent="0.2">
      <c r="S70">
        <f>ELEMENT!BF70</f>
        <v>0</v>
      </c>
      <c r="T70">
        <v>5</v>
      </c>
      <c r="V70">
        <v>10</v>
      </c>
      <c r="X70">
        <v>15</v>
      </c>
      <c r="Y70">
        <v>46</v>
      </c>
      <c r="CJ70" t="s">
        <v>1227</v>
      </c>
    </row>
    <row r="71" spans="19:91" x14ac:dyDescent="0.2">
      <c r="S71">
        <f>ELEMENT!BF71</f>
        <v>0</v>
      </c>
      <c r="T71">
        <v>5</v>
      </c>
      <c r="V71">
        <v>10</v>
      </c>
      <c r="X71">
        <v>45</v>
      </c>
      <c r="Y71">
        <v>60</v>
      </c>
      <c r="CJ71" t="s">
        <v>1241</v>
      </c>
      <c r="CK71">
        <v>3500</v>
      </c>
      <c r="CL71">
        <v>2300</v>
      </c>
      <c r="CM71" t="s">
        <v>1229</v>
      </c>
    </row>
    <row r="72" spans="19:91" x14ac:dyDescent="0.2">
      <c r="S72">
        <f>ELEMENT!BF72</f>
        <v>0</v>
      </c>
    </row>
    <row r="74" spans="19:91" x14ac:dyDescent="0.2">
      <c r="AH74">
        <v>3501</v>
      </c>
      <c r="AI74">
        <v>2501</v>
      </c>
      <c r="AJ74">
        <v>0.3</v>
      </c>
    </row>
    <row r="75" spans="19:91" x14ac:dyDescent="0.2">
      <c r="AH75">
        <v>3701</v>
      </c>
      <c r="AI75">
        <v>2701</v>
      </c>
      <c r="AJ75">
        <v>0.6</v>
      </c>
    </row>
    <row r="76" spans="19:91" x14ac:dyDescent="0.2">
      <c r="AH76">
        <v>4001</v>
      </c>
      <c r="AI76">
        <v>2801</v>
      </c>
      <c r="AJ76">
        <v>0.8</v>
      </c>
    </row>
    <row r="77" spans="19:91" x14ac:dyDescent="0.2">
      <c r="AH77">
        <v>4001</v>
      </c>
      <c r="AI77">
        <v>3001</v>
      </c>
      <c r="AJ77">
        <v>1</v>
      </c>
    </row>
    <row r="84" spans="20:24" x14ac:dyDescent="0.2">
      <c r="T84">
        <f>ELEMENT!CJ72</f>
        <v>0</v>
      </c>
    </row>
    <row r="85" spans="20:24" x14ac:dyDescent="0.2">
      <c r="U85" t="s">
        <v>216</v>
      </c>
      <c r="V85" t="s">
        <v>241</v>
      </c>
      <c r="W85" t="s">
        <v>344</v>
      </c>
      <c r="X85" t="s">
        <v>345</v>
      </c>
    </row>
    <row r="86" spans="20:24" x14ac:dyDescent="0.2">
      <c r="W86" t="s">
        <v>375</v>
      </c>
      <c r="X86" t="s">
        <v>375</v>
      </c>
    </row>
  </sheetData>
  <pageMargins left="0.25" right="0.25" top="0.75" bottom="0.75" header="0.3" footer="0.3"/>
  <pageSetup paperSize="8" scale="33" orientation="landscape"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12">
    <pageSetUpPr fitToPage="1"/>
  </sheetPr>
  <dimension ref="S3:CY85"/>
  <sheetViews>
    <sheetView zoomScale="85" zoomScaleNormal="85" workbookViewId="0">
      <selection sqref="A1:IV65536"/>
    </sheetView>
  </sheetViews>
  <sheetFormatPr defaultColWidth="10.85546875" defaultRowHeight="12.75" x14ac:dyDescent="0.2"/>
  <cols>
    <col min="1" max="1" width="18.5703125" customWidth="1"/>
    <col min="2" max="2" width="47.7109375" customWidth="1"/>
    <col min="3" max="10" width="47" customWidth="1"/>
    <col min="11" max="13" width="25.28515625" customWidth="1"/>
    <col min="18" max="18" width="18.28515625" customWidth="1"/>
    <col min="19" max="19" width="25.42578125" customWidth="1"/>
    <col min="20" max="20" width="11" customWidth="1"/>
    <col min="21" max="28" width="9.28515625" customWidth="1"/>
    <col min="29" max="30" width="13.28515625" customWidth="1"/>
    <col min="44" max="45" width="14.28515625" customWidth="1"/>
    <col min="51" max="51" width="12.28515625" customWidth="1"/>
    <col min="52" max="52" width="17.7109375" customWidth="1"/>
    <col min="53" max="58" width="12.28515625" customWidth="1"/>
    <col min="59" max="63" width="12.7109375" customWidth="1"/>
    <col min="64" max="65" width="5.7109375" customWidth="1"/>
    <col min="66" max="66" width="11.42578125" customWidth="1"/>
    <col min="67" max="67" width="25.7109375" customWidth="1"/>
    <col min="68" max="69" width="5.7109375" customWidth="1"/>
    <col min="70" max="70" width="17.7109375" customWidth="1"/>
    <col min="71" max="73" width="14.7109375" customWidth="1"/>
    <col min="74" max="83" width="5.7109375" customWidth="1"/>
    <col min="85" max="85" width="25.7109375" customWidth="1"/>
    <col min="86" max="87" width="5.7109375" customWidth="1"/>
    <col min="88" max="88" width="16.7109375" customWidth="1"/>
    <col min="89" max="95" width="15.42578125" customWidth="1"/>
    <col min="96" max="101" width="5.7109375" customWidth="1"/>
    <col min="103" max="103" width="30.7109375" customWidth="1"/>
  </cols>
  <sheetData>
    <row r="3" spans="19:103" ht="18" x14ac:dyDescent="0.25">
      <c r="AY3" t="s">
        <v>1243</v>
      </c>
      <c r="BA3" t="s">
        <v>791</v>
      </c>
      <c r="BC3">
        <v>32.700000000000003</v>
      </c>
      <c r="BD3" t="s">
        <v>735</v>
      </c>
      <c r="BR3" t="s">
        <v>767</v>
      </c>
      <c r="BS3" t="s">
        <v>905</v>
      </c>
      <c r="BU3">
        <v>12</v>
      </c>
      <c r="BV3" t="s">
        <v>735</v>
      </c>
      <c r="CJ3" t="s">
        <v>1134</v>
      </c>
      <c r="CK3" t="s">
        <v>1135</v>
      </c>
      <c r="CM3">
        <v>40</v>
      </c>
      <c r="CN3" t="s">
        <v>1136</v>
      </c>
      <c r="CO3" t="s">
        <v>1196</v>
      </c>
    </row>
    <row r="4" spans="19:103" ht="180" customHeight="1" x14ac:dyDescent="0.2">
      <c r="S4">
        <v>3</v>
      </c>
      <c r="T4">
        <f>ELEMENT!BG4</f>
        <v>0</v>
      </c>
      <c r="U4">
        <f>ELEMENT!BH4</f>
        <v>0</v>
      </c>
      <c r="V4">
        <f>ELEMENT!BI4</f>
        <v>0</v>
      </c>
      <c r="W4">
        <f>ELEMENT!BJ4</f>
        <v>0</v>
      </c>
      <c r="X4">
        <f>ELEMENT!BK4</f>
        <v>0</v>
      </c>
      <c r="Y4">
        <f>ELEMENT!BL4</f>
        <v>0</v>
      </c>
      <c r="Z4">
        <f>ELEMENT!BM4</f>
        <v>0</v>
      </c>
      <c r="AA4">
        <f>ELEMENT!BN4</f>
        <v>0</v>
      </c>
      <c r="AB4">
        <f>ELEMENT!BO4</f>
        <v>0</v>
      </c>
      <c r="BA4" t="s">
        <v>782</v>
      </c>
      <c r="BB4" t="s">
        <v>783</v>
      </c>
      <c r="BC4" t="s">
        <v>784</v>
      </c>
      <c r="BD4" t="s">
        <v>785</v>
      </c>
      <c r="BE4" t="s">
        <v>787</v>
      </c>
      <c r="BF4" t="s">
        <v>903</v>
      </c>
      <c r="BG4" t="s">
        <v>786</v>
      </c>
      <c r="BH4" t="s">
        <v>788</v>
      </c>
      <c r="BI4" t="s">
        <v>966</v>
      </c>
      <c r="BJ4" t="s">
        <v>946</v>
      </c>
      <c r="BK4" t="s">
        <v>947</v>
      </c>
      <c r="BS4" t="s">
        <v>792</v>
      </c>
      <c r="BT4" t="s">
        <v>904</v>
      </c>
      <c r="BU4" t="s">
        <v>794</v>
      </c>
      <c r="CJ4" t="s">
        <v>1137</v>
      </c>
      <c r="CK4" t="s">
        <v>782</v>
      </c>
      <c r="CL4" t="s">
        <v>783</v>
      </c>
      <c r="CM4" t="s">
        <v>784</v>
      </c>
      <c r="CN4" t="s">
        <v>785</v>
      </c>
      <c r="CO4" t="s">
        <v>786</v>
      </c>
      <c r="CP4" t="s">
        <v>946</v>
      </c>
      <c r="CQ4" t="s">
        <v>947</v>
      </c>
    </row>
    <row r="5" spans="19:103" x14ac:dyDescent="0.2">
      <c r="S5">
        <f>ELEMENT!BF5</f>
        <v>0</v>
      </c>
      <c r="AH5">
        <f>ELEMENT!K3</f>
        <v>2</v>
      </c>
      <c r="AI5" t="str">
        <f>IF($AH$5=1,BS5,
IF($AH$5=2,CK5,BA5))</f>
        <v>6 / 6 / 6</v>
      </c>
      <c r="AJ5" t="str">
        <f t="shared" ref="AJ5:AJ65" si="0">IF($AH$5=1,BT5,
IF($AH$5=2,CL5,BB5))</f>
        <v>8 / 8 / 8</v>
      </c>
      <c r="AK5" t="str">
        <f t="shared" ref="AK5:AK65" si="1">IF($AH$5=1,BU5,
IF($AH$5=2,CM5,BC5))</f>
        <v>6 / 6 / 8-2   WG</v>
      </c>
      <c r="AL5" t="str">
        <f t="shared" ref="AL5:AL65" si="2">IF($AH$5=1,BV5,
IF($AH$5=2,CN5,BD5))</f>
        <v>8 / 8 / 8-2   WG</v>
      </c>
      <c r="AM5" t="str">
        <f t="shared" ref="AM5:AM65" si="3">IF($AH$5=1,BW5,
IF($AH$5=2,CO5,BE5))</f>
        <v>6 / T12-2 / 6</v>
      </c>
      <c r="AN5" t="str">
        <f t="shared" ref="AN5:AN65" si="4">IF($AH$5=1,BX5,
IF($AH$5=2,CP5,BF5))</f>
        <v>10 / 10</v>
      </c>
      <c r="AO5" t="str">
        <f t="shared" ref="AO5:AO65" si="5">IF($AH$5=1,BY5,
IF($AH$5=2,CQ5,BG5))</f>
        <v>10 / 16-2</v>
      </c>
      <c r="AP5">
        <f t="shared" ref="AP5:AP65" si="6">IF($AH$5=1,BZ5,
IF($AH$5=2,CR5,BH5))</f>
        <v>0</v>
      </c>
      <c r="AQ5">
        <f t="shared" ref="AQ5:AQ65" si="7">IF($AH$5=1,CA5,
IF($AH$5=2,CS5,BI5))</f>
        <v>0</v>
      </c>
      <c r="AR5">
        <f t="shared" ref="AR5:AR65" si="8">IF($AH$5=1,CB5,
IF($AH$5=2,CT5,BJ5))</f>
        <v>0</v>
      </c>
      <c r="AS5">
        <f t="shared" ref="AS5:AS65" si="9">IF($AH$5=1,CC5,
IF($AH$5=2,CU5,BK5))</f>
        <v>0</v>
      </c>
      <c r="AT5">
        <f t="shared" ref="AT5:AT65" si="10">IF($AH$5=1,CD5,
IF($AH$5=2,CV5,BL5))</f>
        <v>0</v>
      </c>
      <c r="AU5">
        <f t="shared" ref="AU5:AU65" si="11">IF($AH$5=1,CE5,
IF($AH$5=2,CW5,BM5))</f>
        <v>0</v>
      </c>
      <c r="AV5">
        <f t="shared" ref="AV5:AV65" si="12">IF($AH$5=1,CF5,
IF($AH$5=2,CX5,BN5))</f>
        <v>250</v>
      </c>
      <c r="AX5">
        <f>ELEMENT!$EH$66</f>
        <v>0</v>
      </c>
      <c r="BA5" t="s">
        <v>778</v>
      </c>
      <c r="BB5" t="s">
        <v>779</v>
      </c>
      <c r="BC5" t="s">
        <v>907</v>
      </c>
      <c r="BD5" t="s">
        <v>908</v>
      </c>
      <c r="BE5" t="s">
        <v>909</v>
      </c>
      <c r="BF5" t="s">
        <v>910</v>
      </c>
      <c r="BG5" t="s">
        <v>780</v>
      </c>
      <c r="BH5" t="s">
        <v>781</v>
      </c>
      <c r="BI5" t="s">
        <v>967</v>
      </c>
      <c r="BJ5" t="s">
        <v>948</v>
      </c>
      <c r="BK5" t="s">
        <v>949</v>
      </c>
      <c r="BN5">
        <v>250</v>
      </c>
      <c r="BS5" t="s">
        <v>911</v>
      </c>
      <c r="BT5" t="s">
        <v>912</v>
      </c>
      <c r="BU5" t="s">
        <v>793</v>
      </c>
      <c r="CF5">
        <v>250</v>
      </c>
      <c r="CK5" t="s">
        <v>778</v>
      </c>
      <c r="CL5" t="s">
        <v>779</v>
      </c>
      <c r="CM5" t="s">
        <v>907</v>
      </c>
      <c r="CN5" t="s">
        <v>908</v>
      </c>
      <c r="CO5" t="s">
        <v>780</v>
      </c>
      <c r="CP5" t="s">
        <v>948</v>
      </c>
      <c r="CQ5" t="s">
        <v>949</v>
      </c>
      <c r="CX5">
        <v>250</v>
      </c>
      <c r="CY5" t="s">
        <v>169</v>
      </c>
    </row>
    <row r="6" spans="19:103" x14ac:dyDescent="0.2">
      <c r="S6">
        <f>ELEMENT!BF6</f>
        <v>0</v>
      </c>
      <c r="AH6">
        <f>IF($AH$5=1,BR6,
IF($AH$5=2,CJ6,AZ6))</f>
        <v>0</v>
      </c>
      <c r="AI6" t="str">
        <f t="shared" ref="AH6:AI65" si="13">IF($AH$5=1,BS6,
IF($AH$5=2,CK6,BA6))</f>
        <v>tempered safety glass 6 / tempered safety glass 6 / tempered safety glass 6</v>
      </c>
      <c r="AJ6" t="str">
        <f t="shared" si="0"/>
        <v>tempered safety glass 8 / tempered safety glass 8 / tempered safety glass 8</v>
      </c>
      <c r="AK6" t="str">
        <f t="shared" si="1"/>
        <v>tempered safety glass 6 / tempered safety glass 6 / laminated safety glass WG 8-2</v>
      </c>
      <c r="AL6" t="str">
        <f t="shared" si="2"/>
        <v>tempered safety glass 8 / tempered safety glass 8 / laminated safety glass WG 8-2</v>
      </c>
      <c r="AM6" t="str">
        <f t="shared" si="3"/>
        <v>tempered safety glass 6 / LSG-TVG TVG 12-2 / tempered safety glass 6</v>
      </c>
      <c r="AN6" t="str">
        <f t="shared" si="4"/>
        <v xml:space="preserve"> ESG-H 10 / ESG-H 10  (d=38mm) </v>
      </c>
      <c r="AO6" t="str">
        <f t="shared" si="5"/>
        <v xml:space="preserve"> ESG-H 10 / VSG 16-2  (d=40.7mm) </v>
      </c>
      <c r="AP6">
        <f t="shared" si="6"/>
        <v>0</v>
      </c>
      <c r="AQ6">
        <f t="shared" si="7"/>
        <v>0</v>
      </c>
      <c r="AR6">
        <f t="shared" si="8"/>
        <v>0</v>
      </c>
      <c r="AS6">
        <f t="shared" si="9"/>
        <v>0</v>
      </c>
      <c r="AT6">
        <f t="shared" si="10"/>
        <v>0</v>
      </c>
      <c r="AU6">
        <f t="shared" si="11"/>
        <v>0</v>
      </c>
      <c r="AV6">
        <f t="shared" si="12"/>
        <v>3</v>
      </c>
      <c r="AX6" t="s">
        <v>795</v>
      </c>
      <c r="AZ6" t="s">
        <v>47</v>
      </c>
      <c r="BA6" t="str">
        <f>CONCATENATE(Sprache!$B$75," 6 / ",Sprache!$B$75," 6 / ",Sprache!$B$75," 6")</f>
        <v>tempered safety glass 6 / tempered safety glass 6 / tempered safety glass 6</v>
      </c>
      <c r="BB6" t="str">
        <f>CONCATENATE(Sprache!$B$75," 8 / ",Sprache!$B$75," 8 / ",Sprache!$B$75," 8")</f>
        <v>tempered safety glass 8 / tempered safety glass 8 / tempered safety glass 8</v>
      </c>
      <c r="BC6" t="str">
        <f>CONCATENATE(Sprache!$B$75," 6 / ",Sprache!$B$75," 6 / ",Sprache!$B$74," WG 8-2")</f>
        <v>tempered safety glass 6 / tempered safety glass 6 / laminated safety glass WG 8-2</v>
      </c>
      <c r="BD6" t="str">
        <f>CONCATENATE(Sprache!$B$75," 8 / ",Sprache!$B$75," 8 / ",Sprache!$B$74," WG 8-2")</f>
        <v>tempered safety glass 8 / tempered safety glass 8 / laminated safety glass WG 8-2</v>
      </c>
      <c r="BE6" t="str">
        <f>CONCATENATE(Sprache!$B$75," 6 / ",Sprache!$B$75," 6 / ",Sprache!$B$74," WG 9-P4A")</f>
        <v>tempered safety glass 6 / tempered safety glass 6 / laminated safety glass WG 9-P4A</v>
      </c>
      <c r="BF6" t="str">
        <f>CONCATENATE(Sprache!$B$75," 8 / ",Sprache!$B$75," 8 / ",Sprache!$B$74," WG 9-P4A")</f>
        <v>tempered safety glass 8 / tempered safety glass 8 / laminated safety glass WG 9-P4A</v>
      </c>
      <c r="BG6" t="str">
        <f>CONCATENATE(Sprache!$B$75," 6 / ",Sprache!$B$73," TVG 12-2 / ",Sprache!$B$75," 6")</f>
        <v>tempered safety glass 6 / LSG-TVG TVG 12-2 / tempered safety glass 6</v>
      </c>
      <c r="BH6" t="str">
        <f>CONCATENATE(Sprache!$B$75," 6 / ",Sprache!$B$73," TVG 13-P4A / ",Sprache!$B$75," 6")</f>
        <v>tempered safety glass 6 / LSG-TVG TVG 13-P4A / tempered safety glass 6</v>
      </c>
      <c r="BI6" t="str">
        <f>CONCATENATE(Sprache!$B$74," 8-2P WG / ",Sprache!$B$75," 6 / ",Sprache!$B$74,"-TVG 12-2P")</f>
        <v>laminated safety glass 8-2P WG / tempered safety glass 6 / laminated safety glass-TVG 12-2P</v>
      </c>
      <c r="BJ6" t="s">
        <v>950</v>
      </c>
      <c r="BK6" t="s">
        <v>951</v>
      </c>
      <c r="BN6">
        <v>3</v>
      </c>
      <c r="BR6" t="s">
        <v>47</v>
      </c>
      <c r="BS6" t="s">
        <v>952</v>
      </c>
      <c r="BT6" t="s">
        <v>953</v>
      </c>
      <c r="BU6" t="s">
        <v>954</v>
      </c>
      <c r="CF6">
        <v>3</v>
      </c>
      <c r="CK6" t="str">
        <f>CONCATENATE(Sprache!$B$75," 6 / ",Sprache!$B$75," 6 / ",Sprache!$B$75," 6")</f>
        <v>tempered safety glass 6 / tempered safety glass 6 / tempered safety glass 6</v>
      </c>
      <c r="CL6" t="str">
        <f>CONCATENATE(Sprache!$B$75," 8 / ",Sprache!$B$75," 8 / ",Sprache!$B$75," 8")</f>
        <v>tempered safety glass 8 / tempered safety glass 8 / tempered safety glass 8</v>
      </c>
      <c r="CM6" t="str">
        <f>CONCATENATE(Sprache!$B$75," 6 / ",Sprache!$B$75," 6 / ",Sprache!$B$74," WG 8-2")</f>
        <v>tempered safety glass 6 / tempered safety glass 6 / laminated safety glass WG 8-2</v>
      </c>
      <c r="CN6" t="str">
        <f>CONCATENATE(Sprache!$B$75," 8 / ",Sprache!$B$75," 8 / ",Sprache!$B$74," WG 8-2")</f>
        <v>tempered safety glass 8 / tempered safety glass 8 / laminated safety glass WG 8-2</v>
      </c>
      <c r="CO6" t="str">
        <f>CONCATENATE(Sprache!$B$75," 6 / ",Sprache!$B$73," TVG 12-2 / ",Sprache!$B$75," 6")</f>
        <v>tempered safety glass 6 / LSG-TVG TVG 12-2 / tempered safety glass 6</v>
      </c>
      <c r="CP6" t="s">
        <v>950</v>
      </c>
      <c r="CQ6" t="s">
        <v>951</v>
      </c>
      <c r="CX6">
        <v>3</v>
      </c>
    </row>
    <row r="7" spans="19:103" x14ac:dyDescent="0.2">
      <c r="S7">
        <f>ELEMENT!BF7</f>
        <v>0</v>
      </c>
      <c r="T7">
        <v>15</v>
      </c>
      <c r="U7">
        <v>22.599999999999998</v>
      </c>
      <c r="V7">
        <v>79.099999999999994</v>
      </c>
      <c r="W7">
        <v>5.6499999999999995</v>
      </c>
      <c r="X7">
        <v>71.19</v>
      </c>
      <c r="Y7">
        <v>193</v>
      </c>
      <c r="Z7">
        <v>79</v>
      </c>
      <c r="AA7">
        <v>0.89</v>
      </c>
      <c r="AB7">
        <v>5.46</v>
      </c>
      <c r="AH7" t="str">
        <f>IF($AH$5=1,BR7,
IF($AH$5=2,CJ7,AZ7))</f>
        <v>U-factor</v>
      </c>
      <c r="AI7">
        <f t="shared" si="13"/>
        <v>0.23</v>
      </c>
      <c r="AJ7">
        <f t="shared" si="0"/>
        <v>0.23</v>
      </c>
      <c r="AK7">
        <f t="shared" si="1"/>
        <v>0.23</v>
      </c>
      <c r="AL7">
        <f t="shared" si="2"/>
        <v>0.23</v>
      </c>
      <c r="AM7">
        <f t="shared" si="3"/>
        <v>0.22</v>
      </c>
      <c r="AN7">
        <f t="shared" si="4"/>
        <v>0.35</v>
      </c>
      <c r="AO7">
        <f t="shared" si="5"/>
        <v>0.34</v>
      </c>
      <c r="AP7">
        <f t="shared" si="6"/>
        <v>0</v>
      </c>
      <c r="AQ7">
        <f t="shared" si="7"/>
        <v>0</v>
      </c>
      <c r="AR7">
        <f t="shared" si="8"/>
        <v>0</v>
      </c>
      <c r="AS7">
        <f t="shared" si="9"/>
        <v>0</v>
      </c>
      <c r="AT7">
        <f t="shared" si="10"/>
        <v>0</v>
      </c>
      <c r="AU7">
        <f t="shared" si="11"/>
        <v>0</v>
      </c>
      <c r="AV7" t="str">
        <f t="shared" si="12"/>
        <v>W</v>
      </c>
      <c r="AX7" t="s">
        <v>796</v>
      </c>
      <c r="AZ7" t="str">
        <f>Sprache!$B$114</f>
        <v>Ug-value</v>
      </c>
      <c r="BA7">
        <v>0.5</v>
      </c>
      <c r="BB7">
        <v>0.6</v>
      </c>
      <c r="BC7">
        <v>0.6</v>
      </c>
      <c r="BD7">
        <v>0.6</v>
      </c>
      <c r="BE7">
        <v>0.6</v>
      </c>
      <c r="BF7">
        <v>0.6</v>
      </c>
      <c r="BG7">
        <v>0.6</v>
      </c>
      <c r="BH7">
        <v>0.6</v>
      </c>
      <c r="BI7">
        <v>0.5</v>
      </c>
      <c r="BJ7">
        <v>1.1000000000000001</v>
      </c>
      <c r="BK7">
        <v>1.1000000000000001</v>
      </c>
      <c r="BN7" t="s">
        <v>600</v>
      </c>
      <c r="BO7" t="s">
        <v>727</v>
      </c>
      <c r="BR7" t="str">
        <f>Sprache!$B$114</f>
        <v>Ug-value</v>
      </c>
      <c r="BS7">
        <v>0.6</v>
      </c>
      <c r="BT7">
        <v>0.6</v>
      </c>
      <c r="BU7">
        <v>0.6</v>
      </c>
      <c r="CF7" t="s">
        <v>600</v>
      </c>
      <c r="CG7" t="s">
        <v>727</v>
      </c>
      <c r="CJ7" t="s">
        <v>1138</v>
      </c>
      <c r="CK7">
        <v>0.23</v>
      </c>
      <c r="CL7">
        <v>0.23</v>
      </c>
      <c r="CM7">
        <v>0.23</v>
      </c>
      <c r="CN7">
        <v>0.23</v>
      </c>
      <c r="CO7">
        <v>0.22</v>
      </c>
      <c r="CP7">
        <v>0.35</v>
      </c>
      <c r="CQ7">
        <v>0.34</v>
      </c>
      <c r="CX7" t="s">
        <v>600</v>
      </c>
      <c r="CY7" t="s">
        <v>727</v>
      </c>
    </row>
    <row r="8" spans="19:103" x14ac:dyDescent="0.2">
      <c r="S8">
        <f>ELEMENT!BF8</f>
        <v>0</v>
      </c>
      <c r="T8">
        <v>15</v>
      </c>
      <c r="U8">
        <v>5.6499999999999995</v>
      </c>
      <c r="V8">
        <v>16.95</v>
      </c>
      <c r="W8">
        <v>5.6499999999999995</v>
      </c>
      <c r="X8">
        <v>37.29</v>
      </c>
      <c r="Y8">
        <v>154</v>
      </c>
      <c r="Z8">
        <v>28</v>
      </c>
      <c r="AA8">
        <v>0.39</v>
      </c>
      <c r="AB8">
        <v>1.64</v>
      </c>
      <c r="AH8" t="str">
        <f t="shared" si="13"/>
        <v>glass weight</v>
      </c>
      <c r="AI8">
        <f t="shared" si="13"/>
        <v>45</v>
      </c>
      <c r="AJ8">
        <f t="shared" si="0"/>
        <v>60</v>
      </c>
      <c r="AK8">
        <f t="shared" si="1"/>
        <v>51.9</v>
      </c>
      <c r="AL8">
        <f t="shared" si="2"/>
        <v>61.9</v>
      </c>
      <c r="AM8">
        <f t="shared" si="3"/>
        <v>61.9</v>
      </c>
      <c r="AN8">
        <f t="shared" si="4"/>
        <v>50</v>
      </c>
      <c r="AO8">
        <f t="shared" si="5"/>
        <v>66.900000000000006</v>
      </c>
      <c r="AP8">
        <f t="shared" si="6"/>
        <v>0</v>
      </c>
      <c r="AQ8">
        <f t="shared" si="7"/>
        <v>0</v>
      </c>
      <c r="AR8">
        <f t="shared" si="8"/>
        <v>0</v>
      </c>
      <c r="AS8">
        <f t="shared" si="9"/>
        <v>0</v>
      </c>
      <c r="AT8">
        <f t="shared" si="10"/>
        <v>0</v>
      </c>
      <c r="AU8">
        <f t="shared" si="11"/>
        <v>0</v>
      </c>
      <c r="AV8">
        <f t="shared" si="12"/>
        <v>0</v>
      </c>
      <c r="AX8" t="s">
        <v>1197</v>
      </c>
      <c r="AZ8" t="str">
        <f>Sprache!$B$104</f>
        <v>glass weight</v>
      </c>
      <c r="BA8">
        <v>45</v>
      </c>
      <c r="BB8">
        <v>60</v>
      </c>
      <c r="BC8">
        <v>51.9</v>
      </c>
      <c r="BD8">
        <v>61.9</v>
      </c>
      <c r="BE8">
        <v>51.9</v>
      </c>
      <c r="BF8">
        <v>61.9</v>
      </c>
      <c r="BG8">
        <v>61.9</v>
      </c>
      <c r="BH8">
        <v>61.9</v>
      </c>
      <c r="BI8">
        <v>68.8</v>
      </c>
      <c r="BJ8">
        <v>50</v>
      </c>
      <c r="BK8">
        <v>65</v>
      </c>
      <c r="BO8" t="s">
        <v>728</v>
      </c>
      <c r="BR8" t="str">
        <f>Sprache!$B$104</f>
        <v>glass weight</v>
      </c>
      <c r="BS8">
        <v>51.9</v>
      </c>
      <c r="BT8">
        <v>61.9</v>
      </c>
      <c r="BU8">
        <v>61.9</v>
      </c>
      <c r="CG8" t="s">
        <v>728</v>
      </c>
      <c r="CJ8" t="str">
        <f>Sprache!$B$104</f>
        <v>glass weight</v>
      </c>
      <c r="CK8">
        <v>45</v>
      </c>
      <c r="CL8">
        <v>60</v>
      </c>
      <c r="CM8">
        <v>51.9</v>
      </c>
      <c r="CN8">
        <v>61.9</v>
      </c>
      <c r="CO8">
        <v>61.9</v>
      </c>
      <c r="CP8">
        <v>50</v>
      </c>
      <c r="CQ8">
        <v>66.900000000000006</v>
      </c>
      <c r="CY8" t="s">
        <v>1140</v>
      </c>
    </row>
    <row r="9" spans="19:103" x14ac:dyDescent="0.2">
      <c r="S9">
        <f>ELEMENT!BF9</f>
        <v>0</v>
      </c>
      <c r="T9">
        <v>15</v>
      </c>
      <c r="U9">
        <v>5.6499999999999995</v>
      </c>
      <c r="V9">
        <v>28.249999999999996</v>
      </c>
      <c r="W9">
        <v>6.7799999999999994</v>
      </c>
      <c r="X9">
        <v>49.72</v>
      </c>
      <c r="Y9">
        <v>161</v>
      </c>
      <c r="Z9">
        <v>72</v>
      </c>
      <c r="AA9">
        <v>0.77</v>
      </c>
      <c r="AB9">
        <v>3.2</v>
      </c>
      <c r="AH9" t="str">
        <f t="shared" si="13"/>
        <v>SHGC / VT</v>
      </c>
      <c r="AI9" t="str">
        <f t="shared" si="13"/>
        <v>0.41 / 0.59</v>
      </c>
      <c r="AJ9" t="str">
        <f t="shared" si="0"/>
        <v>0.40 / 0.58</v>
      </c>
      <c r="AK9" t="str">
        <f t="shared" si="1"/>
        <v>0.41 / 0.58</v>
      </c>
      <c r="AL9" t="str">
        <f t="shared" si="2"/>
        <v>0.40 / 0.57</v>
      </c>
      <c r="AM9" t="str">
        <f t="shared" si="3"/>
        <v>0.37 / 0.57</v>
      </c>
      <c r="AN9" t="str">
        <f t="shared" si="4"/>
        <v>0.47 / 0.65</v>
      </c>
      <c r="AO9" t="str">
        <f t="shared" si="5"/>
        <v>0.47 / 0.63</v>
      </c>
      <c r="AP9">
        <f t="shared" si="6"/>
        <v>0</v>
      </c>
      <c r="AQ9">
        <f t="shared" si="7"/>
        <v>0</v>
      </c>
      <c r="AR9">
        <f t="shared" si="8"/>
        <v>0</v>
      </c>
      <c r="AS9">
        <f t="shared" si="9"/>
        <v>0</v>
      </c>
      <c r="AT9">
        <f t="shared" si="10"/>
        <v>0</v>
      </c>
      <c r="AU9">
        <f t="shared" si="11"/>
        <v>0</v>
      </c>
      <c r="AV9">
        <f t="shared" si="12"/>
        <v>0</v>
      </c>
      <c r="AX9" t="s">
        <v>1198</v>
      </c>
      <c r="AZ9" t="str">
        <f>Sprache!$B$129</f>
        <v>Lt / g-value</v>
      </c>
      <c r="BA9" t="s">
        <v>1199</v>
      </c>
      <c r="BB9" t="s">
        <v>1200</v>
      </c>
      <c r="BC9" t="s">
        <v>1201</v>
      </c>
      <c r="BD9" t="s">
        <v>1202</v>
      </c>
      <c r="BE9" t="s">
        <v>1201</v>
      </c>
      <c r="BF9" t="s">
        <v>1202</v>
      </c>
      <c r="BG9" t="s">
        <v>1203</v>
      </c>
      <c r="BH9" t="s">
        <v>1203</v>
      </c>
      <c r="BI9" t="s">
        <v>1204</v>
      </c>
      <c r="BJ9" t="s">
        <v>1205</v>
      </c>
      <c r="BK9" t="s">
        <v>1206</v>
      </c>
      <c r="BR9" t="str">
        <f>Sprache!$B$129</f>
        <v>Lt / g-value</v>
      </c>
      <c r="BS9" t="s">
        <v>1201</v>
      </c>
      <c r="BT9" t="s">
        <v>1202</v>
      </c>
      <c r="BU9" t="s">
        <v>1203</v>
      </c>
      <c r="CG9" t="s">
        <v>749</v>
      </c>
      <c r="CJ9" t="s">
        <v>1141</v>
      </c>
      <c r="CK9" t="s">
        <v>1142</v>
      </c>
      <c r="CL9" t="s">
        <v>1143</v>
      </c>
      <c r="CM9" t="s">
        <v>1144</v>
      </c>
      <c r="CN9" t="s">
        <v>1145</v>
      </c>
      <c r="CO9" t="s">
        <v>1146</v>
      </c>
      <c r="CP9" t="s">
        <v>1147</v>
      </c>
      <c r="CQ9" t="s">
        <v>1148</v>
      </c>
      <c r="CY9" t="s">
        <v>1149</v>
      </c>
    </row>
    <row r="10" spans="19:103" x14ac:dyDescent="0.2">
      <c r="S10">
        <f>ELEMENT!BF10</f>
        <v>0</v>
      </c>
      <c r="U10">
        <v>0</v>
      </c>
      <c r="V10">
        <v>0</v>
      </c>
      <c r="W10">
        <v>0</v>
      </c>
      <c r="X10">
        <v>0</v>
      </c>
      <c r="AH10" t="str">
        <f t="shared" si="13"/>
        <v>Mehrpreis</v>
      </c>
      <c r="AI10">
        <f t="shared" si="13"/>
        <v>0</v>
      </c>
      <c r="AJ10">
        <f t="shared" si="0"/>
        <v>48</v>
      </c>
      <c r="AK10">
        <f t="shared" si="1"/>
        <v>35</v>
      </c>
      <c r="AL10">
        <f t="shared" si="2"/>
        <v>85</v>
      </c>
      <c r="AM10">
        <f t="shared" si="3"/>
        <v>60</v>
      </c>
      <c r="AN10">
        <f t="shared" si="4"/>
        <v>70</v>
      </c>
      <c r="AO10">
        <f t="shared" si="5"/>
        <v>98</v>
      </c>
      <c r="AP10">
        <f t="shared" si="6"/>
        <v>0</v>
      </c>
      <c r="AQ10">
        <f t="shared" si="7"/>
        <v>0</v>
      </c>
      <c r="AR10">
        <f t="shared" si="8"/>
        <v>0</v>
      </c>
      <c r="AS10">
        <f t="shared" si="9"/>
        <v>0</v>
      </c>
      <c r="AT10">
        <f t="shared" si="10"/>
        <v>0</v>
      </c>
      <c r="AU10">
        <f t="shared" si="11"/>
        <v>0</v>
      </c>
      <c r="AV10">
        <f t="shared" si="12"/>
        <v>0</v>
      </c>
      <c r="AX10">
        <f>ELEMENT!$EH$65</f>
        <v>0</v>
      </c>
      <c r="AZ10">
        <f>ELEMENT!CU54</f>
        <v>0</v>
      </c>
      <c r="BA10">
        <v>0</v>
      </c>
      <c r="BB10">
        <v>48</v>
      </c>
      <c r="BC10">
        <v>35</v>
      </c>
      <c r="BD10">
        <v>85</v>
      </c>
      <c r="BE10">
        <v>58</v>
      </c>
      <c r="BF10">
        <f>BF11+AX19</f>
        <v>109.93</v>
      </c>
      <c r="BG10">
        <v>60</v>
      </c>
      <c r="BH10">
        <v>80</v>
      </c>
      <c r="BI10">
        <f>BI11*1.1</f>
        <v>198.00000000000003</v>
      </c>
      <c r="BJ10">
        <v>64</v>
      </c>
      <c r="BK10">
        <v>98</v>
      </c>
      <c r="BR10">
        <f>ELEMENT!CU54</f>
        <v>0</v>
      </c>
      <c r="BS10">
        <v>70</v>
      </c>
      <c r="BT10">
        <v>122</v>
      </c>
      <c r="BU10">
        <v>92</v>
      </c>
      <c r="CJ10" t="s">
        <v>78</v>
      </c>
      <c r="CK10">
        <v>0</v>
      </c>
      <c r="CL10">
        <v>48</v>
      </c>
      <c r="CM10">
        <v>35</v>
      </c>
      <c r="CN10">
        <v>85</v>
      </c>
      <c r="CO10">
        <v>60</v>
      </c>
      <c r="CP10">
        <v>70</v>
      </c>
      <c r="CQ10">
        <v>98</v>
      </c>
    </row>
    <row r="11" spans="19:103" x14ac:dyDescent="0.2">
      <c r="S11">
        <f>ELEMENT!BF11</f>
        <v>0</v>
      </c>
      <c r="T11">
        <v>15</v>
      </c>
      <c r="U11">
        <v>5.6499999999999995</v>
      </c>
      <c r="V11">
        <v>22.599999999999998</v>
      </c>
      <c r="W11">
        <v>11.299999999999999</v>
      </c>
      <c r="X11">
        <v>25.424999999999997</v>
      </c>
      <c r="Y11">
        <v>17</v>
      </c>
      <c r="Z11">
        <v>24</v>
      </c>
      <c r="AA11">
        <v>0.52</v>
      </c>
      <c r="AB11">
        <v>1.95</v>
      </c>
      <c r="AH11">
        <f t="shared" si="13"/>
        <v>0</v>
      </c>
      <c r="AI11">
        <f t="shared" si="13"/>
        <v>0</v>
      </c>
      <c r="AJ11">
        <f t="shared" si="0"/>
        <v>0</v>
      </c>
      <c r="AK11">
        <f t="shared" si="1"/>
        <v>0</v>
      </c>
      <c r="AL11">
        <f t="shared" si="2"/>
        <v>0</v>
      </c>
      <c r="AM11">
        <f t="shared" si="3"/>
        <v>0</v>
      </c>
      <c r="AN11">
        <f t="shared" si="4"/>
        <v>0</v>
      </c>
      <c r="AO11">
        <f t="shared" si="5"/>
        <v>0</v>
      </c>
      <c r="AP11">
        <f t="shared" si="6"/>
        <v>0</v>
      </c>
      <c r="AQ11">
        <f t="shared" si="7"/>
        <v>0</v>
      </c>
      <c r="AR11">
        <f t="shared" si="8"/>
        <v>0</v>
      </c>
      <c r="AS11">
        <f t="shared" si="9"/>
        <v>0</v>
      </c>
      <c r="AT11">
        <f t="shared" si="10"/>
        <v>0</v>
      </c>
      <c r="AU11">
        <f t="shared" si="11"/>
        <v>0</v>
      </c>
      <c r="AV11">
        <f t="shared" si="12"/>
        <v>0</v>
      </c>
      <c r="AX11">
        <f>ELEMENT!$EH$64</f>
        <v>0</v>
      </c>
      <c r="AZ11">
        <f>ELEMENT!CU55</f>
        <v>0</v>
      </c>
      <c r="BB11">
        <v>40.47</v>
      </c>
      <c r="BC11">
        <v>32.380000000000003</v>
      </c>
      <c r="BD11">
        <v>71.23</v>
      </c>
      <c r="BE11">
        <v>42.09</v>
      </c>
      <c r="BF11">
        <f>BD11+BC3</f>
        <v>103.93</v>
      </c>
      <c r="BG11">
        <v>45.33</v>
      </c>
      <c r="BH11">
        <f>BG11+$BC$3</f>
        <v>78.03</v>
      </c>
      <c r="BI11">
        <v>180</v>
      </c>
      <c r="BJ11">
        <v>-24.76</v>
      </c>
      <c r="BK11">
        <v>12.24</v>
      </c>
      <c r="BR11" t="s">
        <v>1207</v>
      </c>
      <c r="BS11">
        <f>BE11+$BU$3</f>
        <v>54.09</v>
      </c>
      <c r="BT11">
        <f>BF11+$BU$3</f>
        <v>115.93</v>
      </c>
      <c r="BU11">
        <f>BH11+$BU$3</f>
        <v>90.03</v>
      </c>
    </row>
    <row r="12" spans="19:103" x14ac:dyDescent="0.2">
      <c r="S12">
        <f>ELEMENT!BF12</f>
        <v>0</v>
      </c>
      <c r="U12">
        <v>0</v>
      </c>
      <c r="V12">
        <v>0</v>
      </c>
      <c r="W12">
        <v>0</v>
      </c>
      <c r="X12">
        <v>0</v>
      </c>
      <c r="AH12" t="str">
        <f t="shared" si="13"/>
        <v>U-factor</v>
      </c>
      <c r="AI12">
        <f t="shared" si="13"/>
        <v>0.23</v>
      </c>
      <c r="AJ12">
        <f t="shared" si="0"/>
        <v>0.23</v>
      </c>
      <c r="AK12">
        <f t="shared" si="1"/>
        <v>0.22</v>
      </c>
      <c r="AL12">
        <f t="shared" si="2"/>
        <v>0.23</v>
      </c>
      <c r="AM12">
        <f t="shared" si="3"/>
        <v>0.22</v>
      </c>
      <c r="AN12">
        <f t="shared" si="4"/>
        <v>0.34</v>
      </c>
      <c r="AO12">
        <f t="shared" si="5"/>
        <v>0.33</v>
      </c>
      <c r="AP12">
        <f t="shared" si="6"/>
        <v>0</v>
      </c>
      <c r="AQ12">
        <f t="shared" si="7"/>
        <v>0</v>
      </c>
      <c r="AR12">
        <f t="shared" si="8"/>
        <v>0</v>
      </c>
      <c r="AS12">
        <f t="shared" si="9"/>
        <v>0</v>
      </c>
      <c r="AT12">
        <f t="shared" si="10"/>
        <v>0</v>
      </c>
      <c r="AU12">
        <f t="shared" si="11"/>
        <v>0</v>
      </c>
      <c r="AV12" t="str">
        <f t="shared" si="12"/>
        <v>S</v>
      </c>
      <c r="AX12" t="s">
        <v>735</v>
      </c>
      <c r="AZ12">
        <f>ELEMENT!CU56</f>
        <v>0</v>
      </c>
      <c r="BA12">
        <v>0.5</v>
      </c>
      <c r="BB12">
        <v>0.6</v>
      </c>
      <c r="BC12">
        <v>0.5</v>
      </c>
      <c r="BD12">
        <v>0.6</v>
      </c>
      <c r="BE12">
        <v>0.5</v>
      </c>
      <c r="BF12">
        <v>0.6</v>
      </c>
      <c r="BG12">
        <v>0.6</v>
      </c>
      <c r="BH12">
        <v>0.6</v>
      </c>
      <c r="BI12">
        <v>0.5</v>
      </c>
      <c r="BJ12">
        <v>1</v>
      </c>
      <c r="BK12">
        <v>1</v>
      </c>
      <c r="BN12" t="s">
        <v>12</v>
      </c>
      <c r="BO12" t="s">
        <v>723</v>
      </c>
      <c r="BR12">
        <f>ELEMENT!CU56</f>
        <v>0</v>
      </c>
      <c r="BS12">
        <v>0.5</v>
      </c>
      <c r="BT12">
        <v>0.6</v>
      </c>
      <c r="BU12">
        <v>0.6</v>
      </c>
      <c r="CF12" t="s">
        <v>12</v>
      </c>
      <c r="CG12" t="s">
        <v>723</v>
      </c>
      <c r="CJ12" t="s">
        <v>1138</v>
      </c>
      <c r="CK12">
        <v>0.23</v>
      </c>
      <c r="CL12">
        <v>0.23</v>
      </c>
      <c r="CM12">
        <v>0.22</v>
      </c>
      <c r="CN12">
        <v>0.23</v>
      </c>
      <c r="CO12">
        <v>0.22</v>
      </c>
      <c r="CP12">
        <v>0.34</v>
      </c>
      <c r="CQ12">
        <v>0.33</v>
      </c>
      <c r="CX12" t="s">
        <v>12</v>
      </c>
      <c r="CY12" t="s">
        <v>723</v>
      </c>
    </row>
    <row r="13" spans="19:103" x14ac:dyDescent="0.2">
      <c r="S13">
        <f>ELEMENT!BF13</f>
        <v>0</v>
      </c>
      <c r="U13">
        <v>0</v>
      </c>
      <c r="V13">
        <v>0</v>
      </c>
      <c r="W13">
        <v>0</v>
      </c>
      <c r="X13">
        <v>0</v>
      </c>
      <c r="AH13" t="str">
        <f t="shared" si="13"/>
        <v>weight</v>
      </c>
      <c r="AI13">
        <f t="shared" si="13"/>
        <v>45</v>
      </c>
      <c r="AJ13">
        <f t="shared" si="0"/>
        <v>60</v>
      </c>
      <c r="AK13">
        <f t="shared" si="1"/>
        <v>51.9</v>
      </c>
      <c r="AL13">
        <f t="shared" si="2"/>
        <v>61.9</v>
      </c>
      <c r="AM13">
        <f t="shared" si="3"/>
        <v>61.9</v>
      </c>
      <c r="AN13">
        <f t="shared" si="4"/>
        <v>50</v>
      </c>
      <c r="AO13">
        <f t="shared" si="5"/>
        <v>66.900000000000006</v>
      </c>
      <c r="AP13">
        <f t="shared" si="6"/>
        <v>0</v>
      </c>
      <c r="AQ13">
        <f t="shared" si="7"/>
        <v>0</v>
      </c>
      <c r="AR13">
        <f t="shared" si="8"/>
        <v>0</v>
      </c>
      <c r="AS13">
        <f t="shared" si="9"/>
        <v>0</v>
      </c>
      <c r="AT13">
        <f t="shared" si="10"/>
        <v>0</v>
      </c>
      <c r="AU13">
        <f t="shared" si="11"/>
        <v>0</v>
      </c>
      <c r="AV13">
        <f t="shared" si="12"/>
        <v>0</v>
      </c>
      <c r="AX13" t="s">
        <v>1198</v>
      </c>
      <c r="AZ13">
        <f>ELEMENT!CU57</f>
        <v>0</v>
      </c>
      <c r="BA13">
        <v>45</v>
      </c>
      <c r="BB13">
        <v>60</v>
      </c>
      <c r="BC13">
        <v>51.9</v>
      </c>
      <c r="BD13">
        <v>61.9</v>
      </c>
      <c r="BE13">
        <v>51.9</v>
      </c>
      <c r="BF13">
        <v>61.9</v>
      </c>
      <c r="BG13">
        <v>61.9</v>
      </c>
      <c r="BH13">
        <v>61.9</v>
      </c>
      <c r="BI13">
        <v>68.8</v>
      </c>
      <c r="BJ13">
        <v>50</v>
      </c>
      <c r="BK13">
        <v>65</v>
      </c>
      <c r="BO13" t="s">
        <v>725</v>
      </c>
      <c r="BR13">
        <f>ELEMENT!CU57</f>
        <v>0</v>
      </c>
      <c r="BS13">
        <v>51.9</v>
      </c>
      <c r="BT13">
        <v>61.9</v>
      </c>
      <c r="BU13">
        <v>61.9</v>
      </c>
      <c r="CG13" t="s">
        <v>725</v>
      </c>
      <c r="CJ13" t="s">
        <v>1139</v>
      </c>
      <c r="CK13">
        <v>45</v>
      </c>
      <c r="CL13">
        <v>60</v>
      </c>
      <c r="CM13">
        <v>51.9</v>
      </c>
      <c r="CN13">
        <v>61.9</v>
      </c>
      <c r="CO13">
        <v>61.9</v>
      </c>
      <c r="CP13">
        <v>50</v>
      </c>
      <c r="CQ13">
        <v>66.900000000000006</v>
      </c>
      <c r="CY13" t="s">
        <v>1150</v>
      </c>
    </row>
    <row r="14" spans="19:103" x14ac:dyDescent="0.2">
      <c r="S14">
        <f>ELEMENT!BF14</f>
        <v>0</v>
      </c>
      <c r="U14">
        <v>0</v>
      </c>
      <c r="V14">
        <v>0</v>
      </c>
      <c r="W14">
        <v>0</v>
      </c>
      <c r="X14">
        <v>0</v>
      </c>
      <c r="AH14" t="str">
        <f t="shared" si="13"/>
        <v>SHGC / VT</v>
      </c>
      <c r="AI14" t="str">
        <f t="shared" si="13"/>
        <v>0.35 / 0.52</v>
      </c>
      <c r="AJ14" t="str">
        <f t="shared" si="0"/>
        <v>0.34 / 0.51</v>
      </c>
      <c r="AK14" t="str">
        <f t="shared" si="1"/>
        <v>0.35 / 0.51</v>
      </c>
      <c r="AL14" t="str">
        <f t="shared" si="2"/>
        <v>0.34 / 0.50</v>
      </c>
      <c r="AM14" t="str">
        <f t="shared" si="3"/>
        <v>0.31 / 0.50</v>
      </c>
      <c r="AN14" t="str">
        <f t="shared" si="4"/>
        <v>0.40 / 0.57</v>
      </c>
      <c r="AO14" t="str">
        <f t="shared" si="5"/>
        <v>0.39 / 0.55</v>
      </c>
      <c r="AP14">
        <f t="shared" si="6"/>
        <v>0</v>
      </c>
      <c r="AQ14">
        <f t="shared" si="7"/>
        <v>0</v>
      </c>
      <c r="AR14">
        <f t="shared" si="8"/>
        <v>0</v>
      </c>
      <c r="AS14">
        <f t="shared" si="9"/>
        <v>0</v>
      </c>
      <c r="AT14">
        <f t="shared" si="10"/>
        <v>0</v>
      </c>
      <c r="AU14">
        <f t="shared" si="11"/>
        <v>0</v>
      </c>
      <c r="AV14">
        <f t="shared" si="12"/>
        <v>0</v>
      </c>
      <c r="AZ14">
        <f>ELEMENT!CU58</f>
        <v>0</v>
      </c>
      <c r="BA14" t="s">
        <v>1208</v>
      </c>
      <c r="BB14" t="s">
        <v>1209</v>
      </c>
      <c r="BC14" t="s">
        <v>1210</v>
      </c>
      <c r="BD14" t="s">
        <v>1211</v>
      </c>
      <c r="BE14" t="s">
        <v>1210</v>
      </c>
      <c r="BF14" t="s">
        <v>1211</v>
      </c>
      <c r="BG14" t="s">
        <v>1212</v>
      </c>
      <c r="BH14" t="s">
        <v>1212</v>
      </c>
      <c r="BI14" t="s">
        <v>1213</v>
      </c>
      <c r="BJ14" t="s">
        <v>763</v>
      </c>
      <c r="BK14" t="s">
        <v>1214</v>
      </c>
      <c r="BR14">
        <f>ELEMENT!CU58</f>
        <v>0</v>
      </c>
      <c r="BS14" t="s">
        <v>1210</v>
      </c>
      <c r="BT14" t="s">
        <v>1211</v>
      </c>
      <c r="BU14" t="s">
        <v>1212</v>
      </c>
      <c r="CG14" t="s">
        <v>749</v>
      </c>
      <c r="CJ14" t="s">
        <v>1141</v>
      </c>
      <c r="CK14" t="s">
        <v>1151</v>
      </c>
      <c r="CL14" t="s">
        <v>1152</v>
      </c>
      <c r="CM14" t="s">
        <v>1153</v>
      </c>
      <c r="CN14" t="s">
        <v>1154</v>
      </c>
      <c r="CO14" t="s">
        <v>1155</v>
      </c>
      <c r="CP14" t="s">
        <v>1145</v>
      </c>
      <c r="CQ14" t="s">
        <v>1156</v>
      </c>
      <c r="CY14" t="s">
        <v>1149</v>
      </c>
    </row>
    <row r="15" spans="19:103" x14ac:dyDescent="0.2">
      <c r="S15">
        <f>ELEMENT!BF15</f>
        <v>0</v>
      </c>
      <c r="T15">
        <v>15</v>
      </c>
      <c r="U15">
        <v>22.599999999999998</v>
      </c>
      <c r="V15">
        <v>90.399999999999991</v>
      </c>
      <c r="W15">
        <v>5.6499999999999995</v>
      </c>
      <c r="X15">
        <v>71.19</v>
      </c>
      <c r="Y15">
        <v>193</v>
      </c>
      <c r="Z15">
        <v>79</v>
      </c>
      <c r="AA15">
        <v>0.89</v>
      </c>
      <c r="AB15">
        <v>5.46</v>
      </c>
      <c r="AH15" t="str">
        <f t="shared" si="13"/>
        <v>Mehrpreis</v>
      </c>
      <c r="AI15">
        <f t="shared" si="13"/>
        <v>30</v>
      </c>
      <c r="AJ15">
        <f t="shared" si="0"/>
        <v>67</v>
      </c>
      <c r="AK15">
        <f t="shared" si="1"/>
        <v>66</v>
      </c>
      <c r="AL15">
        <f t="shared" si="2"/>
        <v>97</v>
      </c>
      <c r="AM15">
        <f t="shared" si="3"/>
        <v>80</v>
      </c>
      <c r="AN15">
        <f t="shared" si="4"/>
        <v>69</v>
      </c>
      <c r="AO15">
        <f t="shared" si="5"/>
        <v>59</v>
      </c>
      <c r="AP15">
        <f t="shared" si="6"/>
        <v>0</v>
      </c>
      <c r="AQ15">
        <f t="shared" si="7"/>
        <v>0</v>
      </c>
      <c r="AR15">
        <f t="shared" si="8"/>
        <v>0</v>
      </c>
      <c r="AS15">
        <f t="shared" si="9"/>
        <v>0</v>
      </c>
      <c r="AT15">
        <f t="shared" si="10"/>
        <v>0</v>
      </c>
      <c r="AU15">
        <f t="shared" si="11"/>
        <v>0</v>
      </c>
      <c r="AV15" t="str">
        <f t="shared" si="12"/>
        <v>nein</v>
      </c>
      <c r="AX15">
        <f>ELEMENT!$EH$65</f>
        <v>0</v>
      </c>
      <c r="AZ15">
        <f>ELEMENT!CU59</f>
        <v>0</v>
      </c>
      <c r="BA15">
        <v>30</v>
      </c>
      <c r="BB15">
        <v>67</v>
      </c>
      <c r="BC15">
        <v>66</v>
      </c>
      <c r="BD15">
        <v>97</v>
      </c>
      <c r="BE15">
        <v>89</v>
      </c>
      <c r="BF15">
        <f>BF16+AX19+10</f>
        <v>126.4</v>
      </c>
      <c r="BG15">
        <v>80</v>
      </c>
      <c r="BH15">
        <v>100</v>
      </c>
      <c r="BI15">
        <f>BI16*1.1</f>
        <v>204.60000000000002</v>
      </c>
      <c r="BJ15">
        <v>69</v>
      </c>
      <c r="BK15">
        <v>59</v>
      </c>
      <c r="BN15" t="s">
        <v>375</v>
      </c>
      <c r="BR15">
        <f>ELEMENT!CU59</f>
        <v>0</v>
      </c>
      <c r="BS15">
        <v>101</v>
      </c>
      <c r="BT15">
        <v>138</v>
      </c>
      <c r="BU15">
        <v>118</v>
      </c>
      <c r="CF15" t="s">
        <v>375</v>
      </c>
      <c r="CJ15" t="s">
        <v>78</v>
      </c>
      <c r="CK15">
        <v>30</v>
      </c>
      <c r="CL15">
        <v>67</v>
      </c>
      <c r="CM15">
        <v>66</v>
      </c>
      <c r="CN15">
        <v>97</v>
      </c>
      <c r="CO15">
        <v>80</v>
      </c>
      <c r="CP15">
        <v>69</v>
      </c>
      <c r="CQ15">
        <v>59</v>
      </c>
      <c r="CX15" t="s">
        <v>375</v>
      </c>
    </row>
    <row r="16" spans="19:103" x14ac:dyDescent="0.2">
      <c r="S16">
        <f>ELEMENT!BF16</f>
        <v>0</v>
      </c>
      <c r="T16">
        <v>15</v>
      </c>
      <c r="U16">
        <v>5.6499999999999995</v>
      </c>
      <c r="V16">
        <v>16.95</v>
      </c>
      <c r="W16">
        <v>5.6499999999999995</v>
      </c>
      <c r="X16">
        <v>37.29</v>
      </c>
      <c r="Y16">
        <v>154</v>
      </c>
      <c r="Z16">
        <v>28</v>
      </c>
      <c r="AA16">
        <v>0.39</v>
      </c>
      <c r="AB16">
        <v>1.64</v>
      </c>
      <c r="AH16">
        <f t="shared" si="13"/>
        <v>0</v>
      </c>
      <c r="AI16">
        <f t="shared" si="13"/>
        <v>0</v>
      </c>
      <c r="AJ16">
        <f t="shared" si="0"/>
        <v>0</v>
      </c>
      <c r="AK16">
        <f t="shared" si="1"/>
        <v>0</v>
      </c>
      <c r="AL16">
        <f t="shared" si="2"/>
        <v>0</v>
      </c>
      <c r="AM16">
        <f t="shared" si="3"/>
        <v>0</v>
      </c>
      <c r="AN16">
        <f t="shared" si="4"/>
        <v>0</v>
      </c>
      <c r="AO16">
        <f t="shared" si="5"/>
        <v>0</v>
      </c>
      <c r="AP16">
        <f t="shared" si="6"/>
        <v>0</v>
      </c>
      <c r="AQ16">
        <f t="shared" si="7"/>
        <v>0</v>
      </c>
      <c r="AR16">
        <f t="shared" si="8"/>
        <v>0</v>
      </c>
      <c r="AS16">
        <f t="shared" si="9"/>
        <v>0</v>
      </c>
      <c r="AT16">
        <f t="shared" si="10"/>
        <v>0</v>
      </c>
      <c r="AU16">
        <f t="shared" si="11"/>
        <v>0</v>
      </c>
      <c r="AV16">
        <f t="shared" si="12"/>
        <v>0</v>
      </c>
      <c r="AX16">
        <f>ELEMENT!$EH$64</f>
        <v>0</v>
      </c>
      <c r="AZ16">
        <f>ELEMENT!CU60</f>
        <v>0</v>
      </c>
      <c r="BA16">
        <v>8.09</v>
      </c>
      <c r="BB16">
        <v>50.18</v>
      </c>
      <c r="BC16">
        <v>37.229999999999997</v>
      </c>
      <c r="BD16">
        <v>77.7</v>
      </c>
      <c r="BE16">
        <f>BC16+BC3</f>
        <v>69.930000000000007</v>
      </c>
      <c r="BF16">
        <f>BD16+BC3</f>
        <v>110.4</v>
      </c>
      <c r="BG16">
        <v>53.42</v>
      </c>
      <c r="BH16">
        <f>BG16+BC3</f>
        <v>86.12</v>
      </c>
      <c r="BI16">
        <v>186</v>
      </c>
      <c r="BJ16">
        <v>-16.670000000000002</v>
      </c>
      <c r="BK16">
        <v>-26.38</v>
      </c>
      <c r="BR16" t="s">
        <v>1207</v>
      </c>
      <c r="BS16">
        <f>BE16+$BU$3</f>
        <v>81.93</v>
      </c>
      <c r="BT16">
        <f>BF16+$BU$3</f>
        <v>122.4</v>
      </c>
      <c r="BU16">
        <f>BH16+$BU$3</f>
        <v>98.12</v>
      </c>
    </row>
    <row r="17" spans="19:103" x14ac:dyDescent="0.2">
      <c r="S17">
        <f>ELEMENT!BF17</f>
        <v>0</v>
      </c>
      <c r="T17">
        <v>15</v>
      </c>
      <c r="U17">
        <v>5.6499999999999995</v>
      </c>
      <c r="V17">
        <v>28.249999999999996</v>
      </c>
      <c r="W17">
        <v>6.7799999999999994</v>
      </c>
      <c r="X17">
        <v>57.629999999999995</v>
      </c>
      <c r="Y17">
        <v>161</v>
      </c>
      <c r="Z17">
        <v>86</v>
      </c>
      <c r="AA17">
        <v>1.02</v>
      </c>
      <c r="AB17">
        <v>4.5199999999999996</v>
      </c>
      <c r="AH17" t="str">
        <f t="shared" si="13"/>
        <v>U-factor</v>
      </c>
      <c r="AI17">
        <f t="shared" si="13"/>
        <v>0.23</v>
      </c>
      <c r="AJ17">
        <f t="shared" si="0"/>
        <v>0.23</v>
      </c>
      <c r="AK17">
        <f t="shared" si="1"/>
        <v>0.22</v>
      </c>
      <c r="AL17">
        <f t="shared" si="2"/>
        <v>0.23</v>
      </c>
      <c r="AM17">
        <f t="shared" si="3"/>
        <v>0.22</v>
      </c>
      <c r="AN17">
        <f t="shared" si="4"/>
        <v>0.34</v>
      </c>
      <c r="AO17">
        <f t="shared" si="5"/>
        <v>0.33</v>
      </c>
      <c r="AP17">
        <f t="shared" si="6"/>
        <v>0</v>
      </c>
      <c r="AQ17">
        <f t="shared" si="7"/>
        <v>0</v>
      </c>
      <c r="AR17">
        <f t="shared" si="8"/>
        <v>0</v>
      </c>
      <c r="AS17">
        <f t="shared" si="9"/>
        <v>0</v>
      </c>
      <c r="AT17">
        <f t="shared" si="10"/>
        <v>0</v>
      </c>
      <c r="AU17">
        <f t="shared" si="11"/>
        <v>0</v>
      </c>
      <c r="AV17" t="str">
        <f t="shared" si="12"/>
        <v xml:space="preserve">S+ </v>
      </c>
      <c r="AX17" t="s">
        <v>735</v>
      </c>
      <c r="AZ17">
        <f>ELEMENT!CU61</f>
        <v>0</v>
      </c>
      <c r="BA17">
        <v>0.5</v>
      </c>
      <c r="BB17">
        <v>0.6</v>
      </c>
      <c r="BC17">
        <v>0.5</v>
      </c>
      <c r="BD17">
        <v>0.6</v>
      </c>
      <c r="BE17">
        <v>0.5</v>
      </c>
      <c r="BF17">
        <v>0.6</v>
      </c>
      <c r="BG17">
        <v>0.6</v>
      </c>
      <c r="BH17">
        <v>0.6</v>
      </c>
      <c r="BI17">
        <v>0.5</v>
      </c>
      <c r="BN17" t="s">
        <v>789</v>
      </c>
      <c r="BO17" t="s">
        <v>724</v>
      </c>
      <c r="BR17">
        <f>ELEMENT!CU61</f>
        <v>0</v>
      </c>
      <c r="BS17">
        <v>0.5</v>
      </c>
      <c r="BT17">
        <v>0.6</v>
      </c>
      <c r="BU17">
        <v>0.6</v>
      </c>
      <c r="CF17" t="s">
        <v>789</v>
      </c>
      <c r="CG17" t="s">
        <v>724</v>
      </c>
      <c r="CJ17" t="s">
        <v>1138</v>
      </c>
      <c r="CK17">
        <v>0.23</v>
      </c>
      <c r="CL17">
        <v>0.23</v>
      </c>
      <c r="CM17">
        <v>0.22</v>
      </c>
      <c r="CN17">
        <v>0.23</v>
      </c>
      <c r="CO17">
        <v>0.22</v>
      </c>
      <c r="CP17">
        <v>0.34</v>
      </c>
      <c r="CQ17">
        <v>0.33</v>
      </c>
      <c r="CX17" t="s">
        <v>789</v>
      </c>
      <c r="CY17" t="s">
        <v>724</v>
      </c>
    </row>
    <row r="18" spans="19:103" x14ac:dyDescent="0.2">
      <c r="S18">
        <f>ELEMENT!BF18</f>
        <v>0</v>
      </c>
      <c r="U18">
        <v>0</v>
      </c>
      <c r="V18">
        <v>0</v>
      </c>
      <c r="W18">
        <v>0</v>
      </c>
      <c r="X18">
        <v>0</v>
      </c>
      <c r="Y18">
        <v>0</v>
      </c>
      <c r="AH18" t="str">
        <f t="shared" si="13"/>
        <v>weight</v>
      </c>
      <c r="AI18">
        <f t="shared" si="13"/>
        <v>45</v>
      </c>
      <c r="AJ18">
        <f t="shared" si="0"/>
        <v>60</v>
      </c>
      <c r="AK18">
        <f t="shared" si="1"/>
        <v>51.9</v>
      </c>
      <c r="AL18">
        <f t="shared" si="2"/>
        <v>61.9</v>
      </c>
      <c r="AM18">
        <f t="shared" si="3"/>
        <v>61.9</v>
      </c>
      <c r="AN18">
        <f t="shared" si="4"/>
        <v>50</v>
      </c>
      <c r="AO18">
        <f t="shared" si="5"/>
        <v>66.900000000000006</v>
      </c>
      <c r="AP18">
        <f t="shared" si="6"/>
        <v>0</v>
      </c>
      <c r="AQ18">
        <f t="shared" si="7"/>
        <v>0</v>
      </c>
      <c r="AR18">
        <f t="shared" si="8"/>
        <v>0</v>
      </c>
      <c r="AS18">
        <f t="shared" si="9"/>
        <v>0</v>
      </c>
      <c r="AT18">
        <f t="shared" si="10"/>
        <v>0</v>
      </c>
      <c r="AU18">
        <f t="shared" si="11"/>
        <v>0</v>
      </c>
      <c r="AV18">
        <f t="shared" si="12"/>
        <v>0</v>
      </c>
      <c r="AX18" t="s">
        <v>1198</v>
      </c>
      <c r="AZ18">
        <f>ELEMENT!CU62</f>
        <v>0</v>
      </c>
      <c r="BA18">
        <v>45</v>
      </c>
      <c r="BB18">
        <v>60</v>
      </c>
      <c r="BC18">
        <v>51.9</v>
      </c>
      <c r="BD18">
        <v>61.9</v>
      </c>
      <c r="BE18">
        <v>51.9</v>
      </c>
      <c r="BF18">
        <v>61.9</v>
      </c>
      <c r="BG18">
        <v>61.9</v>
      </c>
      <c r="BH18">
        <v>61.9</v>
      </c>
      <c r="BI18">
        <v>68.8</v>
      </c>
      <c r="BO18" t="s">
        <v>726</v>
      </c>
      <c r="BR18">
        <f>ELEMENT!CU62</f>
        <v>0</v>
      </c>
      <c r="BS18">
        <v>51.9</v>
      </c>
      <c r="BT18">
        <v>61.9</v>
      </c>
      <c r="BU18">
        <v>61.9</v>
      </c>
      <c r="CG18" t="s">
        <v>726</v>
      </c>
      <c r="CJ18" t="s">
        <v>1139</v>
      </c>
      <c r="CK18">
        <v>45</v>
      </c>
      <c r="CL18">
        <v>60</v>
      </c>
      <c r="CM18">
        <v>51.9</v>
      </c>
      <c r="CN18">
        <v>61.9</v>
      </c>
      <c r="CO18">
        <v>61.9</v>
      </c>
      <c r="CP18">
        <v>50</v>
      </c>
      <c r="CQ18">
        <v>66.900000000000006</v>
      </c>
      <c r="CY18" t="s">
        <v>1157</v>
      </c>
    </row>
    <row r="19" spans="19:103" x14ac:dyDescent="0.2">
      <c r="S19">
        <f>ELEMENT!BF19</f>
        <v>0</v>
      </c>
      <c r="T19">
        <v>15</v>
      </c>
      <c r="U19">
        <v>5.6499999999999995</v>
      </c>
      <c r="V19">
        <v>28.249999999999996</v>
      </c>
      <c r="W19">
        <v>11.299999999999999</v>
      </c>
      <c r="X19">
        <v>36.724999999999994</v>
      </c>
      <c r="Y19">
        <v>17</v>
      </c>
      <c r="Z19">
        <v>74</v>
      </c>
      <c r="AA19">
        <v>0.51239999999999997</v>
      </c>
      <c r="AB19">
        <v>1.99</v>
      </c>
      <c r="AH19" t="str">
        <f t="shared" si="13"/>
        <v>SHGC / VT</v>
      </c>
      <c r="AI19" t="str">
        <f t="shared" si="13"/>
        <v>0.29 / 0.46</v>
      </c>
      <c r="AJ19" t="str">
        <f t="shared" si="0"/>
        <v>0.28 / 0.46</v>
      </c>
      <c r="AK19" t="str">
        <f t="shared" si="1"/>
        <v>0.29 / 0.45</v>
      </c>
      <c r="AL19" t="str">
        <f t="shared" si="2"/>
        <v>0.28 / 0.45</v>
      </c>
      <c r="AM19" t="str">
        <f t="shared" si="3"/>
        <v>0.23 / 0.45</v>
      </c>
      <c r="AN19" t="str">
        <f t="shared" si="4"/>
        <v>0.26 / 0.51</v>
      </c>
      <c r="AO19" t="str">
        <f t="shared" si="5"/>
        <v>0.26 / 0.5</v>
      </c>
      <c r="AP19">
        <f t="shared" si="6"/>
        <v>0</v>
      </c>
      <c r="AQ19">
        <f t="shared" si="7"/>
        <v>0</v>
      </c>
      <c r="AR19">
        <f t="shared" si="8"/>
        <v>0</v>
      </c>
      <c r="AS19">
        <f t="shared" si="9"/>
        <v>0</v>
      </c>
      <c r="AT19">
        <f t="shared" si="10"/>
        <v>0</v>
      </c>
      <c r="AU19">
        <f t="shared" si="11"/>
        <v>0</v>
      </c>
      <c r="AV19">
        <f t="shared" si="12"/>
        <v>0</v>
      </c>
      <c r="AX19">
        <v>6</v>
      </c>
      <c r="AY19" t="s">
        <v>751</v>
      </c>
      <c r="AZ19">
        <f>ELEMENT!CU63</f>
        <v>0</v>
      </c>
      <c r="BA19" t="s">
        <v>1215</v>
      </c>
      <c r="BB19" t="s">
        <v>1216</v>
      </c>
      <c r="BC19" t="s">
        <v>1217</v>
      </c>
      <c r="BD19" t="s">
        <v>1218</v>
      </c>
      <c r="BE19" t="s">
        <v>1217</v>
      </c>
      <c r="BF19" t="s">
        <v>1218</v>
      </c>
      <c r="BG19" t="s">
        <v>1219</v>
      </c>
      <c r="BH19" t="s">
        <v>1219</v>
      </c>
      <c r="BI19" t="s">
        <v>1220</v>
      </c>
      <c r="BR19">
        <f>ELEMENT!CU63</f>
        <v>0</v>
      </c>
      <c r="BS19" t="s">
        <v>1217</v>
      </c>
      <c r="BT19" t="s">
        <v>1218</v>
      </c>
      <c r="BU19" t="s">
        <v>1219</v>
      </c>
      <c r="CG19" t="s">
        <v>750</v>
      </c>
      <c r="CJ19" t="s">
        <v>1141</v>
      </c>
      <c r="CK19" t="s">
        <v>1158</v>
      </c>
      <c r="CL19" t="s">
        <v>1159</v>
      </c>
      <c r="CM19" t="s">
        <v>1160</v>
      </c>
      <c r="CN19" t="s">
        <v>1161</v>
      </c>
      <c r="CO19" t="s">
        <v>1162</v>
      </c>
      <c r="CP19" t="s">
        <v>1163</v>
      </c>
      <c r="CQ19" t="s">
        <v>1164</v>
      </c>
      <c r="CY19" t="s">
        <v>1165</v>
      </c>
    </row>
    <row r="20" spans="19:103" x14ac:dyDescent="0.2">
      <c r="S20">
        <f>ELEMENT!BF20</f>
        <v>0</v>
      </c>
      <c r="U20">
        <v>0</v>
      </c>
      <c r="V20">
        <v>0</v>
      </c>
      <c r="W20">
        <v>0</v>
      </c>
      <c r="X20">
        <v>0</v>
      </c>
      <c r="AH20" t="str">
        <f t="shared" si="13"/>
        <v>Mehrpreis</v>
      </c>
      <c r="AI20">
        <f t="shared" si="13"/>
        <v>48.09</v>
      </c>
      <c r="AJ20">
        <f t="shared" si="0"/>
        <v>83.7</v>
      </c>
      <c r="AK20">
        <f t="shared" si="1"/>
        <v>77.23</v>
      </c>
      <c r="AL20">
        <f t="shared" si="2"/>
        <v>111.22</v>
      </c>
      <c r="AM20">
        <f t="shared" si="3"/>
        <v>93.42</v>
      </c>
      <c r="AN20">
        <f t="shared" si="4"/>
        <v>167.39</v>
      </c>
      <c r="AO20">
        <f t="shared" si="5"/>
        <v>217.86</v>
      </c>
      <c r="AP20">
        <f t="shared" si="6"/>
        <v>0</v>
      </c>
      <c r="AQ20">
        <f t="shared" si="7"/>
        <v>0</v>
      </c>
      <c r="AR20">
        <f t="shared" si="8"/>
        <v>0</v>
      </c>
      <c r="AS20">
        <f t="shared" si="9"/>
        <v>0</v>
      </c>
      <c r="AT20">
        <f t="shared" si="10"/>
        <v>0</v>
      </c>
      <c r="AU20">
        <f t="shared" si="11"/>
        <v>0</v>
      </c>
      <c r="AV20">
        <f t="shared" si="12"/>
        <v>0</v>
      </c>
      <c r="AX20">
        <f>ELEMENT!$EH$65</f>
        <v>0</v>
      </c>
      <c r="AZ20">
        <f>ELEMENT!CU64</f>
        <v>0</v>
      </c>
      <c r="BA20">
        <f>BA21+$AX$19</f>
        <v>48.09</v>
      </c>
      <c r="BB20">
        <f t="shared" ref="BB20:BH20" si="14">BB21+$AX$19</f>
        <v>83.7</v>
      </c>
      <c r="BC20">
        <f t="shared" si="14"/>
        <v>77.23</v>
      </c>
      <c r="BD20">
        <f t="shared" si="14"/>
        <v>111.22</v>
      </c>
      <c r="BE20">
        <f t="shared" si="14"/>
        <v>109.93</v>
      </c>
      <c r="BF20">
        <f>BF21+AX19</f>
        <v>143.92000000000002</v>
      </c>
      <c r="BG20">
        <f t="shared" si="14"/>
        <v>93.42</v>
      </c>
      <c r="BH20">
        <f t="shared" si="14"/>
        <v>126.12</v>
      </c>
      <c r="BI20">
        <f>BI21*1.1</f>
        <v>242.00000000000003</v>
      </c>
      <c r="BJ20" t="s">
        <v>1221</v>
      </c>
      <c r="BK20" t="s">
        <v>1221</v>
      </c>
      <c r="BO20" t="s">
        <v>906</v>
      </c>
      <c r="BR20">
        <f>ELEMENT!CU64</f>
        <v>0</v>
      </c>
      <c r="BS20">
        <v>122</v>
      </c>
      <c r="BT20">
        <v>156</v>
      </c>
      <c r="BU20">
        <v>138</v>
      </c>
      <c r="CG20" t="s">
        <v>906</v>
      </c>
      <c r="CJ20" t="s">
        <v>78</v>
      </c>
      <c r="CK20">
        <v>48.09</v>
      </c>
      <c r="CL20">
        <v>83.7</v>
      </c>
      <c r="CM20">
        <v>77.23</v>
      </c>
      <c r="CN20">
        <v>111.22</v>
      </c>
      <c r="CO20">
        <v>93.42</v>
      </c>
      <c r="CP20">
        <v>167.39</v>
      </c>
      <c r="CQ20">
        <v>217.86</v>
      </c>
    </row>
    <row r="21" spans="19:103" x14ac:dyDescent="0.2">
      <c r="S21">
        <f>ELEMENT!BF21</f>
        <v>0</v>
      </c>
      <c r="U21">
        <v>0</v>
      </c>
      <c r="V21">
        <v>0</v>
      </c>
      <c r="W21">
        <v>0</v>
      </c>
      <c r="X21">
        <v>0</v>
      </c>
      <c r="AH21">
        <f t="shared" si="13"/>
        <v>0</v>
      </c>
      <c r="AI21">
        <f t="shared" si="13"/>
        <v>0</v>
      </c>
      <c r="AJ21">
        <f t="shared" si="0"/>
        <v>0</v>
      </c>
      <c r="AK21">
        <f t="shared" si="1"/>
        <v>0</v>
      </c>
      <c r="AL21">
        <f t="shared" si="2"/>
        <v>0</v>
      </c>
      <c r="AM21">
        <f t="shared" si="3"/>
        <v>0</v>
      </c>
      <c r="AN21">
        <f t="shared" si="4"/>
        <v>0</v>
      </c>
      <c r="AO21">
        <f t="shared" si="5"/>
        <v>0</v>
      </c>
      <c r="AP21">
        <f t="shared" si="6"/>
        <v>0</v>
      </c>
      <c r="AQ21">
        <f t="shared" si="7"/>
        <v>0</v>
      </c>
      <c r="AR21">
        <f t="shared" si="8"/>
        <v>0</v>
      </c>
      <c r="AS21">
        <f t="shared" si="9"/>
        <v>0</v>
      </c>
      <c r="AT21">
        <f t="shared" si="10"/>
        <v>0</v>
      </c>
      <c r="AU21">
        <f t="shared" si="11"/>
        <v>0</v>
      </c>
      <c r="AV21">
        <f t="shared" si="12"/>
        <v>0</v>
      </c>
      <c r="AX21">
        <f>ELEMENT!$EH$64</f>
        <v>0</v>
      </c>
      <c r="AZ21">
        <f>ELEMENT!CU65</f>
        <v>0</v>
      </c>
      <c r="BA21">
        <v>42.09</v>
      </c>
      <c r="BB21">
        <v>77.7</v>
      </c>
      <c r="BC21">
        <v>71.23</v>
      </c>
      <c r="BD21">
        <v>105.22</v>
      </c>
      <c r="BE21">
        <f>BC21+BC3</f>
        <v>103.93</v>
      </c>
      <c r="BF21">
        <f>BD21+BC3</f>
        <v>137.92000000000002</v>
      </c>
      <c r="BG21">
        <v>87.42</v>
      </c>
      <c r="BH21">
        <f>BG21+BC3</f>
        <v>120.12</v>
      </c>
      <c r="BI21">
        <v>220</v>
      </c>
      <c r="BJ21" t="s">
        <v>1222</v>
      </c>
      <c r="BK21" t="s">
        <v>1222</v>
      </c>
      <c r="BO21" t="s">
        <v>1223</v>
      </c>
      <c r="BR21" t="s">
        <v>1207</v>
      </c>
      <c r="BS21">
        <f>BE21+$BU$3</f>
        <v>115.93</v>
      </c>
      <c r="BT21">
        <f>BF21+$BU$3</f>
        <v>149.92000000000002</v>
      </c>
      <c r="BU21">
        <f>BH21+$BU$3</f>
        <v>132.12</v>
      </c>
    </row>
    <row r="22" spans="19:103" x14ac:dyDescent="0.2">
      <c r="S22">
        <f>ELEMENT!BF22</f>
        <v>0</v>
      </c>
      <c r="U22">
        <v>0</v>
      </c>
      <c r="V22">
        <v>0</v>
      </c>
      <c r="W22">
        <v>0</v>
      </c>
      <c r="X22">
        <v>0</v>
      </c>
      <c r="AH22" t="str">
        <f t="shared" si="13"/>
        <v>U-factor</v>
      </c>
      <c r="AI22">
        <f t="shared" si="13"/>
        <v>0.23</v>
      </c>
      <c r="AJ22">
        <f t="shared" si="0"/>
        <v>0.23</v>
      </c>
      <c r="AK22">
        <f t="shared" si="1"/>
        <v>0.23</v>
      </c>
      <c r="AL22">
        <f t="shared" si="2"/>
        <v>0.23</v>
      </c>
      <c r="AM22">
        <f t="shared" si="3"/>
        <v>0.22</v>
      </c>
      <c r="AN22">
        <f t="shared" si="4"/>
        <v>0.34</v>
      </c>
      <c r="AO22">
        <f t="shared" si="5"/>
        <v>0.33</v>
      </c>
      <c r="AP22">
        <f t="shared" si="6"/>
        <v>0</v>
      </c>
      <c r="AQ22">
        <f t="shared" si="7"/>
        <v>0</v>
      </c>
      <c r="AR22">
        <f t="shared" si="8"/>
        <v>0</v>
      </c>
      <c r="AS22">
        <f t="shared" si="9"/>
        <v>0</v>
      </c>
      <c r="AT22">
        <f t="shared" si="10"/>
        <v>0</v>
      </c>
      <c r="AU22">
        <f t="shared" si="11"/>
        <v>0</v>
      </c>
      <c r="AV22" t="str">
        <f t="shared" si="12"/>
        <v>S+ dark</v>
      </c>
      <c r="AX22" t="s">
        <v>735</v>
      </c>
      <c r="AZ22">
        <f>ELEMENT!CU66</f>
        <v>0</v>
      </c>
      <c r="BR22">
        <f>ELEMENT!CU66</f>
        <v>0</v>
      </c>
      <c r="CJ22" t="s">
        <v>1138</v>
      </c>
      <c r="CK22">
        <v>0.23</v>
      </c>
      <c r="CL22">
        <v>0.23</v>
      </c>
      <c r="CM22">
        <v>0.23</v>
      </c>
      <c r="CN22">
        <v>0.23</v>
      </c>
      <c r="CO22">
        <v>0.22</v>
      </c>
      <c r="CP22">
        <v>0.34</v>
      </c>
      <c r="CQ22">
        <v>0.33</v>
      </c>
      <c r="CX22" t="s">
        <v>1224</v>
      </c>
      <c r="CY22" t="s">
        <v>1166</v>
      </c>
    </row>
    <row r="23" spans="19:103" x14ac:dyDescent="0.2">
      <c r="S23">
        <f>ELEMENT!BF23</f>
        <v>0</v>
      </c>
      <c r="T23">
        <v>15</v>
      </c>
      <c r="U23">
        <v>22.599999999999998</v>
      </c>
      <c r="V23">
        <v>101.69999999999999</v>
      </c>
      <c r="W23">
        <v>5.6499999999999995</v>
      </c>
      <c r="X23">
        <v>71.19</v>
      </c>
      <c r="Y23">
        <v>193</v>
      </c>
      <c r="Z23">
        <v>79</v>
      </c>
      <c r="AA23">
        <v>0.89</v>
      </c>
      <c r="AB23">
        <v>5.46</v>
      </c>
      <c r="AH23" t="str">
        <f t="shared" si="13"/>
        <v>weight</v>
      </c>
      <c r="AI23">
        <f t="shared" si="13"/>
        <v>45</v>
      </c>
      <c r="AJ23">
        <f t="shared" si="0"/>
        <v>60</v>
      </c>
      <c r="AK23">
        <f t="shared" si="1"/>
        <v>51.9</v>
      </c>
      <c r="AL23">
        <f t="shared" si="2"/>
        <v>61.9</v>
      </c>
      <c r="AM23">
        <f t="shared" si="3"/>
        <v>61.9</v>
      </c>
      <c r="AN23">
        <f t="shared" si="4"/>
        <v>50</v>
      </c>
      <c r="AO23">
        <f t="shared" si="5"/>
        <v>66.900000000000006</v>
      </c>
      <c r="AP23">
        <f t="shared" si="6"/>
        <v>0</v>
      </c>
      <c r="AQ23">
        <f t="shared" si="7"/>
        <v>0</v>
      </c>
      <c r="AR23">
        <f t="shared" si="8"/>
        <v>0</v>
      </c>
      <c r="AS23">
        <f t="shared" si="9"/>
        <v>0</v>
      </c>
      <c r="AT23">
        <f t="shared" si="10"/>
        <v>0</v>
      </c>
      <c r="AU23">
        <f t="shared" si="11"/>
        <v>0</v>
      </c>
      <c r="AV23">
        <f t="shared" si="12"/>
        <v>0</v>
      </c>
      <c r="AZ23">
        <f>ELEMENT!CU67</f>
        <v>0</v>
      </c>
      <c r="BR23">
        <f>ELEMENT!CU67</f>
        <v>0</v>
      </c>
      <c r="CJ23" t="s">
        <v>1139</v>
      </c>
      <c r="CK23">
        <v>45</v>
      </c>
      <c r="CL23">
        <v>60</v>
      </c>
      <c r="CM23">
        <v>51.9</v>
      </c>
      <c r="CN23">
        <v>61.9</v>
      </c>
      <c r="CO23">
        <v>61.9</v>
      </c>
      <c r="CP23">
        <v>50</v>
      </c>
      <c r="CQ23">
        <v>66.900000000000006</v>
      </c>
      <c r="CY23" t="s">
        <v>1167</v>
      </c>
    </row>
    <row r="24" spans="19:103" x14ac:dyDescent="0.2">
      <c r="S24">
        <f>ELEMENT!BF24</f>
        <v>0</v>
      </c>
      <c r="T24">
        <v>15</v>
      </c>
      <c r="U24">
        <v>11.299999999999999</v>
      </c>
      <c r="V24">
        <v>16.95</v>
      </c>
      <c r="W24">
        <v>5.6499999999999995</v>
      </c>
      <c r="X24">
        <v>37.29</v>
      </c>
      <c r="Y24">
        <v>154</v>
      </c>
      <c r="Z24">
        <v>28</v>
      </c>
      <c r="AA24">
        <v>0.39</v>
      </c>
      <c r="AB24">
        <v>1.64</v>
      </c>
      <c r="AH24" t="str">
        <f t="shared" si="13"/>
        <v>SHGC / VT</v>
      </c>
      <c r="AI24" t="str">
        <f t="shared" si="13"/>
        <v>0.26 / 0.38</v>
      </c>
      <c r="AJ24" t="str">
        <f t="shared" si="0"/>
        <v>0.26 / 0.37</v>
      </c>
      <c r="AK24" t="str">
        <f t="shared" si="1"/>
        <v>0.26 / 0.37</v>
      </c>
      <c r="AL24" t="str">
        <f t="shared" si="2"/>
        <v>0.26 / 0.36</v>
      </c>
      <c r="AM24" t="str">
        <f t="shared" si="3"/>
        <v>0.19 / 0.37</v>
      </c>
      <c r="AN24" t="str">
        <f t="shared" si="4"/>
        <v>0.22 / 0.42</v>
      </c>
      <c r="AO24" t="str">
        <f t="shared" si="5"/>
        <v>0.22 / 0.40</v>
      </c>
      <c r="AP24">
        <f t="shared" si="6"/>
        <v>0</v>
      </c>
      <c r="AQ24">
        <f t="shared" si="7"/>
        <v>0</v>
      </c>
      <c r="AR24">
        <f t="shared" si="8"/>
        <v>0</v>
      </c>
      <c r="AS24">
        <f t="shared" si="9"/>
        <v>0</v>
      </c>
      <c r="AT24">
        <f t="shared" si="10"/>
        <v>0</v>
      </c>
      <c r="AU24">
        <f t="shared" si="11"/>
        <v>0</v>
      </c>
      <c r="AV24">
        <f t="shared" si="12"/>
        <v>0</v>
      </c>
      <c r="AZ24">
        <f>ELEMENT!CU68</f>
        <v>0</v>
      </c>
      <c r="BR24">
        <f>ELEMENT!CU68</f>
        <v>0</v>
      </c>
      <c r="CJ24" t="s">
        <v>1141</v>
      </c>
      <c r="CK24" t="s">
        <v>1168</v>
      </c>
      <c r="CL24" t="s">
        <v>1169</v>
      </c>
      <c r="CM24" t="s">
        <v>1169</v>
      </c>
      <c r="CN24" t="s">
        <v>1170</v>
      </c>
      <c r="CO24" t="s">
        <v>1171</v>
      </c>
      <c r="CP24" t="s">
        <v>1172</v>
      </c>
      <c r="CQ24" t="s">
        <v>1173</v>
      </c>
      <c r="CY24" t="s">
        <v>1174</v>
      </c>
    </row>
    <row r="25" spans="19:103" x14ac:dyDescent="0.2">
      <c r="S25">
        <f>ELEMENT!BF25</f>
        <v>0</v>
      </c>
      <c r="T25">
        <v>15</v>
      </c>
      <c r="U25">
        <v>11.299999999999999</v>
      </c>
      <c r="V25">
        <v>28.249999999999996</v>
      </c>
      <c r="W25">
        <v>6.7799999999999994</v>
      </c>
      <c r="X25">
        <v>77.97</v>
      </c>
      <c r="Y25">
        <v>179</v>
      </c>
      <c r="Z25">
        <v>129</v>
      </c>
      <c r="AA25">
        <v>1.2</v>
      </c>
      <c r="AB25">
        <v>11.6</v>
      </c>
      <c r="AH25" t="str">
        <f t="shared" si="13"/>
        <v>Mehrpreis</v>
      </c>
      <c r="AI25">
        <f t="shared" si="13"/>
        <v>188.46</v>
      </c>
      <c r="AJ25">
        <f t="shared" si="0"/>
        <v>246.68</v>
      </c>
      <c r="AK25">
        <f t="shared" si="1"/>
        <v>192.89</v>
      </c>
      <c r="AL25">
        <f t="shared" si="2"/>
        <v>238.7</v>
      </c>
      <c r="AM25">
        <f t="shared" si="3"/>
        <v>277.83</v>
      </c>
      <c r="AN25">
        <f t="shared" si="4"/>
        <v>167.39</v>
      </c>
      <c r="AO25">
        <f t="shared" si="5"/>
        <v>217.86</v>
      </c>
      <c r="AP25">
        <f t="shared" si="6"/>
        <v>0</v>
      </c>
      <c r="AQ25">
        <f t="shared" si="7"/>
        <v>0</v>
      </c>
      <c r="AR25">
        <f t="shared" si="8"/>
        <v>0</v>
      </c>
      <c r="AS25">
        <f t="shared" si="9"/>
        <v>0</v>
      </c>
      <c r="AT25">
        <f t="shared" si="10"/>
        <v>0</v>
      </c>
      <c r="AU25">
        <f t="shared" si="11"/>
        <v>0</v>
      </c>
      <c r="AV25">
        <f t="shared" si="12"/>
        <v>0</v>
      </c>
      <c r="AZ25">
        <f>ELEMENT!CU69</f>
        <v>0</v>
      </c>
      <c r="BR25">
        <f>ELEMENT!CU69</f>
        <v>0</v>
      </c>
      <c r="CJ25" t="s">
        <v>78</v>
      </c>
      <c r="CK25">
        <v>188.46</v>
      </c>
      <c r="CL25">
        <v>246.68</v>
      </c>
      <c r="CM25">
        <v>192.89</v>
      </c>
      <c r="CN25">
        <v>238.7</v>
      </c>
      <c r="CO25">
        <v>277.83</v>
      </c>
      <c r="CP25">
        <v>167.39</v>
      </c>
      <c r="CQ25">
        <v>217.86</v>
      </c>
      <c r="CY25" t="s">
        <v>1225</v>
      </c>
    </row>
    <row r="26" spans="19:103" x14ac:dyDescent="0.2">
      <c r="S26">
        <f>ELEMENT!BF26</f>
        <v>0</v>
      </c>
      <c r="U26">
        <v>0</v>
      </c>
      <c r="V26">
        <v>0</v>
      </c>
      <c r="W26">
        <v>0</v>
      </c>
      <c r="X26">
        <v>0</v>
      </c>
      <c r="AH26">
        <f t="shared" si="13"/>
        <v>0</v>
      </c>
      <c r="AI26">
        <f t="shared" si="13"/>
        <v>0</v>
      </c>
      <c r="AJ26">
        <f t="shared" si="0"/>
        <v>0</v>
      </c>
      <c r="AK26">
        <f t="shared" si="1"/>
        <v>0</v>
      </c>
      <c r="AL26">
        <f t="shared" si="2"/>
        <v>0</v>
      </c>
      <c r="AM26">
        <f t="shared" si="3"/>
        <v>0</v>
      </c>
      <c r="AN26">
        <f t="shared" si="4"/>
        <v>0</v>
      </c>
      <c r="AO26">
        <f t="shared" si="5"/>
        <v>0</v>
      </c>
      <c r="AP26">
        <f t="shared" si="6"/>
        <v>0</v>
      </c>
      <c r="AQ26">
        <f t="shared" si="7"/>
        <v>0</v>
      </c>
      <c r="AR26">
        <f t="shared" si="8"/>
        <v>0</v>
      </c>
      <c r="AS26">
        <f t="shared" si="9"/>
        <v>0</v>
      </c>
      <c r="AT26">
        <f t="shared" si="10"/>
        <v>0</v>
      </c>
      <c r="AU26">
        <f t="shared" si="11"/>
        <v>0</v>
      </c>
      <c r="AV26">
        <f t="shared" si="12"/>
        <v>0</v>
      </c>
      <c r="AZ26">
        <f>ELEMENT!CU70</f>
        <v>0</v>
      </c>
      <c r="BR26">
        <f>ELEMENT!CU70</f>
        <v>0</v>
      </c>
    </row>
    <row r="27" spans="19:103" x14ac:dyDescent="0.2">
      <c r="S27">
        <f>ELEMENT!BF27</f>
        <v>0</v>
      </c>
      <c r="T27">
        <v>15</v>
      </c>
      <c r="U27">
        <v>11.299999999999999</v>
      </c>
      <c r="V27">
        <v>39.549999999999997</v>
      </c>
      <c r="W27">
        <v>16.95</v>
      </c>
      <c r="X27">
        <v>56.499999999999993</v>
      </c>
      <c r="Y27">
        <v>29</v>
      </c>
      <c r="Z27">
        <v>76</v>
      </c>
      <c r="AA27">
        <v>0.76</v>
      </c>
      <c r="AB27">
        <v>9.8000000000000007</v>
      </c>
      <c r="AH27" t="str">
        <f t="shared" si="13"/>
        <v>U-factor</v>
      </c>
      <c r="AI27">
        <f t="shared" si="13"/>
        <v>0</v>
      </c>
      <c r="AJ27">
        <f t="shared" si="0"/>
        <v>0</v>
      </c>
      <c r="AK27">
        <f t="shared" si="1"/>
        <v>0</v>
      </c>
      <c r="AL27">
        <f t="shared" si="2"/>
        <v>0</v>
      </c>
      <c r="AM27">
        <f t="shared" si="3"/>
        <v>0</v>
      </c>
      <c r="AN27">
        <f t="shared" si="4"/>
        <v>0</v>
      </c>
      <c r="AO27">
        <f t="shared" si="5"/>
        <v>0</v>
      </c>
      <c r="AP27">
        <f t="shared" si="6"/>
        <v>0</v>
      </c>
      <c r="AQ27">
        <f t="shared" si="7"/>
        <v>0</v>
      </c>
      <c r="AR27">
        <f t="shared" si="8"/>
        <v>0</v>
      </c>
      <c r="AS27">
        <f t="shared" si="9"/>
        <v>0</v>
      </c>
      <c r="AT27">
        <f t="shared" si="10"/>
        <v>0</v>
      </c>
      <c r="AU27">
        <f t="shared" si="11"/>
        <v>0</v>
      </c>
      <c r="AV27">
        <f t="shared" si="12"/>
        <v>0</v>
      </c>
      <c r="AZ27">
        <f>ELEMENT!CU71</f>
        <v>0</v>
      </c>
      <c r="BR27">
        <f>ELEMENT!CU71</f>
        <v>0</v>
      </c>
      <c r="CJ27" t="s">
        <v>1138</v>
      </c>
    </row>
    <row r="28" spans="19:103" x14ac:dyDescent="0.2">
      <c r="S28">
        <f>ELEMENT!BF28</f>
        <v>0</v>
      </c>
      <c r="AH28" t="str">
        <f t="shared" si="13"/>
        <v>weight</v>
      </c>
      <c r="AI28">
        <f t="shared" si="13"/>
        <v>0</v>
      </c>
      <c r="AJ28">
        <f t="shared" si="0"/>
        <v>0</v>
      </c>
      <c r="AK28">
        <f t="shared" si="1"/>
        <v>0</v>
      </c>
      <c r="AL28">
        <f t="shared" si="2"/>
        <v>0</v>
      </c>
      <c r="AM28">
        <f t="shared" si="3"/>
        <v>0</v>
      </c>
      <c r="AN28">
        <f t="shared" si="4"/>
        <v>0</v>
      </c>
      <c r="AO28">
        <f t="shared" si="5"/>
        <v>0</v>
      </c>
      <c r="AP28">
        <f t="shared" si="6"/>
        <v>0</v>
      </c>
      <c r="AQ28">
        <f t="shared" si="7"/>
        <v>0</v>
      </c>
      <c r="AR28">
        <f t="shared" si="8"/>
        <v>0</v>
      </c>
      <c r="AS28">
        <f t="shared" si="9"/>
        <v>0</v>
      </c>
      <c r="AT28">
        <f t="shared" si="10"/>
        <v>0</v>
      </c>
      <c r="AU28">
        <f t="shared" si="11"/>
        <v>0</v>
      </c>
      <c r="AV28">
        <f t="shared" si="12"/>
        <v>0</v>
      </c>
      <c r="AZ28">
        <f>ELEMENT!CU72</f>
        <v>0</v>
      </c>
      <c r="BR28">
        <f>ELEMENT!CU72</f>
        <v>0</v>
      </c>
      <c r="CJ28" t="s">
        <v>1139</v>
      </c>
    </row>
    <row r="29" spans="19:103" x14ac:dyDescent="0.2">
      <c r="S29">
        <f>ELEMENT!BF29</f>
        <v>0</v>
      </c>
      <c r="AH29" t="str">
        <f t="shared" si="13"/>
        <v>SHGC / VT</v>
      </c>
      <c r="AI29">
        <f t="shared" si="13"/>
        <v>0</v>
      </c>
      <c r="AJ29">
        <f t="shared" si="0"/>
        <v>0</v>
      </c>
      <c r="AK29">
        <f t="shared" si="1"/>
        <v>0</v>
      </c>
      <c r="AL29">
        <f t="shared" si="2"/>
        <v>0</v>
      </c>
      <c r="AM29">
        <f t="shared" si="3"/>
        <v>0</v>
      </c>
      <c r="AN29">
        <f t="shared" si="4"/>
        <v>0</v>
      </c>
      <c r="AO29">
        <f t="shared" si="5"/>
        <v>0</v>
      </c>
      <c r="AP29">
        <f t="shared" si="6"/>
        <v>0</v>
      </c>
      <c r="AQ29">
        <f t="shared" si="7"/>
        <v>0</v>
      </c>
      <c r="AR29">
        <f t="shared" si="8"/>
        <v>0</v>
      </c>
      <c r="AS29">
        <f t="shared" si="9"/>
        <v>0</v>
      </c>
      <c r="AT29">
        <f t="shared" si="10"/>
        <v>0</v>
      </c>
      <c r="AU29">
        <f t="shared" si="11"/>
        <v>0</v>
      </c>
      <c r="AV29">
        <f t="shared" si="12"/>
        <v>0</v>
      </c>
      <c r="AZ29">
        <f>ELEMENT!CU73</f>
        <v>0</v>
      </c>
      <c r="BR29">
        <f>ELEMENT!CU73</f>
        <v>0</v>
      </c>
      <c r="CJ29" t="s">
        <v>1141</v>
      </c>
    </row>
    <row r="30" spans="19:103" x14ac:dyDescent="0.2">
      <c r="S30">
        <f>ELEMENT!BF30</f>
        <v>0</v>
      </c>
      <c r="AH30" t="str">
        <f t="shared" si="13"/>
        <v>Mehrpreis</v>
      </c>
      <c r="AI30">
        <f t="shared" si="13"/>
        <v>0</v>
      </c>
      <c r="AJ30">
        <f t="shared" si="0"/>
        <v>0</v>
      </c>
      <c r="AK30">
        <f t="shared" si="1"/>
        <v>0</v>
      </c>
      <c r="AL30">
        <f t="shared" si="2"/>
        <v>0</v>
      </c>
      <c r="AM30">
        <f t="shared" si="3"/>
        <v>0</v>
      </c>
      <c r="AN30">
        <f t="shared" si="4"/>
        <v>0</v>
      </c>
      <c r="AO30">
        <f t="shared" si="5"/>
        <v>0</v>
      </c>
      <c r="AP30">
        <f t="shared" si="6"/>
        <v>0</v>
      </c>
      <c r="AQ30">
        <f t="shared" si="7"/>
        <v>0</v>
      </c>
      <c r="AR30">
        <f t="shared" si="8"/>
        <v>0</v>
      </c>
      <c r="AS30">
        <f t="shared" si="9"/>
        <v>0</v>
      </c>
      <c r="AT30">
        <f t="shared" si="10"/>
        <v>0</v>
      </c>
      <c r="AU30">
        <f t="shared" si="11"/>
        <v>0</v>
      </c>
      <c r="AV30">
        <f t="shared" si="12"/>
        <v>0</v>
      </c>
      <c r="AZ30">
        <f>ELEMENT!CU74</f>
        <v>0</v>
      </c>
      <c r="BR30">
        <f>ELEMENT!CU74</f>
        <v>0</v>
      </c>
      <c r="CJ30" t="s">
        <v>78</v>
      </c>
    </row>
    <row r="31" spans="19:103" x14ac:dyDescent="0.2">
      <c r="S31">
        <f>ELEMENT!BF31</f>
        <v>37365</v>
      </c>
      <c r="T31">
        <f>ELEMENT!BG31</f>
        <v>0</v>
      </c>
      <c r="U31">
        <f>ELEMENT!BH31</f>
        <v>0</v>
      </c>
      <c r="V31">
        <f>ELEMENT!BI31</f>
        <v>0</v>
      </c>
      <c r="W31">
        <f>ELEMENT!BJ31</f>
        <v>0</v>
      </c>
      <c r="X31">
        <f>ELEMENT!BK31</f>
        <v>0</v>
      </c>
      <c r="Y31">
        <f>ELEMENT!BL31</f>
        <v>0</v>
      </c>
      <c r="Z31">
        <f>ELEMENT!BM31</f>
        <v>0</v>
      </c>
      <c r="AA31">
        <f>ELEMENT!BN31</f>
        <v>0</v>
      </c>
      <c r="AB31">
        <f>ELEMENT!BO31</f>
        <v>0</v>
      </c>
      <c r="AH31">
        <f t="shared" si="13"/>
        <v>0</v>
      </c>
      <c r="AI31">
        <f t="shared" si="13"/>
        <v>0</v>
      </c>
      <c r="AJ31">
        <f t="shared" si="0"/>
        <v>0</v>
      </c>
      <c r="AK31">
        <f t="shared" si="1"/>
        <v>0</v>
      </c>
      <c r="AL31">
        <f t="shared" si="2"/>
        <v>0</v>
      </c>
      <c r="AM31">
        <f t="shared" si="3"/>
        <v>0</v>
      </c>
      <c r="AN31">
        <f t="shared" si="4"/>
        <v>0</v>
      </c>
      <c r="AO31">
        <f t="shared" si="5"/>
        <v>0</v>
      </c>
      <c r="AP31">
        <f t="shared" si="6"/>
        <v>0</v>
      </c>
      <c r="AQ31">
        <f t="shared" si="7"/>
        <v>0</v>
      </c>
      <c r="AR31">
        <f t="shared" si="8"/>
        <v>0</v>
      </c>
      <c r="AS31">
        <f t="shared" si="9"/>
        <v>0</v>
      </c>
      <c r="AT31">
        <f t="shared" si="10"/>
        <v>0</v>
      </c>
      <c r="AU31">
        <f t="shared" si="11"/>
        <v>0</v>
      </c>
      <c r="AV31">
        <f t="shared" si="12"/>
        <v>0</v>
      </c>
      <c r="AZ31">
        <f>ELEMENT!CU75</f>
        <v>0</v>
      </c>
      <c r="BR31">
        <f>ELEMENT!CU75</f>
        <v>0</v>
      </c>
    </row>
    <row r="32" spans="19:103" x14ac:dyDescent="0.2">
      <c r="S32">
        <f ca="1">ELEMENT!BF32</f>
        <v>0</v>
      </c>
      <c r="AH32" t="str">
        <f t="shared" si="13"/>
        <v>U-factor</v>
      </c>
      <c r="AI32">
        <f t="shared" si="13"/>
        <v>0</v>
      </c>
      <c r="AJ32">
        <f t="shared" si="0"/>
        <v>0</v>
      </c>
      <c r="AK32">
        <f t="shared" si="1"/>
        <v>0</v>
      </c>
      <c r="AL32">
        <f t="shared" si="2"/>
        <v>0</v>
      </c>
      <c r="AM32">
        <f t="shared" si="3"/>
        <v>0</v>
      </c>
      <c r="AN32">
        <f t="shared" si="4"/>
        <v>0</v>
      </c>
      <c r="AO32">
        <f t="shared" si="5"/>
        <v>0</v>
      </c>
      <c r="AP32">
        <f t="shared" si="6"/>
        <v>0</v>
      </c>
      <c r="AQ32">
        <f t="shared" si="7"/>
        <v>0</v>
      </c>
      <c r="AR32">
        <f t="shared" si="8"/>
        <v>0</v>
      </c>
      <c r="AS32">
        <f t="shared" si="9"/>
        <v>0</v>
      </c>
      <c r="AT32">
        <f t="shared" si="10"/>
        <v>0</v>
      </c>
      <c r="AU32">
        <f t="shared" si="11"/>
        <v>0</v>
      </c>
      <c r="AV32">
        <f t="shared" si="12"/>
        <v>0</v>
      </c>
      <c r="AZ32">
        <f>ELEMENT!CU76</f>
        <v>0</v>
      </c>
      <c r="BR32">
        <f>ELEMENT!CU76</f>
        <v>0</v>
      </c>
      <c r="CJ32" t="s">
        <v>1138</v>
      </c>
    </row>
    <row r="33" spans="19:99" x14ac:dyDescent="0.2">
      <c r="S33">
        <f>ELEMENT!BF33</f>
        <v>0</v>
      </c>
      <c r="AH33" t="str">
        <f t="shared" si="13"/>
        <v>weight</v>
      </c>
      <c r="AI33">
        <f t="shared" si="13"/>
        <v>0</v>
      </c>
      <c r="AJ33">
        <f t="shared" si="0"/>
        <v>0</v>
      </c>
      <c r="AK33">
        <f t="shared" si="1"/>
        <v>0</v>
      </c>
      <c r="AL33">
        <f t="shared" si="2"/>
        <v>0</v>
      </c>
      <c r="AM33">
        <f t="shared" si="3"/>
        <v>0</v>
      </c>
      <c r="AN33">
        <f t="shared" si="4"/>
        <v>0</v>
      </c>
      <c r="AO33">
        <f t="shared" si="5"/>
        <v>0</v>
      </c>
      <c r="AP33">
        <f t="shared" si="6"/>
        <v>0</v>
      </c>
      <c r="AQ33">
        <f t="shared" si="7"/>
        <v>0</v>
      </c>
      <c r="AR33">
        <f t="shared" si="8"/>
        <v>0</v>
      </c>
      <c r="AS33">
        <f t="shared" si="9"/>
        <v>0</v>
      </c>
      <c r="AT33">
        <f t="shared" si="10"/>
        <v>0</v>
      </c>
      <c r="AU33">
        <f t="shared" si="11"/>
        <v>0</v>
      </c>
      <c r="AV33">
        <f t="shared" si="12"/>
        <v>0</v>
      </c>
      <c r="AZ33">
        <f>ELEMENT!CU77</f>
        <v>0</v>
      </c>
      <c r="BR33">
        <f>ELEMENT!CU77</f>
        <v>0</v>
      </c>
      <c r="CJ33" t="s">
        <v>1139</v>
      </c>
    </row>
    <row r="34" spans="19:99" x14ac:dyDescent="0.2">
      <c r="S34">
        <v>51</v>
      </c>
      <c r="AH34" t="str">
        <f t="shared" si="13"/>
        <v>SHGC / VT</v>
      </c>
      <c r="AI34">
        <f t="shared" si="13"/>
        <v>0</v>
      </c>
      <c r="AJ34">
        <f t="shared" si="0"/>
        <v>0</v>
      </c>
      <c r="AK34">
        <f t="shared" si="1"/>
        <v>0</v>
      </c>
      <c r="AL34">
        <f t="shared" si="2"/>
        <v>0</v>
      </c>
      <c r="AM34">
        <f t="shared" si="3"/>
        <v>0</v>
      </c>
      <c r="AN34">
        <f t="shared" si="4"/>
        <v>0</v>
      </c>
      <c r="AO34">
        <f t="shared" si="5"/>
        <v>0</v>
      </c>
      <c r="AP34">
        <f t="shared" si="6"/>
        <v>0</v>
      </c>
      <c r="AQ34">
        <f t="shared" si="7"/>
        <v>0</v>
      </c>
      <c r="AR34">
        <f t="shared" si="8"/>
        <v>0</v>
      </c>
      <c r="AS34">
        <f t="shared" si="9"/>
        <v>0</v>
      </c>
      <c r="AT34">
        <f t="shared" si="10"/>
        <v>0</v>
      </c>
      <c r="AU34">
        <f t="shared" si="11"/>
        <v>0</v>
      </c>
      <c r="AV34">
        <f t="shared" si="12"/>
        <v>0</v>
      </c>
      <c r="AZ34">
        <f>ELEMENT!CU78</f>
        <v>0</v>
      </c>
      <c r="BR34">
        <f>ELEMENT!CU78</f>
        <v>0</v>
      </c>
      <c r="CJ34" t="s">
        <v>1141</v>
      </c>
    </row>
    <row r="35" spans="19:99" x14ac:dyDescent="0.2">
      <c r="S35">
        <v>100</v>
      </c>
      <c r="AH35" t="str">
        <f t="shared" si="13"/>
        <v>Mehrpreis</v>
      </c>
      <c r="AI35">
        <f t="shared" si="13"/>
        <v>0</v>
      </c>
      <c r="AJ35">
        <f t="shared" si="0"/>
        <v>0</v>
      </c>
      <c r="AK35">
        <f t="shared" si="1"/>
        <v>0</v>
      </c>
      <c r="AL35">
        <f t="shared" si="2"/>
        <v>0</v>
      </c>
      <c r="AM35">
        <f t="shared" si="3"/>
        <v>0</v>
      </c>
      <c r="AN35">
        <f t="shared" si="4"/>
        <v>0</v>
      </c>
      <c r="AO35">
        <f t="shared" si="5"/>
        <v>0</v>
      </c>
      <c r="AP35">
        <f t="shared" si="6"/>
        <v>0</v>
      </c>
      <c r="AQ35">
        <f t="shared" si="7"/>
        <v>0</v>
      </c>
      <c r="AR35">
        <f t="shared" si="8"/>
        <v>0</v>
      </c>
      <c r="AS35">
        <f t="shared" si="9"/>
        <v>0</v>
      </c>
      <c r="AT35">
        <f t="shared" si="10"/>
        <v>0</v>
      </c>
      <c r="AU35">
        <f t="shared" si="11"/>
        <v>0</v>
      </c>
      <c r="AV35">
        <f t="shared" si="12"/>
        <v>0</v>
      </c>
      <c r="AZ35">
        <f>ELEMENT!CU79</f>
        <v>0</v>
      </c>
      <c r="BR35">
        <f>ELEMENT!CU79</f>
        <v>0</v>
      </c>
      <c r="CJ35" t="s">
        <v>78</v>
      </c>
    </row>
    <row r="36" spans="19:99" x14ac:dyDescent="0.2">
      <c r="S36">
        <f>ELEMENT!BF36</f>
        <v>0</v>
      </c>
      <c r="T36">
        <v>40</v>
      </c>
      <c r="U36">
        <v>79.099999999999994</v>
      </c>
      <c r="V36">
        <v>180.79999999999998</v>
      </c>
      <c r="W36">
        <v>0</v>
      </c>
      <c r="X36">
        <v>0</v>
      </c>
      <c r="AB36">
        <v>2</v>
      </c>
      <c r="AH36">
        <f t="shared" si="13"/>
        <v>0</v>
      </c>
      <c r="AI36">
        <f t="shared" si="13"/>
        <v>0</v>
      </c>
      <c r="AJ36">
        <f t="shared" si="0"/>
        <v>0</v>
      </c>
      <c r="AK36">
        <f t="shared" si="1"/>
        <v>0</v>
      </c>
      <c r="AL36">
        <f t="shared" si="2"/>
        <v>0</v>
      </c>
      <c r="AM36">
        <f t="shared" si="3"/>
        <v>0</v>
      </c>
      <c r="AN36">
        <f t="shared" si="4"/>
        <v>0</v>
      </c>
      <c r="AO36">
        <f t="shared" si="5"/>
        <v>0</v>
      </c>
      <c r="AP36">
        <f t="shared" si="6"/>
        <v>0</v>
      </c>
      <c r="AQ36">
        <f t="shared" si="7"/>
        <v>0</v>
      </c>
      <c r="AR36">
        <f t="shared" si="8"/>
        <v>0</v>
      </c>
      <c r="AS36">
        <f t="shared" si="9"/>
        <v>0</v>
      </c>
      <c r="AT36">
        <f t="shared" si="10"/>
        <v>0</v>
      </c>
      <c r="AU36">
        <f t="shared" si="11"/>
        <v>0</v>
      </c>
      <c r="AV36">
        <f t="shared" si="12"/>
        <v>0</v>
      </c>
      <c r="AZ36">
        <f>ELEMENT!CU80</f>
        <v>0</v>
      </c>
      <c r="BR36">
        <f>ELEMENT!CU80</f>
        <v>0</v>
      </c>
    </row>
    <row r="37" spans="19:99" x14ac:dyDescent="0.2">
      <c r="S37">
        <f>ELEMENT!BF37</f>
        <v>0</v>
      </c>
      <c r="T37">
        <v>10</v>
      </c>
      <c r="U37">
        <v>33.9</v>
      </c>
      <c r="V37">
        <v>67.8</v>
      </c>
      <c r="W37">
        <v>0</v>
      </c>
      <c r="X37">
        <v>0</v>
      </c>
      <c r="AB37">
        <v>8</v>
      </c>
      <c r="AC37">
        <v>408</v>
      </c>
      <c r="AH37" t="str">
        <f t="shared" si="13"/>
        <v>U-factor</v>
      </c>
      <c r="AI37">
        <f t="shared" si="13"/>
        <v>0</v>
      </c>
      <c r="AJ37">
        <f t="shared" si="0"/>
        <v>0</v>
      </c>
      <c r="AK37">
        <f t="shared" si="1"/>
        <v>0</v>
      </c>
      <c r="AL37">
        <f t="shared" si="2"/>
        <v>0</v>
      </c>
      <c r="AM37">
        <f t="shared" si="3"/>
        <v>0</v>
      </c>
      <c r="AN37">
        <f t="shared" si="4"/>
        <v>0</v>
      </c>
      <c r="AO37">
        <f t="shared" si="5"/>
        <v>0</v>
      </c>
      <c r="AP37">
        <f t="shared" si="6"/>
        <v>0</v>
      </c>
      <c r="AQ37">
        <f t="shared" si="7"/>
        <v>0</v>
      </c>
      <c r="AR37">
        <f t="shared" si="8"/>
        <v>0</v>
      </c>
      <c r="AS37">
        <f t="shared" si="9"/>
        <v>0</v>
      </c>
      <c r="AT37">
        <f t="shared" si="10"/>
        <v>0</v>
      </c>
      <c r="AU37">
        <f t="shared" si="11"/>
        <v>0</v>
      </c>
      <c r="AV37">
        <f t="shared" si="12"/>
        <v>0</v>
      </c>
      <c r="AZ37">
        <f>ELEMENT!CU81</f>
        <v>0</v>
      </c>
      <c r="BR37">
        <f>ELEMENT!CU81</f>
        <v>0</v>
      </c>
      <c r="CJ37" t="s">
        <v>1138</v>
      </c>
    </row>
    <row r="38" spans="19:99" x14ac:dyDescent="0.2">
      <c r="S38">
        <f>ELEMENT!BF38</f>
        <v>0</v>
      </c>
      <c r="T38">
        <v>10</v>
      </c>
      <c r="U38">
        <v>33.9</v>
      </c>
      <c r="V38">
        <v>67.8</v>
      </c>
      <c r="W38">
        <v>0</v>
      </c>
      <c r="X38">
        <v>0</v>
      </c>
      <c r="AB38">
        <v>9</v>
      </c>
      <c r="AH38" t="str">
        <f t="shared" si="13"/>
        <v>weight</v>
      </c>
      <c r="AI38">
        <f t="shared" si="13"/>
        <v>0</v>
      </c>
      <c r="AJ38">
        <f t="shared" si="0"/>
        <v>0</v>
      </c>
      <c r="AK38">
        <f t="shared" si="1"/>
        <v>0</v>
      </c>
      <c r="AL38">
        <f t="shared" si="2"/>
        <v>0</v>
      </c>
      <c r="AM38">
        <f t="shared" si="3"/>
        <v>0</v>
      </c>
      <c r="AN38">
        <f t="shared" si="4"/>
        <v>0</v>
      </c>
      <c r="AO38">
        <f t="shared" si="5"/>
        <v>0</v>
      </c>
      <c r="AP38">
        <f t="shared" si="6"/>
        <v>0</v>
      </c>
      <c r="AQ38">
        <f t="shared" si="7"/>
        <v>0</v>
      </c>
      <c r="AR38">
        <f t="shared" si="8"/>
        <v>0</v>
      </c>
      <c r="AS38">
        <f t="shared" si="9"/>
        <v>0</v>
      </c>
      <c r="AT38">
        <f t="shared" si="10"/>
        <v>0</v>
      </c>
      <c r="AU38">
        <f t="shared" si="11"/>
        <v>0</v>
      </c>
      <c r="AV38">
        <f t="shared" si="12"/>
        <v>0</v>
      </c>
      <c r="AZ38">
        <f>ELEMENT!CU82</f>
        <v>0</v>
      </c>
      <c r="BR38">
        <f>ELEMENT!CU82</f>
        <v>0</v>
      </c>
      <c r="CJ38" t="s">
        <v>1139</v>
      </c>
    </row>
    <row r="39" spans="19:99" x14ac:dyDescent="0.2">
      <c r="S39">
        <f>ELEMENT!BF39</f>
        <v>0</v>
      </c>
      <c r="T39">
        <v>40</v>
      </c>
      <c r="U39">
        <v>79.099999999999994</v>
      </c>
      <c r="V39">
        <v>135.6</v>
      </c>
      <c r="W39">
        <v>27.119999999999997</v>
      </c>
      <c r="X39">
        <v>13.559999999999999</v>
      </c>
      <c r="Y39">
        <v>21</v>
      </c>
      <c r="Z39">
        <v>42</v>
      </c>
      <c r="AB39">
        <v>1.5</v>
      </c>
      <c r="AH39" t="str">
        <f t="shared" si="13"/>
        <v>SHGC / VT</v>
      </c>
      <c r="AI39">
        <f t="shared" si="13"/>
        <v>0</v>
      </c>
      <c r="AJ39">
        <f t="shared" si="0"/>
        <v>0</v>
      </c>
      <c r="AK39">
        <f t="shared" si="1"/>
        <v>0</v>
      </c>
      <c r="AL39">
        <f t="shared" si="2"/>
        <v>0</v>
      </c>
      <c r="AM39">
        <f t="shared" si="3"/>
        <v>0</v>
      </c>
      <c r="AN39">
        <f t="shared" si="4"/>
        <v>0</v>
      </c>
      <c r="AO39">
        <f t="shared" si="5"/>
        <v>0</v>
      </c>
      <c r="AP39">
        <f t="shared" si="6"/>
        <v>0</v>
      </c>
      <c r="AQ39">
        <f t="shared" si="7"/>
        <v>0</v>
      </c>
      <c r="AR39">
        <f t="shared" si="8"/>
        <v>0</v>
      </c>
      <c r="AS39">
        <f t="shared" si="9"/>
        <v>0</v>
      </c>
      <c r="AT39">
        <f t="shared" si="10"/>
        <v>0</v>
      </c>
      <c r="AU39">
        <f t="shared" si="11"/>
        <v>0</v>
      </c>
      <c r="AV39">
        <f t="shared" si="12"/>
        <v>0</v>
      </c>
      <c r="AZ39">
        <f>ELEMENT!CU83</f>
        <v>0</v>
      </c>
      <c r="BR39">
        <f>ELEMENT!CU83</f>
        <v>0</v>
      </c>
      <c r="CJ39" t="s">
        <v>1141</v>
      </c>
    </row>
    <row r="40" spans="19:99" x14ac:dyDescent="0.2">
      <c r="S40">
        <f>ELEMENT!BF40</f>
        <v>0</v>
      </c>
      <c r="T40">
        <v>10</v>
      </c>
      <c r="U40">
        <v>33.9</v>
      </c>
      <c r="V40">
        <v>67.8</v>
      </c>
      <c r="W40">
        <v>9.3876923076923084</v>
      </c>
      <c r="X40">
        <v>13.559999999999999</v>
      </c>
      <c r="Y40">
        <v>33</v>
      </c>
      <c r="Z40">
        <v>108.2</v>
      </c>
      <c r="AA40">
        <v>1.1399999999999999</v>
      </c>
      <c r="AB40">
        <v>7</v>
      </c>
      <c r="AC40">
        <v>324</v>
      </c>
      <c r="AH40" t="str">
        <f t="shared" si="13"/>
        <v>Mehrpreis</v>
      </c>
      <c r="AI40">
        <f t="shared" si="13"/>
        <v>0</v>
      </c>
      <c r="AJ40">
        <f t="shared" si="0"/>
        <v>0</v>
      </c>
      <c r="AK40">
        <f t="shared" si="1"/>
        <v>0</v>
      </c>
      <c r="AL40">
        <f t="shared" si="2"/>
        <v>0</v>
      </c>
      <c r="AM40">
        <f t="shared" si="3"/>
        <v>0</v>
      </c>
      <c r="AN40">
        <f t="shared" si="4"/>
        <v>0</v>
      </c>
      <c r="AO40">
        <f t="shared" si="5"/>
        <v>0</v>
      </c>
      <c r="AP40">
        <f t="shared" si="6"/>
        <v>0</v>
      </c>
      <c r="AQ40">
        <f t="shared" si="7"/>
        <v>0</v>
      </c>
      <c r="AR40">
        <f t="shared" si="8"/>
        <v>0</v>
      </c>
      <c r="AS40">
        <f t="shared" si="9"/>
        <v>0</v>
      </c>
      <c r="AT40">
        <f t="shared" si="10"/>
        <v>0</v>
      </c>
      <c r="AU40">
        <f t="shared" si="11"/>
        <v>0</v>
      </c>
      <c r="AV40">
        <f t="shared" si="12"/>
        <v>0</v>
      </c>
      <c r="AZ40">
        <f>ELEMENT!CU84</f>
        <v>0</v>
      </c>
      <c r="BR40">
        <f>ELEMENT!CU84</f>
        <v>0</v>
      </c>
      <c r="CJ40" t="s">
        <v>78</v>
      </c>
    </row>
    <row r="41" spans="19:99" x14ac:dyDescent="0.2">
      <c r="S41">
        <f>ELEMENT!BF41</f>
        <v>0</v>
      </c>
      <c r="T41">
        <v>10</v>
      </c>
      <c r="U41">
        <v>33.9</v>
      </c>
      <c r="V41">
        <v>67.8</v>
      </c>
      <c r="W41">
        <v>9.213846153846152</v>
      </c>
      <c r="X41">
        <v>33.9</v>
      </c>
      <c r="Y41">
        <v>50.6</v>
      </c>
      <c r="Z41">
        <v>147</v>
      </c>
      <c r="AA41">
        <v>1.242</v>
      </c>
      <c r="AB41">
        <v>8</v>
      </c>
      <c r="AH41">
        <f t="shared" si="13"/>
        <v>0</v>
      </c>
      <c r="AI41">
        <f t="shared" si="13"/>
        <v>0</v>
      </c>
      <c r="AJ41">
        <f t="shared" si="0"/>
        <v>0</v>
      </c>
      <c r="AK41">
        <f t="shared" si="1"/>
        <v>0</v>
      </c>
      <c r="AL41">
        <f t="shared" si="2"/>
        <v>0</v>
      </c>
      <c r="AM41">
        <f t="shared" si="3"/>
        <v>0</v>
      </c>
      <c r="AN41">
        <f t="shared" si="4"/>
        <v>0</v>
      </c>
      <c r="AO41">
        <f t="shared" si="5"/>
        <v>0</v>
      </c>
      <c r="AP41">
        <f t="shared" si="6"/>
        <v>0</v>
      </c>
      <c r="AQ41">
        <f t="shared" si="7"/>
        <v>0</v>
      </c>
      <c r="AR41">
        <f t="shared" si="8"/>
        <v>0</v>
      </c>
      <c r="AS41">
        <f t="shared" si="9"/>
        <v>0</v>
      </c>
      <c r="AT41">
        <f t="shared" si="10"/>
        <v>0</v>
      </c>
      <c r="AU41">
        <f t="shared" si="11"/>
        <v>0</v>
      </c>
      <c r="AV41">
        <f t="shared" si="12"/>
        <v>0</v>
      </c>
      <c r="AZ41">
        <f>ELEMENT!CU85</f>
        <v>0</v>
      </c>
      <c r="BI41" t="s">
        <v>375</v>
      </c>
      <c r="BR41">
        <f>ELEMENT!CU85</f>
        <v>0</v>
      </c>
      <c r="CJ41">
        <f>AZ41</f>
        <v>0</v>
      </c>
    </row>
    <row r="42" spans="19:99" x14ac:dyDescent="0.2">
      <c r="S42">
        <f>ELEMENT!BF42</f>
        <v>0</v>
      </c>
      <c r="T42">
        <v>40</v>
      </c>
      <c r="U42">
        <v>62.149999999999991</v>
      </c>
      <c r="V42">
        <v>101.69999999999999</v>
      </c>
      <c r="W42">
        <v>27.119999999999997</v>
      </c>
      <c r="X42">
        <v>13.559999999999999</v>
      </c>
      <c r="Y42">
        <v>21</v>
      </c>
      <c r="Z42">
        <v>42</v>
      </c>
      <c r="AB42">
        <v>0.72</v>
      </c>
      <c r="AH42" t="str">
        <f t="shared" si="13"/>
        <v>Weissglaszuschlag</v>
      </c>
      <c r="AI42">
        <f t="shared" si="13"/>
        <v>0</v>
      </c>
      <c r="AJ42">
        <f t="shared" si="0"/>
        <v>0</v>
      </c>
      <c r="AK42">
        <f t="shared" si="1"/>
        <v>0</v>
      </c>
      <c r="AL42">
        <f t="shared" si="2"/>
        <v>0</v>
      </c>
      <c r="AM42">
        <f t="shared" si="3"/>
        <v>0</v>
      </c>
      <c r="AN42">
        <f t="shared" si="4"/>
        <v>0</v>
      </c>
      <c r="AO42">
        <f t="shared" si="5"/>
        <v>0</v>
      </c>
      <c r="AP42">
        <f t="shared" si="6"/>
        <v>0</v>
      </c>
      <c r="AQ42">
        <f t="shared" si="7"/>
        <v>0</v>
      </c>
      <c r="AR42">
        <f t="shared" si="8"/>
        <v>0</v>
      </c>
      <c r="AS42">
        <f t="shared" si="9"/>
        <v>0</v>
      </c>
      <c r="AT42">
        <f t="shared" si="10"/>
        <v>0</v>
      </c>
      <c r="AU42">
        <f t="shared" si="11"/>
        <v>0</v>
      </c>
      <c r="AV42">
        <f t="shared" si="12"/>
        <v>0</v>
      </c>
      <c r="AZ42" t="str">
        <f>ELEMENT!CU86</f>
        <v>Weissglaszuschlag</v>
      </c>
      <c r="BR42" t="str">
        <f>ELEMENT!CU86</f>
        <v>Weissglaszuschlag</v>
      </c>
      <c r="CJ42" t="str">
        <f t="shared" ref="CJ42:CJ65" si="15">AZ42</f>
        <v>Weissglaszuschlag</v>
      </c>
    </row>
    <row r="43" spans="19:99" x14ac:dyDescent="0.2">
      <c r="S43">
        <f>ELEMENT!BF43</f>
        <v>0</v>
      </c>
      <c r="T43">
        <v>10</v>
      </c>
      <c r="U43">
        <v>33.9</v>
      </c>
      <c r="V43">
        <v>67.8</v>
      </c>
      <c r="W43">
        <v>9.3876923076923084</v>
      </c>
      <c r="X43">
        <v>13.559999999999999</v>
      </c>
      <c r="Y43">
        <v>33</v>
      </c>
      <c r="Z43">
        <v>108.2</v>
      </c>
      <c r="AA43">
        <v>1.1399999999999999</v>
      </c>
      <c r="AB43">
        <v>6.04</v>
      </c>
      <c r="AC43">
        <v>241</v>
      </c>
      <c r="AH43">
        <f t="shared" si="13"/>
        <v>0</v>
      </c>
      <c r="AI43" t="str">
        <f t="shared" si="13"/>
        <v>nein</v>
      </c>
      <c r="AJ43" t="str">
        <f t="shared" si="0"/>
        <v>nein</v>
      </c>
      <c r="AK43" t="str">
        <f t="shared" si="1"/>
        <v>nein</v>
      </c>
      <c r="AL43" t="str">
        <f t="shared" si="2"/>
        <v>nein</v>
      </c>
      <c r="AM43">
        <f t="shared" si="3"/>
        <v>0</v>
      </c>
      <c r="AN43" t="str">
        <f t="shared" si="4"/>
        <v>nein</v>
      </c>
      <c r="AO43">
        <f t="shared" si="5"/>
        <v>0</v>
      </c>
      <c r="AP43">
        <f t="shared" si="6"/>
        <v>0</v>
      </c>
      <c r="AQ43">
        <f t="shared" si="7"/>
        <v>0</v>
      </c>
      <c r="AR43">
        <f t="shared" si="8"/>
        <v>0</v>
      </c>
      <c r="AS43">
        <f t="shared" si="9"/>
        <v>0</v>
      </c>
      <c r="AT43">
        <f t="shared" si="10"/>
        <v>0</v>
      </c>
      <c r="AU43">
        <f t="shared" si="11"/>
        <v>0</v>
      </c>
      <c r="AV43">
        <f t="shared" si="12"/>
        <v>0</v>
      </c>
      <c r="AZ43">
        <f>ELEMENT!CU87</f>
        <v>0</v>
      </c>
      <c r="BA43" t="s">
        <v>375</v>
      </c>
      <c r="BB43" t="s">
        <v>375</v>
      </c>
      <c r="BC43" t="s">
        <v>375</v>
      </c>
      <c r="BD43" t="s">
        <v>375</v>
      </c>
      <c r="BG43" t="s">
        <v>375</v>
      </c>
      <c r="BI43" t="s">
        <v>375</v>
      </c>
      <c r="BJ43" t="s">
        <v>375</v>
      </c>
      <c r="BK43" t="s">
        <v>375</v>
      </c>
      <c r="BR43">
        <f>ELEMENT!CU87</f>
        <v>0</v>
      </c>
      <c r="CJ43">
        <f t="shared" si="15"/>
        <v>0</v>
      </c>
      <c r="CK43" t="s">
        <v>375</v>
      </c>
      <c r="CL43" t="s">
        <v>375</v>
      </c>
      <c r="CM43" t="s">
        <v>375</v>
      </c>
      <c r="CN43" t="s">
        <v>375</v>
      </c>
      <c r="CP43" t="s">
        <v>375</v>
      </c>
    </row>
    <row r="44" spans="19:99" x14ac:dyDescent="0.2">
      <c r="S44">
        <f>ELEMENT!BF44</f>
        <v>0</v>
      </c>
      <c r="T44">
        <v>10</v>
      </c>
      <c r="U44">
        <v>33.9</v>
      </c>
      <c r="V44">
        <v>67.8</v>
      </c>
      <c r="W44">
        <v>9.213846153846152</v>
      </c>
      <c r="X44">
        <v>33.9</v>
      </c>
      <c r="Y44">
        <v>50.6</v>
      </c>
      <c r="Z44">
        <v>147</v>
      </c>
      <c r="AA44">
        <v>1.242</v>
      </c>
      <c r="AB44">
        <v>9.02</v>
      </c>
      <c r="AH44">
        <f t="shared" si="13"/>
        <v>0</v>
      </c>
      <c r="AI44">
        <f t="shared" si="13"/>
        <v>0</v>
      </c>
      <c r="AJ44">
        <f t="shared" si="0"/>
        <v>0</v>
      </c>
      <c r="AK44" t="str">
        <f t="shared" si="1"/>
        <v>nein</v>
      </c>
      <c r="AL44" t="str">
        <f t="shared" si="2"/>
        <v>nein</v>
      </c>
      <c r="AM44" t="str">
        <f t="shared" si="3"/>
        <v>nein</v>
      </c>
      <c r="AN44">
        <f t="shared" si="4"/>
        <v>0</v>
      </c>
      <c r="AO44">
        <f t="shared" si="5"/>
        <v>0</v>
      </c>
      <c r="AP44">
        <f t="shared" si="6"/>
        <v>0</v>
      </c>
      <c r="AQ44">
        <f t="shared" si="7"/>
        <v>0</v>
      </c>
      <c r="AR44">
        <f t="shared" si="8"/>
        <v>0</v>
      </c>
      <c r="AS44">
        <f t="shared" si="9"/>
        <v>0</v>
      </c>
      <c r="AT44">
        <f t="shared" si="10"/>
        <v>0</v>
      </c>
      <c r="AU44">
        <f t="shared" si="11"/>
        <v>0</v>
      </c>
      <c r="AV44">
        <f t="shared" si="12"/>
        <v>0</v>
      </c>
      <c r="AZ44">
        <f>ELEMENT!CU88</f>
        <v>0</v>
      </c>
      <c r="BC44" t="s">
        <v>375</v>
      </c>
      <c r="BD44" t="s">
        <v>375</v>
      </c>
      <c r="BE44" t="s">
        <v>375</v>
      </c>
      <c r="BF44" t="s">
        <v>375</v>
      </c>
      <c r="BI44" t="s">
        <v>375</v>
      </c>
      <c r="BR44">
        <f>ELEMENT!CU88</f>
        <v>0</v>
      </c>
      <c r="BS44" t="s">
        <v>375</v>
      </c>
      <c r="BT44" t="s">
        <v>375</v>
      </c>
      <c r="CJ44">
        <f t="shared" si="15"/>
        <v>0</v>
      </c>
      <c r="CM44" t="s">
        <v>375</v>
      </c>
      <c r="CN44" t="s">
        <v>375</v>
      </c>
      <c r="CO44" t="s">
        <v>375</v>
      </c>
    </row>
    <row r="45" spans="19:99" x14ac:dyDescent="0.2">
      <c r="S45">
        <f>ELEMENT!BF45</f>
        <v>0</v>
      </c>
      <c r="T45">
        <v>40</v>
      </c>
      <c r="U45">
        <v>50.849999999999994</v>
      </c>
      <c r="V45">
        <v>101.69999999999999</v>
      </c>
      <c r="W45">
        <v>22.599999999999998</v>
      </c>
      <c r="X45">
        <v>11.299999999999999</v>
      </c>
      <c r="Y45">
        <v>14</v>
      </c>
      <c r="Z45">
        <v>28</v>
      </c>
      <c r="AB45">
        <v>0.41</v>
      </c>
      <c r="AH45">
        <f t="shared" si="13"/>
        <v>0</v>
      </c>
      <c r="AI45" t="str">
        <f t="shared" si="13"/>
        <v>6 / 6 / 6</v>
      </c>
      <c r="AJ45" t="str">
        <f t="shared" si="0"/>
        <v>8 / 8 / 8</v>
      </c>
      <c r="AK45" t="str">
        <f t="shared" si="1"/>
        <v>6 / 6 / 8-2   WG</v>
      </c>
      <c r="AL45" t="str">
        <f t="shared" si="2"/>
        <v>8 / 8 / 8-2   WG</v>
      </c>
      <c r="AM45" t="str">
        <f t="shared" si="3"/>
        <v>6 / T12-2 / 6</v>
      </c>
      <c r="AN45" t="str">
        <f t="shared" si="4"/>
        <v>10 / 10</v>
      </c>
      <c r="AO45" t="str">
        <f t="shared" si="5"/>
        <v>10 / 16-2</v>
      </c>
      <c r="AP45">
        <f t="shared" si="6"/>
        <v>0</v>
      </c>
      <c r="AQ45">
        <f t="shared" si="7"/>
        <v>0</v>
      </c>
      <c r="AR45">
        <f t="shared" si="8"/>
        <v>0</v>
      </c>
      <c r="AS45">
        <f t="shared" si="9"/>
        <v>0</v>
      </c>
      <c r="AT45">
        <f t="shared" si="10"/>
        <v>0</v>
      </c>
      <c r="AU45">
        <f t="shared" si="11"/>
        <v>0</v>
      </c>
      <c r="AV45">
        <f t="shared" si="12"/>
        <v>0</v>
      </c>
      <c r="AZ45">
        <f>ELEMENT!CU89</f>
        <v>0</v>
      </c>
      <c r="BA45" t="str">
        <f t="shared" ref="BA45:BG45" si="16">BA5</f>
        <v>6 / 6 / 6</v>
      </c>
      <c r="BB45" t="str">
        <f t="shared" si="16"/>
        <v>8 / 8 / 8</v>
      </c>
      <c r="BC45" t="str">
        <f t="shared" si="16"/>
        <v>6 / 6 / 8-2   WG</v>
      </c>
      <c r="BD45" t="str">
        <f t="shared" si="16"/>
        <v>8 / 8 / 8-2   WG</v>
      </c>
      <c r="BE45" t="str">
        <f t="shared" si="16"/>
        <v>6 / 6 / P4A  WG</v>
      </c>
      <c r="BF45" t="str">
        <f t="shared" si="16"/>
        <v>8 / 8 / P4A  WG</v>
      </c>
      <c r="BG45" t="str">
        <f t="shared" si="16"/>
        <v>6 / T12-2 / 6</v>
      </c>
      <c r="BH45" t="str">
        <f>BH5</f>
        <v>6 / T13-P4A / 6</v>
      </c>
      <c r="BI45" t="str">
        <f>BI5</f>
        <v>8-2P WG / 6 / T12-2P (49 dB)</v>
      </c>
      <c r="BJ45" t="s">
        <v>955</v>
      </c>
      <c r="BK45" t="s">
        <v>956</v>
      </c>
      <c r="BR45">
        <f>ELEMENT!CU89</f>
        <v>0</v>
      </c>
      <c r="BS45" t="s">
        <v>957</v>
      </c>
      <c r="BT45" t="s">
        <v>958</v>
      </c>
      <c r="BU45" t="s">
        <v>959</v>
      </c>
      <c r="CJ45">
        <f t="shared" si="15"/>
        <v>0</v>
      </c>
      <c r="CK45" t="str">
        <f>CK5</f>
        <v>6 / 6 / 6</v>
      </c>
      <c r="CL45" t="str">
        <f>CL5</f>
        <v>8 / 8 / 8</v>
      </c>
      <c r="CM45" t="str">
        <f>CM5</f>
        <v>6 / 6 / 8-2   WG</v>
      </c>
      <c r="CN45" t="str">
        <f>CN5</f>
        <v>8 / 8 / 8-2   WG</v>
      </c>
      <c r="CO45" t="str">
        <f>CO5</f>
        <v>6 / T12-2 / 6</v>
      </c>
      <c r="CP45" t="str">
        <f t="shared" ref="CP45:CU45" si="17">CP5</f>
        <v>10 / 10</v>
      </c>
      <c r="CQ45" t="str">
        <f t="shared" si="17"/>
        <v>10 / 16-2</v>
      </c>
      <c r="CR45">
        <f t="shared" si="17"/>
        <v>0</v>
      </c>
      <c r="CS45">
        <f t="shared" si="17"/>
        <v>0</v>
      </c>
      <c r="CT45">
        <f t="shared" si="17"/>
        <v>0</v>
      </c>
      <c r="CU45">
        <f t="shared" si="17"/>
        <v>0</v>
      </c>
    </row>
    <row r="46" spans="19:99" x14ac:dyDescent="0.2">
      <c r="S46">
        <f>ELEMENT!BF46</f>
        <v>0</v>
      </c>
      <c r="T46">
        <v>10</v>
      </c>
      <c r="U46">
        <v>33.9</v>
      </c>
      <c r="V46">
        <v>67.8</v>
      </c>
      <c r="W46">
        <v>7.8230769230769228</v>
      </c>
      <c r="X46">
        <v>9.0399999999999991</v>
      </c>
      <c r="Y46">
        <v>28</v>
      </c>
      <c r="Z46">
        <v>66.5</v>
      </c>
      <c r="AA46">
        <v>0.751</v>
      </c>
      <c r="AB46">
        <v>3.87</v>
      </c>
      <c r="AC46">
        <v>158</v>
      </c>
      <c r="AD46">
        <v>51</v>
      </c>
      <c r="AH46">
        <f>ELEMENT!CU90</f>
        <v>0</v>
      </c>
      <c r="AI46">
        <f t="shared" si="13"/>
        <v>0</v>
      </c>
      <c r="AJ46">
        <f t="shared" si="0"/>
        <v>0</v>
      </c>
      <c r="AK46">
        <f t="shared" si="1"/>
        <v>0</v>
      </c>
      <c r="AL46">
        <f t="shared" si="2"/>
        <v>0</v>
      </c>
      <c r="AM46">
        <f t="shared" si="3"/>
        <v>0</v>
      </c>
      <c r="AN46">
        <f t="shared" si="4"/>
        <v>0</v>
      </c>
      <c r="AO46">
        <f t="shared" si="5"/>
        <v>0</v>
      </c>
      <c r="AP46">
        <f t="shared" si="6"/>
        <v>0</v>
      </c>
      <c r="AQ46">
        <f t="shared" si="7"/>
        <v>0</v>
      </c>
      <c r="AR46">
        <f t="shared" si="8"/>
        <v>0</v>
      </c>
      <c r="AS46">
        <f t="shared" si="9"/>
        <v>0</v>
      </c>
      <c r="AT46">
        <f t="shared" si="10"/>
        <v>0</v>
      </c>
      <c r="AU46">
        <f t="shared" si="11"/>
        <v>0</v>
      </c>
      <c r="AV46">
        <f t="shared" si="12"/>
        <v>0</v>
      </c>
      <c r="AZ46">
        <f>ELEMENT!CU90</f>
        <v>0</v>
      </c>
      <c r="BA46">
        <f>BW22</f>
        <v>0</v>
      </c>
      <c r="BJ46" t="s">
        <v>960</v>
      </c>
      <c r="BR46">
        <f>ELEMENT!CU90</f>
        <v>0</v>
      </c>
      <c r="CJ46">
        <f t="shared" si="15"/>
        <v>0</v>
      </c>
      <c r="CK46">
        <f>DG22</f>
        <v>0</v>
      </c>
    </row>
    <row r="47" spans="19:99" x14ac:dyDescent="0.2">
      <c r="S47">
        <f>ELEMENT!BF47</f>
        <v>0</v>
      </c>
      <c r="T47">
        <v>10</v>
      </c>
      <c r="U47">
        <v>33.9</v>
      </c>
      <c r="V47">
        <v>67.8</v>
      </c>
      <c r="W47">
        <v>8.3446153846153841</v>
      </c>
      <c r="X47">
        <v>27.119999999999997</v>
      </c>
      <c r="Y47">
        <v>36</v>
      </c>
      <c r="Z47">
        <v>95.5</v>
      </c>
      <c r="AA47">
        <v>0.85</v>
      </c>
      <c r="AB47">
        <v>5.92</v>
      </c>
      <c r="AD47">
        <v>100</v>
      </c>
      <c r="AH47">
        <f>ELEMENT!CU91</f>
        <v>0</v>
      </c>
      <c r="AI47">
        <f t="shared" si="13"/>
        <v>2300</v>
      </c>
      <c r="AJ47">
        <f t="shared" si="0"/>
        <v>2300</v>
      </c>
      <c r="AK47">
        <f t="shared" si="1"/>
        <v>2300</v>
      </c>
      <c r="AL47">
        <f t="shared" si="2"/>
        <v>2300</v>
      </c>
      <c r="AM47">
        <f t="shared" si="3"/>
        <v>2300</v>
      </c>
      <c r="AN47">
        <f t="shared" si="4"/>
        <v>2300</v>
      </c>
      <c r="AO47">
        <f t="shared" si="5"/>
        <v>2300</v>
      </c>
      <c r="AP47">
        <f t="shared" si="6"/>
        <v>0</v>
      </c>
      <c r="AQ47">
        <f t="shared" si="7"/>
        <v>0</v>
      </c>
      <c r="AR47">
        <f t="shared" si="8"/>
        <v>0</v>
      </c>
      <c r="AS47">
        <f t="shared" si="9"/>
        <v>0</v>
      </c>
      <c r="AT47">
        <f t="shared" si="10"/>
        <v>0</v>
      </c>
      <c r="AU47">
        <f t="shared" si="11"/>
        <v>0</v>
      </c>
      <c r="AV47">
        <f t="shared" si="12"/>
        <v>0</v>
      </c>
      <c r="AZ47">
        <f>ELEMENT!CU91</f>
        <v>0</v>
      </c>
      <c r="BA47">
        <v>2200</v>
      </c>
      <c r="BB47">
        <v>2600</v>
      </c>
      <c r="BC47">
        <v>2200</v>
      </c>
      <c r="BD47">
        <v>2600</v>
      </c>
      <c r="BE47">
        <v>2200</v>
      </c>
      <c r="BF47">
        <v>2600</v>
      </c>
      <c r="BG47">
        <v>2200</v>
      </c>
      <c r="BH47">
        <v>2200</v>
      </c>
      <c r="BI47">
        <v>2200</v>
      </c>
      <c r="BJ47">
        <v>3150</v>
      </c>
      <c r="BK47">
        <v>3150</v>
      </c>
      <c r="BR47">
        <f>ELEMENT!CU91</f>
        <v>0</v>
      </c>
      <c r="BS47">
        <v>2200</v>
      </c>
      <c r="BT47">
        <v>2600</v>
      </c>
      <c r="BU47">
        <v>2200</v>
      </c>
      <c r="CJ47">
        <f t="shared" si="15"/>
        <v>0</v>
      </c>
      <c r="CK47">
        <v>2300</v>
      </c>
      <c r="CL47">
        <v>2300</v>
      </c>
      <c r="CM47">
        <v>2300</v>
      </c>
      <c r="CN47">
        <v>2300</v>
      </c>
      <c r="CO47">
        <v>2300</v>
      </c>
      <c r="CP47">
        <v>2300</v>
      </c>
      <c r="CQ47">
        <v>2300</v>
      </c>
    </row>
    <row r="48" spans="19:99" x14ac:dyDescent="0.2">
      <c r="S48">
        <f>ELEMENT!BF48</f>
        <v>0</v>
      </c>
      <c r="U48" t="str">
        <f>ELEMENT!BH48</f>
        <v>m2</v>
      </c>
      <c r="V48" t="str">
        <f>ELEMENT!BI48</f>
        <v>Stk.</v>
      </c>
      <c r="W48">
        <v>0</v>
      </c>
      <c r="X48">
        <v>0</v>
      </c>
      <c r="AH48">
        <f>ELEMENT!CU92</f>
        <v>0</v>
      </c>
      <c r="AI48">
        <f t="shared" si="13"/>
        <v>3500</v>
      </c>
      <c r="AJ48">
        <f t="shared" si="0"/>
        <v>3500</v>
      </c>
      <c r="AK48">
        <f t="shared" si="1"/>
        <v>3500</v>
      </c>
      <c r="AL48">
        <f t="shared" si="2"/>
        <v>3500</v>
      </c>
      <c r="AM48">
        <f t="shared" si="3"/>
        <v>3500</v>
      </c>
      <c r="AN48">
        <f t="shared" si="4"/>
        <v>3500</v>
      </c>
      <c r="AO48">
        <f t="shared" si="5"/>
        <v>3500</v>
      </c>
      <c r="AP48">
        <f t="shared" si="6"/>
        <v>0</v>
      </c>
      <c r="AQ48">
        <f t="shared" si="7"/>
        <v>0</v>
      </c>
      <c r="AR48">
        <f t="shared" si="8"/>
        <v>0</v>
      </c>
      <c r="AS48">
        <f t="shared" si="9"/>
        <v>0</v>
      </c>
      <c r="AT48">
        <f t="shared" si="10"/>
        <v>0</v>
      </c>
      <c r="AU48">
        <f t="shared" si="11"/>
        <v>0</v>
      </c>
      <c r="AV48">
        <f t="shared" si="12"/>
        <v>0</v>
      </c>
      <c r="AZ48">
        <f>ELEMENT!CU92</f>
        <v>0</v>
      </c>
      <c r="BA48">
        <v>3800</v>
      </c>
      <c r="BB48">
        <v>4000</v>
      </c>
      <c r="BC48">
        <v>3800</v>
      </c>
      <c r="BD48">
        <v>4000</v>
      </c>
      <c r="BE48">
        <v>3800</v>
      </c>
      <c r="BF48">
        <v>4000</v>
      </c>
      <c r="BG48">
        <v>3800</v>
      </c>
      <c r="BH48">
        <v>3800</v>
      </c>
      <c r="BI48">
        <v>3800</v>
      </c>
      <c r="BJ48">
        <v>4000</v>
      </c>
      <c r="BK48">
        <v>4000</v>
      </c>
      <c r="BR48">
        <f>ELEMENT!CU92</f>
        <v>0</v>
      </c>
      <c r="BS48">
        <v>3800</v>
      </c>
      <c r="BT48">
        <v>4000</v>
      </c>
      <c r="BU48">
        <v>3800</v>
      </c>
      <c r="CJ48">
        <f t="shared" si="15"/>
        <v>0</v>
      </c>
      <c r="CK48">
        <v>3500</v>
      </c>
      <c r="CL48">
        <v>3500</v>
      </c>
      <c r="CM48">
        <v>3500</v>
      </c>
      <c r="CN48">
        <v>3500</v>
      </c>
      <c r="CO48">
        <v>3500</v>
      </c>
      <c r="CP48">
        <v>3500</v>
      </c>
      <c r="CQ48">
        <v>3500</v>
      </c>
    </row>
    <row r="49" spans="19:95" x14ac:dyDescent="0.2">
      <c r="S49">
        <f>ELEMENT!BF49</f>
        <v>0</v>
      </c>
      <c r="U49">
        <v>39.549999999999997</v>
      </c>
      <c r="V49">
        <v>33.9</v>
      </c>
      <c r="W49">
        <v>5.6499999999999995</v>
      </c>
      <c r="X49">
        <v>20</v>
      </c>
      <c r="AH49">
        <f>ELEMENT!CU93</f>
        <v>0</v>
      </c>
      <c r="AI49">
        <f t="shared" si="13"/>
        <v>2300</v>
      </c>
      <c r="AJ49">
        <f t="shared" si="0"/>
        <v>2300</v>
      </c>
      <c r="AK49">
        <f t="shared" si="1"/>
        <v>2300</v>
      </c>
      <c r="AL49">
        <f t="shared" si="2"/>
        <v>2300</v>
      </c>
      <c r="AM49">
        <f t="shared" si="3"/>
        <v>2300</v>
      </c>
      <c r="AN49">
        <f t="shared" si="4"/>
        <v>2300</v>
      </c>
      <c r="AO49">
        <f t="shared" si="5"/>
        <v>2300</v>
      </c>
      <c r="AP49">
        <f t="shared" si="6"/>
        <v>0</v>
      </c>
      <c r="AQ49">
        <f t="shared" si="7"/>
        <v>0</v>
      </c>
      <c r="AR49">
        <f t="shared" si="8"/>
        <v>0</v>
      </c>
      <c r="AS49">
        <f t="shared" si="9"/>
        <v>0</v>
      </c>
      <c r="AT49">
        <f t="shared" si="10"/>
        <v>0</v>
      </c>
      <c r="AU49">
        <f t="shared" si="11"/>
        <v>0</v>
      </c>
      <c r="AV49">
        <f t="shared" si="12"/>
        <v>0</v>
      </c>
      <c r="AZ49">
        <f>ELEMENT!CU93</f>
        <v>0</v>
      </c>
      <c r="BA49">
        <v>2300</v>
      </c>
      <c r="BB49">
        <v>2300</v>
      </c>
      <c r="BC49">
        <v>2300</v>
      </c>
      <c r="BD49">
        <v>2300</v>
      </c>
      <c r="BE49">
        <v>2300</v>
      </c>
      <c r="BF49">
        <v>2300</v>
      </c>
      <c r="BG49">
        <v>2300</v>
      </c>
      <c r="BH49">
        <v>2300</v>
      </c>
      <c r="BI49">
        <v>2300</v>
      </c>
      <c r="BJ49">
        <v>2300</v>
      </c>
      <c r="BK49">
        <v>2300</v>
      </c>
      <c r="BR49">
        <f>ELEMENT!CU93</f>
        <v>0</v>
      </c>
      <c r="BS49">
        <v>2300</v>
      </c>
      <c r="BT49">
        <v>2300</v>
      </c>
      <c r="BU49">
        <v>2300</v>
      </c>
      <c r="CJ49">
        <f t="shared" si="15"/>
        <v>0</v>
      </c>
      <c r="CK49">
        <v>2300</v>
      </c>
      <c r="CL49">
        <v>2300</v>
      </c>
      <c r="CM49">
        <v>2300</v>
      </c>
      <c r="CN49">
        <v>2300</v>
      </c>
      <c r="CO49">
        <v>2300</v>
      </c>
      <c r="CP49">
        <v>2300</v>
      </c>
      <c r="CQ49">
        <v>2300</v>
      </c>
    </row>
    <row r="50" spans="19:95" x14ac:dyDescent="0.2">
      <c r="S50">
        <f>ELEMENT!BF50</f>
        <v>0</v>
      </c>
      <c r="W50">
        <v>0</v>
      </c>
      <c r="X50">
        <v>0</v>
      </c>
      <c r="AH50">
        <f>ELEMENT!CU94</f>
        <v>0</v>
      </c>
      <c r="AI50">
        <f t="shared" si="13"/>
        <v>0</v>
      </c>
      <c r="AJ50">
        <f t="shared" si="0"/>
        <v>0</v>
      </c>
      <c r="AK50">
        <f t="shared" si="1"/>
        <v>0</v>
      </c>
      <c r="AL50">
        <f t="shared" si="2"/>
        <v>0</v>
      </c>
      <c r="AM50">
        <f t="shared" si="3"/>
        <v>0</v>
      </c>
      <c r="AN50">
        <f t="shared" si="4"/>
        <v>0</v>
      </c>
      <c r="AO50">
        <f t="shared" si="5"/>
        <v>0</v>
      </c>
      <c r="AP50">
        <f t="shared" si="6"/>
        <v>0</v>
      </c>
      <c r="AQ50">
        <f t="shared" si="7"/>
        <v>0</v>
      </c>
      <c r="AR50">
        <f t="shared" si="8"/>
        <v>0</v>
      </c>
      <c r="AS50">
        <f t="shared" si="9"/>
        <v>0</v>
      </c>
      <c r="AT50">
        <f t="shared" si="10"/>
        <v>0</v>
      </c>
      <c r="AU50">
        <f t="shared" si="11"/>
        <v>0</v>
      </c>
      <c r="AV50">
        <f t="shared" si="12"/>
        <v>0</v>
      </c>
      <c r="AZ50">
        <f>ELEMENT!CU94</f>
        <v>0</v>
      </c>
      <c r="BR50">
        <f>ELEMENT!CU94</f>
        <v>0</v>
      </c>
      <c r="CJ50">
        <f t="shared" si="15"/>
        <v>0</v>
      </c>
    </row>
    <row r="51" spans="19:95" x14ac:dyDescent="0.2">
      <c r="S51">
        <f>ELEMENT!BF51</f>
        <v>0</v>
      </c>
      <c r="W51">
        <v>0</v>
      </c>
      <c r="X51">
        <v>0</v>
      </c>
      <c r="AH51">
        <f>ELEMENT!CU95</f>
        <v>0</v>
      </c>
      <c r="AI51">
        <f t="shared" si="13"/>
        <v>0</v>
      </c>
      <c r="AJ51">
        <f t="shared" si="0"/>
        <v>0</v>
      </c>
      <c r="AK51">
        <f t="shared" si="1"/>
        <v>0</v>
      </c>
      <c r="AL51">
        <f t="shared" si="2"/>
        <v>0</v>
      </c>
      <c r="AM51">
        <f t="shared" si="3"/>
        <v>0</v>
      </c>
      <c r="AN51">
        <f t="shared" si="4"/>
        <v>0</v>
      </c>
      <c r="AO51">
        <f t="shared" si="5"/>
        <v>0</v>
      </c>
      <c r="AP51">
        <f t="shared" si="6"/>
        <v>0</v>
      </c>
      <c r="AQ51">
        <f t="shared" si="7"/>
        <v>0</v>
      </c>
      <c r="AR51">
        <f t="shared" si="8"/>
        <v>0</v>
      </c>
      <c r="AS51">
        <f t="shared" si="9"/>
        <v>0</v>
      </c>
      <c r="AT51">
        <f t="shared" si="10"/>
        <v>0</v>
      </c>
      <c r="AU51">
        <f t="shared" si="11"/>
        <v>0</v>
      </c>
      <c r="AV51">
        <f t="shared" si="12"/>
        <v>0</v>
      </c>
      <c r="AZ51">
        <f>ELEMENT!CU95</f>
        <v>0</v>
      </c>
      <c r="BA51">
        <f>BW23</f>
        <v>0</v>
      </c>
      <c r="BJ51" t="s">
        <v>960</v>
      </c>
      <c r="BR51">
        <f>ELEMENT!CU95</f>
        <v>0</v>
      </c>
      <c r="CJ51">
        <f t="shared" si="15"/>
        <v>0</v>
      </c>
      <c r="CK51">
        <f>DG23</f>
        <v>0</v>
      </c>
    </row>
    <row r="52" spans="19:95" x14ac:dyDescent="0.2">
      <c r="S52">
        <f>ELEMENT!BF52</f>
        <v>0</v>
      </c>
      <c r="T52">
        <v>10</v>
      </c>
      <c r="V52">
        <v>135.6</v>
      </c>
      <c r="W52">
        <v>0</v>
      </c>
      <c r="X52">
        <v>33.9</v>
      </c>
      <c r="Y52">
        <v>71</v>
      </c>
      <c r="AH52">
        <f>ELEMENT!CU96</f>
        <v>0</v>
      </c>
      <c r="AI52">
        <f t="shared" si="13"/>
        <v>3500</v>
      </c>
      <c r="AJ52">
        <f t="shared" si="0"/>
        <v>3500</v>
      </c>
      <c r="AK52">
        <f t="shared" si="1"/>
        <v>3500</v>
      </c>
      <c r="AL52">
        <f t="shared" si="2"/>
        <v>3500</v>
      </c>
      <c r="AM52">
        <f t="shared" si="3"/>
        <v>3500</v>
      </c>
      <c r="AN52">
        <f t="shared" si="4"/>
        <v>3500</v>
      </c>
      <c r="AO52">
        <f t="shared" si="5"/>
        <v>3500</v>
      </c>
      <c r="AP52">
        <f t="shared" si="6"/>
        <v>0</v>
      </c>
      <c r="AQ52">
        <f t="shared" si="7"/>
        <v>0</v>
      </c>
      <c r="AR52">
        <f t="shared" si="8"/>
        <v>0</v>
      </c>
      <c r="AS52">
        <f t="shared" si="9"/>
        <v>0</v>
      </c>
      <c r="AT52">
        <f t="shared" si="10"/>
        <v>0</v>
      </c>
      <c r="AU52">
        <f t="shared" si="11"/>
        <v>0</v>
      </c>
      <c r="AV52">
        <f t="shared" si="12"/>
        <v>0</v>
      </c>
      <c r="AZ52">
        <f>ELEMENT!CU96</f>
        <v>0</v>
      </c>
      <c r="BA52">
        <v>3800</v>
      </c>
      <c r="BB52">
        <v>4000</v>
      </c>
      <c r="BC52">
        <v>3800</v>
      </c>
      <c r="BD52">
        <v>4000</v>
      </c>
      <c r="BE52">
        <v>3800</v>
      </c>
      <c r="BF52">
        <v>4000</v>
      </c>
      <c r="BG52">
        <v>3800</v>
      </c>
      <c r="BH52">
        <v>3800</v>
      </c>
      <c r="BI52">
        <v>3800</v>
      </c>
      <c r="BJ52">
        <v>4000</v>
      </c>
      <c r="BK52">
        <v>4000</v>
      </c>
      <c r="BR52">
        <f>ELEMENT!CU96</f>
        <v>0</v>
      </c>
      <c r="BS52">
        <v>3800</v>
      </c>
      <c r="BT52">
        <v>4000</v>
      </c>
      <c r="BU52">
        <v>3800</v>
      </c>
      <c r="CJ52">
        <f t="shared" si="15"/>
        <v>0</v>
      </c>
      <c r="CK52">
        <v>3500</v>
      </c>
      <c r="CL52">
        <v>3500</v>
      </c>
      <c r="CM52">
        <v>3500</v>
      </c>
      <c r="CN52">
        <v>3500</v>
      </c>
      <c r="CO52">
        <v>3500</v>
      </c>
      <c r="CP52">
        <v>3500</v>
      </c>
      <c r="CQ52">
        <v>3500</v>
      </c>
    </row>
    <row r="53" spans="19:95" x14ac:dyDescent="0.2">
      <c r="S53">
        <f>ELEMENT!BF53</f>
        <v>0</v>
      </c>
      <c r="T53">
        <v>10</v>
      </c>
      <c r="V53">
        <v>169.49999999999997</v>
      </c>
      <c r="W53">
        <v>0</v>
      </c>
      <c r="X53">
        <v>67.8</v>
      </c>
      <c r="Y53">
        <v>78</v>
      </c>
      <c r="AH53">
        <f>ELEMENT!CU97</f>
        <v>0</v>
      </c>
      <c r="AI53">
        <f t="shared" si="13"/>
        <v>2300</v>
      </c>
      <c r="AJ53">
        <f t="shared" si="0"/>
        <v>2300</v>
      </c>
      <c r="AK53">
        <f t="shared" si="1"/>
        <v>2300</v>
      </c>
      <c r="AL53">
        <f t="shared" si="2"/>
        <v>2300</v>
      </c>
      <c r="AM53">
        <f t="shared" si="3"/>
        <v>2300</v>
      </c>
      <c r="AN53">
        <f t="shared" si="4"/>
        <v>2300</v>
      </c>
      <c r="AO53">
        <f t="shared" si="5"/>
        <v>2300</v>
      </c>
      <c r="AP53">
        <f t="shared" si="6"/>
        <v>0</v>
      </c>
      <c r="AQ53">
        <f t="shared" si="7"/>
        <v>0</v>
      </c>
      <c r="AR53">
        <f t="shared" si="8"/>
        <v>0</v>
      </c>
      <c r="AS53">
        <f t="shared" si="9"/>
        <v>0</v>
      </c>
      <c r="AT53">
        <f t="shared" si="10"/>
        <v>0</v>
      </c>
      <c r="AU53">
        <f t="shared" si="11"/>
        <v>0</v>
      </c>
      <c r="AV53">
        <f t="shared" si="12"/>
        <v>0</v>
      </c>
      <c r="AZ53">
        <f>ELEMENT!CU97</f>
        <v>0</v>
      </c>
      <c r="BA53">
        <v>2200</v>
      </c>
      <c r="BB53">
        <v>2600</v>
      </c>
      <c r="BC53">
        <v>2200</v>
      </c>
      <c r="BD53">
        <v>2600</v>
      </c>
      <c r="BE53">
        <v>2200</v>
      </c>
      <c r="BF53">
        <v>2600</v>
      </c>
      <c r="BG53">
        <v>2200</v>
      </c>
      <c r="BH53">
        <v>2200</v>
      </c>
      <c r="BI53">
        <v>2200</v>
      </c>
      <c r="BJ53">
        <v>3150</v>
      </c>
      <c r="BK53">
        <v>3150</v>
      </c>
      <c r="BR53">
        <f>ELEMENT!CU97</f>
        <v>0</v>
      </c>
      <c r="BS53">
        <v>2200</v>
      </c>
      <c r="BT53">
        <v>2600</v>
      </c>
      <c r="BU53">
        <v>2200</v>
      </c>
      <c r="CJ53">
        <f t="shared" si="15"/>
        <v>0</v>
      </c>
      <c r="CK53">
        <v>2300</v>
      </c>
      <c r="CL53">
        <v>2300</v>
      </c>
      <c r="CM53">
        <v>2300</v>
      </c>
      <c r="CN53">
        <v>2300</v>
      </c>
      <c r="CO53">
        <v>2300</v>
      </c>
      <c r="CP53">
        <v>2300</v>
      </c>
      <c r="CQ53">
        <v>2300</v>
      </c>
    </row>
    <row r="54" spans="19:95" x14ac:dyDescent="0.2">
      <c r="S54">
        <f>ELEMENT!BF54</f>
        <v>0</v>
      </c>
      <c r="T54">
        <v>20</v>
      </c>
      <c r="V54">
        <v>22.599999999999998</v>
      </c>
      <c r="W54">
        <v>0</v>
      </c>
      <c r="X54">
        <v>79.099999999999994</v>
      </c>
      <c r="Y54">
        <v>45</v>
      </c>
      <c r="AH54">
        <f>ELEMENT!CU98</f>
        <v>0</v>
      </c>
      <c r="AI54">
        <f t="shared" si="13"/>
        <v>2300</v>
      </c>
      <c r="AJ54">
        <f t="shared" si="0"/>
        <v>2300</v>
      </c>
      <c r="AK54">
        <f t="shared" si="1"/>
        <v>2300</v>
      </c>
      <c r="AL54">
        <f t="shared" si="2"/>
        <v>2300</v>
      </c>
      <c r="AM54">
        <f t="shared" si="3"/>
        <v>2300</v>
      </c>
      <c r="AN54">
        <f t="shared" si="4"/>
        <v>2300</v>
      </c>
      <c r="AO54">
        <f t="shared" si="5"/>
        <v>2300</v>
      </c>
      <c r="AP54">
        <f t="shared" si="6"/>
        <v>0</v>
      </c>
      <c r="AQ54">
        <f t="shared" si="7"/>
        <v>0</v>
      </c>
      <c r="AR54">
        <f t="shared" si="8"/>
        <v>0</v>
      </c>
      <c r="AS54">
        <f t="shared" si="9"/>
        <v>0</v>
      </c>
      <c r="AT54">
        <f t="shared" si="10"/>
        <v>0</v>
      </c>
      <c r="AU54">
        <f t="shared" si="11"/>
        <v>0</v>
      </c>
      <c r="AV54">
        <f t="shared" si="12"/>
        <v>0</v>
      </c>
      <c r="AZ54">
        <f>ELEMENT!CU98</f>
        <v>0</v>
      </c>
      <c r="BA54">
        <v>2300</v>
      </c>
      <c r="BB54">
        <v>2300</v>
      </c>
      <c r="BC54">
        <v>2300</v>
      </c>
      <c r="BD54">
        <v>2300</v>
      </c>
      <c r="BE54">
        <v>2300</v>
      </c>
      <c r="BF54">
        <v>2300</v>
      </c>
      <c r="BG54">
        <v>2300</v>
      </c>
      <c r="BH54">
        <v>2300</v>
      </c>
      <c r="BI54">
        <v>2300</v>
      </c>
      <c r="BJ54">
        <v>2300</v>
      </c>
      <c r="BK54">
        <v>2300</v>
      </c>
      <c r="BR54">
        <f>ELEMENT!CU98</f>
        <v>0</v>
      </c>
      <c r="BS54">
        <v>2300</v>
      </c>
      <c r="BT54">
        <v>2300</v>
      </c>
      <c r="BU54">
        <v>2300</v>
      </c>
      <c r="CJ54">
        <f t="shared" si="15"/>
        <v>0</v>
      </c>
      <c r="CK54">
        <v>2300</v>
      </c>
      <c r="CL54">
        <v>2300</v>
      </c>
      <c r="CM54">
        <v>2300</v>
      </c>
      <c r="CN54">
        <v>2300</v>
      </c>
      <c r="CO54">
        <v>2300</v>
      </c>
      <c r="CP54">
        <v>2300</v>
      </c>
      <c r="CQ54">
        <v>2300</v>
      </c>
    </row>
    <row r="55" spans="19:95" x14ac:dyDescent="0.2">
      <c r="S55">
        <f>ELEMENT!BF55</f>
        <v>0</v>
      </c>
      <c r="T55">
        <v>30</v>
      </c>
      <c r="V55">
        <v>33.9</v>
      </c>
      <c r="W55">
        <v>0</v>
      </c>
      <c r="X55">
        <v>120</v>
      </c>
      <c r="Y55">
        <v>82.98</v>
      </c>
      <c r="AH55">
        <f>ELEMENT!CU99</f>
        <v>0</v>
      </c>
      <c r="AI55">
        <f t="shared" si="13"/>
        <v>0</v>
      </c>
      <c r="AJ55">
        <f t="shared" si="0"/>
        <v>0</v>
      </c>
      <c r="AK55">
        <f t="shared" si="1"/>
        <v>0</v>
      </c>
      <c r="AL55">
        <f t="shared" si="2"/>
        <v>0</v>
      </c>
      <c r="AM55">
        <f t="shared" si="3"/>
        <v>0</v>
      </c>
      <c r="AN55">
        <f t="shared" si="4"/>
        <v>0</v>
      </c>
      <c r="AO55">
        <f t="shared" si="5"/>
        <v>0</v>
      </c>
      <c r="AP55">
        <f t="shared" si="6"/>
        <v>0</v>
      </c>
      <c r="AQ55">
        <f t="shared" si="7"/>
        <v>0</v>
      </c>
      <c r="AR55">
        <f t="shared" si="8"/>
        <v>0</v>
      </c>
      <c r="AS55">
        <f t="shared" si="9"/>
        <v>0</v>
      </c>
      <c r="AT55">
        <f t="shared" si="10"/>
        <v>0</v>
      </c>
      <c r="AU55">
        <f t="shared" si="11"/>
        <v>0</v>
      </c>
      <c r="AV55">
        <f t="shared" si="12"/>
        <v>0</v>
      </c>
      <c r="AZ55">
        <f>ELEMENT!CU99</f>
        <v>0</v>
      </c>
      <c r="BR55">
        <f>ELEMENT!CU99</f>
        <v>0</v>
      </c>
      <c r="CJ55">
        <f t="shared" si="15"/>
        <v>0</v>
      </c>
    </row>
    <row r="56" spans="19:95" x14ac:dyDescent="0.2">
      <c r="S56">
        <f>ELEMENT!BF56</f>
        <v>2300</v>
      </c>
      <c r="V56">
        <v>0</v>
      </c>
      <c r="W56">
        <v>0</v>
      </c>
      <c r="X56">
        <v>0</v>
      </c>
      <c r="AH56">
        <f>ELEMENT!CU100</f>
        <v>0</v>
      </c>
      <c r="AI56">
        <f t="shared" si="13"/>
        <v>0</v>
      </c>
      <c r="AJ56">
        <f t="shared" si="0"/>
        <v>0</v>
      </c>
      <c r="AK56">
        <f t="shared" si="1"/>
        <v>0</v>
      </c>
      <c r="AL56">
        <f t="shared" si="2"/>
        <v>0</v>
      </c>
      <c r="AM56">
        <f t="shared" si="3"/>
        <v>0</v>
      </c>
      <c r="AN56">
        <f t="shared" si="4"/>
        <v>0</v>
      </c>
      <c r="AO56">
        <f t="shared" si="5"/>
        <v>0</v>
      </c>
      <c r="AP56">
        <f t="shared" si="6"/>
        <v>0</v>
      </c>
      <c r="AQ56">
        <f t="shared" si="7"/>
        <v>0</v>
      </c>
      <c r="AR56">
        <f t="shared" si="8"/>
        <v>0</v>
      </c>
      <c r="AS56">
        <f t="shared" si="9"/>
        <v>0</v>
      </c>
      <c r="AT56">
        <f t="shared" si="10"/>
        <v>0</v>
      </c>
      <c r="AU56">
        <f t="shared" si="11"/>
        <v>0</v>
      </c>
      <c r="AV56">
        <f t="shared" si="12"/>
        <v>0</v>
      </c>
      <c r="AZ56">
        <f>ELEMENT!CU100</f>
        <v>0</v>
      </c>
      <c r="BA56">
        <f>BW24</f>
        <v>0</v>
      </c>
      <c r="BJ56" t="s">
        <v>960</v>
      </c>
      <c r="BR56">
        <f>ELEMENT!CU100</f>
        <v>0</v>
      </c>
      <c r="CJ56">
        <f t="shared" si="15"/>
        <v>0</v>
      </c>
      <c r="CK56">
        <f>DG24</f>
        <v>0</v>
      </c>
    </row>
    <row r="57" spans="19:95" x14ac:dyDescent="0.2">
      <c r="S57">
        <f>ELEMENT!BF57</f>
        <v>0</v>
      </c>
      <c r="T57">
        <v>10</v>
      </c>
      <c r="V57">
        <v>90</v>
      </c>
      <c r="X57">
        <v>130</v>
      </c>
      <c r="Y57">
        <v>450</v>
      </c>
      <c r="Z57">
        <v>20</v>
      </c>
      <c r="AA57">
        <v>0.25</v>
      </c>
      <c r="AH57">
        <f>ELEMENT!CU101</f>
        <v>0</v>
      </c>
      <c r="AI57">
        <f t="shared" si="13"/>
        <v>2300</v>
      </c>
      <c r="AJ57">
        <f t="shared" si="0"/>
        <v>2300</v>
      </c>
      <c r="AK57">
        <f t="shared" si="1"/>
        <v>2300</v>
      </c>
      <c r="AL57">
        <f t="shared" si="2"/>
        <v>2300</v>
      </c>
      <c r="AM57">
        <f t="shared" si="3"/>
        <v>2300</v>
      </c>
      <c r="AN57">
        <f t="shared" si="4"/>
        <v>2300</v>
      </c>
      <c r="AO57">
        <f t="shared" si="5"/>
        <v>2300</v>
      </c>
      <c r="AP57">
        <f t="shared" si="6"/>
        <v>0</v>
      </c>
      <c r="AQ57">
        <f t="shared" si="7"/>
        <v>0</v>
      </c>
      <c r="AR57">
        <f t="shared" si="8"/>
        <v>0</v>
      </c>
      <c r="AS57">
        <f t="shared" si="9"/>
        <v>0</v>
      </c>
      <c r="AT57">
        <f t="shared" si="10"/>
        <v>0</v>
      </c>
      <c r="AU57">
        <f t="shared" si="11"/>
        <v>0</v>
      </c>
      <c r="AV57">
        <f t="shared" si="12"/>
        <v>0</v>
      </c>
      <c r="AZ57">
        <f>ELEMENT!CU101</f>
        <v>0</v>
      </c>
      <c r="BA57">
        <v>2200</v>
      </c>
      <c r="BB57">
        <v>2600</v>
      </c>
      <c r="BC57">
        <v>2200</v>
      </c>
      <c r="BD57">
        <v>2600</v>
      </c>
      <c r="BE57">
        <v>2200</v>
      </c>
      <c r="BF57">
        <v>2600</v>
      </c>
      <c r="BG57">
        <v>2200</v>
      </c>
      <c r="BH57">
        <v>2200</v>
      </c>
      <c r="BI57">
        <v>2200</v>
      </c>
      <c r="BJ57">
        <v>3150</v>
      </c>
      <c r="BK57">
        <v>3150</v>
      </c>
      <c r="BR57">
        <f>ELEMENT!CU101</f>
        <v>0</v>
      </c>
      <c r="BS57">
        <v>2200</v>
      </c>
      <c r="BT57">
        <v>2600</v>
      </c>
      <c r="BU57">
        <v>2200</v>
      </c>
      <c r="CJ57">
        <f t="shared" si="15"/>
        <v>0</v>
      </c>
      <c r="CK57">
        <v>2300</v>
      </c>
      <c r="CL57">
        <v>2300</v>
      </c>
      <c r="CM57">
        <v>2300</v>
      </c>
      <c r="CN57">
        <v>2300</v>
      </c>
      <c r="CO57">
        <v>2300</v>
      </c>
      <c r="CP57">
        <v>2300</v>
      </c>
      <c r="CQ57">
        <v>2300</v>
      </c>
    </row>
    <row r="58" spans="19:95" x14ac:dyDescent="0.2">
      <c r="S58">
        <f>ELEMENT!BF58</f>
        <v>0</v>
      </c>
      <c r="T58">
        <v>2</v>
      </c>
      <c r="Y58">
        <v>48</v>
      </c>
      <c r="AH58">
        <f>ELEMENT!CU102</f>
        <v>0</v>
      </c>
      <c r="AI58">
        <f t="shared" si="13"/>
        <v>3500</v>
      </c>
      <c r="AJ58">
        <f t="shared" si="0"/>
        <v>3500</v>
      </c>
      <c r="AK58">
        <f t="shared" si="1"/>
        <v>3500</v>
      </c>
      <c r="AL58">
        <f t="shared" si="2"/>
        <v>3500</v>
      </c>
      <c r="AM58">
        <f t="shared" si="3"/>
        <v>3500</v>
      </c>
      <c r="AN58">
        <f t="shared" si="4"/>
        <v>3500</v>
      </c>
      <c r="AO58">
        <f t="shared" si="5"/>
        <v>3500</v>
      </c>
      <c r="AP58">
        <f t="shared" si="6"/>
        <v>0</v>
      </c>
      <c r="AQ58">
        <f t="shared" si="7"/>
        <v>0</v>
      </c>
      <c r="AR58">
        <f t="shared" si="8"/>
        <v>0</v>
      </c>
      <c r="AS58">
        <f t="shared" si="9"/>
        <v>0</v>
      </c>
      <c r="AT58">
        <f t="shared" si="10"/>
        <v>0</v>
      </c>
      <c r="AU58">
        <f t="shared" si="11"/>
        <v>0</v>
      </c>
      <c r="AV58">
        <f t="shared" si="12"/>
        <v>0</v>
      </c>
      <c r="AZ58">
        <f>ELEMENT!CU102</f>
        <v>0</v>
      </c>
      <c r="BA58">
        <v>3800</v>
      </c>
      <c r="BB58">
        <v>4000</v>
      </c>
      <c r="BC58">
        <v>3800</v>
      </c>
      <c r="BD58">
        <v>4000</v>
      </c>
      <c r="BE58">
        <v>3800</v>
      </c>
      <c r="BF58">
        <v>4000</v>
      </c>
      <c r="BG58">
        <v>3800</v>
      </c>
      <c r="BH58">
        <v>3800</v>
      </c>
      <c r="BI58">
        <v>3800</v>
      </c>
      <c r="BJ58">
        <v>4000</v>
      </c>
      <c r="BK58">
        <v>4000</v>
      </c>
      <c r="BR58">
        <f>ELEMENT!CU102</f>
        <v>0</v>
      </c>
      <c r="BS58">
        <v>3800</v>
      </c>
      <c r="BT58">
        <v>4000</v>
      </c>
      <c r="BU58">
        <v>3800</v>
      </c>
      <c r="CJ58">
        <f t="shared" si="15"/>
        <v>0</v>
      </c>
      <c r="CK58">
        <v>3500</v>
      </c>
      <c r="CL58">
        <v>3500</v>
      </c>
      <c r="CM58">
        <v>3500</v>
      </c>
      <c r="CN58">
        <v>3500</v>
      </c>
      <c r="CO58">
        <v>3500</v>
      </c>
      <c r="CP58">
        <v>3500</v>
      </c>
      <c r="CQ58">
        <v>3500</v>
      </c>
    </row>
    <row r="59" spans="19:95" x14ac:dyDescent="0.2">
      <c r="S59">
        <f>ELEMENT!BF59</f>
        <v>0</v>
      </c>
      <c r="AH59">
        <f>ELEMENT!CU103</f>
        <v>0</v>
      </c>
      <c r="AI59">
        <f t="shared" si="13"/>
        <v>2300</v>
      </c>
      <c r="AJ59">
        <f t="shared" si="0"/>
        <v>2300</v>
      </c>
      <c r="AK59">
        <f t="shared" si="1"/>
        <v>2300</v>
      </c>
      <c r="AL59">
        <f t="shared" si="2"/>
        <v>2300</v>
      </c>
      <c r="AM59">
        <f t="shared" si="3"/>
        <v>2300</v>
      </c>
      <c r="AN59">
        <f t="shared" si="4"/>
        <v>2300</v>
      </c>
      <c r="AO59">
        <f t="shared" si="5"/>
        <v>2300</v>
      </c>
      <c r="AP59">
        <f t="shared" si="6"/>
        <v>0</v>
      </c>
      <c r="AQ59">
        <f t="shared" si="7"/>
        <v>0</v>
      </c>
      <c r="AR59">
        <f t="shared" si="8"/>
        <v>0</v>
      </c>
      <c r="AS59">
        <f t="shared" si="9"/>
        <v>0</v>
      </c>
      <c r="AT59">
        <f t="shared" si="10"/>
        <v>0</v>
      </c>
      <c r="AU59">
        <f t="shared" si="11"/>
        <v>0</v>
      </c>
      <c r="AV59">
        <f t="shared" si="12"/>
        <v>0</v>
      </c>
      <c r="AZ59">
        <f>ELEMENT!CU103</f>
        <v>0</v>
      </c>
      <c r="BA59">
        <v>2300</v>
      </c>
      <c r="BB59">
        <v>2300</v>
      </c>
      <c r="BC59">
        <v>2300</v>
      </c>
      <c r="BD59">
        <v>2300</v>
      </c>
      <c r="BE59">
        <v>2300</v>
      </c>
      <c r="BF59">
        <v>2300</v>
      </c>
      <c r="BG59">
        <v>2300</v>
      </c>
      <c r="BH59">
        <v>2300</v>
      </c>
      <c r="BI59">
        <v>2300</v>
      </c>
      <c r="BJ59">
        <v>2300</v>
      </c>
      <c r="BK59">
        <v>2300</v>
      </c>
      <c r="BR59">
        <f>ELEMENT!CU103</f>
        <v>0</v>
      </c>
      <c r="BS59">
        <v>2300</v>
      </c>
      <c r="BT59">
        <v>2300</v>
      </c>
      <c r="BU59">
        <v>2300</v>
      </c>
      <c r="CJ59">
        <f t="shared" si="15"/>
        <v>0</v>
      </c>
      <c r="CK59">
        <v>2300</v>
      </c>
      <c r="CL59">
        <v>2300</v>
      </c>
      <c r="CM59">
        <v>2300</v>
      </c>
      <c r="CN59">
        <v>2300</v>
      </c>
      <c r="CO59">
        <v>2300</v>
      </c>
      <c r="CP59">
        <v>2300</v>
      </c>
      <c r="CQ59">
        <v>2300</v>
      </c>
    </row>
    <row r="60" spans="19:95" x14ac:dyDescent="0.2">
      <c r="S60">
        <f>ELEMENT!BF60</f>
        <v>0</v>
      </c>
      <c r="T60">
        <f>ELEMENT!BG60</f>
        <v>0</v>
      </c>
      <c r="U60">
        <f>ELEMENT!BH60</f>
        <v>0</v>
      </c>
      <c r="V60">
        <f>ELEMENT!BI60</f>
        <v>0</v>
      </c>
      <c r="W60">
        <f>ELEMENT!BJ60</f>
        <v>0</v>
      </c>
      <c r="X60">
        <f>ELEMENT!BK60</f>
        <v>0</v>
      </c>
      <c r="Y60">
        <f>ELEMENT!BL60</f>
        <v>0</v>
      </c>
      <c r="Z60">
        <f>ELEMENT!BM60</f>
        <v>0</v>
      </c>
      <c r="AA60">
        <f>ELEMENT!BN60</f>
        <v>0</v>
      </c>
      <c r="AB60">
        <f>ELEMENT!BO60</f>
        <v>0</v>
      </c>
      <c r="AH60">
        <f>ELEMENT!CU104</f>
        <v>0</v>
      </c>
      <c r="AI60">
        <f t="shared" si="13"/>
        <v>8</v>
      </c>
      <c r="AJ60">
        <f t="shared" si="0"/>
        <v>8</v>
      </c>
      <c r="AK60">
        <f t="shared" si="1"/>
        <v>8</v>
      </c>
      <c r="AL60">
        <f t="shared" si="2"/>
        <v>8</v>
      </c>
      <c r="AM60">
        <f t="shared" si="3"/>
        <v>8</v>
      </c>
      <c r="AN60">
        <f t="shared" si="4"/>
        <v>8</v>
      </c>
      <c r="AO60">
        <f t="shared" si="5"/>
        <v>8</v>
      </c>
      <c r="AP60">
        <f t="shared" si="6"/>
        <v>0</v>
      </c>
      <c r="AQ60">
        <f t="shared" si="7"/>
        <v>0</v>
      </c>
      <c r="AR60">
        <f t="shared" si="8"/>
        <v>0</v>
      </c>
      <c r="AS60">
        <f t="shared" si="9"/>
        <v>0</v>
      </c>
      <c r="AT60">
        <f t="shared" si="10"/>
        <v>0</v>
      </c>
      <c r="AU60">
        <f t="shared" si="11"/>
        <v>0</v>
      </c>
      <c r="AV60">
        <f t="shared" si="12"/>
        <v>0</v>
      </c>
      <c r="AZ60">
        <f>ELEMENT!CU104</f>
        <v>0</v>
      </c>
      <c r="BA60">
        <v>8</v>
      </c>
      <c r="BB60">
        <v>8</v>
      </c>
      <c r="BC60">
        <v>8</v>
      </c>
      <c r="BD60">
        <v>8</v>
      </c>
      <c r="BE60">
        <v>8</v>
      </c>
      <c r="BF60">
        <v>8</v>
      </c>
      <c r="BG60">
        <v>8</v>
      </c>
      <c r="BH60">
        <v>8</v>
      </c>
      <c r="BI60">
        <v>8</v>
      </c>
      <c r="BJ60">
        <v>8</v>
      </c>
      <c r="BK60">
        <v>8</v>
      </c>
      <c r="BR60">
        <f>ELEMENT!CU104</f>
        <v>0</v>
      </c>
      <c r="BS60">
        <v>8</v>
      </c>
      <c r="BT60">
        <v>8</v>
      </c>
      <c r="BU60">
        <v>8</v>
      </c>
      <c r="CJ60">
        <f t="shared" si="15"/>
        <v>0</v>
      </c>
      <c r="CK60">
        <v>8</v>
      </c>
      <c r="CL60">
        <v>8</v>
      </c>
      <c r="CM60">
        <v>8</v>
      </c>
      <c r="CN60">
        <v>8</v>
      </c>
      <c r="CO60">
        <v>8</v>
      </c>
      <c r="CP60">
        <v>8</v>
      </c>
      <c r="CQ60">
        <v>8</v>
      </c>
    </row>
    <row r="61" spans="19:95" x14ac:dyDescent="0.2">
      <c r="S61">
        <f>ELEMENT!BF61</f>
        <v>0</v>
      </c>
      <c r="T61">
        <v>5</v>
      </c>
      <c r="V61">
        <v>20</v>
      </c>
      <c r="X61">
        <v>30</v>
      </c>
      <c r="Y61">
        <v>87</v>
      </c>
      <c r="AH61">
        <f>ELEMENT!CU105</f>
        <v>0</v>
      </c>
      <c r="AI61">
        <f t="shared" si="13"/>
        <v>12.6</v>
      </c>
      <c r="AJ61">
        <f t="shared" si="0"/>
        <v>12.6</v>
      </c>
      <c r="AK61">
        <f t="shared" si="1"/>
        <v>12.6</v>
      </c>
      <c r="AL61">
        <f t="shared" si="2"/>
        <v>12.6</v>
      </c>
      <c r="AM61">
        <f t="shared" si="3"/>
        <v>12.6</v>
      </c>
      <c r="AN61">
        <f t="shared" si="4"/>
        <v>12.6</v>
      </c>
      <c r="AO61">
        <f t="shared" si="5"/>
        <v>12.6</v>
      </c>
      <c r="AP61">
        <f t="shared" si="6"/>
        <v>0</v>
      </c>
      <c r="AQ61">
        <f t="shared" si="7"/>
        <v>0</v>
      </c>
      <c r="AR61">
        <f t="shared" si="8"/>
        <v>0</v>
      </c>
      <c r="AS61">
        <f t="shared" si="9"/>
        <v>0</v>
      </c>
      <c r="AT61">
        <f t="shared" si="10"/>
        <v>0</v>
      </c>
      <c r="AU61">
        <f t="shared" si="11"/>
        <v>0</v>
      </c>
      <c r="AV61">
        <f t="shared" si="12"/>
        <v>0</v>
      </c>
      <c r="AZ61">
        <f>ELEMENT!CU105</f>
        <v>0</v>
      </c>
      <c r="BA61">
        <v>12.6</v>
      </c>
      <c r="BB61">
        <v>12.6</v>
      </c>
      <c r="BC61">
        <v>12.6</v>
      </c>
      <c r="BD61">
        <v>12.6</v>
      </c>
      <c r="BE61">
        <v>12.6</v>
      </c>
      <c r="BF61">
        <v>12.6</v>
      </c>
      <c r="BG61">
        <v>12.6</v>
      </c>
      <c r="BH61">
        <v>12.6</v>
      </c>
      <c r="BI61">
        <v>12.6</v>
      </c>
      <c r="BJ61">
        <v>12.6</v>
      </c>
      <c r="BK61">
        <v>12.6</v>
      </c>
      <c r="BR61">
        <f>ELEMENT!CU105</f>
        <v>0</v>
      </c>
      <c r="BS61">
        <v>12.6</v>
      </c>
      <c r="BT61">
        <v>12.6</v>
      </c>
      <c r="BU61">
        <v>12.6</v>
      </c>
      <c r="CJ61">
        <f t="shared" si="15"/>
        <v>0</v>
      </c>
      <c r="CK61">
        <v>12.6</v>
      </c>
      <c r="CL61">
        <v>12.6</v>
      </c>
      <c r="CM61">
        <v>12.6</v>
      </c>
      <c r="CN61">
        <v>12.6</v>
      </c>
      <c r="CO61">
        <v>12.6</v>
      </c>
      <c r="CP61">
        <v>12.6</v>
      </c>
      <c r="CQ61">
        <v>12.6</v>
      </c>
    </row>
    <row r="62" spans="19:95" x14ac:dyDescent="0.2">
      <c r="S62">
        <f>ELEMENT!BF62</f>
        <v>0</v>
      </c>
      <c r="T62">
        <v>5</v>
      </c>
      <c r="V62">
        <v>30</v>
      </c>
      <c r="X62">
        <v>80</v>
      </c>
      <c r="Y62">
        <v>153.5</v>
      </c>
      <c r="AH62">
        <f>ELEMENT!CU106</f>
        <v>0</v>
      </c>
      <c r="AI62">
        <f t="shared" si="13"/>
        <v>0</v>
      </c>
      <c r="AJ62">
        <f t="shared" si="0"/>
        <v>0</v>
      </c>
      <c r="AK62">
        <f t="shared" si="1"/>
        <v>0</v>
      </c>
      <c r="AL62">
        <f t="shared" si="2"/>
        <v>0</v>
      </c>
      <c r="AM62">
        <f t="shared" si="3"/>
        <v>0</v>
      </c>
      <c r="AN62">
        <f t="shared" si="4"/>
        <v>0</v>
      </c>
      <c r="AO62">
        <f t="shared" si="5"/>
        <v>0</v>
      </c>
      <c r="AP62">
        <f t="shared" si="6"/>
        <v>0</v>
      </c>
      <c r="AQ62">
        <f t="shared" si="7"/>
        <v>0</v>
      </c>
      <c r="AR62">
        <f t="shared" si="8"/>
        <v>0</v>
      </c>
      <c r="AS62">
        <f t="shared" si="9"/>
        <v>0</v>
      </c>
      <c r="AT62">
        <f t="shared" si="10"/>
        <v>0</v>
      </c>
      <c r="AU62">
        <f t="shared" si="11"/>
        <v>0</v>
      </c>
      <c r="AV62">
        <f t="shared" si="12"/>
        <v>0</v>
      </c>
      <c r="AZ62">
        <f>ELEMENT!CU106</f>
        <v>0</v>
      </c>
      <c r="BR62">
        <f>ELEMENT!CU106</f>
        <v>0</v>
      </c>
      <c r="CJ62">
        <f t="shared" si="15"/>
        <v>0</v>
      </c>
    </row>
    <row r="63" spans="19:95" x14ac:dyDescent="0.2">
      <c r="S63">
        <f>ELEMENT!BF63</f>
        <v>0</v>
      </c>
      <c r="V63">
        <v>10</v>
      </c>
      <c r="AH63">
        <f>ELEMENT!CU107</f>
        <v>0</v>
      </c>
      <c r="AI63">
        <f t="shared" si="13"/>
        <v>0</v>
      </c>
      <c r="AJ63" t="str">
        <f t="shared" si="0"/>
        <v>s</v>
      </c>
      <c r="AK63" t="str">
        <f t="shared" si="1"/>
        <v>c</v>
      </c>
      <c r="AL63">
        <f t="shared" si="2"/>
        <v>0</v>
      </c>
      <c r="AM63">
        <f t="shared" si="3"/>
        <v>0</v>
      </c>
      <c r="AN63">
        <f t="shared" si="4"/>
        <v>0</v>
      </c>
      <c r="AO63">
        <f t="shared" si="5"/>
        <v>0</v>
      </c>
      <c r="AP63">
        <f t="shared" si="6"/>
        <v>0</v>
      </c>
      <c r="AQ63">
        <f t="shared" si="7"/>
        <v>0</v>
      </c>
      <c r="AR63">
        <f t="shared" si="8"/>
        <v>0</v>
      </c>
      <c r="AS63">
        <f t="shared" si="9"/>
        <v>0</v>
      </c>
      <c r="AT63">
        <f t="shared" si="10"/>
        <v>0</v>
      </c>
      <c r="AU63">
        <f t="shared" si="11"/>
        <v>0</v>
      </c>
      <c r="AV63">
        <f t="shared" si="12"/>
        <v>0</v>
      </c>
      <c r="AZ63">
        <f>ELEMENT!CU107</f>
        <v>0</v>
      </c>
      <c r="BB63" t="s">
        <v>138</v>
      </c>
      <c r="BC63" t="s">
        <v>139</v>
      </c>
      <c r="BR63">
        <f>ELEMENT!CU107</f>
        <v>0</v>
      </c>
      <c r="BT63" t="s">
        <v>138</v>
      </c>
      <c r="BU63" t="s">
        <v>139</v>
      </c>
      <c r="CJ63">
        <f t="shared" si="15"/>
        <v>0</v>
      </c>
      <c r="CL63" t="s">
        <v>138</v>
      </c>
      <c r="CM63" t="s">
        <v>139</v>
      </c>
    </row>
    <row r="64" spans="19:95" x14ac:dyDescent="0.2">
      <c r="S64">
        <f>ELEMENT!BF64</f>
        <v>0</v>
      </c>
      <c r="T64">
        <v>0</v>
      </c>
      <c r="V64">
        <v>10</v>
      </c>
      <c r="AH64">
        <f>ELEMENT!CU108</f>
        <v>0</v>
      </c>
      <c r="AI64">
        <f t="shared" si="13"/>
        <v>3200</v>
      </c>
      <c r="AJ64">
        <f t="shared" si="0"/>
        <v>4500</v>
      </c>
      <c r="AK64">
        <f t="shared" si="1"/>
        <v>3600</v>
      </c>
      <c r="AL64">
        <f t="shared" si="2"/>
        <v>0</v>
      </c>
      <c r="AM64">
        <f t="shared" si="3"/>
        <v>0</v>
      </c>
      <c r="AN64">
        <f t="shared" si="4"/>
        <v>0</v>
      </c>
      <c r="AO64">
        <f t="shared" si="5"/>
        <v>0</v>
      </c>
      <c r="AP64">
        <f t="shared" si="6"/>
        <v>0</v>
      </c>
      <c r="AQ64">
        <f t="shared" si="7"/>
        <v>0</v>
      </c>
      <c r="AR64">
        <f t="shared" si="8"/>
        <v>0</v>
      </c>
      <c r="AS64">
        <f t="shared" si="9"/>
        <v>0</v>
      </c>
      <c r="AT64">
        <f t="shared" si="10"/>
        <v>0</v>
      </c>
      <c r="AU64">
        <f t="shared" si="11"/>
        <v>0</v>
      </c>
      <c r="AV64">
        <f t="shared" si="12"/>
        <v>0</v>
      </c>
      <c r="AZ64">
        <f>ELEMENT!CU108</f>
        <v>0</v>
      </c>
      <c r="BA64">
        <v>3200</v>
      </c>
      <c r="BB64">
        <v>4500</v>
      </c>
      <c r="BC64">
        <v>3600</v>
      </c>
      <c r="BR64">
        <f>ELEMENT!CU108</f>
        <v>0</v>
      </c>
      <c r="BS64">
        <v>3200</v>
      </c>
      <c r="BT64">
        <v>4500</v>
      </c>
      <c r="BU64">
        <v>3600</v>
      </c>
      <c r="CJ64">
        <f t="shared" si="15"/>
        <v>0</v>
      </c>
      <c r="CK64">
        <v>3200</v>
      </c>
      <c r="CL64">
        <v>4500</v>
      </c>
      <c r="CM64">
        <v>3600</v>
      </c>
    </row>
    <row r="65" spans="19:91" x14ac:dyDescent="0.2">
      <c r="S65">
        <f>ELEMENT!BF65</f>
        <v>0</v>
      </c>
      <c r="T65">
        <v>10</v>
      </c>
      <c r="V65">
        <v>15</v>
      </c>
      <c r="X65">
        <v>20</v>
      </c>
      <c r="Y65">
        <v>26</v>
      </c>
      <c r="AH65">
        <f>ELEMENT!CU109</f>
        <v>0</v>
      </c>
      <c r="AI65">
        <f t="shared" si="13"/>
        <v>0</v>
      </c>
      <c r="AJ65">
        <f t="shared" si="0"/>
        <v>0</v>
      </c>
      <c r="AK65">
        <f t="shared" si="1"/>
        <v>0</v>
      </c>
      <c r="AL65">
        <f t="shared" si="2"/>
        <v>0</v>
      </c>
      <c r="AM65">
        <f t="shared" si="3"/>
        <v>0</v>
      </c>
      <c r="AN65">
        <f t="shared" si="4"/>
        <v>0</v>
      </c>
      <c r="AO65">
        <f t="shared" si="5"/>
        <v>0</v>
      </c>
      <c r="AP65">
        <f t="shared" si="6"/>
        <v>0</v>
      </c>
      <c r="AQ65">
        <f t="shared" si="7"/>
        <v>0</v>
      </c>
      <c r="AR65">
        <f t="shared" si="8"/>
        <v>0</v>
      </c>
      <c r="AS65">
        <f t="shared" si="9"/>
        <v>0</v>
      </c>
      <c r="AT65">
        <f t="shared" si="10"/>
        <v>0</v>
      </c>
      <c r="AU65">
        <f t="shared" si="11"/>
        <v>0</v>
      </c>
      <c r="AV65">
        <f t="shared" si="12"/>
        <v>0</v>
      </c>
      <c r="AZ65">
        <f>ELEMENT!CU109</f>
        <v>0</v>
      </c>
      <c r="BR65">
        <f>ELEMENT!CU109</f>
        <v>0</v>
      </c>
      <c r="CJ65">
        <f t="shared" si="15"/>
        <v>0</v>
      </c>
    </row>
    <row r="66" spans="19:91" x14ac:dyDescent="0.2">
      <c r="S66">
        <f>ELEMENT!BF66</f>
        <v>0</v>
      </c>
      <c r="T66">
        <f>ELEMENT!BG66</f>
        <v>0</v>
      </c>
      <c r="U66">
        <f>ELEMENT!BH66</f>
        <v>0</v>
      </c>
      <c r="V66">
        <f>ELEMENT!BI66</f>
        <v>0</v>
      </c>
      <c r="W66">
        <f>ELEMENT!BJ66</f>
        <v>0</v>
      </c>
      <c r="X66">
        <f>ELEMENT!BK66</f>
        <v>0</v>
      </c>
      <c r="Y66">
        <f>ELEMENT!BL66</f>
        <v>0</v>
      </c>
      <c r="Z66">
        <f>ELEMENT!BM66</f>
        <v>0</v>
      </c>
      <c r="AA66">
        <f>ELEMENT!BN66</f>
        <v>0</v>
      </c>
      <c r="AB66">
        <f>ELEMENT!BO66</f>
        <v>0</v>
      </c>
    </row>
    <row r="67" spans="19:91" x14ac:dyDescent="0.2">
      <c r="S67">
        <f>ELEMENT!BF67</f>
        <v>0</v>
      </c>
      <c r="T67">
        <v>5</v>
      </c>
      <c r="V67">
        <v>20</v>
      </c>
      <c r="W67">
        <v>10</v>
      </c>
      <c r="X67">
        <v>35</v>
      </c>
      <c r="Y67">
        <v>296</v>
      </c>
    </row>
    <row r="68" spans="19:91" x14ac:dyDescent="0.2">
      <c r="S68">
        <f>ELEMENT!BF68</f>
        <v>0</v>
      </c>
      <c r="T68">
        <v>5</v>
      </c>
      <c r="V68">
        <v>30</v>
      </c>
      <c r="W68">
        <v>10</v>
      </c>
      <c r="X68">
        <v>80</v>
      </c>
      <c r="Y68">
        <v>296</v>
      </c>
    </row>
    <row r="69" spans="19:91" x14ac:dyDescent="0.2">
      <c r="S69">
        <f>ELEMENT!BF69</f>
        <v>0</v>
      </c>
      <c r="T69">
        <v>5</v>
      </c>
      <c r="V69">
        <v>15</v>
      </c>
      <c r="W69">
        <v>10</v>
      </c>
      <c r="X69">
        <v>95</v>
      </c>
      <c r="Y69">
        <v>171</v>
      </c>
      <c r="CJ69" t="s">
        <v>1226</v>
      </c>
    </row>
    <row r="70" spans="19:91" x14ac:dyDescent="0.2">
      <c r="S70">
        <f>ELEMENT!BF70</f>
        <v>0</v>
      </c>
      <c r="T70">
        <v>5</v>
      </c>
      <c r="V70">
        <v>10</v>
      </c>
      <c r="X70">
        <v>15</v>
      </c>
      <c r="Y70">
        <v>46</v>
      </c>
      <c r="CJ70" t="s">
        <v>1227</v>
      </c>
    </row>
    <row r="71" spans="19:91" x14ac:dyDescent="0.2">
      <c r="S71">
        <f>ELEMENT!BF71</f>
        <v>0</v>
      </c>
      <c r="T71">
        <v>5</v>
      </c>
      <c r="V71">
        <v>10</v>
      </c>
      <c r="X71">
        <v>45</v>
      </c>
      <c r="Y71">
        <v>60</v>
      </c>
      <c r="CJ71" t="s">
        <v>1228</v>
      </c>
      <c r="CK71">
        <v>3500</v>
      </c>
      <c r="CL71">
        <v>2300</v>
      </c>
      <c r="CM71" t="s">
        <v>1229</v>
      </c>
    </row>
    <row r="72" spans="19:91" x14ac:dyDescent="0.2">
      <c r="S72">
        <f>ELEMENT!BF72</f>
        <v>0</v>
      </c>
    </row>
    <row r="74" spans="19:91" x14ac:dyDescent="0.2">
      <c r="AH74">
        <v>3501</v>
      </c>
      <c r="AI74">
        <v>2501</v>
      </c>
      <c r="AJ74">
        <v>0.3</v>
      </c>
    </row>
    <row r="75" spans="19:91" x14ac:dyDescent="0.2">
      <c r="AH75">
        <v>3701</v>
      </c>
      <c r="AI75">
        <v>2701</v>
      </c>
      <c r="AJ75">
        <v>0.6</v>
      </c>
    </row>
    <row r="76" spans="19:91" x14ac:dyDescent="0.2">
      <c r="AH76">
        <v>4001</v>
      </c>
      <c r="AI76">
        <v>2801</v>
      </c>
      <c r="AJ76">
        <v>0.8</v>
      </c>
    </row>
    <row r="77" spans="19:91" x14ac:dyDescent="0.2">
      <c r="AH77">
        <v>4001</v>
      </c>
      <c r="AI77">
        <v>3001</v>
      </c>
      <c r="AJ77">
        <v>1</v>
      </c>
    </row>
    <row r="84" spans="20:24" x14ac:dyDescent="0.2">
      <c r="T84">
        <f>ELEMENT!CJ72</f>
        <v>0</v>
      </c>
    </row>
    <row r="85" spans="20:24" x14ac:dyDescent="0.2">
      <c r="U85" t="s">
        <v>216</v>
      </c>
      <c r="V85" t="s">
        <v>241</v>
      </c>
      <c r="W85" t="s">
        <v>344</v>
      </c>
      <c r="X85" t="s">
        <v>345</v>
      </c>
    </row>
  </sheetData>
  <pageMargins left="0.78740157480314965" right="0.78740157480314965" top="0.98425196850393704" bottom="0.98425196850393704" header="0.51181102362204722" footer="0.51181102362204722"/>
  <pageSetup paperSize="8" scale="71" orientation="landscape" r:id="rId1"/>
  <headerFooter alignWithMargins="0">
    <oddFooter>&amp;L&amp;A&amp;C&amp;Z&amp;F&amp;RSeite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17"/>
  <dimension ref="A1"/>
  <sheetViews>
    <sheetView zoomScale="85" zoomScaleNormal="85" workbookViewId="0">
      <selection sqref="A1:IV65536"/>
    </sheetView>
  </sheetViews>
  <sheetFormatPr defaultColWidth="10.85546875" defaultRowHeight="12.75" x14ac:dyDescent="0.2"/>
  <sheetData/>
  <pageMargins left="0.7" right="0.7" top="0.78740157499999996" bottom="0.78740157499999996"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13"/>
  <dimension ref="A1:F36"/>
  <sheetViews>
    <sheetView zoomScale="85" zoomScaleNormal="85" workbookViewId="0">
      <selection activeCell="D8" sqref="D8"/>
    </sheetView>
  </sheetViews>
  <sheetFormatPr defaultColWidth="0" defaultRowHeight="12.75" zeroHeight="1" x14ac:dyDescent="0.2"/>
  <cols>
    <col min="1" max="1" width="35" style="1" customWidth="1"/>
    <col min="2" max="2" width="8.28515625" style="1" customWidth="1"/>
    <col min="3" max="3" width="11.42578125" style="1" customWidth="1"/>
    <col min="4" max="4" width="15.28515625" style="1" customWidth="1"/>
    <col min="5" max="5" width="13.28515625" style="1" customWidth="1"/>
    <col min="6" max="6" width="11.42578125" style="1" customWidth="1"/>
    <col min="7" max="16384" width="0" style="1" hidden="1"/>
  </cols>
  <sheetData>
    <row r="1" spans="1:6" ht="15" x14ac:dyDescent="0.25">
      <c r="A1" s="152" t="str">
        <f ca="1">Sprache!B163&amp;B3</f>
        <v>Calculation shema, exemple FALSE</v>
      </c>
      <c r="B1" s="152"/>
      <c r="C1" s="152"/>
      <c r="D1" s="278" t="s">
        <v>16</v>
      </c>
      <c r="E1" s="152"/>
      <c r="F1" s="164"/>
    </row>
    <row r="2" spans="1:6" ht="15" x14ac:dyDescent="0.25">
      <c r="A2" s="152"/>
      <c r="B2" s="152"/>
      <c r="C2" s="152"/>
      <c r="D2" s="152"/>
      <c r="E2" s="152"/>
      <c r="F2" s="164"/>
    </row>
    <row r="3" spans="1:6" ht="15" customHeight="1" x14ac:dyDescent="0.25">
      <c r="A3" s="152" t="str">
        <f>Sprache!B143</f>
        <v>elements</v>
      </c>
      <c r="B3" s="152" t="b">
        <f ca="1">IFERROR(IF(VLOOKUP(D1,ELEMENT!B5:AC46,28,FALSE)&gt;0,D1),MONTAGE!B48)</f>
        <v>0</v>
      </c>
      <c r="C3" s="152"/>
      <c r="D3" s="153" t="e">
        <f ca="1">VLOOKUP(B3,MONTAGE!CM7:CX48,2,FALSE)</f>
        <v>#N/A</v>
      </c>
      <c r="E3" s="153"/>
      <c r="F3" s="164"/>
    </row>
    <row r="4" spans="1:6" ht="15" x14ac:dyDescent="0.25">
      <c r="A4" s="152" t="str">
        <f>MONTAGE!G2</f>
        <v>discount purchase price</v>
      </c>
      <c r="B4" s="152"/>
      <c r="C4" s="154">
        <f>MONTAGE!H2</f>
        <v>0</v>
      </c>
      <c r="D4" s="153">
        <f ca="1">IFERROR(D3*C4*-1,)</f>
        <v>0</v>
      </c>
      <c r="E4" s="153"/>
      <c r="F4" s="164"/>
    </row>
    <row r="5" spans="1:6" ht="15" x14ac:dyDescent="0.25">
      <c r="A5" s="155" t="str">
        <f>MONTAGE!P6</f>
        <v>purchase price</v>
      </c>
      <c r="B5" s="155"/>
      <c r="C5" s="155"/>
      <c r="D5" s="156" t="e">
        <f ca="1">SUM(D3:D4)</f>
        <v>#N/A</v>
      </c>
      <c r="E5" s="165">
        <f ca="1">IFERROR(D5/D16*C7,)</f>
        <v>0</v>
      </c>
      <c r="F5" s="164"/>
    </row>
    <row r="6" spans="1:6" ht="15" x14ac:dyDescent="0.25">
      <c r="A6" s="158" t="str">
        <f>CONCATENATE(MONTAGE!P6," ",Sprache!B162)</f>
        <v>purchase price rounded</v>
      </c>
      <c r="B6" s="159"/>
      <c r="C6" s="158"/>
      <c r="D6" s="157" t="e">
        <f ca="1">ROUND(D5,0)</f>
        <v>#N/A</v>
      </c>
      <c r="E6" s="158"/>
      <c r="F6" s="164"/>
    </row>
    <row r="7" spans="1:6" ht="15" x14ac:dyDescent="0.25">
      <c r="A7" s="155" t="str">
        <f>MONTAGE!I2</f>
        <v>alternative currency factor</v>
      </c>
      <c r="B7" s="160" t="str">
        <f>MONTAGE!N3</f>
        <v>USD</v>
      </c>
      <c r="C7" s="153">
        <f>MONTAGE!N2</f>
        <v>1</v>
      </c>
      <c r="D7" s="156" t="e">
        <f ca="1">D6*C7</f>
        <v>#N/A</v>
      </c>
      <c r="E7" s="155"/>
      <c r="F7" s="164"/>
    </row>
    <row r="8" spans="1:6" ht="15" customHeight="1" x14ac:dyDescent="0.25">
      <c r="A8" s="152" t="str">
        <f>CONCATENATE(MONTAGE!L6,"   x  ",MONTAGE!B3)</f>
        <v>h planning manhours   x  USD/ h planning</v>
      </c>
      <c r="B8" s="152" t="e">
        <f ca="1">VLOOKUP(B3,MONTAGE!CM7:CX48,6,FALSE)</f>
        <v>#N/A</v>
      </c>
      <c r="C8" s="153">
        <f>MONTAGE!E3</f>
        <v>125</v>
      </c>
      <c r="D8" s="153" t="e">
        <f ca="1">B8*C8</f>
        <v>#N/A</v>
      </c>
      <c r="E8" s="152"/>
      <c r="F8" s="164"/>
    </row>
    <row r="9" spans="1:6" ht="15" x14ac:dyDescent="0.25">
      <c r="A9" s="152" t="str">
        <f>CONCATENATE(MONTAGE!K6,"   x  ",MONTAGE!B2)</f>
        <v>h installation manhours   x  USD/ h installation</v>
      </c>
      <c r="B9" s="152" t="e">
        <f ca="1">VLOOKUP(B3,MONTAGE!CM7:CX48,4,FALSE)</f>
        <v>#N/A</v>
      </c>
      <c r="C9" s="153">
        <f>MONTAGE!E2</f>
        <v>0</v>
      </c>
      <c r="D9" s="153" t="e">
        <f ca="1">B9*C9</f>
        <v>#N/A</v>
      </c>
      <c r="E9" s="152"/>
      <c r="F9" s="164"/>
    </row>
    <row r="10" spans="1:6" ht="15" x14ac:dyDescent="0.25">
      <c r="A10" s="152" t="str">
        <f>MONTAGE!M6</f>
        <v>USD substructure top and vertical</v>
      </c>
      <c r="B10" s="152" t="e">
        <f ca="1">VLOOKUP(B3,MONTAGE!CM7:CX48,8,FALSE)</f>
        <v>#N/A</v>
      </c>
      <c r="C10" s="153" t="e">
        <f ca="1">VLOOKUP(B3,MONTAGE!B7:O48,12,FALSE)</f>
        <v>#N/A</v>
      </c>
      <c r="D10" s="153" t="e">
        <f ca="1">B10*C10</f>
        <v>#N/A</v>
      </c>
      <c r="E10" s="152"/>
      <c r="F10" s="164"/>
    </row>
    <row r="11" spans="1:6" ht="15" x14ac:dyDescent="0.25">
      <c r="A11" s="152" t="str">
        <f>MONTAGE!N6</f>
        <v>USD substructure bottom</v>
      </c>
      <c r="B11" s="152" t="e">
        <f ca="1">VLOOKUP(B3,MONTAGE!CM7:CX48,10,FALSE)</f>
        <v>#N/A</v>
      </c>
      <c r="C11" s="153" t="e">
        <f ca="1">VLOOKUP(B3,MONTAGE!B7:O48,13,FALSE)</f>
        <v>#N/A</v>
      </c>
      <c r="D11" s="153" t="e">
        <f ca="1">B11*C11</f>
        <v>#N/A</v>
      </c>
      <c r="E11" s="152"/>
      <c r="F11" s="164"/>
    </row>
    <row r="12" spans="1:6" ht="15" x14ac:dyDescent="0.25">
      <c r="A12" s="152" t="str">
        <f>MONTAGE!O6</f>
        <v>USD substructure flat rate/ crane</v>
      </c>
      <c r="B12" s="152"/>
      <c r="C12" s="153" t="e">
        <f ca="1">VLOOKUP(B3,MONTAGE!B7:O48,14,FALSE)</f>
        <v>#N/A</v>
      </c>
      <c r="D12" s="153" t="e">
        <f ca="1">C12</f>
        <v>#N/A</v>
      </c>
      <c r="E12" s="152"/>
      <c r="F12" s="164"/>
    </row>
    <row r="13" spans="1:6" ht="15" customHeight="1" x14ac:dyDescent="0.25">
      <c r="A13" s="155" t="str">
        <f>Sprache!$B$144</f>
        <v>total</v>
      </c>
      <c r="B13" s="155"/>
      <c r="C13" s="155"/>
      <c r="D13" s="161" t="e">
        <f ca="1">SUM(D7:D12)</f>
        <v>#N/A</v>
      </c>
      <c r="E13" s="155"/>
      <c r="F13" s="164"/>
    </row>
    <row r="14" spans="1:6" ht="15" x14ac:dyDescent="0.25">
      <c r="A14" s="152" t="str">
        <f>MONTAGE!$B$4</f>
        <v>risk/profit</v>
      </c>
      <c r="B14" s="152"/>
      <c r="C14" s="154">
        <f>MONTAGE!$E$4</f>
        <v>0</v>
      </c>
      <c r="D14" s="153" t="e">
        <f ca="1">D13*C14</f>
        <v>#N/A</v>
      </c>
      <c r="E14" s="152"/>
      <c r="F14" s="164"/>
    </row>
    <row r="15" spans="1:6" ht="15" x14ac:dyDescent="0.25">
      <c r="A15" s="155" t="str">
        <f>MONTAGE!$T$6</f>
        <v>USD sales price per unit</v>
      </c>
      <c r="B15" s="155"/>
      <c r="C15" s="155"/>
      <c r="D15" s="161" t="e">
        <f ca="1">SUM(D13:D14)</f>
        <v>#N/A</v>
      </c>
      <c r="E15" s="155"/>
      <c r="F15" s="164"/>
    </row>
    <row r="16" spans="1:6" ht="13.5" thickBot="1" x14ac:dyDescent="0.25">
      <c r="A16" s="162" t="str">
        <f>CONCATENATE(MONTAGE!$T$6," ",Sprache!$B$162)</f>
        <v>USD sales price per unit rounded</v>
      </c>
      <c r="B16" s="162"/>
      <c r="C16" s="162"/>
      <c r="D16" s="163" t="e">
        <f ca="1">ROUND(D15,0)</f>
        <v>#N/A</v>
      </c>
      <c r="E16" s="166">
        <v>1</v>
      </c>
      <c r="F16" s="164"/>
    </row>
    <row r="17" spans="1:6" x14ac:dyDescent="0.2">
      <c r="A17" s="401"/>
      <c r="B17" s="401"/>
      <c r="C17" s="401"/>
      <c r="D17" s="401"/>
      <c r="E17" s="401"/>
      <c r="F17" s="164"/>
    </row>
    <row r="18" spans="1:6" x14ac:dyDescent="0.2">
      <c r="A18" s="401"/>
      <c r="B18" s="401"/>
      <c r="C18" s="401"/>
      <c r="D18" s="401"/>
      <c r="E18" s="401"/>
      <c r="F18" s="164"/>
    </row>
    <row r="19" spans="1:6" x14ac:dyDescent="0.2">
      <c r="A19" s="401"/>
      <c r="B19" s="401"/>
      <c r="C19" s="401"/>
      <c r="D19" s="401"/>
      <c r="E19" s="401"/>
      <c r="F19" s="164"/>
    </row>
    <row r="20" spans="1:6" x14ac:dyDescent="0.2">
      <c r="A20" s="401"/>
      <c r="B20" s="401"/>
      <c r="C20" s="401"/>
      <c r="D20" s="401"/>
      <c r="E20" s="401"/>
      <c r="F20" s="164"/>
    </row>
    <row r="21" spans="1:6" x14ac:dyDescent="0.2">
      <c r="A21" s="401"/>
      <c r="B21" s="401"/>
      <c r="C21" s="401"/>
      <c r="D21" s="401"/>
      <c r="E21" s="401"/>
      <c r="F21" s="164"/>
    </row>
    <row r="22" spans="1:6" x14ac:dyDescent="0.2">
      <c r="A22" s="164"/>
      <c r="B22" s="164"/>
      <c r="C22" s="164"/>
      <c r="D22" s="164"/>
      <c r="E22" s="164"/>
      <c r="F22" s="164"/>
    </row>
    <row r="23" spans="1:6" x14ac:dyDescent="0.2">
      <c r="A23" s="186" t="str">
        <f>CONCATENATE(Sprache!B142," ",Sprache!B9," 1 "," (OPTION)")</f>
        <v>Additional items item 1  (OPTION)</v>
      </c>
      <c r="B23" s="164"/>
      <c r="C23" s="164"/>
      <c r="D23" s="164"/>
      <c r="E23" s="164"/>
      <c r="F23" s="164"/>
    </row>
    <row r="24" spans="1:6" x14ac:dyDescent="0.2">
      <c r="A24" s="185"/>
      <c r="B24" s="164"/>
      <c r="C24" s="164"/>
      <c r="D24" s="164"/>
      <c r="E24" s="164"/>
      <c r="F24" s="164"/>
    </row>
    <row r="25" spans="1:6" ht="15" x14ac:dyDescent="0.25">
      <c r="A25" s="164" t="str">
        <f>OPTION!E2</f>
        <v>purchase price USD</v>
      </c>
      <c r="B25" s="152"/>
      <c r="C25" s="153"/>
      <c r="D25" s="153">
        <f>OPTION!E3</f>
        <v>24.58</v>
      </c>
      <c r="E25" s="164"/>
      <c r="F25" s="164"/>
    </row>
    <row r="26" spans="1:6" ht="15" x14ac:dyDescent="0.25">
      <c r="A26" s="164" t="str">
        <f>OPTION!F2</f>
        <v>h planning manhours</v>
      </c>
      <c r="B26" s="152">
        <f>OPTION!F3</f>
        <v>0</v>
      </c>
      <c r="C26" s="153">
        <f>MONTAGE!E3</f>
        <v>125</v>
      </c>
      <c r="D26" s="153">
        <f>B26*C26</f>
        <v>0</v>
      </c>
      <c r="E26" s="164"/>
      <c r="F26" s="164"/>
    </row>
    <row r="27" spans="1:6" ht="15" x14ac:dyDescent="0.25">
      <c r="A27" s="164" t="str">
        <f>OPTION!G2</f>
        <v>h production</v>
      </c>
      <c r="B27" s="152">
        <f>OPTION!G3</f>
        <v>0</v>
      </c>
      <c r="C27" s="153">
        <f>MONTAGE!E2</f>
        <v>0</v>
      </c>
      <c r="D27" s="153">
        <f>B27*C27</f>
        <v>0</v>
      </c>
      <c r="E27" s="164"/>
      <c r="F27" s="164"/>
    </row>
    <row r="28" spans="1:6" ht="15" x14ac:dyDescent="0.25">
      <c r="A28" s="164" t="str">
        <f>OPTION!H2</f>
        <v>h installation manhours</v>
      </c>
      <c r="B28" s="152">
        <f>OPTION!H3</f>
        <v>0</v>
      </c>
      <c r="C28" s="153">
        <f>MONTAGE!E2</f>
        <v>0</v>
      </c>
      <c r="D28" s="153">
        <f>B28*C28</f>
        <v>0</v>
      </c>
      <c r="E28" s="164"/>
      <c r="F28" s="164"/>
    </row>
    <row r="29" spans="1:6" ht="15" x14ac:dyDescent="0.25">
      <c r="A29" s="155" t="str">
        <f>Sprache!$B$144</f>
        <v>total</v>
      </c>
      <c r="B29" s="155"/>
      <c r="C29" s="155"/>
      <c r="D29" s="161">
        <f>SUM(D25:D28)</f>
        <v>24.58</v>
      </c>
      <c r="E29" s="155"/>
      <c r="F29" s="164"/>
    </row>
    <row r="30" spans="1:6" ht="15" x14ac:dyDescent="0.25">
      <c r="A30" s="152" t="str">
        <f>MONTAGE!$B$4</f>
        <v>risk/profit</v>
      </c>
      <c r="B30" s="152"/>
      <c r="C30" s="154">
        <f>MONTAGE!$E$4</f>
        <v>0</v>
      </c>
      <c r="D30" s="153">
        <f>D29*C30</f>
        <v>0</v>
      </c>
      <c r="E30" s="152"/>
      <c r="F30" s="164"/>
    </row>
    <row r="31" spans="1:6" ht="15" x14ac:dyDescent="0.25">
      <c r="A31" s="155" t="str">
        <f>MONTAGE!$T$6</f>
        <v>USD sales price per unit</v>
      </c>
      <c r="B31" s="155"/>
      <c r="C31" s="155"/>
      <c r="D31" s="161">
        <f>SUM(D29:D30)</f>
        <v>24.58</v>
      </c>
      <c r="E31" s="155"/>
      <c r="F31" s="164"/>
    </row>
    <row r="32" spans="1:6" ht="13.5" thickBot="1" x14ac:dyDescent="0.25">
      <c r="A32" s="162" t="str">
        <f>CONCATENATE(MONTAGE!$T$6," ",Sprache!$B$162)</f>
        <v>USD sales price per unit rounded</v>
      </c>
      <c r="B32" s="162"/>
      <c r="C32" s="162"/>
      <c r="D32" s="163">
        <f>ROUND(D31,0)</f>
        <v>25</v>
      </c>
      <c r="E32" s="166">
        <v>1</v>
      </c>
      <c r="F32" s="164"/>
    </row>
    <row r="33" spans="1:6" x14ac:dyDescent="0.2">
      <c r="A33" s="164"/>
      <c r="B33" s="164"/>
      <c r="C33" s="164"/>
      <c r="D33" s="164"/>
      <c r="E33" s="164"/>
      <c r="F33" s="164"/>
    </row>
    <row r="34" spans="1:6" x14ac:dyDescent="0.2">
      <c r="A34" s="164"/>
      <c r="B34" s="164"/>
      <c r="C34" s="164"/>
      <c r="D34" s="164"/>
      <c r="E34" s="164"/>
      <c r="F34" s="164"/>
    </row>
    <row r="35" spans="1:6" hidden="1" x14ac:dyDescent="0.2">
      <c r="A35" s="164"/>
      <c r="B35" s="164"/>
      <c r="C35" s="164"/>
      <c r="D35" s="164"/>
      <c r="E35" s="164"/>
      <c r="F35" s="164"/>
    </row>
    <row r="36" spans="1:6" hidden="1" x14ac:dyDescent="0.2">
      <c r="A36" s="164"/>
      <c r="B36" s="164"/>
      <c r="C36" s="164"/>
      <c r="D36" s="164"/>
      <c r="E36" s="164"/>
      <c r="F36" s="164"/>
    </row>
  </sheetData>
  <sheetProtection password="D424" sheet="1"/>
  <pageMargins left="0.7" right="0.7" top="0.78740157499999996" bottom="0.78740157499999996" header="0.3" footer="0.3"/>
  <pageSetup paperSize="9" orientation="portrait"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14"/>
  <dimension ref="A1:P20"/>
  <sheetViews>
    <sheetView showGridLines="0" showRowColHeaders="0" zoomScaleNormal="100" workbookViewId="0">
      <pane xSplit="3" topLeftCell="D1" activePane="topRight" state="frozen"/>
      <selection pane="topRight" activeCell="D1" sqref="D1"/>
    </sheetView>
  </sheetViews>
  <sheetFormatPr defaultColWidth="0" defaultRowHeight="12.75" zeroHeight="1" x14ac:dyDescent="0.2"/>
  <cols>
    <col min="1" max="1" width="4.42578125" style="1" customWidth="1"/>
    <col min="2" max="2" width="19.7109375" style="1" customWidth="1"/>
    <col min="3" max="3" width="22" style="1" customWidth="1"/>
    <col min="4" max="16" width="29.5703125" style="1" customWidth="1"/>
    <col min="17" max="16384" width="29.5703125" style="1" hidden="1"/>
  </cols>
  <sheetData>
    <row r="1" spans="1:16" x14ac:dyDescent="0.2">
      <c r="A1" s="287"/>
      <c r="B1" s="287"/>
      <c r="C1" s="287"/>
      <c r="D1" s="287"/>
      <c r="E1" s="287"/>
      <c r="F1" s="287"/>
      <c r="G1" s="287"/>
      <c r="H1" s="287"/>
      <c r="I1" s="287"/>
      <c r="J1" s="287"/>
      <c r="K1" s="287"/>
      <c r="L1" s="287"/>
      <c r="M1" s="287"/>
      <c r="N1" s="287"/>
      <c r="O1" s="287"/>
      <c r="P1" s="287"/>
    </row>
    <row r="2" spans="1:16" x14ac:dyDescent="0.2">
      <c r="A2" s="287"/>
      <c r="B2" s="287"/>
      <c r="C2" s="295" t="str">
        <f>ELEMENT!J4</f>
        <v>glass assembly  (2-IV)</v>
      </c>
      <c r="D2" s="292" t="str">
        <f>ELEMENT!CV49</f>
        <v>6 / 6</v>
      </c>
      <c r="E2" s="292" t="str">
        <f>ELEMENT!CW49</f>
        <v>8 / 8</v>
      </c>
      <c r="F2" s="292" t="str">
        <f>ELEMENT!CX49</f>
        <v>8 / 6</v>
      </c>
      <c r="G2" s="292" t="str">
        <f>ELEMENT!CY49</f>
        <v>10 / 6</v>
      </c>
      <c r="H2" s="292" t="str">
        <f>ELEMENT!CZ49</f>
        <v>6 / 8-2</v>
      </c>
      <c r="I2" s="292" t="str">
        <f>ELEMENT!DA49</f>
        <v>8 / 8-2</v>
      </c>
      <c r="J2" s="292">
        <f>ELEMENT!DB49</f>
        <v>0</v>
      </c>
      <c r="K2" s="292">
        <f>ELEMENT!DC49</f>
        <v>0</v>
      </c>
      <c r="L2" s="292">
        <f>ELEMENT!DD49</f>
        <v>0</v>
      </c>
      <c r="M2" s="292">
        <f>ELEMENT!DE49</f>
        <v>0</v>
      </c>
      <c r="N2" s="292">
        <f>ELEMENT!DF49</f>
        <v>0</v>
      </c>
      <c r="O2" s="292">
        <f>ELEMENT!DG49</f>
        <v>0</v>
      </c>
      <c r="P2" s="292">
        <f>ELEMENT!DH49</f>
        <v>0</v>
      </c>
    </row>
    <row r="3" spans="1:16" s="5" customFormat="1" ht="25.5" x14ac:dyDescent="0.2">
      <c r="A3" s="293"/>
      <c r="B3" s="293"/>
      <c r="C3" s="293"/>
      <c r="D3" s="294" t="str">
        <f>ELEMENT!CV50</f>
        <v>tempered safety glass 6 / tempered safety glass 6</v>
      </c>
      <c r="E3" s="294" t="str">
        <f>ELEMENT!CW50</f>
        <v>tempered safety glass 8 / tempered safety glass 8</v>
      </c>
      <c r="F3" s="294" t="str">
        <f>ELEMENT!CX50</f>
        <v>tempered safety glass 6 / tempered safety glass 8</v>
      </c>
      <c r="G3" s="294" t="str">
        <f>ELEMENT!CY50</f>
        <v>tempered safety glass 10 / tempered safety glass 6</v>
      </c>
      <c r="H3" s="294" t="str">
        <f>ELEMENT!CZ50</f>
        <v>tempered safety glass 6 / laminated safety glass 8-2</v>
      </c>
      <c r="I3" s="294" t="str">
        <f>ELEMENT!DA50</f>
        <v>tempered safety glass 8 / laminated safety glass 8-2</v>
      </c>
      <c r="J3" s="294">
        <f>ELEMENT!DB50</f>
        <v>0</v>
      </c>
      <c r="K3" s="294">
        <f>ELEMENT!DC50</f>
        <v>0</v>
      </c>
      <c r="L3" s="294">
        <f>ELEMENT!DD50</f>
        <v>0</v>
      </c>
      <c r="M3" s="294">
        <f>ELEMENT!DE50</f>
        <v>0</v>
      </c>
      <c r="N3" s="294">
        <f>ELEMENT!DF50</f>
        <v>0</v>
      </c>
      <c r="O3" s="294">
        <f>ELEMENT!DG50</f>
        <v>0</v>
      </c>
      <c r="P3" s="294">
        <f>ELEMENT!DH50</f>
        <v>0</v>
      </c>
    </row>
    <row r="4" spans="1:16" x14ac:dyDescent="0.2">
      <c r="A4" s="289"/>
      <c r="B4" s="477" t="str">
        <f>ELEMENT!K4&amp;"
"&amp;ELEMENT!CJ71</f>
        <v>glass coating
W</v>
      </c>
      <c r="C4" s="290" t="str">
        <f>ELEMENT!CU51</f>
        <v>U-factor</v>
      </c>
      <c r="D4" s="291">
        <f>ELEMENT!CV51</f>
        <v>0.34</v>
      </c>
      <c r="E4" s="291">
        <f>ELEMENT!CW51</f>
        <v>0.34</v>
      </c>
      <c r="F4" s="291">
        <f>ELEMENT!CX51</f>
        <v>0.34</v>
      </c>
      <c r="G4" s="291">
        <f>ELEMENT!CY51</f>
        <v>0.34</v>
      </c>
      <c r="H4" s="291">
        <f>ELEMENT!CZ51</f>
        <v>0.34</v>
      </c>
      <c r="I4" s="291">
        <f>ELEMENT!DA51</f>
        <v>0.33</v>
      </c>
      <c r="J4" s="291">
        <f>ELEMENT!DB51</f>
        <v>0</v>
      </c>
      <c r="K4" s="291">
        <f>ELEMENT!DC51</f>
        <v>0</v>
      </c>
      <c r="L4" s="291">
        <f>ELEMENT!DD51</f>
        <v>0</v>
      </c>
      <c r="M4" s="291">
        <f>ELEMENT!DE51</f>
        <v>0</v>
      </c>
      <c r="N4" s="291">
        <f>ELEMENT!DF51</f>
        <v>0</v>
      </c>
      <c r="O4" s="291">
        <f>ELEMENT!DG51</f>
        <v>0</v>
      </c>
      <c r="P4" s="291">
        <f>ELEMENT!DH51</f>
        <v>0</v>
      </c>
    </row>
    <row r="5" spans="1:16" x14ac:dyDescent="0.2">
      <c r="A5" s="289"/>
      <c r="B5" s="478"/>
      <c r="C5" s="290" t="str">
        <f>Sprache!$B$104</f>
        <v>glass weight</v>
      </c>
      <c r="D5" s="291">
        <f>ELEMENT!CV52</f>
        <v>30</v>
      </c>
      <c r="E5" s="291">
        <f>ELEMENT!CW52</f>
        <v>40</v>
      </c>
      <c r="F5" s="291">
        <f>ELEMENT!CX52</f>
        <v>35</v>
      </c>
      <c r="G5" s="291">
        <f>ELEMENT!CY52</f>
        <v>40</v>
      </c>
      <c r="H5" s="291">
        <f>ELEMENT!CZ52</f>
        <v>36.9</v>
      </c>
      <c r="I5" s="291">
        <f>ELEMENT!DA52</f>
        <v>41.9</v>
      </c>
      <c r="J5" s="291">
        <f>ELEMENT!DB52</f>
        <v>0</v>
      </c>
      <c r="K5" s="291">
        <f>ELEMENT!DC52</f>
        <v>0</v>
      </c>
      <c r="L5" s="291">
        <f>ELEMENT!DD52</f>
        <v>0</v>
      </c>
      <c r="M5" s="291">
        <f>ELEMENT!DE52</f>
        <v>0</v>
      </c>
      <c r="N5" s="291">
        <f>ELEMENT!DF52</f>
        <v>0</v>
      </c>
      <c r="O5" s="291">
        <f>ELEMENT!DG52</f>
        <v>0</v>
      </c>
      <c r="P5" s="291">
        <f>ELEMENT!DH52</f>
        <v>0</v>
      </c>
    </row>
    <row r="6" spans="1:16" x14ac:dyDescent="0.2">
      <c r="A6" s="289"/>
      <c r="B6" s="479"/>
      <c r="C6" s="290" t="str">
        <f>ELEMENT!CU53</f>
        <v>SHGC / VT</v>
      </c>
      <c r="D6" s="291" t="str">
        <f>ELEMENT!CV53</f>
        <v>0.49 / 0.67</v>
      </c>
      <c r="E6" s="291" t="str">
        <f>ELEMENT!CW53</f>
        <v>0.48 / 0.66</v>
      </c>
      <c r="F6" s="291" t="str">
        <f>ELEMENT!CX53</f>
        <v>0.49 / 0.67</v>
      </c>
      <c r="G6" s="291" t="str">
        <f>ELEMENT!CY53</f>
        <v>0.48 / 0.66</v>
      </c>
      <c r="H6" s="291" t="str">
        <f>ELEMENT!CZ53</f>
        <v>0.49 / 0.66</v>
      </c>
      <c r="I6" s="291" t="str">
        <f>ELEMENT!DA53</f>
        <v>0.48 / 0.65</v>
      </c>
      <c r="J6" s="291">
        <f>ELEMENT!DB53</f>
        <v>0</v>
      </c>
      <c r="K6" s="291">
        <f>ELEMENT!DC53</f>
        <v>0</v>
      </c>
      <c r="L6" s="291">
        <f>ELEMENT!DD53</f>
        <v>0</v>
      </c>
      <c r="M6" s="291">
        <f>ELEMENT!DE53</f>
        <v>0</v>
      </c>
      <c r="N6" s="291">
        <f>ELEMENT!DF53</f>
        <v>0</v>
      </c>
      <c r="O6" s="291">
        <f>ELEMENT!DG53</f>
        <v>0</v>
      </c>
      <c r="P6" s="291">
        <f>ELEMENT!DH53</f>
        <v>0</v>
      </c>
    </row>
    <row r="7" spans="1:16" x14ac:dyDescent="0.2">
      <c r="A7" s="289"/>
      <c r="B7" s="287"/>
      <c r="C7" s="287"/>
      <c r="D7" s="288"/>
      <c r="E7" s="288"/>
      <c r="F7" s="288"/>
      <c r="G7" s="288"/>
      <c r="H7" s="288"/>
      <c r="I7" s="288"/>
      <c r="J7" s="288"/>
      <c r="K7" s="288"/>
      <c r="L7" s="288"/>
      <c r="M7" s="288"/>
      <c r="N7" s="288"/>
      <c r="O7" s="288"/>
      <c r="P7" s="288"/>
    </row>
    <row r="8" spans="1:16" x14ac:dyDescent="0.2">
      <c r="A8" s="289"/>
      <c r="B8" s="287"/>
      <c r="C8" s="287"/>
      <c r="D8" s="288"/>
      <c r="E8" s="288"/>
      <c r="F8" s="288"/>
      <c r="G8" s="288"/>
      <c r="H8" s="288"/>
      <c r="I8" s="288"/>
      <c r="J8" s="288"/>
      <c r="K8" s="288"/>
      <c r="L8" s="288"/>
      <c r="M8" s="288"/>
      <c r="N8" s="288"/>
      <c r="O8" s="288"/>
      <c r="P8" s="288"/>
    </row>
    <row r="9" spans="1:16" x14ac:dyDescent="0.2">
      <c r="A9" s="289"/>
      <c r="B9" s="477" t="str">
        <f>ELEMENT!K4&amp;"
"&amp;ELEMENT!CK71</f>
        <v>glass coating
S</v>
      </c>
      <c r="C9" s="290" t="str">
        <f>C4</f>
        <v>U-factor</v>
      </c>
      <c r="D9" s="291">
        <f>ELEMENT!CV56</f>
        <v>0.34</v>
      </c>
      <c r="E9" s="291">
        <f>ELEMENT!CW56</f>
        <v>0.33</v>
      </c>
      <c r="F9" s="291">
        <f>ELEMENT!CX56</f>
        <v>0.34</v>
      </c>
      <c r="G9" s="291">
        <f>ELEMENT!CY56</f>
        <v>0.33</v>
      </c>
      <c r="H9" s="291">
        <f>ELEMENT!CZ56</f>
        <v>0.33</v>
      </c>
      <c r="I9" s="291">
        <f>ELEMENT!DA56</f>
        <v>0.33</v>
      </c>
      <c r="J9" s="291">
        <f>ELEMENT!DB56</f>
        <v>0</v>
      </c>
      <c r="K9" s="291">
        <f>ELEMENT!DC56</f>
        <v>0</v>
      </c>
      <c r="L9" s="291">
        <f>ELEMENT!DD56</f>
        <v>0</v>
      </c>
      <c r="M9" s="291">
        <f>ELEMENT!DE56</f>
        <v>0</v>
      </c>
      <c r="N9" s="291">
        <f>ELEMENT!DF56</f>
        <v>0</v>
      </c>
      <c r="O9" s="291">
        <f>ELEMENT!DG56</f>
        <v>0</v>
      </c>
      <c r="P9" s="291">
        <f>ELEMENT!DH56</f>
        <v>0</v>
      </c>
    </row>
    <row r="10" spans="1:16" x14ac:dyDescent="0.2">
      <c r="A10" s="289"/>
      <c r="B10" s="478"/>
      <c r="C10" s="290" t="str">
        <f>Sprache!$B$104</f>
        <v>glass weight</v>
      </c>
      <c r="D10" s="291">
        <f>ELEMENT!CV57</f>
        <v>30</v>
      </c>
      <c r="E10" s="291">
        <f>ELEMENT!CW57</f>
        <v>40</v>
      </c>
      <c r="F10" s="291">
        <f>ELEMENT!CX57</f>
        <v>35</v>
      </c>
      <c r="G10" s="291">
        <f>ELEMENT!CY57</f>
        <v>40</v>
      </c>
      <c r="H10" s="291">
        <f>ELEMENT!CZ57</f>
        <v>36.9</v>
      </c>
      <c r="I10" s="291">
        <f>ELEMENT!DA57</f>
        <v>41.9</v>
      </c>
      <c r="J10" s="291">
        <f>ELEMENT!DB57</f>
        <v>0</v>
      </c>
      <c r="K10" s="291">
        <f>ELEMENT!DC57</f>
        <v>0</v>
      </c>
      <c r="L10" s="291">
        <f>ELEMENT!DD57</f>
        <v>0</v>
      </c>
      <c r="M10" s="291">
        <f>ELEMENT!DE57</f>
        <v>0</v>
      </c>
      <c r="N10" s="291">
        <f>ELEMENT!DF57</f>
        <v>0</v>
      </c>
      <c r="O10" s="291">
        <f>ELEMENT!DG57</f>
        <v>0</v>
      </c>
      <c r="P10" s="291">
        <f>ELEMENT!DH57</f>
        <v>0</v>
      </c>
    </row>
    <row r="11" spans="1:16" x14ac:dyDescent="0.2">
      <c r="A11" s="289"/>
      <c r="B11" s="479"/>
      <c r="C11" s="290" t="str">
        <f>C6</f>
        <v>SHGC / VT</v>
      </c>
      <c r="D11" s="291" t="str">
        <f>ELEMENT!CV58</f>
        <v>0.41 / 0.59</v>
      </c>
      <c r="E11" s="291" t="str">
        <f>ELEMENT!CW58</f>
        <v>0.40 / 0.58</v>
      </c>
      <c r="F11" s="291" t="str">
        <f>ELEMENT!CX58</f>
        <v>0.40 / 0.58</v>
      </c>
      <c r="G11" s="291" t="str">
        <f>ELEMENT!CY58</f>
        <v>0.40 / 0.58</v>
      </c>
      <c r="H11" s="291" t="str">
        <f>ELEMENT!CZ58</f>
        <v>0.41 / 0.57</v>
      </c>
      <c r="I11" s="291" t="str">
        <f>ELEMENT!DA58</f>
        <v>0.40 / 0.57</v>
      </c>
      <c r="J11" s="291">
        <f>ELEMENT!DB58</f>
        <v>0</v>
      </c>
      <c r="K11" s="291">
        <f>ELEMENT!DC58</f>
        <v>0</v>
      </c>
      <c r="L11" s="291">
        <f>ELEMENT!DD58</f>
        <v>0</v>
      </c>
      <c r="M11" s="291">
        <f>ELEMENT!DE58</f>
        <v>0</v>
      </c>
      <c r="N11" s="291">
        <f>ELEMENT!DF58</f>
        <v>0</v>
      </c>
      <c r="O11" s="291">
        <f>ELEMENT!DG58</f>
        <v>0</v>
      </c>
      <c r="P11" s="291">
        <f>ELEMENT!DH58</f>
        <v>0</v>
      </c>
    </row>
    <row r="12" spans="1:16" x14ac:dyDescent="0.2">
      <c r="A12" s="289"/>
      <c r="B12" s="287"/>
      <c r="C12" s="287"/>
      <c r="D12" s="288"/>
      <c r="E12" s="288"/>
      <c r="F12" s="288"/>
      <c r="G12" s="288"/>
      <c r="H12" s="288"/>
      <c r="I12" s="288"/>
      <c r="J12" s="288"/>
      <c r="K12" s="288"/>
      <c r="L12" s="288"/>
      <c r="M12" s="288"/>
      <c r="N12" s="288"/>
      <c r="O12" s="288"/>
      <c r="P12" s="288"/>
    </row>
    <row r="13" spans="1:16" x14ac:dyDescent="0.2">
      <c r="A13" s="289"/>
      <c r="B13" s="287"/>
      <c r="C13" s="287"/>
      <c r="D13" s="288"/>
      <c r="E13" s="288"/>
      <c r="F13" s="288"/>
      <c r="G13" s="288"/>
      <c r="H13" s="288"/>
      <c r="I13" s="288"/>
      <c r="J13" s="288"/>
      <c r="K13" s="288"/>
      <c r="L13" s="288"/>
      <c r="M13" s="288"/>
      <c r="N13" s="288"/>
      <c r="O13" s="288"/>
      <c r="P13" s="288"/>
    </row>
    <row r="14" spans="1:16" x14ac:dyDescent="0.2">
      <c r="A14" s="289"/>
      <c r="B14" s="477" t="str">
        <f>ELEMENT!$K$4&amp;"
"&amp;ELEMENT!CL71</f>
        <v xml:space="preserve">glass coating
S+ </v>
      </c>
      <c r="C14" s="290" t="str">
        <f>C4</f>
        <v>U-factor</v>
      </c>
      <c r="D14" s="291">
        <f>ELEMENT!CV61</f>
        <v>0.34</v>
      </c>
      <c r="E14" s="291">
        <f>ELEMENT!CW61</f>
        <v>0.33</v>
      </c>
      <c r="F14" s="291">
        <f>ELEMENT!CX61</f>
        <v>0.34</v>
      </c>
      <c r="G14" s="291">
        <f>ELEMENT!CY61</f>
        <v>0.33</v>
      </c>
      <c r="H14" s="291">
        <f>ELEMENT!CZ61</f>
        <v>0.33</v>
      </c>
      <c r="I14" s="291">
        <f>ELEMENT!DA61</f>
        <v>0.33</v>
      </c>
      <c r="J14" s="291">
        <f>ELEMENT!DB61</f>
        <v>0</v>
      </c>
      <c r="K14" s="291">
        <f>ELEMENT!DC61</f>
        <v>0</v>
      </c>
      <c r="L14" s="291">
        <f>ELEMENT!DD61</f>
        <v>0</v>
      </c>
      <c r="M14" s="291">
        <f>ELEMENT!DE61</f>
        <v>0</v>
      </c>
      <c r="N14" s="291">
        <f>ELEMENT!DF61</f>
        <v>0</v>
      </c>
      <c r="O14" s="291">
        <f>ELEMENT!DG61</f>
        <v>0</v>
      </c>
      <c r="P14" s="291">
        <f>ELEMENT!DH61</f>
        <v>0</v>
      </c>
    </row>
    <row r="15" spans="1:16" x14ac:dyDescent="0.2">
      <c r="A15" s="289"/>
      <c r="B15" s="478"/>
      <c r="C15" s="290" t="str">
        <f>Sprache!$B$104</f>
        <v>glass weight</v>
      </c>
      <c r="D15" s="291">
        <f>ELEMENT!CV62</f>
        <v>30</v>
      </c>
      <c r="E15" s="291">
        <f>ELEMENT!CW62</f>
        <v>40</v>
      </c>
      <c r="F15" s="291">
        <f>ELEMENT!CX62</f>
        <v>35</v>
      </c>
      <c r="G15" s="291">
        <f>ELEMENT!CY62</f>
        <v>40</v>
      </c>
      <c r="H15" s="291">
        <f>ELEMENT!CZ62</f>
        <v>36.9</v>
      </c>
      <c r="I15" s="291">
        <f>ELEMENT!DA62</f>
        <v>41.9</v>
      </c>
      <c r="J15" s="291">
        <f>ELEMENT!DB62</f>
        <v>0</v>
      </c>
      <c r="K15" s="291">
        <f>ELEMENT!DC62</f>
        <v>0</v>
      </c>
      <c r="L15" s="291">
        <f>ELEMENT!DD62</f>
        <v>0</v>
      </c>
      <c r="M15" s="291">
        <f>ELEMENT!DE62</f>
        <v>0</v>
      </c>
      <c r="N15" s="291">
        <f>ELEMENT!DF62</f>
        <v>0</v>
      </c>
      <c r="O15" s="291">
        <f>ELEMENT!DG62</f>
        <v>0</v>
      </c>
      <c r="P15" s="291">
        <f>ELEMENT!DH62</f>
        <v>0</v>
      </c>
    </row>
    <row r="16" spans="1:16" x14ac:dyDescent="0.2">
      <c r="A16" s="289"/>
      <c r="B16" s="479"/>
      <c r="C16" s="290" t="str">
        <f>C6</f>
        <v>SHGC / VT</v>
      </c>
      <c r="D16" s="291" t="str">
        <f>ELEMENT!CV63</f>
        <v>0.26 / 0.53</v>
      </c>
      <c r="E16" s="291" t="str">
        <f>ELEMENT!CW63</f>
        <v>0.26 / 0.52</v>
      </c>
      <c r="F16" s="291" t="str">
        <f>ELEMENT!CX63</f>
        <v>0.26 / 0.52</v>
      </c>
      <c r="G16" s="291" t="str">
        <f>ELEMENT!CY63</f>
        <v>0.26 / 0.52</v>
      </c>
      <c r="H16" s="291" t="str">
        <f>ELEMENT!CZ63</f>
        <v>0.26 / 0.52</v>
      </c>
      <c r="I16" s="291" t="str">
        <f>ELEMENT!DA63</f>
        <v>0.26 / 0.51</v>
      </c>
      <c r="J16" s="291">
        <f>ELEMENT!DB63</f>
        <v>0</v>
      </c>
      <c r="K16" s="291">
        <f>ELEMENT!DC63</f>
        <v>0</v>
      </c>
      <c r="L16" s="291">
        <f>ELEMENT!DD63</f>
        <v>0</v>
      </c>
      <c r="M16" s="291">
        <f>ELEMENT!DE63</f>
        <v>0</v>
      </c>
      <c r="N16" s="291">
        <f>ELEMENT!DF63</f>
        <v>0</v>
      </c>
      <c r="O16" s="291">
        <f>ELEMENT!DG63</f>
        <v>0</v>
      </c>
      <c r="P16" s="291">
        <f>ELEMENT!DH63</f>
        <v>0</v>
      </c>
    </row>
    <row r="17" spans="1:16" x14ac:dyDescent="0.2">
      <c r="A17" s="289"/>
      <c r="B17" s="287"/>
      <c r="C17" s="287"/>
      <c r="D17" s="288"/>
      <c r="E17" s="288"/>
      <c r="F17" s="288"/>
      <c r="G17" s="288"/>
      <c r="H17" s="288"/>
      <c r="I17" s="288"/>
      <c r="J17" s="288"/>
      <c r="K17" s="288"/>
      <c r="L17" s="287"/>
      <c r="M17" s="287"/>
      <c r="N17" s="287"/>
      <c r="O17" s="287"/>
      <c r="P17" s="287"/>
    </row>
    <row r="18" spans="1:16" ht="12.75" customHeight="1" x14ac:dyDescent="0.2">
      <c r="A18" s="289"/>
      <c r="B18" s="477" t="str">
        <f>ELEMENT!$K$4&amp;"
"&amp;ELEMENT!DI66</f>
        <v>glass coating
S+ dark</v>
      </c>
      <c r="C18" s="290" t="str">
        <f>C4</f>
        <v>U-factor</v>
      </c>
      <c r="D18" s="411">
        <f>ELEMENT!CV66</f>
        <v>0.34</v>
      </c>
      <c r="E18" s="411">
        <f>ELEMENT!CW66</f>
        <v>0.33</v>
      </c>
      <c r="F18" s="411">
        <f>ELEMENT!CX66</f>
        <v>0.34</v>
      </c>
      <c r="G18" s="411">
        <f>ELEMENT!CY66</f>
        <v>0.33</v>
      </c>
      <c r="H18" s="411">
        <f>ELEMENT!CZ66</f>
        <v>0.33</v>
      </c>
      <c r="I18" s="411">
        <f>ELEMENT!DA66</f>
        <v>0.33</v>
      </c>
      <c r="J18" s="411">
        <f>ELEMENT!DB66</f>
        <v>0</v>
      </c>
      <c r="K18" s="411">
        <f>ELEMENT!DC66</f>
        <v>0</v>
      </c>
      <c r="L18" s="411">
        <f>ELEMENT!DD66</f>
        <v>0</v>
      </c>
      <c r="M18" s="411">
        <f>ELEMENT!DE66</f>
        <v>0</v>
      </c>
      <c r="N18" s="411">
        <f>ELEMENT!DF66</f>
        <v>0</v>
      </c>
      <c r="O18" s="411">
        <f>ELEMENT!DG66</f>
        <v>0</v>
      </c>
      <c r="P18" s="411">
        <f>ELEMENT!DH66</f>
        <v>0</v>
      </c>
    </row>
    <row r="19" spans="1:16" x14ac:dyDescent="0.2">
      <c r="A19" s="289"/>
      <c r="B19" s="478"/>
      <c r="C19" s="290" t="str">
        <f>C5</f>
        <v>glass weight</v>
      </c>
      <c r="D19" s="291">
        <f>ELEMENT!CV67</f>
        <v>30</v>
      </c>
      <c r="E19" s="291">
        <f>ELEMENT!CW67</f>
        <v>40</v>
      </c>
      <c r="F19" s="291">
        <f>ELEMENT!CX67</f>
        <v>35</v>
      </c>
      <c r="G19" s="291">
        <f>ELEMENT!CY67</f>
        <v>40</v>
      </c>
      <c r="H19" s="291">
        <f>ELEMENT!CZ67</f>
        <v>36.9</v>
      </c>
      <c r="I19" s="291">
        <f>ELEMENT!DA67</f>
        <v>41.9</v>
      </c>
      <c r="J19" s="291">
        <f>ELEMENT!DB67</f>
        <v>0</v>
      </c>
      <c r="K19" s="291">
        <f>ELEMENT!DC67</f>
        <v>0</v>
      </c>
      <c r="L19" s="291">
        <f>ELEMENT!DD67</f>
        <v>0</v>
      </c>
      <c r="M19" s="291">
        <f>ELEMENT!DE67</f>
        <v>0</v>
      </c>
      <c r="N19" s="291">
        <f>ELEMENT!DF67</f>
        <v>0</v>
      </c>
      <c r="O19" s="291">
        <f>ELEMENT!DG67</f>
        <v>0</v>
      </c>
      <c r="P19" s="291">
        <f>ELEMENT!DH67</f>
        <v>0</v>
      </c>
    </row>
    <row r="20" spans="1:16" x14ac:dyDescent="0.2">
      <c r="A20" s="287"/>
      <c r="B20" s="479"/>
      <c r="C20" s="290" t="str">
        <f>C6</f>
        <v>SHGC / VT</v>
      </c>
      <c r="D20" s="411" t="str">
        <f>ELEMENT!CV68</f>
        <v>0.22 / 0.43</v>
      </c>
      <c r="E20" s="411" t="str">
        <f>ELEMENT!CW68</f>
        <v>0.22 / 0.42</v>
      </c>
      <c r="F20" s="411" t="str">
        <f>ELEMENT!CX68</f>
        <v>0.22 / 0.43</v>
      </c>
      <c r="G20" s="411" t="str">
        <f>ELEMENT!CY68</f>
        <v>0.22 / 0.42</v>
      </c>
      <c r="H20" s="411" t="str">
        <f>ELEMENT!CZ68</f>
        <v>0.22 / 0.42</v>
      </c>
      <c r="I20" s="411" t="str">
        <f>ELEMENT!DA68</f>
        <v>0.22 / 0.42</v>
      </c>
      <c r="J20" s="411">
        <f>ELEMENT!DB68</f>
        <v>0</v>
      </c>
      <c r="K20" s="411">
        <f>ELEMENT!DC68</f>
        <v>0</v>
      </c>
      <c r="L20" s="411">
        <f>ELEMENT!DD68</f>
        <v>0</v>
      </c>
      <c r="M20" s="411">
        <f>ELEMENT!DE68</f>
        <v>0</v>
      </c>
      <c r="N20" s="411">
        <f>ELEMENT!DF68</f>
        <v>0</v>
      </c>
      <c r="O20" s="411">
        <f>ELEMENT!DG68</f>
        <v>0</v>
      </c>
      <c r="P20" s="411">
        <f>ELEMENT!DH68</f>
        <v>0</v>
      </c>
    </row>
  </sheetData>
  <sheetProtection password="D424" sheet="1"/>
  <mergeCells count="4">
    <mergeCell ref="B4:B6"/>
    <mergeCell ref="B9:B11"/>
    <mergeCell ref="B14:B16"/>
    <mergeCell ref="B18:B20"/>
  </mergeCells>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Tabelle15">
    <tabColor rgb="FF92D050"/>
    <pageSetUpPr fitToPage="1"/>
  </sheetPr>
  <dimension ref="A1:EG93"/>
  <sheetViews>
    <sheetView zoomScale="85" zoomScaleNormal="85" workbookViewId="0">
      <selection activeCell="AL3" sqref="AL3"/>
    </sheetView>
  </sheetViews>
  <sheetFormatPr defaultColWidth="10.85546875" defaultRowHeight="12.75" x14ac:dyDescent="0.2"/>
  <cols>
    <col min="1" max="1" width="16.7109375" customWidth="1"/>
    <col min="2" max="3" width="3.28515625" customWidth="1"/>
    <col min="4" max="6" width="7.7109375" customWidth="1"/>
    <col min="7" max="7" width="1.7109375" customWidth="1"/>
    <col min="8" max="12" width="3.28515625" customWidth="1"/>
    <col min="13" max="13" width="1.7109375" customWidth="1"/>
    <col min="14" max="16" width="6.7109375" customWidth="1"/>
    <col min="17" max="17" width="7.7109375" customWidth="1"/>
    <col min="18" max="18" width="6.7109375" customWidth="1"/>
    <col min="19" max="19" width="1.7109375" customWidth="1"/>
    <col min="20" max="23" width="3.7109375" customWidth="1"/>
    <col min="24" max="24" width="1.7109375" customWidth="1"/>
    <col min="25" max="28" width="5.7109375" customWidth="1"/>
    <col min="29" max="29" width="1.7109375" customWidth="1"/>
    <col min="30" max="30" width="5.7109375" customWidth="1"/>
    <col min="31" max="31" width="7" customWidth="1"/>
    <col min="32" max="32" width="5.7109375" customWidth="1"/>
    <col min="33" max="33" width="7.7109375" customWidth="1"/>
    <col min="34" max="34" width="5.7109375" customWidth="1"/>
    <col min="35" max="35" width="5.7109375" hidden="1" customWidth="1"/>
    <col min="36" max="36" width="8" customWidth="1"/>
    <col min="37" max="37" width="1.7109375" customWidth="1"/>
    <col min="38" max="39" width="6.7109375" customWidth="1"/>
    <col min="40" max="40" width="1.7109375" customWidth="1"/>
    <col min="41" max="42" width="4.7109375" customWidth="1"/>
    <col min="43" max="43" width="1.7109375" customWidth="1"/>
    <col min="44" max="44" width="8.7109375" customWidth="1"/>
    <col min="45" max="45" width="7.5703125" customWidth="1"/>
    <col min="46" max="46" width="1.7109375" customWidth="1"/>
    <col min="47" max="47" width="7.7109375" customWidth="1"/>
    <col min="48" max="48" width="1.7109375" customWidth="1"/>
    <col min="49" max="50" width="7.7109375" customWidth="1"/>
    <col min="51" max="51" width="6.7109375" customWidth="1"/>
    <col min="52" max="52" width="1.7109375" customWidth="1"/>
    <col min="53" max="53" width="7.5703125" customWidth="1"/>
    <col min="54" max="54" width="1.7109375" customWidth="1"/>
    <col min="55" max="55" width="5.7109375" customWidth="1"/>
    <col min="56" max="56" width="7.5703125" customWidth="1"/>
    <col min="57" max="57" width="6.7109375" customWidth="1"/>
    <col min="58" max="58" width="7.28515625" customWidth="1"/>
    <col min="59" max="60" width="6.7109375" customWidth="1"/>
    <col min="61" max="61" width="8.7109375" customWidth="1"/>
    <col min="62" max="62" width="1.7109375" customWidth="1"/>
    <col min="63" max="63" width="7.7109375" customWidth="1"/>
    <col min="64" max="64" width="8.28515625" customWidth="1"/>
    <col min="65" max="65" width="8.5703125" customWidth="1"/>
    <col min="66" max="66" width="7.7109375" customWidth="1"/>
    <col min="67" max="67" width="2.7109375" hidden="1" customWidth="1"/>
    <col min="68" max="78" width="1.7109375" hidden="1" customWidth="1"/>
    <col min="79" max="79" width="18.28515625" hidden="1" customWidth="1"/>
    <col min="80" max="84" width="6.7109375" hidden="1" customWidth="1"/>
    <col min="85" max="85" width="8.7109375" hidden="1" customWidth="1"/>
    <col min="86" max="119" width="6.7109375" hidden="1" customWidth="1"/>
    <col min="120" max="120" width="8.28515625" hidden="1" customWidth="1"/>
    <col min="121" max="135" width="6.7109375" hidden="1" customWidth="1"/>
    <col min="136" max="136" width="9.28515625" hidden="1" customWidth="1"/>
    <col min="137" max="137" width="9" hidden="1" customWidth="1"/>
  </cols>
  <sheetData>
    <row r="1" spans="1:137" s="364" customFormat="1" ht="22.5" customHeight="1" x14ac:dyDescent="0.2">
      <c r="A1" s="373" t="str">
        <f>Uw!CB3</f>
        <v>Uw calculation - proof of insulation:</v>
      </c>
      <c r="B1" s="372"/>
      <c r="C1" s="372"/>
      <c r="D1" s="370"/>
      <c r="E1" s="370"/>
      <c r="F1" s="370"/>
      <c r="G1" s="370"/>
      <c r="H1" s="367"/>
      <c r="I1" s="367"/>
      <c r="J1" s="367"/>
      <c r="K1" s="367"/>
      <c r="L1" s="367"/>
      <c r="M1" s="370"/>
      <c r="N1" s="370"/>
      <c r="O1" s="370"/>
      <c r="P1" s="371" t="str">
        <f>Uw!CB4</f>
        <v>EN 10077-1+2</v>
      </c>
      <c r="Q1" s="367"/>
      <c r="R1" s="367"/>
      <c r="S1" s="367"/>
      <c r="T1" s="370"/>
      <c r="U1" s="370"/>
      <c r="V1" s="370"/>
      <c r="W1" s="367"/>
      <c r="X1" s="367"/>
      <c r="Y1" s="367"/>
      <c r="Z1" s="367"/>
      <c r="AA1" s="367"/>
      <c r="AB1" s="367"/>
      <c r="AC1" s="367"/>
      <c r="AD1" s="367"/>
      <c r="AE1" s="367"/>
      <c r="AF1" s="367"/>
      <c r="AG1" s="367"/>
      <c r="AH1" s="367"/>
      <c r="AI1" s="367"/>
      <c r="AJ1" s="367"/>
      <c r="AK1" s="367"/>
      <c r="AL1" s="367"/>
      <c r="AM1" s="367"/>
      <c r="AN1" s="367"/>
      <c r="AO1" s="367"/>
      <c r="AP1" s="367"/>
      <c r="AQ1" s="367"/>
      <c r="AR1" s="367"/>
      <c r="AS1" s="367"/>
      <c r="AT1" s="367"/>
      <c r="AU1" s="367"/>
      <c r="AV1" s="367"/>
      <c r="AW1" s="367"/>
      <c r="AX1" s="367"/>
      <c r="AY1" s="367"/>
      <c r="AZ1" s="367"/>
      <c r="BA1" s="369"/>
      <c r="BB1" s="368"/>
      <c r="BC1" s="367"/>
      <c r="BD1" s="367"/>
      <c r="BE1" s="367"/>
      <c r="BF1" s="367"/>
      <c r="BG1" s="367"/>
      <c r="BH1" s="367"/>
      <c r="BI1" s="367"/>
      <c r="BJ1" s="367"/>
      <c r="BK1" s="367"/>
      <c r="BL1" s="366"/>
      <c r="BM1" s="365"/>
      <c r="BO1" t="s">
        <v>1024</v>
      </c>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row>
    <row r="2" spans="1:137" ht="15" customHeight="1" x14ac:dyDescent="0.2">
      <c r="A2" s="363"/>
      <c r="B2" s="296"/>
      <c r="C2" s="296"/>
      <c r="D2" s="361"/>
      <c r="E2" s="361"/>
      <c r="F2" s="361"/>
      <c r="G2" s="361"/>
      <c r="H2" s="358"/>
      <c r="I2" s="298"/>
      <c r="J2" s="298"/>
      <c r="K2" s="298"/>
      <c r="L2" s="298"/>
      <c r="M2" s="361"/>
      <c r="N2" s="361"/>
      <c r="O2" s="298"/>
      <c r="P2" s="298"/>
      <c r="Q2" s="298"/>
      <c r="R2" s="298"/>
      <c r="S2" s="362"/>
      <c r="T2" s="361"/>
      <c r="U2" s="361"/>
      <c r="V2" s="361"/>
      <c r="W2" s="298"/>
      <c r="X2" s="298"/>
      <c r="Y2" s="298"/>
      <c r="Z2" s="298"/>
      <c r="AA2" s="298"/>
      <c r="AB2" s="298"/>
      <c r="AC2" s="298"/>
      <c r="AD2" s="1"/>
      <c r="AE2" s="298"/>
      <c r="AF2" s="298"/>
      <c r="AG2" s="1"/>
      <c r="AH2" s="1"/>
      <c r="AI2" s="1"/>
      <c r="AJ2" s="1"/>
      <c r="AK2" s="1"/>
      <c r="AL2" s="1"/>
      <c r="AM2" s="1"/>
      <c r="AN2" s="1"/>
      <c r="AO2" s="1"/>
      <c r="AP2" s="1"/>
      <c r="AQ2" s="1"/>
      <c r="AR2" s="1"/>
      <c r="AS2" s="1"/>
      <c r="AT2" s="1"/>
      <c r="AU2" s="397" t="str">
        <f>IF(AL3=1,CT54,
IF(AL3=2,CU54,))</f>
        <v>Swisspacer U</v>
      </c>
      <c r="AV2" s="1"/>
      <c r="AW2" s="1"/>
      <c r="AX2" s="398"/>
      <c r="AY2" s="1"/>
      <c r="AZ2" s="1"/>
      <c r="BA2" s="1"/>
      <c r="BB2" s="1"/>
      <c r="BC2" s="1"/>
      <c r="BD2" s="1"/>
      <c r="BE2" s="1"/>
      <c r="BF2" s="1"/>
      <c r="BG2" s="6"/>
      <c r="BH2" s="6"/>
      <c r="BI2" s="6"/>
      <c r="BJ2" s="298"/>
      <c r="BK2" s="351"/>
      <c r="BL2" s="298"/>
      <c r="BM2" s="297"/>
      <c r="CA2">
        <f>ELEMENT!DI50</f>
        <v>3</v>
      </c>
    </row>
    <row r="3" spans="1:137" ht="22.5" customHeight="1" x14ac:dyDescent="0.2">
      <c r="A3" s="485" t="str">
        <f>ELEMENT!A1</f>
        <v>Sky-Frame TOOL           Version 2016-07-12           Company… (please adapt in Sprache D1)</v>
      </c>
      <c r="B3" s="483"/>
      <c r="C3" s="483"/>
      <c r="D3" s="483"/>
      <c r="E3" s="483"/>
      <c r="F3" s="483"/>
      <c r="G3" s="483"/>
      <c r="H3" s="483"/>
      <c r="I3" s="483"/>
      <c r="J3" s="483"/>
      <c r="K3" s="483"/>
      <c r="L3" s="483"/>
      <c r="M3" s="483"/>
      <c r="N3" s="483"/>
      <c r="O3" s="483"/>
      <c r="P3" s="483"/>
      <c r="Q3" s="483"/>
      <c r="R3" s="483"/>
      <c r="S3" s="483"/>
      <c r="T3" s="483"/>
      <c r="U3" s="483"/>
      <c r="V3" s="483"/>
      <c r="W3" s="483"/>
      <c r="X3" s="486"/>
      <c r="Y3" s="298"/>
      <c r="Z3" s="480" t="s">
        <v>1080</v>
      </c>
      <c r="AA3" s="480"/>
      <c r="AB3" s="480"/>
      <c r="AC3" s="298"/>
      <c r="AD3" s="491">
        <v>20</v>
      </c>
      <c r="AE3" s="491"/>
      <c r="AF3" s="298"/>
      <c r="AG3" s="1"/>
      <c r="AH3" s="349" t="str">
        <f>Uw!DY4</f>
        <v>edge seal:</v>
      </c>
      <c r="AI3" s="298"/>
      <c r="AJ3" s="1"/>
      <c r="AK3" s="1"/>
      <c r="AL3" s="396">
        <v>2</v>
      </c>
      <c r="AM3" s="298"/>
      <c r="AN3" s="298"/>
      <c r="AO3" s="298"/>
      <c r="AP3" s="298"/>
      <c r="AQ3" s="298"/>
      <c r="AR3" s="359"/>
      <c r="AS3" s="358"/>
      <c r="AT3" s="360" t="str">
        <f>Uw!DZ3</f>
        <v>PSI, side profile</v>
      </c>
      <c r="AU3" s="399" t="str">
        <f>IF(AL3=1,CG87,
IF(AL3=2,CG88,))</f>
        <v/>
      </c>
      <c r="AV3" s="359" t="str">
        <f>Uw!EB3</f>
        <v>W/mK</v>
      </c>
      <c r="AW3" s="358"/>
      <c r="AX3" s="298"/>
      <c r="AY3" s="1"/>
      <c r="AZ3" s="1"/>
      <c r="BA3" s="1"/>
      <c r="BB3" s="1"/>
      <c r="BC3" s="1"/>
      <c r="BD3" s="1"/>
      <c r="BE3" s="1"/>
      <c r="BF3" s="1"/>
      <c r="BG3" s="6"/>
      <c r="BH3" s="6"/>
      <c r="BI3" s="6"/>
      <c r="BJ3" s="298"/>
      <c r="BK3" s="351"/>
      <c r="BL3" s="298"/>
      <c r="BM3" s="297"/>
      <c r="CA3">
        <f>CA4</f>
        <v>3</v>
      </c>
      <c r="CB3" t="str">
        <f>Sprache!B176</f>
        <v>Uw calculation - proof of insulation:</v>
      </c>
      <c r="DZ3" t="str">
        <f>"PSI, "&amp;Sprache!B191</f>
        <v>PSI, side profile</v>
      </c>
      <c r="EA3" t="str">
        <f>IF(ELEMENT!K3=2,"x",
IF(AL3=1,CG87,
IF(AL3=2,CG88,)))</f>
        <v>x</v>
      </c>
      <c r="EB3" t="s">
        <v>1022</v>
      </c>
    </row>
    <row r="4" spans="1:137" ht="22.5" customHeight="1" thickBot="1" x14ac:dyDescent="0.25">
      <c r="A4" s="357" t="str">
        <f>ELEMENT!A2</f>
        <v>Project:</v>
      </c>
      <c r="B4" s="481">
        <f>ELEMENT!C2</f>
        <v>0</v>
      </c>
      <c r="C4" s="482"/>
      <c r="D4" s="482"/>
      <c r="E4" s="482"/>
      <c r="F4" s="482"/>
      <c r="G4" s="483"/>
      <c r="H4" s="483"/>
      <c r="I4" s="483"/>
      <c r="J4" s="483"/>
      <c r="K4" s="483"/>
      <c r="L4" s="483"/>
      <c r="M4" s="483"/>
      <c r="N4" s="483"/>
      <c r="O4" s="483"/>
      <c r="P4" s="483"/>
      <c r="Q4" s="483"/>
      <c r="R4" s="483"/>
      <c r="S4" s="483"/>
      <c r="T4" s="483"/>
      <c r="U4" s="483"/>
      <c r="V4" s="483"/>
      <c r="W4" s="483"/>
      <c r="X4" s="484"/>
      <c r="Y4" s="298"/>
      <c r="Z4" s="298"/>
      <c r="AA4" s="298"/>
      <c r="AB4" s="298"/>
      <c r="AC4" s="298"/>
      <c r="AD4" s="298"/>
      <c r="AE4" s="298"/>
      <c r="AF4" s="298"/>
      <c r="AG4" s="298"/>
      <c r="AH4" s="298"/>
      <c r="AI4" s="298"/>
      <c r="AJ4" s="298"/>
      <c r="AK4" s="298"/>
      <c r="AL4" s="355"/>
      <c r="AM4" s="355"/>
      <c r="AN4" s="298"/>
      <c r="AO4" s="355"/>
      <c r="AP4" s="355"/>
      <c r="AQ4" s="298"/>
      <c r="AR4" s="355"/>
      <c r="AS4" s="298"/>
      <c r="AT4" s="298"/>
      <c r="AU4" s="356"/>
      <c r="AV4" s="298"/>
      <c r="AW4" s="298"/>
      <c r="AX4" s="298"/>
      <c r="AY4" s="298"/>
      <c r="AZ4" s="298"/>
      <c r="BA4" s="298"/>
      <c r="BB4" s="298"/>
      <c r="BC4" s="298"/>
      <c r="BD4" s="298"/>
      <c r="BE4" s="355"/>
      <c r="BF4" s="354"/>
      <c r="BG4" s="353"/>
      <c r="BH4" s="352"/>
      <c r="BI4" s="298"/>
      <c r="BJ4" s="298"/>
      <c r="BK4" s="351"/>
      <c r="BL4" s="298"/>
      <c r="BM4" s="350"/>
      <c r="CA4">
        <f>IF(CA2="3m",3,
IF(AND(CA2=3,AD3=30),"3m",CA2))</f>
        <v>3</v>
      </c>
      <c r="CB4" t="s">
        <v>1025</v>
      </c>
      <c r="DY4" t="str">
        <f>Sprache!B190&amp;":"</f>
        <v>edge seal:</v>
      </c>
    </row>
    <row r="5" spans="1:137" s="244" customFormat="1" ht="22.5" customHeight="1" thickBot="1" x14ac:dyDescent="0.25">
      <c r="A5" s="382" t="str">
        <f>"Sky-Frame "&amp;ELEMENT!AH4</f>
        <v>Sky-Frame 2</v>
      </c>
      <c r="B5" s="489" t="s">
        <v>1021</v>
      </c>
      <c r="C5" s="489"/>
      <c r="D5" s="489"/>
      <c r="E5" s="489"/>
      <c r="F5" s="490"/>
      <c r="G5" s="378"/>
      <c r="H5" s="347" t="str">
        <f>Uw!CB5</f>
        <v>pce(s)</v>
      </c>
      <c r="I5" s="347"/>
      <c r="J5" s="347"/>
      <c r="K5" s="347"/>
      <c r="L5" s="347"/>
      <c r="M5" s="378"/>
      <c r="N5" s="348" t="str">
        <f>Uw!CK5</f>
        <v>Uf, per type: [W/m2K]</v>
      </c>
      <c r="O5" s="347"/>
      <c r="P5" s="347"/>
      <c r="Q5" s="347"/>
      <c r="R5" s="347"/>
      <c r="S5" s="378"/>
      <c r="T5" s="348" t="str">
        <f>Uw!CP5</f>
        <v>width (view):</v>
      </c>
      <c r="U5" s="347"/>
      <c r="V5" s="347"/>
      <c r="W5" s="347"/>
      <c r="X5" s="378"/>
      <c r="Y5" s="344" t="str">
        <f>Uw!CU5</f>
        <v>Uf*Ans.F, p.Typ:</v>
      </c>
      <c r="Z5" s="343"/>
      <c r="AA5" s="343"/>
      <c r="AB5" s="343"/>
      <c r="AC5" s="379"/>
      <c r="AD5" s="344" t="str">
        <f>Uw!CZ5</f>
        <v>* pce(s) * glass size:</v>
      </c>
      <c r="AE5" s="343"/>
      <c r="AF5" s="343"/>
      <c r="AG5" s="343"/>
      <c r="AH5" s="343"/>
      <c r="AI5" s="343"/>
      <c r="AJ5" s="344"/>
      <c r="AK5" s="379"/>
      <c r="AL5" s="344" t="str">
        <f>Uw!DG5</f>
        <v>soffit  + base  horizontally</v>
      </c>
      <c r="AM5" s="344"/>
      <c r="AN5" s="346"/>
      <c r="AO5" s="343"/>
      <c r="AP5" s="343"/>
      <c r="AQ5" s="379"/>
      <c r="AR5" s="343"/>
      <c r="AS5" s="344"/>
      <c r="AT5" s="379"/>
      <c r="AU5" s="344"/>
      <c r="AV5" s="379"/>
      <c r="AW5" s="344" t="str">
        <f>Uw!DR5</f>
        <v>area:</v>
      </c>
      <c r="AX5" s="343"/>
      <c r="AY5" s="343"/>
      <c r="AZ5" s="379"/>
      <c r="BA5" s="344"/>
      <c r="BB5" s="379"/>
      <c r="BC5" s="345"/>
      <c r="BD5" s="344"/>
      <c r="BE5" s="344" t="str">
        <f>Uw!DY5</f>
        <v>heat flow:</v>
      </c>
      <c r="BF5" s="343"/>
      <c r="BG5" s="343"/>
      <c r="BH5" s="343"/>
      <c r="BI5" s="343"/>
      <c r="BJ5" s="381"/>
      <c r="BK5" s="342" t="str">
        <f>Uw!EE5</f>
        <v>result:</v>
      </c>
      <c r="BL5" s="341"/>
      <c r="BM5" s="340"/>
      <c r="BO5"/>
      <c r="BP5"/>
      <c r="BQ5"/>
      <c r="BR5"/>
      <c r="BS5"/>
      <c r="BT5"/>
      <c r="BU5"/>
      <c r="BV5"/>
      <c r="BW5"/>
      <c r="BX5"/>
      <c r="BY5"/>
      <c r="BZ5"/>
      <c r="CA5"/>
      <c r="CB5" t="str">
        <f>Sprache!B11</f>
        <v>pce(s)</v>
      </c>
      <c r="CC5"/>
      <c r="CD5"/>
      <c r="CE5"/>
      <c r="CF5"/>
      <c r="CG5"/>
      <c r="CH5"/>
      <c r="CI5"/>
      <c r="CJ5"/>
      <c r="CK5" t="str">
        <f>Sprache!B175</f>
        <v>Uf, per type: [W/m2K]</v>
      </c>
      <c r="CL5"/>
      <c r="CM5"/>
      <c r="CN5"/>
      <c r="CO5"/>
      <c r="CP5" t="str">
        <f>Sprache!B177</f>
        <v>width (view):</v>
      </c>
      <c r="CQ5"/>
      <c r="CR5"/>
      <c r="CS5"/>
      <c r="CT5"/>
      <c r="CU5" t="s">
        <v>1018</v>
      </c>
      <c r="CV5"/>
      <c r="CW5"/>
      <c r="CX5"/>
      <c r="CY5"/>
      <c r="CZ5" t="str">
        <f>"* "&amp;Sprache!B11&amp;" * "&amp;Sprache!B38&amp;":"</f>
        <v>* pce(s) * glass size:</v>
      </c>
      <c r="DA5"/>
      <c r="DB5"/>
      <c r="DC5"/>
      <c r="DD5"/>
      <c r="DE5"/>
      <c r="DF5"/>
      <c r="DG5" t="str">
        <f>Sprache!B180&amp;" + "&amp;Sprache!B181&amp;" "&amp;Sprache!B182</f>
        <v>soffit  + base  horizontally</v>
      </c>
      <c r="DH5"/>
      <c r="DI5"/>
      <c r="DJ5"/>
      <c r="DK5"/>
      <c r="DL5"/>
      <c r="DM5"/>
      <c r="DN5"/>
      <c r="DO5"/>
      <c r="DP5"/>
      <c r="DQ5"/>
      <c r="DR5" t="str">
        <f>Sprache!B185&amp;":"</f>
        <v>area:</v>
      </c>
      <c r="DS5"/>
      <c r="DT5"/>
      <c r="DU5"/>
      <c r="DV5"/>
      <c r="DW5"/>
      <c r="DX5"/>
      <c r="DY5" t="str">
        <f>Sprache!B188&amp;":"</f>
        <v>heat flow:</v>
      </c>
      <c r="DZ5"/>
      <c r="EA5"/>
      <c r="EB5"/>
      <c r="EC5"/>
      <c r="ED5"/>
      <c r="EE5" t="str">
        <f>Sprache!B192&amp;":"</f>
        <v>result:</v>
      </c>
      <c r="EF5"/>
      <c r="EG5"/>
    </row>
    <row r="6" spans="1:137" ht="210.75" customHeight="1" x14ac:dyDescent="0.2">
      <c r="A6" s="339" t="str">
        <f>ELEMENT!A4</f>
        <v>Item no. Client</v>
      </c>
      <c r="B6" s="339" t="str">
        <f>ELEMENT!B4</f>
        <v>item no.</v>
      </c>
      <c r="C6" s="339" t="str">
        <f>ELEMENT!C4</f>
        <v>pce(s)</v>
      </c>
      <c r="D6" s="339" t="str">
        <f>Uw!CG6</f>
        <v>width mm</v>
      </c>
      <c r="E6" s="339" t="str">
        <f>Uw!CH6</f>
        <v>height mm</v>
      </c>
      <c r="F6" s="339" t="str">
        <f>Uw!CI6</f>
        <v>height mm glass</v>
      </c>
      <c r="G6" s="339"/>
      <c r="H6" s="338" t="str">
        <f>Uw!CB6</f>
        <v>side opening</v>
      </c>
      <c r="I6" s="338" t="str">
        <f>Uw!CC6</f>
        <v>Randfest</v>
      </c>
      <c r="J6" s="338" t="str">
        <f>Uw!CD6</f>
        <v>centre opening</v>
      </c>
      <c r="K6" s="338" t="str">
        <f>Uw!CE6</f>
        <v>labyrinth</v>
      </c>
      <c r="L6" s="338" t="str">
        <f>Uw!CF6</f>
        <v>90° corner</v>
      </c>
      <c r="M6" s="377"/>
      <c r="N6" s="335" t="str">
        <f>Uw!CK6</f>
        <v>side opening Uf</v>
      </c>
      <c r="O6" s="335" t="str">
        <f>Uw!CL6</f>
        <v>side fixed Uf</v>
      </c>
      <c r="P6" s="335" t="str">
        <f>Uw!CM6</f>
        <v>centre opening (offset / same level) Uf</v>
      </c>
      <c r="Q6" s="335" t="str">
        <f>Uw!CN6</f>
        <v>labyrinth Uf</v>
      </c>
      <c r="R6" s="335" t="str">
        <f>Uw!CO6</f>
        <v>corners Uf</v>
      </c>
      <c r="S6" s="377"/>
      <c r="T6" s="335" t="str">
        <f>Uw!CP6</f>
        <v>side opening Af</v>
      </c>
      <c r="U6" s="335" t="str">
        <f>Uw!CQ6</f>
        <v>side fixed Af</v>
      </c>
      <c r="V6" s="335" t="str">
        <f>Uw!CR6</f>
        <v>centre opening (offset / same level) Af</v>
      </c>
      <c r="W6" s="335" t="str">
        <f>Uw!CS6</f>
        <v>labyrinth Af</v>
      </c>
      <c r="X6" s="377"/>
      <c r="Y6" s="335" t="str">
        <f>Uw!CU6</f>
        <v>side opening Uf*Af</v>
      </c>
      <c r="Z6" s="335" t="str">
        <f>Uw!CV6</f>
        <v>side fixed Uf*Af</v>
      </c>
      <c r="AA6" s="335" t="str">
        <f>Uw!CW6</f>
        <v>centre opening (offset / same level) Uf*Af</v>
      </c>
      <c r="AB6" s="335" t="str">
        <f>Uw!CX6</f>
        <v>labyrinth Uf*Af</v>
      </c>
      <c r="AC6" s="377"/>
      <c r="AD6" s="335" t="str">
        <f>Uw!CZ6</f>
        <v>Σ side opening Uf*Af*Stk*GH</v>
      </c>
      <c r="AE6" s="335" t="str">
        <f>Uw!DA6</f>
        <v>Σ side fixed Uf*Af*Stk*GH</v>
      </c>
      <c r="AF6" s="335" t="str">
        <f>Uw!DB6</f>
        <v>Σ centre opening (offset / same level) Uf*Af*Stk*GH</v>
      </c>
      <c r="AG6" s="335" t="str">
        <f>Uw!DC6</f>
        <v>Σ labyrinth Uf*Af*Stk*GH</v>
      </c>
      <c r="AH6" s="335" t="str">
        <f>Uw!DD6</f>
        <v>Σ corners Uf*Af*Stk*GH</v>
      </c>
      <c r="AI6" s="335"/>
      <c r="AJ6" s="336" t="str">
        <f>Uw!DE6</f>
        <v>Total sum Uf, vertical</v>
      </c>
      <c r="AK6" s="380"/>
      <c r="AL6" s="335" t="str">
        <f>Uw!DG6</f>
        <v>soffit  Uf</v>
      </c>
      <c r="AM6" s="335" t="str">
        <f>Uw!DH6</f>
        <v>base  Uf</v>
      </c>
      <c r="AN6" s="338"/>
      <c r="AO6" s="335" t="str">
        <f>Uw!DJ6</f>
        <v>soffit  Af</v>
      </c>
      <c r="AP6" s="335" t="str">
        <f>Uw!DK6</f>
        <v>base  Af</v>
      </c>
      <c r="AQ6" s="377"/>
      <c r="AR6" s="335" t="str">
        <f>Uw!DL6</f>
        <v>Σ soffit  + base  Uf*Af</v>
      </c>
      <c r="AS6" s="336" t="str">
        <f>Uw!DN6</f>
        <v>Σ  Uf   horizontally</v>
      </c>
      <c r="AT6" s="380"/>
      <c r="AU6" s="337" t="str">
        <f>Uw!DP6</f>
        <v>Σ  Uf   horizontally + vertical</v>
      </c>
      <c r="AV6" s="339"/>
      <c r="AW6" s="335" t="str">
        <f>Uw!DR6</f>
        <v>Σ element area</v>
      </c>
      <c r="AX6" s="335" t="str">
        <f>Uw!DT6</f>
        <v>Σ glass area</v>
      </c>
      <c r="AY6" s="335" t="str">
        <f>Uw!DS6</f>
        <v>Σ frame area</v>
      </c>
      <c r="AZ6" s="339"/>
      <c r="BA6" s="336" t="str">
        <f>Uw!DV6</f>
        <v>frame Uf</v>
      </c>
      <c r="BB6" s="339"/>
      <c r="BC6" s="335" t="str">
        <f>Uw!DX6</f>
        <v>glass  Ug</v>
      </c>
      <c r="BD6" s="335" t="str">
        <f>Sprache!B129</f>
        <v>Lt / g-value</v>
      </c>
      <c r="BE6" s="335" t="str">
        <f>Uw!DY6</f>
        <v>heat flow frame</v>
      </c>
      <c r="BF6" s="335" t="str">
        <f>Uw!DZ6</f>
        <v>heat flow glass</v>
      </c>
      <c r="BG6" s="335" t="str">
        <f>Uw!EA6</f>
        <v>heat flow  PSI  frame</v>
      </c>
      <c r="BH6" s="335" t="str">
        <f>Uw!EB6</f>
        <v>heat flow  PSI  mullions + corners</v>
      </c>
      <c r="BI6" s="336" t="str">
        <f>Uw!EC6</f>
        <v>Σ  heat flow</v>
      </c>
      <c r="BJ6" s="339"/>
      <c r="BK6" s="335" t="str">
        <f>Uw!EE6</f>
        <v>Uw element</v>
      </c>
      <c r="BL6" s="334" t="str">
        <f>Uw!EF6</f>
        <v>Uw element</v>
      </c>
      <c r="BM6" s="333" t="str">
        <f>Uw!EG6</f>
        <v>Σ  heat flow x pce(s)</v>
      </c>
      <c r="CB6" t="str">
        <f>ELEMENT!R4</f>
        <v>side opening</v>
      </c>
      <c r="CC6" t="s">
        <v>1017</v>
      </c>
      <c r="CD6" t="str">
        <f>ELEMENT!S4</f>
        <v>centre opening</v>
      </c>
      <c r="CE6" t="str">
        <f>ELEMENT!T4</f>
        <v>labyrinth</v>
      </c>
      <c r="CF6" t="str">
        <f>ELEMENT!P4</f>
        <v>90° corner</v>
      </c>
      <c r="CG6" t="str">
        <f>ELEMENT!D4</f>
        <v>width mm</v>
      </c>
      <c r="CH6" t="str">
        <f>ELEMENT!E4</f>
        <v>height mm</v>
      </c>
      <c r="CI6" t="str">
        <f>Sprache!B14&amp;" "&amp;Sprache!B67</f>
        <v>height mm glass</v>
      </c>
      <c r="CK6" t="str">
        <f>Sprache!B170&amp;" Uf"</f>
        <v>side opening Uf</v>
      </c>
      <c r="CL6" t="str">
        <f>Sprache!B171&amp;" Uf"</f>
        <v>side fixed Uf</v>
      </c>
      <c r="CM6" t="str">
        <f>Sprache!B172&amp;" Uf"</f>
        <v>centre opening (offset / same level) Uf</v>
      </c>
      <c r="CN6" t="str">
        <f>Sprache!B173&amp;" Uf"</f>
        <v>labyrinth Uf</v>
      </c>
      <c r="CO6" t="str">
        <f>Sprache!B174&amp;" Uf"</f>
        <v>corners Uf</v>
      </c>
      <c r="CP6" t="str">
        <f>Sprache!B170&amp;" Af"</f>
        <v>side opening Af</v>
      </c>
      <c r="CQ6" t="str">
        <f>Sprache!B171&amp;" Af"</f>
        <v>side fixed Af</v>
      </c>
      <c r="CR6" t="str">
        <f>Sprache!B172&amp;" Af"</f>
        <v>centre opening (offset / same level) Af</v>
      </c>
      <c r="CS6" t="str">
        <f>Sprache!B173&amp;" Af"</f>
        <v>labyrinth Af</v>
      </c>
      <c r="CT6" t="str">
        <f>Sprache!B178</f>
        <v>corners Af = always 0 (only PSI)</v>
      </c>
      <c r="CU6" t="str">
        <f>Sprache!B170&amp;" Uf*Af"</f>
        <v>side opening Uf*Af</v>
      </c>
      <c r="CV6" t="str">
        <f>Sprache!B171&amp;" Uf*Af"</f>
        <v>side fixed Uf*Af</v>
      </c>
      <c r="CW6" t="str">
        <f>Sprache!B172&amp;" Uf*Af"</f>
        <v>centre opening (offset / same level) Uf*Af</v>
      </c>
      <c r="CX6" t="str">
        <f>Sprache!B173&amp;" Uf*Af"</f>
        <v>labyrinth Uf*Af</v>
      </c>
      <c r="CZ6" t="str">
        <f>"Σ "&amp;Sprache!B170&amp;" Uf*Af*Stk*GH"</f>
        <v>Σ side opening Uf*Af*Stk*GH</v>
      </c>
      <c r="DA6" t="str">
        <f>"Σ "&amp;Sprache!B171&amp;" Uf*Af*Stk*GH"</f>
        <v>Σ side fixed Uf*Af*Stk*GH</v>
      </c>
      <c r="DB6" t="str">
        <f>"Σ "&amp;Sprache!B172&amp;" Uf*Af*Stk*GH"</f>
        <v>Σ centre opening (offset / same level) Uf*Af*Stk*GH</v>
      </c>
      <c r="DC6" t="str">
        <f>"Σ "&amp;Sprache!B173&amp;" Uf*Af*Stk*GH"</f>
        <v>Σ labyrinth Uf*Af*Stk*GH</v>
      </c>
      <c r="DD6" t="str">
        <f>"Σ "&amp;Sprache!B174&amp;" Uf*Af*Stk*GH"</f>
        <v>Σ corners Uf*Af*Stk*GH</v>
      </c>
      <c r="DE6" t="str">
        <f>Sprache!B179</f>
        <v>Total sum Uf, vertical</v>
      </c>
      <c r="DG6" t="str">
        <f>Sprache!B180&amp;" Uf"</f>
        <v>soffit  Uf</v>
      </c>
      <c r="DH6" t="str">
        <f>Sprache!B181&amp;" Uf"</f>
        <v>base  Uf</v>
      </c>
      <c r="DJ6" t="str">
        <f>Sprache!B180&amp;" Af"</f>
        <v>soffit  Af</v>
      </c>
      <c r="DK6" t="str">
        <f>Sprache!B181&amp;" Af"</f>
        <v>base  Af</v>
      </c>
      <c r="DL6" t="str">
        <f>"Σ "&amp;Sprache!B180&amp;" + "&amp;Sprache!B181&amp;" Uf*Af"</f>
        <v>Σ soffit  + base  Uf*Af</v>
      </c>
      <c r="DM6" t="str">
        <f>"Σ "&amp;" Uf   "&amp;Sprache!B182</f>
        <v>Σ  Uf   horizontally</v>
      </c>
      <c r="DN6" t="str">
        <f>"Σ "&amp;" Uf   "&amp;Sprache!B182</f>
        <v>Σ  Uf   horizontally</v>
      </c>
      <c r="DP6" t="str">
        <f>"Σ "&amp;" Uf   "&amp;Sprache!B182&amp;" + "&amp;Sprache!B184</f>
        <v>Σ  Uf   horizontally + vertical</v>
      </c>
      <c r="DR6" t="str">
        <f>"Σ "&amp;Sprache!B187&amp;" "&amp;Sprache!B185</f>
        <v>Σ element area</v>
      </c>
      <c r="DS6" t="str">
        <f>"Σ "&amp;Sprache!B186&amp;" "&amp;Sprache!B185</f>
        <v>Σ frame area</v>
      </c>
      <c r="DT6" t="str">
        <f>"Σ "&amp;Sprache!B87&amp;" "&amp;Sprache!B185</f>
        <v>Σ glass area</v>
      </c>
      <c r="DV6" t="str">
        <f>Sprache!B186&amp;" Uf"</f>
        <v>frame Uf</v>
      </c>
      <c r="DX6" t="str">
        <f>Sprache!B87&amp;"  Ug"</f>
        <v>glass  Ug</v>
      </c>
      <c r="DY6" t="str">
        <f>Sprache!B188&amp;" "&amp;Sprache!B186</f>
        <v>heat flow frame</v>
      </c>
      <c r="DZ6" t="str">
        <f>Sprache!B188&amp;" "&amp;Sprache!B87</f>
        <v>heat flow glass</v>
      </c>
      <c r="EA6" t="str">
        <f>Sprache!B188&amp;"  PSI  "&amp;Sprache!B186</f>
        <v>heat flow  PSI  frame</v>
      </c>
      <c r="EB6" t="str">
        <f>Sprache!B188&amp;"  PSI  "&amp;Sprache!B189</f>
        <v>heat flow  PSI  mullions + corners</v>
      </c>
      <c r="EC6" t="str">
        <f>"Σ  "&amp;Sprache!B188</f>
        <v>Σ  heat flow</v>
      </c>
      <c r="EE6" t="str">
        <f>"Uw "&amp;Sprache!B187</f>
        <v>Uw element</v>
      </c>
      <c r="EF6" t="str">
        <f>"Uw "&amp;Sprache!B187</f>
        <v>Uw element</v>
      </c>
      <c r="EG6" t="str">
        <f>"Σ  "&amp;Sprache!B188&amp;" x "&amp;Sprache!B11</f>
        <v>Σ  heat flow x pce(s)</v>
      </c>
    </row>
    <row r="7" spans="1:137" ht="21" customHeight="1" x14ac:dyDescent="0.2">
      <c r="A7" s="332">
        <f>ELEMENT!A5</f>
        <v>0</v>
      </c>
      <c r="B7" s="331">
        <f>ELEMENT!B5</f>
        <v>0</v>
      </c>
      <c r="C7" s="330">
        <f>ELEMENT!C5</f>
        <v>0</v>
      </c>
      <c r="D7" s="329">
        <f t="shared" ref="D7:F8" si="0">CG7</f>
        <v>0</v>
      </c>
      <c r="E7" s="329">
        <f t="shared" si="0"/>
        <v>0</v>
      </c>
      <c r="F7" s="329" t="str">
        <f t="shared" si="0"/>
        <v/>
      </c>
      <c r="G7" s="317"/>
      <c r="H7" s="328">
        <f t="shared" ref="H7:L8" si="1">CB7</f>
        <v>0</v>
      </c>
      <c r="I7" s="328" t="str">
        <f t="shared" si="1"/>
        <v/>
      </c>
      <c r="J7" s="328">
        <f t="shared" si="1"/>
        <v>0</v>
      </c>
      <c r="K7" s="328">
        <f t="shared" si="1"/>
        <v>0</v>
      </c>
      <c r="L7" s="327" t="str">
        <f t="shared" si="1"/>
        <v/>
      </c>
      <c r="M7" s="317"/>
      <c r="N7" s="322" t="str">
        <f t="shared" ref="N7:R8" si="2">CK7</f>
        <v/>
      </c>
      <c r="O7" s="322" t="str">
        <f t="shared" si="2"/>
        <v/>
      </c>
      <c r="P7" s="322" t="str">
        <f t="shared" si="2"/>
        <v/>
      </c>
      <c r="Q7" s="322" t="str">
        <f t="shared" si="2"/>
        <v/>
      </c>
      <c r="R7" s="322" t="str">
        <f t="shared" si="2"/>
        <v/>
      </c>
      <c r="S7" s="317"/>
      <c r="T7" s="315" t="str">
        <f t="shared" ref="T7:W8" si="3">CP7</f>
        <v/>
      </c>
      <c r="U7" s="315" t="str">
        <f t="shared" si="3"/>
        <v/>
      </c>
      <c r="V7" s="315" t="str">
        <f t="shared" si="3"/>
        <v/>
      </c>
      <c r="W7" s="315" t="str">
        <f t="shared" si="3"/>
        <v/>
      </c>
      <c r="X7" s="317"/>
      <c r="Y7" s="327" t="str">
        <f t="shared" ref="Y7:AB8" si="4">CU7</f>
        <v/>
      </c>
      <c r="Z7" s="327" t="str">
        <f t="shared" si="4"/>
        <v/>
      </c>
      <c r="AA7" s="327" t="str">
        <f t="shared" si="4"/>
        <v/>
      </c>
      <c r="AB7" s="327" t="str">
        <f t="shared" si="4"/>
        <v/>
      </c>
      <c r="AC7" s="317"/>
      <c r="AD7" s="322" t="str">
        <f t="shared" ref="AD7:AH8" si="5">CZ7</f>
        <v/>
      </c>
      <c r="AE7" s="322" t="str">
        <f t="shared" si="5"/>
        <v/>
      </c>
      <c r="AF7" s="322" t="str">
        <f t="shared" si="5"/>
        <v/>
      </c>
      <c r="AG7" s="322" t="str">
        <f t="shared" si="5"/>
        <v/>
      </c>
      <c r="AH7" s="322" t="str">
        <f t="shared" si="5"/>
        <v/>
      </c>
      <c r="AI7" s="322"/>
      <c r="AJ7" s="325" t="str">
        <f>DE7</f>
        <v/>
      </c>
      <c r="AK7" s="316"/>
      <c r="AL7" s="322" t="str">
        <f>DG7</f>
        <v/>
      </c>
      <c r="AM7" s="322" t="str">
        <f>DH7</f>
        <v/>
      </c>
      <c r="AN7" s="317"/>
      <c r="AO7" s="326" t="str">
        <f>DJ7</f>
        <v/>
      </c>
      <c r="AP7" s="326" t="str">
        <f>DK7</f>
        <v/>
      </c>
      <c r="AQ7" s="317"/>
      <c r="AR7" s="322" t="str">
        <f>DL7</f>
        <v/>
      </c>
      <c r="AS7" s="325" t="str">
        <f>DN7</f>
        <v/>
      </c>
      <c r="AT7" s="316"/>
      <c r="AU7" s="324" t="str">
        <f>DP7</f>
        <v/>
      </c>
      <c r="AV7" s="316"/>
      <c r="AW7" s="322">
        <f>DR7</f>
        <v>0</v>
      </c>
      <c r="AX7" s="322" t="str">
        <f>DT7</f>
        <v/>
      </c>
      <c r="AY7" s="322" t="str">
        <f>DS7</f>
        <v/>
      </c>
      <c r="AZ7" s="316"/>
      <c r="BA7" s="321" t="str">
        <f>DV7</f>
        <v/>
      </c>
      <c r="BB7" s="316"/>
      <c r="BC7" s="323" t="str">
        <f>DX7</f>
        <v/>
      </c>
      <c r="BD7" s="323" t="str">
        <f>IFERROR(VZ!AB9,"")</f>
        <v/>
      </c>
      <c r="BE7" s="322" t="str">
        <f t="shared" ref="BE7:BI8" si="6">DY7</f>
        <v/>
      </c>
      <c r="BF7" s="322" t="str">
        <f t="shared" si="6"/>
        <v/>
      </c>
      <c r="BG7" s="320" t="str">
        <f t="shared" si="6"/>
        <v/>
      </c>
      <c r="BH7" s="322" t="str">
        <f t="shared" si="6"/>
        <v/>
      </c>
      <c r="BI7" s="321">
        <f t="shared" ca="1" si="6"/>
        <v>0</v>
      </c>
      <c r="BJ7" s="316"/>
      <c r="BK7" s="320" t="str">
        <f t="shared" ref="BK7:BM8" si="7">EE7</f>
        <v/>
      </c>
      <c r="BL7" s="319" t="str">
        <f t="shared" si="7"/>
        <v/>
      </c>
      <c r="BM7" s="318" t="str">
        <f t="shared" si="7"/>
        <v/>
      </c>
      <c r="CA7" t="s">
        <v>1012</v>
      </c>
      <c r="CB7">
        <f>ELEMENT!R5</f>
        <v>0</v>
      </c>
      <c r="CC7" t="str">
        <f>IF(ELEMENT!AO5="","",(2-CB7-CF7))</f>
        <v/>
      </c>
      <c r="CD7">
        <f>ELEMENT!S5</f>
        <v>0</v>
      </c>
      <c r="CE7">
        <f>ELEMENT!T5</f>
        <v>0</v>
      </c>
      <c r="CF7" t="str">
        <f>IF(ELEMENT!AO5="","",IF(ELEMENT!P5="R",1,IF(ELEMENT!P5="L",1,IF(ELEMENT!P5=2,2,0))))</f>
        <v/>
      </c>
      <c r="CG7">
        <f>ELEMENT!AS5</f>
        <v>0</v>
      </c>
      <c r="CH7">
        <f>ELEMENT!AT5</f>
        <v>0</v>
      </c>
      <c r="CI7" t="str">
        <f>IF(ELEMENT!AO5="","",ELEMENT!AT5-(ELEMENT!L5*CJ$69+ELEMENT!M5*CK$69))</f>
        <v/>
      </c>
      <c r="CK7" t="str">
        <f>IF(ELEMENT!$AO5=1,
VLOOKUP($CA$3,$CF$55:$CQ$60,$CG$53,FALSE),"")</f>
        <v/>
      </c>
      <c r="CL7" t="str">
        <f>IF(ELEMENT!$AO5=1,VLOOKUP($CA$3,$CF$55:$CQ$60,$CH$53,FALSE),"")</f>
        <v/>
      </c>
      <c r="CM7" t="str">
        <f>IF(ELEMENT!$AO5=1,VLOOKUP($CA$3,$CF$55:$CQ$60,$CI$53,FALSE),"")</f>
        <v/>
      </c>
      <c r="CN7" t="str">
        <f>IF(ELEMENT!$AO5=1,VLOOKUP($CA$3,$CF$55:$CQ$60,$CJ$53,FALSE),"")</f>
        <v/>
      </c>
      <c r="CO7" t="str">
        <f>IF(ELEMENT!$AO5=1,VLOOKUP($CA$3,$CF$55:$CQ$60,$CK$53,FALSE),"")</f>
        <v/>
      </c>
      <c r="CP7" t="str">
        <f>IF(ELEMENT!$AO5=1,VLOOKUP($CA$3,$CF$55:$CQ$60,$CN$53,FALSE),"")</f>
        <v/>
      </c>
      <c r="CQ7" t="str">
        <f>IF(ELEMENT!$AO5=1,VLOOKUP($CA$3,$CF$55:$CQ$60,$CO$53,FALSE),"")</f>
        <v/>
      </c>
      <c r="CR7" t="str">
        <f>IF(ELEMENT!$AO5=1,VLOOKUP($CA$3,$CF$55:$CQ$60,$CP$53,FALSE),"")</f>
        <v/>
      </c>
      <c r="CS7" t="str">
        <f>IF(ELEMENT!$AO5=1,VLOOKUP($CA$3,$CF$55:$CQ$60,$CQ$53,FALSE),"")</f>
        <v/>
      </c>
      <c r="CU7" t="str">
        <f>IF(ELEMENT!AO5="","",CK7*CP7)</f>
        <v/>
      </c>
      <c r="CV7" t="str">
        <f>IF(ELEMENT!AO5="","",CL7*CQ7)</f>
        <v/>
      </c>
      <c r="CW7" t="str">
        <f>IF(ELEMENT!AO5="","",CM7*CR7)</f>
        <v/>
      </c>
      <c r="CX7" t="str">
        <f>IF(ELEMENT!AO5="","",CN7*CS7)</f>
        <v/>
      </c>
      <c r="CZ7" t="str">
        <f>IF(ELEMENT!AO5="","",CB7*CU7*CI7/10^6)</f>
        <v/>
      </c>
      <c r="DA7" t="str">
        <f>IF(ELEMENT!AO5="","",CC7*CV7*CI7/10^6)</f>
        <v/>
      </c>
      <c r="DB7" t="str">
        <f>IF(ELEMENT!AO5="","",CD7*CW7*CI7/10^6)</f>
        <v/>
      </c>
      <c r="DC7" t="str">
        <f>IF(ELEMENT!AO5="","",CE7*CX7*CI7/10^6)</f>
        <v/>
      </c>
      <c r="DD7" t="str">
        <f>IF(ELEMENT!AO5="","",CO7*CF7*CI7/10^3)</f>
        <v/>
      </c>
      <c r="DE7" t="str">
        <f>IF(ELEMENT!AO5="","",SUM(CZ7:DD7))</f>
        <v/>
      </c>
      <c r="DG7" t="str">
        <f>IF(ELEMENT!$AO5=1,
VLOOKUP($CA$3,$CF$55:$CQ$60,$CL$53,FALSE),"")</f>
        <v/>
      </c>
      <c r="DH7" t="str">
        <f>IF(ELEMENT!$AO5=1,
VLOOKUP($CA$3,$CF$55:$CQ$60,$CM$53,FALSE),"")</f>
        <v/>
      </c>
      <c r="DJ7" t="str">
        <f>IF(ELEMENT!AO5=1,
IF(ELEMENT!L5=0,
VLOOKUP($CA$3,$CF$55:$CS$60,$CS$53,FALSE),
VLOOKUP($CA$3,$CF$55:$CS$60,$CR$53,FALSE)),"")</f>
        <v/>
      </c>
      <c r="DK7" t="str">
        <f>IF(ELEMENT!AO5=1,
IF(ELEMENT!M5=0,
VLOOKUP($CA$3,$CF$55:$CS$60,$CR$53,FALSE),
VLOOKUP($CA$3,$CF$55:$CS$60,$CS$53,FALSE)),"")</f>
        <v/>
      </c>
      <c r="DL7" t="str">
        <f>IF(ELEMENT!AO5="","",DG7*DJ7+DH7*DK7)</f>
        <v/>
      </c>
      <c r="DN7" t="str">
        <f>IF(ELEMENT!AO5="","",DL7*CG7/10^6)</f>
        <v/>
      </c>
      <c r="DP7" t="str">
        <f>IF(ELEMENT!AO5="","",DE7+DN7)</f>
        <v/>
      </c>
      <c r="DR7">
        <f>CH7*CG7/10^6</f>
        <v>0</v>
      </c>
      <c r="DS7" t="str">
        <f>IF(ELEMENT!AO5="","",(CI7*(CB7*CP7+CC7*CQ7+CD7*CR7+CE7*CS7)+CG7*(DJ7+DK7))/10^6)</f>
        <v/>
      </c>
      <c r="DT7" t="str">
        <f>IF(ELEMENT!AO5="","",DR7-DS7)</f>
        <v/>
      </c>
      <c r="DV7" t="str">
        <f>IF(ELEMENT!AO5="","",DP7/DS7)</f>
        <v/>
      </c>
      <c r="DX7" t="str">
        <f>IF(ELEMENT!AO5="","",ELEMENT!DI165)</f>
        <v/>
      </c>
      <c r="DY7" t="str">
        <f>IF(ELEMENT!AO5="","",DV7*DS7)</f>
        <v/>
      </c>
      <c r="DZ7" t="str">
        <f>IF(ELEMENT!AO5="","",DX7*DT7)</f>
        <v/>
      </c>
      <c r="EA7" t="str">
        <f>IF(ELEMENT!AO5="","",$EA$3*((2*(CG7-CB7*CP7-CC7*CQ7-CD7*CR7-CE7*CS7)/1000)+2*(CI7/1000)))</f>
        <v/>
      </c>
      <c r="EB7" t="str">
        <f>IF(ELEMENT!AO5="","",$EA$3*((CI7/1000)*(2*(CD7+CE7)))+$EA$3*(2*CF7*CI7/1000))</f>
        <v/>
      </c>
      <c r="EC7">
        <f ca="1">IF(ELEMENT!FY5="",SUM(DY7:EB7),"")</f>
        <v>0</v>
      </c>
      <c r="EE7" t="str">
        <f>IF(ELEMENT!AO5="","",
IF(ELEMENT!FY5="",(EC7/DR7),""))</f>
        <v/>
      </c>
      <c r="EF7" t="str">
        <f>EE7</f>
        <v/>
      </c>
      <c r="EG7" t="str">
        <f>IF(ELEMENT!AO5="","",EC7*ELEMENT!C5)</f>
        <v/>
      </c>
    </row>
    <row r="8" spans="1:137" ht="21" customHeight="1" x14ac:dyDescent="0.2">
      <c r="A8" s="332">
        <f>ELEMENT!A6</f>
        <v>0</v>
      </c>
      <c r="B8" s="331">
        <f>ELEMENT!B6</f>
        <v>0</v>
      </c>
      <c r="C8" s="330">
        <f>ELEMENT!C6</f>
        <v>0</v>
      </c>
      <c r="D8" s="329">
        <f t="shared" si="0"/>
        <v>0</v>
      </c>
      <c r="E8" s="329">
        <f t="shared" si="0"/>
        <v>0</v>
      </c>
      <c r="F8" s="329" t="str">
        <f t="shared" si="0"/>
        <v/>
      </c>
      <c r="G8" s="317"/>
      <c r="H8" s="328">
        <f t="shared" si="1"/>
        <v>0</v>
      </c>
      <c r="I8" s="328" t="str">
        <f t="shared" si="1"/>
        <v/>
      </c>
      <c r="J8" s="328">
        <f t="shared" si="1"/>
        <v>0</v>
      </c>
      <c r="K8" s="328">
        <f t="shared" si="1"/>
        <v>0</v>
      </c>
      <c r="L8" s="327" t="str">
        <f t="shared" si="1"/>
        <v/>
      </c>
      <c r="M8" s="317"/>
      <c r="N8" s="322" t="str">
        <f t="shared" si="2"/>
        <v/>
      </c>
      <c r="O8" s="322" t="str">
        <f t="shared" si="2"/>
        <v/>
      </c>
      <c r="P8" s="322" t="str">
        <f t="shared" si="2"/>
        <v/>
      </c>
      <c r="Q8" s="322" t="str">
        <f t="shared" si="2"/>
        <v/>
      </c>
      <c r="R8" s="322" t="str">
        <f t="shared" si="2"/>
        <v/>
      </c>
      <c r="S8" s="317"/>
      <c r="T8" s="315" t="str">
        <f t="shared" si="3"/>
        <v/>
      </c>
      <c r="U8" s="315" t="str">
        <f t="shared" si="3"/>
        <v/>
      </c>
      <c r="V8" s="315" t="str">
        <f t="shared" si="3"/>
        <v/>
      </c>
      <c r="W8" s="315" t="str">
        <f t="shared" si="3"/>
        <v/>
      </c>
      <c r="X8" s="317"/>
      <c r="Y8" s="327" t="str">
        <f t="shared" si="4"/>
        <v/>
      </c>
      <c r="Z8" s="327" t="str">
        <f t="shared" si="4"/>
        <v/>
      </c>
      <c r="AA8" s="327" t="str">
        <f t="shared" si="4"/>
        <v/>
      </c>
      <c r="AB8" s="327" t="str">
        <f t="shared" si="4"/>
        <v/>
      </c>
      <c r="AC8" s="317"/>
      <c r="AD8" s="322" t="str">
        <f t="shared" si="5"/>
        <v/>
      </c>
      <c r="AE8" s="322" t="str">
        <f t="shared" si="5"/>
        <v/>
      </c>
      <c r="AF8" s="322" t="str">
        <f t="shared" si="5"/>
        <v/>
      </c>
      <c r="AG8" s="322" t="str">
        <f t="shared" si="5"/>
        <v/>
      </c>
      <c r="AH8" s="322" t="str">
        <f t="shared" si="5"/>
        <v/>
      </c>
      <c r="AI8" s="322"/>
      <c r="AJ8" s="325" t="str">
        <f>DE8</f>
        <v/>
      </c>
      <c r="AK8" s="316"/>
      <c r="AL8" s="322" t="str">
        <f>DG8</f>
        <v/>
      </c>
      <c r="AM8" s="322" t="str">
        <f>DH8</f>
        <v/>
      </c>
      <c r="AN8" s="317"/>
      <c r="AO8" s="326" t="str">
        <f>DJ8</f>
        <v/>
      </c>
      <c r="AP8" s="326" t="str">
        <f>DK8</f>
        <v/>
      </c>
      <c r="AQ8" s="317"/>
      <c r="AR8" s="322" t="str">
        <f>DL8</f>
        <v/>
      </c>
      <c r="AS8" s="325" t="str">
        <f>DN8</f>
        <v/>
      </c>
      <c r="AT8" s="316"/>
      <c r="AU8" s="324" t="str">
        <f>DP8</f>
        <v/>
      </c>
      <c r="AV8" s="316"/>
      <c r="AW8" s="322">
        <f>DR8</f>
        <v>0</v>
      </c>
      <c r="AX8" s="322" t="str">
        <f>DT8</f>
        <v/>
      </c>
      <c r="AY8" s="322" t="str">
        <f>DS8</f>
        <v/>
      </c>
      <c r="AZ8" s="316"/>
      <c r="BA8" s="321" t="str">
        <f>DV8</f>
        <v/>
      </c>
      <c r="BB8" s="316"/>
      <c r="BC8" s="323" t="str">
        <f>DX8</f>
        <v/>
      </c>
      <c r="BD8" s="323" t="str">
        <f>IFERROR(VZ!AB10,"")</f>
        <v/>
      </c>
      <c r="BE8" s="322" t="str">
        <f t="shared" si="6"/>
        <v/>
      </c>
      <c r="BF8" s="322" t="str">
        <f t="shared" si="6"/>
        <v/>
      </c>
      <c r="BG8" s="320" t="str">
        <f t="shared" si="6"/>
        <v/>
      </c>
      <c r="BH8" s="322" t="str">
        <f t="shared" si="6"/>
        <v/>
      </c>
      <c r="BI8" s="321">
        <f t="shared" ca="1" si="6"/>
        <v>0</v>
      </c>
      <c r="BJ8" s="316"/>
      <c r="BK8" s="320" t="str">
        <f t="shared" si="7"/>
        <v/>
      </c>
      <c r="BL8" s="319" t="str">
        <f t="shared" si="7"/>
        <v/>
      </c>
      <c r="BM8" s="318" t="str">
        <f t="shared" si="7"/>
        <v/>
      </c>
      <c r="CB8">
        <f>ELEMENT!R6</f>
        <v>0</v>
      </c>
      <c r="CC8" t="str">
        <f>IF(ELEMENT!AO6="","",(2-CB8-CF8))</f>
        <v/>
      </c>
      <c r="CD8">
        <f>ELEMENT!S6</f>
        <v>0</v>
      </c>
      <c r="CE8">
        <f>ELEMENT!T6</f>
        <v>0</v>
      </c>
      <c r="CF8" t="str">
        <f>IF(ELEMENT!AO6="","",IF(ELEMENT!P6="R",1,IF(ELEMENT!P6="L",1,IF(ELEMENT!P6=2,2,0))))</f>
        <v/>
      </c>
      <c r="CG8">
        <f>ELEMENT!AS6</f>
        <v>0</v>
      </c>
      <c r="CH8">
        <f>ELEMENT!AT6</f>
        <v>0</v>
      </c>
      <c r="CI8" t="str">
        <f>IF(ELEMENT!AO6="","",ELEMENT!AT6-(ELEMENT!L6*CJ$69+ELEMENT!M6*CK$69))</f>
        <v/>
      </c>
      <c r="CK8" t="str">
        <f>IF(ELEMENT!$AO6=1,VLOOKUP($CA$3,$CF$55:$CQ$60,$CG$53,FALSE),"")</f>
        <v/>
      </c>
      <c r="CL8" t="str">
        <f>IF(ELEMENT!$AO6=1,VLOOKUP($CA$3,$CF$55:$CQ$60,$CH$53,FALSE),"")</f>
        <v/>
      </c>
      <c r="CM8" t="str">
        <f>IF(ELEMENT!$AO6=1,VLOOKUP($CA$3,$CF$55:$CQ$60,$CI$53,FALSE),"")</f>
        <v/>
      </c>
      <c r="CN8" t="str">
        <f>IF(ELEMENT!$AO6=1,VLOOKUP($CA$3,$CF$55:$CQ$60,$CJ$53,FALSE),"")</f>
        <v/>
      </c>
      <c r="CO8" t="str">
        <f>IF(ELEMENT!$AO6=1,VLOOKUP($CA$3,$CF$55:$CQ$60,$CK$53,FALSE),"")</f>
        <v/>
      </c>
      <c r="CP8" t="str">
        <f>IF(ELEMENT!$AO6=1,VLOOKUP($CA$3,$CF$55:$CQ$60,$CN$53,FALSE),"")</f>
        <v/>
      </c>
      <c r="CQ8" t="str">
        <f>IF(ELEMENT!$AO6=1,VLOOKUP($CA$3,$CF$55:$CQ$60,$CO$53,FALSE),"")</f>
        <v/>
      </c>
      <c r="CR8" t="str">
        <f>IF(ELEMENT!$AO6=1,VLOOKUP($CA$3,$CF$55:$CQ$60,$CP$53,FALSE),"")</f>
        <v/>
      </c>
      <c r="CS8" t="str">
        <f>IF(ELEMENT!$AO6=1,VLOOKUP($CA$3,$CF$55:$CQ$60,$CQ$53,FALSE),"")</f>
        <v/>
      </c>
      <c r="CU8" t="str">
        <f>IF(ELEMENT!AO6="","",CK8*CP8)</f>
        <v/>
      </c>
      <c r="CV8" t="str">
        <f>IF(ELEMENT!AO6="","",CL8*CQ8)</f>
        <v/>
      </c>
      <c r="CW8" t="str">
        <f>IF(ELEMENT!AO6="","",CM8*CR8)</f>
        <v/>
      </c>
      <c r="CX8" t="str">
        <f>IF(ELEMENT!AO6="","",CN8*CS8)</f>
        <v/>
      </c>
      <c r="CZ8" t="str">
        <f>IF(ELEMENT!AO6="","",CB8*CU8*CI8/10^6)</f>
        <v/>
      </c>
      <c r="DA8" t="str">
        <f>IF(ELEMENT!AO6="","",CC8*CV8*CI8/10^6)</f>
        <v/>
      </c>
      <c r="DB8" t="str">
        <f>IF(ELEMENT!AO6="","",CD8*CW8*CI8/10^6)</f>
        <v/>
      </c>
      <c r="DC8" t="str">
        <f>IF(ELEMENT!AO6="","",CE8*CX8*CI8/10^6)</f>
        <v/>
      </c>
      <c r="DD8" t="str">
        <f>IF(ELEMENT!AO6="","",CO8*CF8*CI8/10^3)</f>
        <v/>
      </c>
      <c r="DE8" t="str">
        <f>IF(ELEMENT!AO6="","",SUM(CZ8:DD8))</f>
        <v/>
      </c>
      <c r="DG8" t="str">
        <f>IF(ELEMENT!$AO6=1,
VLOOKUP($CA$3,$CF$55:$CQ$60,$CL$53,FALSE),"")</f>
        <v/>
      </c>
      <c r="DH8" t="str">
        <f>IF(ELEMENT!$AO6=1,
VLOOKUP($CA$3,$CF$55:$CQ$60,$CM$53,FALSE),"")</f>
        <v/>
      </c>
      <c r="DJ8" t="str">
        <f>IF(ELEMENT!AO6=1,
IF(ELEMENT!L6=0,
VLOOKUP($CA$3,$CF$55:$CS$60,$CS$53,FALSE),
VLOOKUP($CA$3,$CF$55:$CS$60,$CR$53,FALSE)),"")</f>
        <v/>
      </c>
      <c r="DK8" t="str">
        <f>IF(ELEMENT!AO6=1,
IF(ELEMENT!M6=0,
VLOOKUP($CA$3,$CF$55:$CS$60,$CR$53,FALSE),
VLOOKUP($CA$3,$CF$55:$CS$60,$CS$53,FALSE)),"")</f>
        <v/>
      </c>
      <c r="DL8" t="str">
        <f>IF(ELEMENT!AO6="","",DG8*DJ8+DH8*DK8)</f>
        <v/>
      </c>
      <c r="DN8" t="str">
        <f>IF(ELEMENT!AO6="","",DL8*CG8/10^6)</f>
        <v/>
      </c>
      <c r="DP8" t="str">
        <f>IF(ELEMENT!AO6="","",DE8+DN8)</f>
        <v/>
      </c>
      <c r="DR8">
        <f>CH8*CG8/10^6</f>
        <v>0</v>
      </c>
      <c r="DS8" t="str">
        <f>IF(ELEMENT!AO6="","",(CI8*(CB8*CP8+CC8*CQ8+CD8*CR8+CE8*CS8)+CG8*(DJ8+DK8))/10^6)</f>
        <v/>
      </c>
      <c r="DT8" t="str">
        <f>IF(ELEMENT!AO6="","",DR8-DS8)</f>
        <v/>
      </c>
      <c r="DV8" t="str">
        <f>IF(ELEMENT!AO6="","",DP8/DS8)</f>
        <v/>
      </c>
      <c r="DX8" t="str">
        <f>IF(ELEMENT!AO6="","",ELEMENT!DI166)</f>
        <v/>
      </c>
      <c r="DY8" t="str">
        <f>IF(ELEMENT!AO6="","",DV8*DS8)</f>
        <v/>
      </c>
      <c r="DZ8" t="str">
        <f>IF(ELEMENT!AO6="","",DX8*DT8)</f>
        <v/>
      </c>
      <c r="EA8" t="str">
        <f>IF(ELEMENT!AO6="","",$EA$3*((2*(CG8-CB8*CP8-CC8*CQ8-CD8*CR8-CE8*CS8)/1000)+2*(CI8/1000)))</f>
        <v/>
      </c>
      <c r="EB8" t="str">
        <f>IF(ELEMENT!AO6="","",$EA$3*((CI8/1000)*(2*(CD8+CE8)))+$EA$3*(2*CF8*CI8/1000))</f>
        <v/>
      </c>
      <c r="EC8">
        <f ca="1">IF(ELEMENT!FY6="",SUM(DY8:EB8),"")</f>
        <v>0</v>
      </c>
      <c r="EE8" t="str">
        <f>IF(ELEMENT!AO6="","",
IF(ELEMENT!FY6="",(EC8/DR8),""))</f>
        <v/>
      </c>
      <c r="EF8" t="str">
        <f>EE8</f>
        <v/>
      </c>
      <c r="EG8" t="str">
        <f>IF(ELEMENT!AO6="","",EC8*ELEMENT!C6)</f>
        <v/>
      </c>
    </row>
    <row r="9" spans="1:137" ht="21" customHeight="1" x14ac:dyDescent="0.2">
      <c r="A9" s="332">
        <f>ELEMENT!A7</f>
        <v>0</v>
      </c>
      <c r="B9" s="331">
        <f>ELEMENT!B7</f>
        <v>0</v>
      </c>
      <c r="C9" s="330">
        <f>ELEMENT!C7</f>
        <v>0</v>
      </c>
      <c r="D9" s="329">
        <f t="shared" ref="D9:D47" si="8">CG9</f>
        <v>0</v>
      </c>
      <c r="E9" s="329">
        <f t="shared" ref="E9:E47" si="9">CH9</f>
        <v>0</v>
      </c>
      <c r="F9" s="329" t="str">
        <f t="shared" ref="F9:F47" si="10">CI9</f>
        <v/>
      </c>
      <c r="G9" s="317"/>
      <c r="H9" s="328">
        <f t="shared" ref="H9:H47" si="11">CB9</f>
        <v>0</v>
      </c>
      <c r="I9" s="328" t="str">
        <f t="shared" ref="I9:I47" si="12">CC9</f>
        <v/>
      </c>
      <c r="J9" s="328">
        <f t="shared" ref="J9:J47" si="13">CD9</f>
        <v>0</v>
      </c>
      <c r="K9" s="328">
        <f t="shared" ref="K9:K47" si="14">CE9</f>
        <v>0</v>
      </c>
      <c r="L9" s="327" t="str">
        <f t="shared" ref="L9:L47" si="15">CF9</f>
        <v/>
      </c>
      <c r="M9" s="317"/>
      <c r="N9" s="322" t="str">
        <f t="shared" ref="N9:N47" si="16">CK9</f>
        <v/>
      </c>
      <c r="O9" s="322" t="str">
        <f t="shared" ref="O9:O47" si="17">CL9</f>
        <v/>
      </c>
      <c r="P9" s="322" t="str">
        <f t="shared" ref="P9:P47" si="18">CM9</f>
        <v/>
      </c>
      <c r="Q9" s="322" t="str">
        <f t="shared" ref="Q9:Q47" si="19">CN9</f>
        <v/>
      </c>
      <c r="R9" s="322" t="str">
        <f t="shared" ref="R9:R47" si="20">CO9</f>
        <v/>
      </c>
      <c r="S9" s="317"/>
      <c r="T9" s="315" t="str">
        <f t="shared" ref="T9:T47" si="21">CP9</f>
        <v/>
      </c>
      <c r="U9" s="315" t="str">
        <f t="shared" ref="U9:U47" si="22">CQ9</f>
        <v/>
      </c>
      <c r="V9" s="315" t="str">
        <f t="shared" ref="V9:V47" si="23">CR9</f>
        <v/>
      </c>
      <c r="W9" s="315" t="str">
        <f t="shared" ref="W9:W47" si="24">CS9</f>
        <v/>
      </c>
      <c r="X9" s="317"/>
      <c r="Y9" s="327" t="str">
        <f t="shared" ref="Y9:Y47" si="25">CU9</f>
        <v/>
      </c>
      <c r="Z9" s="327" t="str">
        <f t="shared" ref="Z9:Z47" si="26">CV9</f>
        <v/>
      </c>
      <c r="AA9" s="327" t="str">
        <f t="shared" ref="AA9:AA47" si="27">CW9</f>
        <v/>
      </c>
      <c r="AB9" s="327" t="str">
        <f t="shared" ref="AB9:AB47" si="28">CX9</f>
        <v/>
      </c>
      <c r="AC9" s="317"/>
      <c r="AD9" s="322" t="str">
        <f t="shared" ref="AD9:AD47" si="29">CZ9</f>
        <v/>
      </c>
      <c r="AE9" s="322" t="str">
        <f t="shared" ref="AE9:AE47" si="30">DA9</f>
        <v/>
      </c>
      <c r="AF9" s="322" t="str">
        <f t="shared" ref="AF9:AF47" si="31">DB9</f>
        <v/>
      </c>
      <c r="AG9" s="322" t="str">
        <f t="shared" ref="AG9:AG47" si="32">DC9</f>
        <v/>
      </c>
      <c r="AH9" s="322" t="str">
        <f t="shared" ref="AH9:AH47" si="33">DD9</f>
        <v/>
      </c>
      <c r="AI9" s="322"/>
      <c r="AJ9" s="325" t="str">
        <f t="shared" ref="AJ9:AJ47" si="34">DE9</f>
        <v/>
      </c>
      <c r="AK9" s="316"/>
      <c r="AL9" s="322" t="str">
        <f t="shared" ref="AL9:AL47" si="35">DG9</f>
        <v/>
      </c>
      <c r="AM9" s="322" t="str">
        <f t="shared" ref="AM9:AM47" si="36">DH9</f>
        <v/>
      </c>
      <c r="AN9" s="317"/>
      <c r="AO9" s="326" t="str">
        <f t="shared" ref="AO9:AO47" si="37">DJ9</f>
        <v/>
      </c>
      <c r="AP9" s="326" t="str">
        <f t="shared" ref="AP9:AP47" si="38">DK9</f>
        <v/>
      </c>
      <c r="AQ9" s="317"/>
      <c r="AR9" s="322" t="str">
        <f t="shared" ref="AR9:AR47" si="39">DL9</f>
        <v/>
      </c>
      <c r="AS9" s="325" t="str">
        <f t="shared" ref="AS9:AS47" si="40">DN9</f>
        <v/>
      </c>
      <c r="AT9" s="316"/>
      <c r="AU9" s="324" t="str">
        <f t="shared" ref="AU9:AU47" si="41">DP9</f>
        <v/>
      </c>
      <c r="AV9" s="316"/>
      <c r="AW9" s="322">
        <f t="shared" ref="AW9:AW47" si="42">DR9</f>
        <v>0</v>
      </c>
      <c r="AX9" s="322" t="str">
        <f t="shared" ref="AX9:AX47" si="43">DT9</f>
        <v/>
      </c>
      <c r="AY9" s="322" t="str">
        <f t="shared" ref="AY9:AY47" si="44">DS9</f>
        <v/>
      </c>
      <c r="AZ9" s="316"/>
      <c r="BA9" s="321" t="str">
        <f t="shared" ref="BA9:BA47" si="45">DV9</f>
        <v/>
      </c>
      <c r="BB9" s="316"/>
      <c r="BC9" s="323" t="str">
        <f t="shared" ref="BC9:BC47" si="46">DX9</f>
        <v/>
      </c>
      <c r="BD9" s="323" t="str">
        <f>IFERROR(VZ!AB11,"")</f>
        <v/>
      </c>
      <c r="BE9" s="322" t="str">
        <f t="shared" ref="BE9:BE47" si="47">DY9</f>
        <v/>
      </c>
      <c r="BF9" s="322" t="str">
        <f t="shared" ref="BF9:BF47" si="48">DZ9</f>
        <v/>
      </c>
      <c r="BG9" s="320" t="str">
        <f t="shared" ref="BG9:BG47" si="49">EA9</f>
        <v/>
      </c>
      <c r="BH9" s="322" t="str">
        <f t="shared" ref="BH9:BH47" si="50">EB9</f>
        <v/>
      </c>
      <c r="BI9" s="321">
        <f t="shared" ref="BI9:BI47" ca="1" si="51">EC9</f>
        <v>0</v>
      </c>
      <c r="BJ9" s="316"/>
      <c r="BK9" s="320" t="str">
        <f t="shared" ref="BK9:BK47" si="52">EE9</f>
        <v/>
      </c>
      <c r="BL9" s="319" t="str">
        <f t="shared" ref="BL9:BL47" si="53">EF9</f>
        <v/>
      </c>
      <c r="BM9" s="318" t="str">
        <f t="shared" ref="BM9:BM47" si="54">EG9</f>
        <v/>
      </c>
      <c r="CA9" t="s">
        <v>1011</v>
      </c>
      <c r="CB9">
        <f>ELEMENT!R7</f>
        <v>0</v>
      </c>
      <c r="CC9" t="str">
        <f>IF(ELEMENT!AO7="","",(2-CB9-CF9))</f>
        <v/>
      </c>
      <c r="CD9">
        <f>ELEMENT!S7</f>
        <v>0</v>
      </c>
      <c r="CE9">
        <f>ELEMENT!T7</f>
        <v>0</v>
      </c>
      <c r="CF9" t="str">
        <f>IF(ELEMENT!AO7="","",IF(ELEMENT!P7="R",1,IF(ELEMENT!P7="L",1,IF(ELEMENT!P7=2,2,0))))</f>
        <v/>
      </c>
      <c r="CG9">
        <f>ELEMENT!AS7</f>
        <v>0</v>
      </c>
      <c r="CH9">
        <f>ELEMENT!AT7</f>
        <v>0</v>
      </c>
      <c r="CI9" t="str">
        <f>IF(ELEMENT!AO7="","",ELEMENT!AT7-(ELEMENT!L7*CJ$69+ELEMENT!M7*CK$69))</f>
        <v/>
      </c>
      <c r="CK9" t="str">
        <f>IF(ELEMENT!$AO7=1,VLOOKUP($CA$3,$CF$55:$CQ$60,$CG$53,FALSE),"")</f>
        <v/>
      </c>
      <c r="CL9" t="str">
        <f>IF(ELEMENT!$AO7=1,VLOOKUP($CA$3,$CF$55:$CQ$60,$CH$53,FALSE),"")</f>
        <v/>
      </c>
      <c r="CM9" t="str">
        <f>IF(ELEMENT!$AO7=1,VLOOKUP($CA$3,$CF$55:$CQ$60,$CI$53,FALSE),"")</f>
        <v/>
      </c>
      <c r="CN9" t="str">
        <f>IF(ELEMENT!$AO7=1,VLOOKUP($CA$3,$CF$55:$CQ$60,$CJ$53,FALSE),"")</f>
        <v/>
      </c>
      <c r="CO9" t="str">
        <f>IF(ELEMENT!$AO7=1,VLOOKUP($CA$3,$CF$55:$CQ$60,$CK$53,FALSE),"")</f>
        <v/>
      </c>
      <c r="CP9" t="str">
        <f>IF(ELEMENT!$AO7=1,VLOOKUP($CA$3,$CF$55:$CQ$60,$CN$53,FALSE),"")</f>
        <v/>
      </c>
      <c r="CQ9" t="str">
        <f>IF(ELEMENT!$AO7=1,VLOOKUP($CA$3,$CF$55:$CQ$60,$CO$53,FALSE),"")</f>
        <v/>
      </c>
      <c r="CR9" t="str">
        <f>IF(ELEMENT!$AO7=1,VLOOKUP($CA$3,$CF$55:$CQ$60,$CP$53,FALSE),"")</f>
        <v/>
      </c>
      <c r="CS9" t="str">
        <f>IF(ELEMENT!$AO7=1,VLOOKUP($CA$3,$CF$55:$CQ$60,$CQ$53,FALSE),"")</f>
        <v/>
      </c>
      <c r="CU9" t="str">
        <f>IF(ELEMENT!AO7="","",CK9*CP9)</f>
        <v/>
      </c>
      <c r="CV9" t="str">
        <f>IF(ELEMENT!AO7="","",CL9*CQ9)</f>
        <v/>
      </c>
      <c r="CW9" t="str">
        <f>IF(ELEMENT!AO7="","",CM9*CR9)</f>
        <v/>
      </c>
      <c r="CX9" t="str">
        <f>IF(ELEMENT!AO7="","",CN9*CS9)</f>
        <v/>
      </c>
      <c r="CZ9" t="str">
        <f>IF(ELEMENT!AO7="","",CB9*CU9*CI9/10^6)</f>
        <v/>
      </c>
      <c r="DA9" t="str">
        <f>IF(ELEMENT!AO7="","",CC9*CV9*CI9/10^6)</f>
        <v/>
      </c>
      <c r="DB9" t="str">
        <f>IF(ELEMENT!AO7="","",CD9*CW9*CI9/10^6)</f>
        <v/>
      </c>
      <c r="DC9" t="str">
        <f>IF(ELEMENT!AO7="","",CE9*CX9*CI9/10^6)</f>
        <v/>
      </c>
      <c r="DD9" t="str">
        <f>IF(ELEMENT!AO7="","",CO9*CF9*CI9/10^3)</f>
        <v/>
      </c>
      <c r="DE9" t="str">
        <f>IF(ELEMENT!AO7="","",SUM(CZ9:DD9))</f>
        <v/>
      </c>
      <c r="DG9" t="str">
        <f>IF(ELEMENT!$AO7=1,
VLOOKUP($CA$3,$CF$55:$CQ$60,$CL$53,FALSE),"")</f>
        <v/>
      </c>
      <c r="DH9" t="str">
        <f>IF(ELEMENT!$AO7=1,
VLOOKUP($CA$3,$CF$55:$CQ$60,$CM$53,FALSE),"")</f>
        <v/>
      </c>
      <c r="DJ9" t="str">
        <f>IF(ELEMENT!AO7=1,
IF(ELEMENT!L7=0,
VLOOKUP($CA$3,$CF$55:$CS$60,$CS$53,FALSE),
VLOOKUP($CA$3,$CF$55:$CS$60,$CR$53,FALSE)),"")</f>
        <v/>
      </c>
      <c r="DK9" t="str">
        <f>IF(ELEMENT!AO7=1,
IF(ELEMENT!M7=0,
VLOOKUP($CA$3,$CF$55:$CS$60,$CR$53,FALSE),
VLOOKUP($CA$3,$CF$55:$CS$60,$CS$53,FALSE)),"")</f>
        <v/>
      </c>
      <c r="DL9" t="str">
        <f>IF(ELEMENT!AO7="","",DG9*DJ9+DH9*DK9)</f>
        <v/>
      </c>
      <c r="DN9" t="str">
        <f>IF(ELEMENT!AO7="","",DL9*CG9/10^6)</f>
        <v/>
      </c>
      <c r="DP9" t="str">
        <f>IF(ELEMENT!AO7="","",DE9+DN9)</f>
        <v/>
      </c>
      <c r="DR9">
        <f t="shared" ref="DR9:DR47" si="55">CH9*CG9/10^6</f>
        <v>0</v>
      </c>
      <c r="DS9" t="str">
        <f>IF(ELEMENT!AO7="","",(CI9*(CB9*CP9+CC9*CQ9+CD9*CR9+CE9*CS9)+CG9*(DJ9+DK9))/10^6)</f>
        <v/>
      </c>
      <c r="DT9" t="str">
        <f>IF(ELEMENT!AO7="","",DR9-DS9)</f>
        <v/>
      </c>
      <c r="DV9" t="str">
        <f>IF(ELEMENT!AO7="","",DP9/DS9)</f>
        <v/>
      </c>
      <c r="DX9" t="str">
        <f>IF(ELEMENT!AO7="","",ELEMENT!DI167)</f>
        <v/>
      </c>
      <c r="DY9" t="str">
        <f>IF(ELEMENT!AO7="","",DV9*DS9)</f>
        <v/>
      </c>
      <c r="DZ9" t="str">
        <f>IF(ELEMENT!AO7="","",DX9*DT9)</f>
        <v/>
      </c>
      <c r="EA9" t="str">
        <f>IF(ELEMENT!AO7="","",$EA$3*((2*(CG9-CB9*CP9-CC9*CQ9-CD9*CR9-CE9*CS9)/1000)+2*(CI9/1000)))</f>
        <v/>
      </c>
      <c r="EB9" t="str">
        <f>IF(ELEMENT!AO7="","",$EA$3*((CI9/1000)*(2*(CD9+CE9)))+$EA$3*(2*CF9*CI9/1000))</f>
        <v/>
      </c>
      <c r="EC9">
        <f ca="1">IF(ELEMENT!FY7="",SUM(DY9:EB9),"")</f>
        <v>0</v>
      </c>
      <c r="EE9" t="str">
        <f>IF(ELEMENT!AO7="","",
IF(ELEMENT!FY7="",(EC9/DR9),""))</f>
        <v/>
      </c>
      <c r="EF9" t="str">
        <f t="shared" ref="EF9:EF47" si="56">EE9</f>
        <v/>
      </c>
      <c r="EG9" t="str">
        <f>IF(ELEMENT!AO7="","",EC9*ELEMENT!C7)</f>
        <v/>
      </c>
    </row>
    <row r="10" spans="1:137" ht="21" customHeight="1" x14ac:dyDescent="0.2">
      <c r="A10" s="332">
        <f>ELEMENT!A8</f>
        <v>0</v>
      </c>
      <c r="B10" s="331">
        <f>ELEMENT!B8</f>
        <v>0</v>
      </c>
      <c r="C10" s="330">
        <f>ELEMENT!C8</f>
        <v>0</v>
      </c>
      <c r="D10" s="329">
        <f t="shared" si="8"/>
        <v>0</v>
      </c>
      <c r="E10" s="329">
        <f t="shared" si="9"/>
        <v>0</v>
      </c>
      <c r="F10" s="329" t="str">
        <f t="shared" si="10"/>
        <v/>
      </c>
      <c r="G10" s="317"/>
      <c r="H10" s="328">
        <f t="shared" si="11"/>
        <v>0</v>
      </c>
      <c r="I10" s="328" t="str">
        <f t="shared" si="12"/>
        <v/>
      </c>
      <c r="J10" s="328">
        <f t="shared" si="13"/>
        <v>0</v>
      </c>
      <c r="K10" s="328">
        <f t="shared" si="14"/>
        <v>0</v>
      </c>
      <c r="L10" s="327" t="str">
        <f t="shared" si="15"/>
        <v/>
      </c>
      <c r="M10" s="317"/>
      <c r="N10" s="322" t="str">
        <f t="shared" si="16"/>
        <v/>
      </c>
      <c r="O10" s="322" t="str">
        <f t="shared" si="17"/>
        <v/>
      </c>
      <c r="P10" s="322" t="str">
        <f t="shared" si="18"/>
        <v/>
      </c>
      <c r="Q10" s="322" t="str">
        <f t="shared" si="19"/>
        <v/>
      </c>
      <c r="R10" s="322" t="str">
        <f t="shared" si="20"/>
        <v/>
      </c>
      <c r="S10" s="317"/>
      <c r="T10" s="315" t="str">
        <f t="shared" si="21"/>
        <v/>
      </c>
      <c r="U10" s="315" t="str">
        <f t="shared" si="22"/>
        <v/>
      </c>
      <c r="V10" s="315" t="str">
        <f t="shared" si="23"/>
        <v/>
      </c>
      <c r="W10" s="315" t="str">
        <f t="shared" si="24"/>
        <v/>
      </c>
      <c r="X10" s="317"/>
      <c r="Y10" s="327" t="str">
        <f t="shared" si="25"/>
        <v/>
      </c>
      <c r="Z10" s="327" t="str">
        <f t="shared" si="26"/>
        <v/>
      </c>
      <c r="AA10" s="327" t="str">
        <f t="shared" si="27"/>
        <v/>
      </c>
      <c r="AB10" s="327" t="str">
        <f t="shared" si="28"/>
        <v/>
      </c>
      <c r="AC10" s="317"/>
      <c r="AD10" s="322" t="str">
        <f t="shared" si="29"/>
        <v/>
      </c>
      <c r="AE10" s="322" t="str">
        <f t="shared" si="30"/>
        <v/>
      </c>
      <c r="AF10" s="322" t="str">
        <f t="shared" si="31"/>
        <v/>
      </c>
      <c r="AG10" s="322" t="str">
        <f t="shared" si="32"/>
        <v/>
      </c>
      <c r="AH10" s="322" t="str">
        <f t="shared" si="33"/>
        <v/>
      </c>
      <c r="AI10" s="322"/>
      <c r="AJ10" s="325" t="str">
        <f t="shared" si="34"/>
        <v/>
      </c>
      <c r="AK10" s="316"/>
      <c r="AL10" s="322" t="str">
        <f t="shared" si="35"/>
        <v/>
      </c>
      <c r="AM10" s="322" t="str">
        <f t="shared" si="36"/>
        <v/>
      </c>
      <c r="AN10" s="317"/>
      <c r="AO10" s="326" t="str">
        <f t="shared" si="37"/>
        <v/>
      </c>
      <c r="AP10" s="326" t="str">
        <f t="shared" si="38"/>
        <v/>
      </c>
      <c r="AQ10" s="317"/>
      <c r="AR10" s="322" t="str">
        <f t="shared" si="39"/>
        <v/>
      </c>
      <c r="AS10" s="325" t="str">
        <f t="shared" si="40"/>
        <v/>
      </c>
      <c r="AT10" s="316"/>
      <c r="AU10" s="324" t="str">
        <f t="shared" si="41"/>
        <v/>
      </c>
      <c r="AV10" s="316"/>
      <c r="AW10" s="322">
        <f t="shared" si="42"/>
        <v>0</v>
      </c>
      <c r="AX10" s="322" t="str">
        <f t="shared" si="43"/>
        <v/>
      </c>
      <c r="AY10" s="322" t="str">
        <f t="shared" si="44"/>
        <v/>
      </c>
      <c r="AZ10" s="316"/>
      <c r="BA10" s="321" t="str">
        <f t="shared" si="45"/>
        <v/>
      </c>
      <c r="BB10" s="316"/>
      <c r="BC10" s="323" t="str">
        <f t="shared" si="46"/>
        <v/>
      </c>
      <c r="BD10" s="323" t="str">
        <f>IFERROR(VZ!AB12,"")</f>
        <v/>
      </c>
      <c r="BE10" s="322" t="str">
        <f t="shared" si="47"/>
        <v/>
      </c>
      <c r="BF10" s="322" t="str">
        <f t="shared" si="48"/>
        <v/>
      </c>
      <c r="BG10" s="320" t="str">
        <f t="shared" si="49"/>
        <v/>
      </c>
      <c r="BH10" s="322" t="str">
        <f t="shared" si="50"/>
        <v/>
      </c>
      <c r="BI10" s="321">
        <f t="shared" ca="1" si="51"/>
        <v>0</v>
      </c>
      <c r="BJ10" s="316"/>
      <c r="BK10" s="320" t="str">
        <f t="shared" si="52"/>
        <v/>
      </c>
      <c r="BL10" s="319" t="str">
        <f t="shared" si="53"/>
        <v/>
      </c>
      <c r="BM10" s="318" t="str">
        <f t="shared" si="54"/>
        <v/>
      </c>
      <c r="CA10" t="s">
        <v>1011</v>
      </c>
      <c r="CB10">
        <f>ELEMENT!R8</f>
        <v>0</v>
      </c>
      <c r="CC10" t="str">
        <f>IF(ELEMENT!AO8="","",(2-CB10-CF10))</f>
        <v/>
      </c>
      <c r="CD10">
        <f>ELEMENT!S8</f>
        <v>0</v>
      </c>
      <c r="CE10">
        <f>ELEMENT!T8</f>
        <v>0</v>
      </c>
      <c r="CF10" t="str">
        <f>IF(ELEMENT!AO8="","",IF(ELEMENT!P8="R",1,IF(ELEMENT!P8="L",1,IF(ELEMENT!P8=2,2,0))))</f>
        <v/>
      </c>
      <c r="CG10">
        <f>ELEMENT!AS8</f>
        <v>0</v>
      </c>
      <c r="CH10">
        <f>ELEMENT!AT8</f>
        <v>0</v>
      </c>
      <c r="CI10" t="str">
        <f>IF(ELEMENT!AO8="","",ELEMENT!AT8-(ELEMENT!L8*CJ$69+ELEMENT!M8*CK$69))</f>
        <v/>
      </c>
      <c r="CK10" t="str">
        <f>IF(ELEMENT!$AO8=1,VLOOKUP($CA$3,$CF$55:$CQ$60,$CG$53,FALSE),"")</f>
        <v/>
      </c>
      <c r="CL10" t="str">
        <f>IF(ELEMENT!$AO8=1,VLOOKUP($CA$3,$CF$55:$CQ$60,$CH$53,FALSE),"")</f>
        <v/>
      </c>
      <c r="CM10" t="str">
        <f>IF(ELEMENT!$AO8=1,VLOOKUP($CA$3,$CF$55:$CQ$60,$CI$53,FALSE),"")</f>
        <v/>
      </c>
      <c r="CN10" t="str">
        <f>IF(ELEMENT!$AO8=1,VLOOKUP($CA$3,$CF$55:$CQ$60,$CJ$53,FALSE),"")</f>
        <v/>
      </c>
      <c r="CO10" t="str">
        <f>IF(ELEMENT!$AO8=1,VLOOKUP($CA$3,$CF$55:$CQ$60,$CK$53,FALSE),"")</f>
        <v/>
      </c>
      <c r="CP10" t="str">
        <f>IF(ELEMENT!$AO8=1,VLOOKUP($CA$3,$CF$55:$CQ$60,$CN$53,FALSE),"")</f>
        <v/>
      </c>
      <c r="CQ10" t="str">
        <f>IF(ELEMENT!$AO8=1,VLOOKUP($CA$3,$CF$55:$CQ$60,$CO$53,FALSE),"")</f>
        <v/>
      </c>
      <c r="CR10" t="str">
        <f>IF(ELEMENT!$AO8=1,VLOOKUP($CA$3,$CF$55:$CQ$60,$CP$53,FALSE),"")</f>
        <v/>
      </c>
      <c r="CS10" t="str">
        <f>IF(ELEMENT!$AO8=1,VLOOKUP($CA$3,$CF$55:$CQ$60,$CQ$53,FALSE),"")</f>
        <v/>
      </c>
      <c r="CU10" t="str">
        <f>IF(ELEMENT!AO8="","",CK10*CP10)</f>
        <v/>
      </c>
      <c r="CV10" t="str">
        <f>IF(ELEMENT!AO8="","",CL10*CQ10)</f>
        <v/>
      </c>
      <c r="CW10" t="str">
        <f>IF(ELEMENT!AO8="","",CM10*CR10)</f>
        <v/>
      </c>
      <c r="CX10" t="str">
        <f>IF(ELEMENT!AO8="","",CN10*CS10)</f>
        <v/>
      </c>
      <c r="CZ10" t="str">
        <f>IF(ELEMENT!AO8="","",CB10*CU10*CI10/10^6)</f>
        <v/>
      </c>
      <c r="DA10" t="str">
        <f>IF(ELEMENT!AO8="","",CC10*CV10*CI10/10^6)</f>
        <v/>
      </c>
      <c r="DB10" t="str">
        <f>IF(ELEMENT!AO8="","",CD10*CW10*CI10/10^6)</f>
        <v/>
      </c>
      <c r="DC10" t="str">
        <f>IF(ELEMENT!AO8="","",CE10*CX10*CI10/10^6)</f>
        <v/>
      </c>
      <c r="DD10" t="str">
        <f>IF(ELEMENT!AO8="","",CO10*CF10*CI10/10^3)</f>
        <v/>
      </c>
      <c r="DE10" t="str">
        <f>IF(ELEMENT!AO8="","",SUM(CZ10:DD10))</f>
        <v/>
      </c>
      <c r="DG10" t="str">
        <f>IF(ELEMENT!$AO8=1,
VLOOKUP($CA$3,$CF$55:$CQ$60,$CL$53,FALSE),"")</f>
        <v/>
      </c>
      <c r="DH10" t="str">
        <f>IF(ELEMENT!$AO8=1,
VLOOKUP($CA$3,$CF$55:$CQ$60,$CM$53,FALSE),"")</f>
        <v/>
      </c>
      <c r="DJ10" t="str">
        <f>IF(ELEMENT!AO8=1,
IF(ELEMENT!L8=0,
VLOOKUP($CA$3,$CF$55:$CS$60,$CS$53,FALSE),
VLOOKUP($CA$3,$CF$55:$CS$60,$CR$53,FALSE)),"")</f>
        <v/>
      </c>
      <c r="DK10" t="str">
        <f>IF(ELEMENT!AO8=1,
IF(ELEMENT!M8=0,
VLOOKUP($CA$3,$CF$55:$CS$60,$CR$53,FALSE),
VLOOKUP($CA$3,$CF$55:$CS$60,$CS$53,FALSE)),"")</f>
        <v/>
      </c>
      <c r="DL10" t="str">
        <f>IF(ELEMENT!AO8="","",DG10*DJ10+DH10*DK10)</f>
        <v/>
      </c>
      <c r="DN10" t="str">
        <f>IF(ELEMENT!AO8="","",DL10*CG10/10^6)</f>
        <v/>
      </c>
      <c r="DP10" t="str">
        <f>IF(ELEMENT!AO8="","",DE10+DN10)</f>
        <v/>
      </c>
      <c r="DR10">
        <f t="shared" si="55"/>
        <v>0</v>
      </c>
      <c r="DS10" t="str">
        <f>IF(ELEMENT!AO8="","",(CI10*(CB10*CP10+CC10*CQ10+CD10*CR10+CE10*CS10)+CG10*(DJ10+DK10))/10^6)</f>
        <v/>
      </c>
      <c r="DT10" t="str">
        <f>IF(ELEMENT!AO8="","",DR10-DS10)</f>
        <v/>
      </c>
      <c r="DV10" t="str">
        <f>IF(ELEMENT!AO8="","",DP10/DS10)</f>
        <v/>
      </c>
      <c r="DX10" t="str">
        <f>IF(ELEMENT!AO8="","",ELEMENT!DI168)</f>
        <v/>
      </c>
      <c r="DY10" t="str">
        <f>IF(ELEMENT!AO8="","",DV10*DS10)</f>
        <v/>
      </c>
      <c r="DZ10" t="str">
        <f>IF(ELEMENT!AO8="","",DX10*DT10)</f>
        <v/>
      </c>
      <c r="EA10" t="str">
        <f>IF(ELEMENT!AO8="","",$EA$3*((2*(CG10-CB10*CP10-CC10*CQ10-CD10*CR10-CE10*CS10)/1000)+2*(CI10/1000)))</f>
        <v/>
      </c>
      <c r="EB10" t="str">
        <f>IF(ELEMENT!AO8="","",$EA$3*((CI10/1000)*(2*(CD10+CE10)))+$EA$3*(2*CF10*CI10/1000))</f>
        <v/>
      </c>
      <c r="EC10">
        <f ca="1">IF(ELEMENT!FY8="",SUM(DY10:EB10),"")</f>
        <v>0</v>
      </c>
      <c r="EE10" t="str">
        <f>IF(ELEMENT!AO8="","",
IF(ELEMENT!FY8="",(EC10/DR10),""))</f>
        <v/>
      </c>
      <c r="EF10" t="str">
        <f t="shared" si="56"/>
        <v/>
      </c>
      <c r="EG10" t="str">
        <f>IF(ELEMENT!AO8="","",EC10*ELEMENT!C8)</f>
        <v/>
      </c>
    </row>
    <row r="11" spans="1:137" ht="21" customHeight="1" x14ac:dyDescent="0.2">
      <c r="A11" s="332">
        <f>ELEMENT!A9</f>
        <v>0</v>
      </c>
      <c r="B11" s="331">
        <f>ELEMENT!B9</f>
        <v>0</v>
      </c>
      <c r="C11" s="330">
        <f>ELEMENT!C9</f>
        <v>0</v>
      </c>
      <c r="D11" s="329">
        <f t="shared" si="8"/>
        <v>0</v>
      </c>
      <c r="E11" s="329">
        <f t="shared" si="9"/>
        <v>0</v>
      </c>
      <c r="F11" s="329" t="str">
        <f t="shared" si="10"/>
        <v/>
      </c>
      <c r="G11" s="317"/>
      <c r="H11" s="328">
        <f t="shared" si="11"/>
        <v>0</v>
      </c>
      <c r="I11" s="328" t="str">
        <f t="shared" si="12"/>
        <v/>
      </c>
      <c r="J11" s="328">
        <f t="shared" si="13"/>
        <v>0</v>
      </c>
      <c r="K11" s="328">
        <f t="shared" si="14"/>
        <v>0</v>
      </c>
      <c r="L11" s="327" t="str">
        <f t="shared" si="15"/>
        <v/>
      </c>
      <c r="M11" s="317"/>
      <c r="N11" s="322" t="str">
        <f t="shared" si="16"/>
        <v/>
      </c>
      <c r="O11" s="322" t="str">
        <f t="shared" si="17"/>
        <v/>
      </c>
      <c r="P11" s="322" t="str">
        <f t="shared" si="18"/>
        <v/>
      </c>
      <c r="Q11" s="322" t="str">
        <f t="shared" si="19"/>
        <v/>
      </c>
      <c r="R11" s="322" t="str">
        <f t="shared" si="20"/>
        <v/>
      </c>
      <c r="S11" s="317"/>
      <c r="T11" s="315" t="str">
        <f t="shared" si="21"/>
        <v/>
      </c>
      <c r="U11" s="315" t="str">
        <f t="shared" si="22"/>
        <v/>
      </c>
      <c r="V11" s="315" t="str">
        <f t="shared" si="23"/>
        <v/>
      </c>
      <c r="W11" s="315" t="str">
        <f t="shared" si="24"/>
        <v/>
      </c>
      <c r="X11" s="317"/>
      <c r="Y11" s="327" t="str">
        <f t="shared" si="25"/>
        <v/>
      </c>
      <c r="Z11" s="327" t="str">
        <f t="shared" si="26"/>
        <v/>
      </c>
      <c r="AA11" s="327" t="str">
        <f t="shared" si="27"/>
        <v/>
      </c>
      <c r="AB11" s="327" t="str">
        <f t="shared" si="28"/>
        <v/>
      </c>
      <c r="AC11" s="317"/>
      <c r="AD11" s="322" t="str">
        <f t="shared" si="29"/>
        <v/>
      </c>
      <c r="AE11" s="322" t="str">
        <f t="shared" si="30"/>
        <v/>
      </c>
      <c r="AF11" s="322" t="str">
        <f t="shared" si="31"/>
        <v/>
      </c>
      <c r="AG11" s="322" t="str">
        <f t="shared" si="32"/>
        <v/>
      </c>
      <c r="AH11" s="322" t="str">
        <f t="shared" si="33"/>
        <v/>
      </c>
      <c r="AI11" s="322"/>
      <c r="AJ11" s="325" t="str">
        <f t="shared" si="34"/>
        <v/>
      </c>
      <c r="AK11" s="316"/>
      <c r="AL11" s="322" t="str">
        <f t="shared" si="35"/>
        <v/>
      </c>
      <c r="AM11" s="322" t="str">
        <f t="shared" si="36"/>
        <v/>
      </c>
      <c r="AN11" s="317"/>
      <c r="AO11" s="326" t="str">
        <f t="shared" si="37"/>
        <v/>
      </c>
      <c r="AP11" s="326" t="str">
        <f t="shared" si="38"/>
        <v/>
      </c>
      <c r="AQ11" s="317"/>
      <c r="AR11" s="322" t="str">
        <f t="shared" si="39"/>
        <v/>
      </c>
      <c r="AS11" s="325" t="str">
        <f t="shared" si="40"/>
        <v/>
      </c>
      <c r="AT11" s="316"/>
      <c r="AU11" s="324" t="str">
        <f t="shared" si="41"/>
        <v/>
      </c>
      <c r="AV11" s="316"/>
      <c r="AW11" s="322">
        <f t="shared" si="42"/>
        <v>0</v>
      </c>
      <c r="AX11" s="322" t="str">
        <f t="shared" si="43"/>
        <v/>
      </c>
      <c r="AY11" s="322" t="str">
        <f t="shared" si="44"/>
        <v/>
      </c>
      <c r="AZ11" s="316"/>
      <c r="BA11" s="321" t="str">
        <f t="shared" si="45"/>
        <v/>
      </c>
      <c r="BB11" s="316"/>
      <c r="BC11" s="323" t="str">
        <f t="shared" si="46"/>
        <v/>
      </c>
      <c r="BD11" s="323" t="str">
        <f>IFERROR(VZ!AB13,"")</f>
        <v/>
      </c>
      <c r="BE11" s="322" t="str">
        <f t="shared" si="47"/>
        <v/>
      </c>
      <c r="BF11" s="322" t="str">
        <f t="shared" si="48"/>
        <v/>
      </c>
      <c r="BG11" s="320" t="str">
        <f t="shared" si="49"/>
        <v/>
      </c>
      <c r="BH11" s="322" t="str">
        <f t="shared" si="50"/>
        <v/>
      </c>
      <c r="BI11" s="321">
        <f t="shared" ca="1" si="51"/>
        <v>0</v>
      </c>
      <c r="BJ11" s="316"/>
      <c r="BK11" s="320" t="str">
        <f t="shared" si="52"/>
        <v/>
      </c>
      <c r="BL11" s="319" t="str">
        <f t="shared" si="53"/>
        <v/>
      </c>
      <c r="BM11" s="318" t="str">
        <f t="shared" si="54"/>
        <v/>
      </c>
      <c r="CB11">
        <f>ELEMENT!R9</f>
        <v>0</v>
      </c>
      <c r="CC11" t="str">
        <f>IF(ELEMENT!AO9="","",(2-CB11-CF11))</f>
        <v/>
      </c>
      <c r="CD11">
        <f>ELEMENT!S9</f>
        <v>0</v>
      </c>
      <c r="CE11">
        <f>ELEMENT!T9</f>
        <v>0</v>
      </c>
      <c r="CF11" t="str">
        <f>IF(ELEMENT!AO9="","",IF(ELEMENT!P9="R",1,IF(ELEMENT!P9="L",1,IF(ELEMENT!P9=2,2,0))))</f>
        <v/>
      </c>
      <c r="CG11">
        <f>ELEMENT!AS9</f>
        <v>0</v>
      </c>
      <c r="CH11">
        <f>ELEMENT!AT9</f>
        <v>0</v>
      </c>
      <c r="CI11" t="str">
        <f>IF(ELEMENT!AO9="","",ELEMENT!AT9-(ELEMENT!L9*CJ$69+ELEMENT!M9*CK$69))</f>
        <v/>
      </c>
      <c r="CK11" t="str">
        <f>IF(ELEMENT!$AO9=1,VLOOKUP($CA$3,$CF$55:$CQ$60,$CG$53,FALSE),"")</f>
        <v/>
      </c>
      <c r="CL11" t="str">
        <f>IF(ELEMENT!$AO9=1,VLOOKUP($CA$3,$CF$55:$CQ$60,$CH$53,FALSE),"")</f>
        <v/>
      </c>
      <c r="CM11" t="str">
        <f>IF(ELEMENT!$AO9=1,VLOOKUP($CA$3,$CF$55:$CQ$60,$CI$53,FALSE),"")</f>
        <v/>
      </c>
      <c r="CN11" t="str">
        <f>IF(ELEMENT!$AO9=1,VLOOKUP($CA$3,$CF$55:$CQ$60,$CJ$53,FALSE),"")</f>
        <v/>
      </c>
      <c r="CO11" t="str">
        <f>IF(ELEMENT!$AO9=1,VLOOKUP($CA$3,$CF$55:$CQ$60,$CK$53,FALSE),"")</f>
        <v/>
      </c>
      <c r="CP11" t="str">
        <f>IF(ELEMENT!$AO9=1,VLOOKUP($CA$3,$CF$55:$CQ$60,$CN$53,FALSE),"")</f>
        <v/>
      </c>
      <c r="CQ11" t="str">
        <f>IF(ELEMENT!$AO9=1,VLOOKUP($CA$3,$CF$55:$CQ$60,$CO$53,FALSE),"")</f>
        <v/>
      </c>
      <c r="CR11" t="str">
        <f>IF(ELEMENT!$AO9=1,VLOOKUP($CA$3,$CF$55:$CQ$60,$CP$53,FALSE),"")</f>
        <v/>
      </c>
      <c r="CS11" t="str">
        <f>IF(ELEMENT!$AO9=1,VLOOKUP($CA$3,$CF$55:$CQ$60,$CQ$53,FALSE),"")</f>
        <v/>
      </c>
      <c r="CU11" t="str">
        <f>IF(ELEMENT!AO9="","",CK11*CP11)</f>
        <v/>
      </c>
      <c r="CV11" t="str">
        <f>IF(ELEMENT!AO9="","",CL11*CQ11)</f>
        <v/>
      </c>
      <c r="CW11" t="str">
        <f>IF(ELEMENT!AO9="","",CM11*CR11)</f>
        <v/>
      </c>
      <c r="CX11" t="str">
        <f>IF(ELEMENT!AO9="","",CN11*CS11)</f>
        <v/>
      </c>
      <c r="CZ11" t="str">
        <f>IF(ELEMENT!AO9="","",CB11*CU11*CI11/10^6)</f>
        <v/>
      </c>
      <c r="DA11" t="str">
        <f>IF(ELEMENT!AO9="","",CC11*CV11*CI11/10^6)</f>
        <v/>
      </c>
      <c r="DB11" t="str">
        <f>IF(ELEMENT!AO9="","",CD11*CW11*CI11/10^6)</f>
        <v/>
      </c>
      <c r="DC11" t="str">
        <f>IF(ELEMENT!AO9="","",CE11*CX11*CI11/10^6)</f>
        <v/>
      </c>
      <c r="DD11" t="str">
        <f>IF(ELEMENT!AO9="","",CO11*CF11*CI11/10^3)</f>
        <v/>
      </c>
      <c r="DE11" t="str">
        <f>IF(ELEMENT!AO9="","",SUM(CZ11:DD11))</f>
        <v/>
      </c>
      <c r="DG11" t="str">
        <f>IF(ELEMENT!$AO9=1,
VLOOKUP($CA$3,$CF$55:$CQ$60,$CL$53,FALSE),"")</f>
        <v/>
      </c>
      <c r="DH11" t="str">
        <f>IF(ELEMENT!$AO9=1,
VLOOKUP($CA$3,$CF$55:$CQ$60,$CM$53,FALSE),"")</f>
        <v/>
      </c>
      <c r="DJ11" t="str">
        <f>IF(ELEMENT!AO9=1,
IF(ELEMENT!L9=0,
VLOOKUP($CA$3,$CF$55:$CS$60,$CS$53,FALSE),
VLOOKUP($CA$3,$CF$55:$CS$60,$CR$53,FALSE)),"")</f>
        <v/>
      </c>
      <c r="DK11" t="str">
        <f>IF(ELEMENT!AO9=1,
IF(ELEMENT!M9=0,
VLOOKUP($CA$3,$CF$55:$CS$60,$CR$53,FALSE),
VLOOKUP($CA$3,$CF$55:$CS$60,$CS$53,FALSE)),"")</f>
        <v/>
      </c>
      <c r="DL11" t="str">
        <f>IF(ELEMENT!AO9="","",DG11*DJ11+DH11*DK11)</f>
        <v/>
      </c>
      <c r="DN11" t="str">
        <f>IF(ELEMENT!AO9="","",DL11*CG11/10^6)</f>
        <v/>
      </c>
      <c r="DP11" t="str">
        <f>IF(ELEMENT!AO9="","",DE11+DN11)</f>
        <v/>
      </c>
      <c r="DR11">
        <f t="shared" si="55"/>
        <v>0</v>
      </c>
      <c r="DS11" t="str">
        <f>IF(ELEMENT!AO9="","",(CI11*(CB11*CP11+CC11*CQ11+CD11*CR11+CE11*CS11)+CG11*(DJ11+DK11))/10^6)</f>
        <v/>
      </c>
      <c r="DT11" t="str">
        <f>IF(ELEMENT!AO9="","",DR11-DS11)</f>
        <v/>
      </c>
      <c r="DV11" t="str">
        <f>IF(ELEMENT!AO9="","",DP11/DS11)</f>
        <v/>
      </c>
      <c r="DX11" t="str">
        <f>IF(ELEMENT!AO9="","",ELEMENT!DI169)</f>
        <v/>
      </c>
      <c r="DY11" t="str">
        <f>IF(ELEMENT!AO9="","",DV11*DS11)</f>
        <v/>
      </c>
      <c r="DZ11" t="str">
        <f>IF(ELEMENT!AO9="","",DX11*DT11)</f>
        <v/>
      </c>
      <c r="EA11" t="str">
        <f>IF(ELEMENT!AO9="","",$EA$3*((2*(CG11-CB11*CP11-CC11*CQ11-CD11*CR11-CE11*CS11)/1000)+2*(CI11/1000)))</f>
        <v/>
      </c>
      <c r="EB11" t="str">
        <f>IF(ELEMENT!AO9="","",$EA$3*((CI11/1000)*(2*(CD11+CE11)))+$EA$3*(2*CF11*CI11/1000))</f>
        <v/>
      </c>
      <c r="EC11">
        <f ca="1">IF(ELEMENT!FY9="",SUM(DY11:EB11),"")</f>
        <v>0</v>
      </c>
      <c r="EE11" t="str">
        <f>IF(ELEMENT!AO9="","",
IF(ELEMENT!FY9="",(EC11/DR11),""))</f>
        <v/>
      </c>
      <c r="EF11" t="str">
        <f t="shared" si="56"/>
        <v/>
      </c>
      <c r="EG11" t="str">
        <f>IF(ELEMENT!AO9="","",EC11*ELEMENT!C9)</f>
        <v/>
      </c>
    </row>
    <row r="12" spans="1:137" ht="21" customHeight="1" x14ac:dyDescent="0.2">
      <c r="A12" s="332">
        <f>ELEMENT!A10</f>
        <v>0</v>
      </c>
      <c r="B12" s="331">
        <f>ELEMENT!B10</f>
        <v>0</v>
      </c>
      <c r="C12" s="330">
        <f>ELEMENT!C10</f>
        <v>0</v>
      </c>
      <c r="D12" s="329">
        <f t="shared" si="8"/>
        <v>0</v>
      </c>
      <c r="E12" s="329">
        <f t="shared" si="9"/>
        <v>0</v>
      </c>
      <c r="F12" s="329" t="str">
        <f t="shared" si="10"/>
        <v/>
      </c>
      <c r="G12" s="317"/>
      <c r="H12" s="328">
        <f t="shared" si="11"/>
        <v>0</v>
      </c>
      <c r="I12" s="328" t="str">
        <f t="shared" si="12"/>
        <v/>
      </c>
      <c r="J12" s="328">
        <f t="shared" si="13"/>
        <v>0</v>
      </c>
      <c r="K12" s="328">
        <f t="shared" si="14"/>
        <v>0</v>
      </c>
      <c r="L12" s="327" t="str">
        <f t="shared" si="15"/>
        <v/>
      </c>
      <c r="M12" s="317"/>
      <c r="N12" s="322" t="str">
        <f t="shared" si="16"/>
        <v/>
      </c>
      <c r="O12" s="322" t="str">
        <f t="shared" si="17"/>
        <v/>
      </c>
      <c r="P12" s="322" t="str">
        <f t="shared" si="18"/>
        <v/>
      </c>
      <c r="Q12" s="322" t="str">
        <f t="shared" si="19"/>
        <v/>
      </c>
      <c r="R12" s="322" t="str">
        <f t="shared" si="20"/>
        <v/>
      </c>
      <c r="S12" s="317"/>
      <c r="T12" s="315" t="str">
        <f t="shared" si="21"/>
        <v/>
      </c>
      <c r="U12" s="315" t="str">
        <f t="shared" si="22"/>
        <v/>
      </c>
      <c r="V12" s="315" t="str">
        <f t="shared" si="23"/>
        <v/>
      </c>
      <c r="W12" s="315" t="str">
        <f t="shared" si="24"/>
        <v/>
      </c>
      <c r="X12" s="317"/>
      <c r="Y12" s="327" t="str">
        <f t="shared" si="25"/>
        <v/>
      </c>
      <c r="Z12" s="327" t="str">
        <f t="shared" si="26"/>
        <v/>
      </c>
      <c r="AA12" s="327" t="str">
        <f t="shared" si="27"/>
        <v/>
      </c>
      <c r="AB12" s="327" t="str">
        <f t="shared" si="28"/>
        <v/>
      </c>
      <c r="AC12" s="317"/>
      <c r="AD12" s="322" t="str">
        <f t="shared" si="29"/>
        <v/>
      </c>
      <c r="AE12" s="322" t="str">
        <f t="shared" si="30"/>
        <v/>
      </c>
      <c r="AF12" s="322" t="str">
        <f t="shared" si="31"/>
        <v/>
      </c>
      <c r="AG12" s="322" t="str">
        <f t="shared" si="32"/>
        <v/>
      </c>
      <c r="AH12" s="322" t="str">
        <f t="shared" si="33"/>
        <v/>
      </c>
      <c r="AI12" s="322"/>
      <c r="AJ12" s="325" t="str">
        <f t="shared" si="34"/>
        <v/>
      </c>
      <c r="AK12" s="316"/>
      <c r="AL12" s="322" t="str">
        <f t="shared" si="35"/>
        <v/>
      </c>
      <c r="AM12" s="322" t="str">
        <f t="shared" si="36"/>
        <v/>
      </c>
      <c r="AN12" s="317"/>
      <c r="AO12" s="326" t="str">
        <f t="shared" si="37"/>
        <v/>
      </c>
      <c r="AP12" s="326" t="str">
        <f t="shared" si="38"/>
        <v/>
      </c>
      <c r="AQ12" s="317"/>
      <c r="AR12" s="322" t="str">
        <f t="shared" si="39"/>
        <v/>
      </c>
      <c r="AS12" s="325" t="str">
        <f t="shared" si="40"/>
        <v/>
      </c>
      <c r="AT12" s="316"/>
      <c r="AU12" s="324" t="str">
        <f t="shared" si="41"/>
        <v/>
      </c>
      <c r="AV12" s="316"/>
      <c r="AW12" s="322">
        <f t="shared" si="42"/>
        <v>0</v>
      </c>
      <c r="AX12" s="322" t="str">
        <f t="shared" si="43"/>
        <v/>
      </c>
      <c r="AY12" s="322" t="str">
        <f t="shared" si="44"/>
        <v/>
      </c>
      <c r="AZ12" s="316"/>
      <c r="BA12" s="321" t="str">
        <f t="shared" si="45"/>
        <v/>
      </c>
      <c r="BB12" s="316"/>
      <c r="BC12" s="323" t="str">
        <f t="shared" si="46"/>
        <v/>
      </c>
      <c r="BD12" s="323" t="str">
        <f>IFERROR(VZ!AB14,"")</f>
        <v/>
      </c>
      <c r="BE12" s="322" t="str">
        <f t="shared" si="47"/>
        <v/>
      </c>
      <c r="BF12" s="322" t="str">
        <f t="shared" si="48"/>
        <v/>
      </c>
      <c r="BG12" s="320" t="str">
        <f t="shared" si="49"/>
        <v/>
      </c>
      <c r="BH12" s="322" t="str">
        <f t="shared" si="50"/>
        <v/>
      </c>
      <c r="BI12" s="321">
        <f t="shared" ca="1" si="51"/>
        <v>0</v>
      </c>
      <c r="BJ12" s="316"/>
      <c r="BK12" s="320" t="str">
        <f t="shared" si="52"/>
        <v/>
      </c>
      <c r="BL12" s="319" t="str">
        <f t="shared" si="53"/>
        <v/>
      </c>
      <c r="BM12" s="318" t="str">
        <f t="shared" si="54"/>
        <v/>
      </c>
      <c r="CB12">
        <f>ELEMENT!R10</f>
        <v>0</v>
      </c>
      <c r="CC12" t="str">
        <f>IF(ELEMENT!AO10="","",(2-CB12-CF12))</f>
        <v/>
      </c>
      <c r="CD12">
        <f>ELEMENT!S10</f>
        <v>0</v>
      </c>
      <c r="CE12">
        <f>ELEMENT!T10</f>
        <v>0</v>
      </c>
      <c r="CF12" t="str">
        <f>IF(ELEMENT!AO10="","",IF(ELEMENT!P10="R",1,IF(ELEMENT!P10="L",1,IF(ELEMENT!P10=2,2,0))))</f>
        <v/>
      </c>
      <c r="CG12">
        <f>ELEMENT!AS10</f>
        <v>0</v>
      </c>
      <c r="CH12">
        <f>ELEMENT!AT10</f>
        <v>0</v>
      </c>
      <c r="CI12" t="str">
        <f>IF(ELEMENT!AO10="","",ELEMENT!AT10-(ELEMENT!L10*CJ$69+ELEMENT!M10*CK$69))</f>
        <v/>
      </c>
      <c r="CK12" t="str">
        <f>IF(ELEMENT!$AO10=1,VLOOKUP($CA$3,$CF$55:$CQ$60,$CG$53,FALSE),"")</f>
        <v/>
      </c>
      <c r="CL12" t="str">
        <f>IF(ELEMENT!$AO10=1,VLOOKUP($CA$3,$CF$55:$CQ$60,$CH$53,FALSE),"")</f>
        <v/>
      </c>
      <c r="CM12" t="str">
        <f>IF(ELEMENT!$AO10=1,VLOOKUP($CA$3,$CF$55:$CQ$60,$CI$53,FALSE),"")</f>
        <v/>
      </c>
      <c r="CN12" t="str">
        <f>IF(ELEMENT!$AO10=1,VLOOKUP($CA$3,$CF$55:$CQ$60,$CJ$53,FALSE),"")</f>
        <v/>
      </c>
      <c r="CO12" t="str">
        <f>IF(ELEMENT!$AO10=1,VLOOKUP($CA$3,$CF$55:$CQ$60,$CK$53,FALSE),"")</f>
        <v/>
      </c>
      <c r="CP12" t="str">
        <f>IF(ELEMENT!$AO10=1,VLOOKUP($CA$3,$CF$55:$CQ$60,$CN$53,FALSE),"")</f>
        <v/>
      </c>
      <c r="CQ12" t="str">
        <f>IF(ELEMENT!$AO10=1,VLOOKUP($CA$3,$CF$55:$CQ$60,$CO$53,FALSE),"")</f>
        <v/>
      </c>
      <c r="CR12" t="str">
        <f>IF(ELEMENT!$AO10=1,VLOOKUP($CA$3,$CF$55:$CQ$60,$CP$53,FALSE),"")</f>
        <v/>
      </c>
      <c r="CS12" t="str">
        <f>IF(ELEMENT!$AO10=1,VLOOKUP($CA$3,$CF$55:$CQ$60,$CQ$53,FALSE),"")</f>
        <v/>
      </c>
      <c r="CU12" t="str">
        <f>IF(ELEMENT!AO10="","",CK12*CP12)</f>
        <v/>
      </c>
      <c r="CV12" t="str">
        <f>IF(ELEMENT!AO10="","",CL12*CQ12)</f>
        <v/>
      </c>
      <c r="CW12" t="str">
        <f>IF(ELEMENT!AO10="","",CM12*CR12)</f>
        <v/>
      </c>
      <c r="CX12" t="str">
        <f>IF(ELEMENT!AO10="","",CN12*CS12)</f>
        <v/>
      </c>
      <c r="CZ12" t="str">
        <f>IF(ELEMENT!AO10="","",CB12*CU12*CI12/10^6)</f>
        <v/>
      </c>
      <c r="DA12" t="str">
        <f>IF(ELEMENT!AO10="","",CC12*CV12*CI12/10^6)</f>
        <v/>
      </c>
      <c r="DB12" t="str">
        <f>IF(ELEMENT!AO10="","",CD12*CW12*CI12/10^6)</f>
        <v/>
      </c>
      <c r="DC12" t="str">
        <f>IF(ELEMENT!AO10="","",CE12*CX12*CI12/10^6)</f>
        <v/>
      </c>
      <c r="DD12" t="str">
        <f>IF(ELEMENT!AO10="","",CO12*CF12*CI12/10^3)</f>
        <v/>
      </c>
      <c r="DE12" t="str">
        <f>IF(ELEMENT!AO10="","",SUM(CZ12:DD12))</f>
        <v/>
      </c>
      <c r="DG12" t="str">
        <f>IF(ELEMENT!$AO10=1,
VLOOKUP($CA$3,$CF$55:$CQ$60,$CL$53,FALSE),"")</f>
        <v/>
      </c>
      <c r="DH12" t="str">
        <f>IF(ELEMENT!$AO10=1,
VLOOKUP($CA$3,$CF$55:$CQ$60,$CM$53,FALSE),"")</f>
        <v/>
      </c>
      <c r="DJ12" t="str">
        <f>IF(ELEMENT!AO10=1,
IF(ELEMENT!L10=0,
VLOOKUP($CA$3,$CF$55:$CS$60,$CS$53,FALSE),
VLOOKUP($CA$3,$CF$55:$CS$60,$CR$53,FALSE)),"")</f>
        <v/>
      </c>
      <c r="DK12" t="str">
        <f>IF(ELEMENT!AO10=1,
IF(ELEMENT!M10=0,
VLOOKUP($CA$3,$CF$55:$CS$60,$CR$53,FALSE),
VLOOKUP($CA$3,$CF$55:$CS$60,$CS$53,FALSE)),"")</f>
        <v/>
      </c>
      <c r="DL12" t="str">
        <f>IF(ELEMENT!AO10="","",DG12*DJ12+DH12*DK12)</f>
        <v/>
      </c>
      <c r="DN12" t="str">
        <f>IF(ELEMENT!AO10="","",DL12*CG12/10^6)</f>
        <v/>
      </c>
      <c r="DP12" t="str">
        <f>IF(ELEMENT!AO10="","",DE12+DN12)</f>
        <v/>
      </c>
      <c r="DR12">
        <f t="shared" si="55"/>
        <v>0</v>
      </c>
      <c r="DS12" t="str">
        <f>IF(ELEMENT!AO10="","",(CI12*(CB12*CP12+CC12*CQ12+CD12*CR12+CE12*CS12)+CG12*(DJ12+DK12))/10^6)</f>
        <v/>
      </c>
      <c r="DT12" t="str">
        <f>IF(ELEMENT!AO10="","",DR12-DS12)</f>
        <v/>
      </c>
      <c r="DV12" t="str">
        <f>IF(ELEMENT!AO10="","",DP12/DS12)</f>
        <v/>
      </c>
      <c r="DX12" t="str">
        <f>IF(ELEMENT!AO10="","",ELEMENT!DI170)</f>
        <v/>
      </c>
      <c r="DY12" t="str">
        <f>IF(ELEMENT!AO10="","",DV12*DS12)</f>
        <v/>
      </c>
      <c r="DZ12" t="str">
        <f>IF(ELEMENT!AO10="","",DX12*DT12)</f>
        <v/>
      </c>
      <c r="EA12" t="str">
        <f>IF(ELEMENT!AO10="","",$EA$3*((2*(CG12-CB12*CP12-CC12*CQ12-CD12*CR12-CE12*CS12)/1000)+2*(CI12/1000)))</f>
        <v/>
      </c>
      <c r="EB12" t="str">
        <f>IF(ELEMENT!AO10="","",$EA$3*((CI12/1000)*(2*(CD12+CE12)))+$EA$3*(2*CF12*CI12/1000))</f>
        <v/>
      </c>
      <c r="EC12">
        <f ca="1">IF(ELEMENT!FY10="",SUM(DY12:EB12),"")</f>
        <v>0</v>
      </c>
      <c r="EE12" t="str">
        <f>IF(ELEMENT!AO10="","",
IF(ELEMENT!FY10="",(EC12/DR12),""))</f>
        <v/>
      </c>
      <c r="EF12" t="str">
        <f t="shared" si="56"/>
        <v/>
      </c>
      <c r="EG12" t="str">
        <f>IF(ELEMENT!AO10="","",EC12*ELEMENT!C10)</f>
        <v/>
      </c>
    </row>
    <row r="13" spans="1:137" ht="21" customHeight="1" x14ac:dyDescent="0.2">
      <c r="A13" s="332">
        <f>ELEMENT!A11</f>
        <v>0</v>
      </c>
      <c r="B13" s="331">
        <f>ELEMENT!B11</f>
        <v>0</v>
      </c>
      <c r="C13" s="330">
        <f>ELEMENT!C11</f>
        <v>0</v>
      </c>
      <c r="D13" s="329">
        <f t="shared" si="8"/>
        <v>0</v>
      </c>
      <c r="E13" s="329">
        <f t="shared" si="9"/>
        <v>0</v>
      </c>
      <c r="F13" s="329" t="str">
        <f t="shared" si="10"/>
        <v/>
      </c>
      <c r="G13" s="317"/>
      <c r="H13" s="328">
        <f t="shared" si="11"/>
        <v>0</v>
      </c>
      <c r="I13" s="328" t="str">
        <f t="shared" si="12"/>
        <v/>
      </c>
      <c r="J13" s="328">
        <f t="shared" si="13"/>
        <v>0</v>
      </c>
      <c r="K13" s="328">
        <f t="shared" si="14"/>
        <v>0</v>
      </c>
      <c r="L13" s="327" t="str">
        <f t="shared" si="15"/>
        <v/>
      </c>
      <c r="M13" s="317"/>
      <c r="N13" s="322" t="str">
        <f t="shared" si="16"/>
        <v/>
      </c>
      <c r="O13" s="322" t="str">
        <f t="shared" si="17"/>
        <v/>
      </c>
      <c r="P13" s="322" t="str">
        <f t="shared" si="18"/>
        <v/>
      </c>
      <c r="Q13" s="322" t="str">
        <f t="shared" si="19"/>
        <v/>
      </c>
      <c r="R13" s="322" t="str">
        <f t="shared" si="20"/>
        <v/>
      </c>
      <c r="S13" s="317"/>
      <c r="T13" s="315" t="str">
        <f t="shared" si="21"/>
        <v/>
      </c>
      <c r="U13" s="315" t="str">
        <f t="shared" si="22"/>
        <v/>
      </c>
      <c r="V13" s="315" t="str">
        <f t="shared" si="23"/>
        <v/>
      </c>
      <c r="W13" s="315" t="str">
        <f t="shared" si="24"/>
        <v/>
      </c>
      <c r="X13" s="317"/>
      <c r="Y13" s="327" t="str">
        <f t="shared" si="25"/>
        <v/>
      </c>
      <c r="Z13" s="327" t="str">
        <f t="shared" si="26"/>
        <v/>
      </c>
      <c r="AA13" s="327" t="str">
        <f t="shared" si="27"/>
        <v/>
      </c>
      <c r="AB13" s="327" t="str">
        <f t="shared" si="28"/>
        <v/>
      </c>
      <c r="AC13" s="317"/>
      <c r="AD13" s="322" t="str">
        <f t="shared" si="29"/>
        <v/>
      </c>
      <c r="AE13" s="322" t="str">
        <f t="shared" si="30"/>
        <v/>
      </c>
      <c r="AF13" s="322" t="str">
        <f t="shared" si="31"/>
        <v/>
      </c>
      <c r="AG13" s="322" t="str">
        <f t="shared" si="32"/>
        <v/>
      </c>
      <c r="AH13" s="322" t="str">
        <f t="shared" si="33"/>
        <v/>
      </c>
      <c r="AI13" s="322"/>
      <c r="AJ13" s="325" t="str">
        <f t="shared" si="34"/>
        <v/>
      </c>
      <c r="AK13" s="316"/>
      <c r="AL13" s="322" t="str">
        <f t="shared" si="35"/>
        <v/>
      </c>
      <c r="AM13" s="322" t="str">
        <f t="shared" si="36"/>
        <v/>
      </c>
      <c r="AN13" s="317"/>
      <c r="AO13" s="326" t="str">
        <f t="shared" si="37"/>
        <v/>
      </c>
      <c r="AP13" s="326" t="str">
        <f t="shared" si="38"/>
        <v/>
      </c>
      <c r="AQ13" s="317"/>
      <c r="AR13" s="322" t="str">
        <f t="shared" si="39"/>
        <v/>
      </c>
      <c r="AS13" s="325" t="str">
        <f t="shared" si="40"/>
        <v/>
      </c>
      <c r="AT13" s="316"/>
      <c r="AU13" s="324" t="str">
        <f t="shared" si="41"/>
        <v/>
      </c>
      <c r="AV13" s="316"/>
      <c r="AW13" s="322">
        <f t="shared" si="42"/>
        <v>0</v>
      </c>
      <c r="AX13" s="322" t="str">
        <f t="shared" si="43"/>
        <v/>
      </c>
      <c r="AY13" s="322" t="str">
        <f t="shared" si="44"/>
        <v/>
      </c>
      <c r="AZ13" s="316"/>
      <c r="BA13" s="321" t="str">
        <f t="shared" si="45"/>
        <v/>
      </c>
      <c r="BB13" s="316"/>
      <c r="BC13" s="323" t="str">
        <f t="shared" si="46"/>
        <v/>
      </c>
      <c r="BD13" s="323" t="str">
        <f>IFERROR(VZ!AB15,"")</f>
        <v/>
      </c>
      <c r="BE13" s="322" t="str">
        <f t="shared" si="47"/>
        <v/>
      </c>
      <c r="BF13" s="322" t="str">
        <f t="shared" si="48"/>
        <v/>
      </c>
      <c r="BG13" s="320" t="str">
        <f t="shared" si="49"/>
        <v/>
      </c>
      <c r="BH13" s="322" t="str">
        <f t="shared" si="50"/>
        <v/>
      </c>
      <c r="BI13" s="321">
        <f t="shared" ca="1" si="51"/>
        <v>0</v>
      </c>
      <c r="BJ13" s="316"/>
      <c r="BK13" s="320" t="str">
        <f t="shared" si="52"/>
        <v/>
      </c>
      <c r="BL13" s="319" t="str">
        <f t="shared" si="53"/>
        <v/>
      </c>
      <c r="BM13" s="318" t="str">
        <f t="shared" si="54"/>
        <v/>
      </c>
      <c r="CB13">
        <f>ELEMENT!R11</f>
        <v>0</v>
      </c>
      <c r="CC13" t="str">
        <f>IF(ELEMENT!AO11="","",(2-CB13-CF13))</f>
        <v/>
      </c>
      <c r="CD13">
        <f>ELEMENT!S11</f>
        <v>0</v>
      </c>
      <c r="CE13">
        <f>ELEMENT!T11</f>
        <v>0</v>
      </c>
      <c r="CF13" t="str">
        <f>IF(ELEMENT!AO11="","",IF(ELEMENT!P11="R",1,IF(ELEMENT!P11="L",1,IF(ELEMENT!P11=2,2,0))))</f>
        <v/>
      </c>
      <c r="CG13">
        <f>ELEMENT!AS11</f>
        <v>0</v>
      </c>
      <c r="CH13">
        <f>ELEMENT!AT11</f>
        <v>0</v>
      </c>
      <c r="CI13" t="str">
        <f>IF(ELEMENT!AO11="","",ELEMENT!AT11-(ELEMENT!L11*CJ$69+ELEMENT!M11*CK$69))</f>
        <v/>
      </c>
      <c r="CK13" t="str">
        <f>IF(ELEMENT!$AO11=1,VLOOKUP($CA$3,$CF$55:$CQ$60,$CG$53,FALSE),"")</f>
        <v/>
      </c>
      <c r="CL13" t="str">
        <f>IF(ELEMENT!$AO11=1,VLOOKUP($CA$3,$CF$55:$CQ$60,$CH$53,FALSE),"")</f>
        <v/>
      </c>
      <c r="CM13" t="str">
        <f>IF(ELEMENT!$AO11=1,VLOOKUP($CA$3,$CF$55:$CQ$60,$CI$53,FALSE),"")</f>
        <v/>
      </c>
      <c r="CN13" t="str">
        <f>IF(ELEMENT!$AO11=1,VLOOKUP($CA$3,$CF$55:$CQ$60,$CJ$53,FALSE),"")</f>
        <v/>
      </c>
      <c r="CO13" t="str">
        <f>IF(ELEMENT!$AO11=1,VLOOKUP($CA$3,$CF$55:$CQ$60,$CK$53,FALSE),"")</f>
        <v/>
      </c>
      <c r="CP13" t="str">
        <f>IF(ELEMENT!$AO11=1,VLOOKUP($CA$3,$CF$55:$CQ$60,$CN$53,FALSE),"")</f>
        <v/>
      </c>
      <c r="CQ13" t="str">
        <f>IF(ELEMENT!$AO11=1,VLOOKUP($CA$3,$CF$55:$CQ$60,$CO$53,FALSE),"")</f>
        <v/>
      </c>
      <c r="CR13" t="str">
        <f>IF(ELEMENT!$AO11=1,VLOOKUP($CA$3,$CF$55:$CQ$60,$CP$53,FALSE),"")</f>
        <v/>
      </c>
      <c r="CS13" t="str">
        <f>IF(ELEMENT!$AO11=1,VLOOKUP($CA$3,$CF$55:$CQ$60,$CQ$53,FALSE),"")</f>
        <v/>
      </c>
      <c r="CU13" t="str">
        <f>IF(ELEMENT!AO11="","",CK13*CP13)</f>
        <v/>
      </c>
      <c r="CV13" t="str">
        <f>IF(ELEMENT!AO11="","",CL13*CQ13)</f>
        <v/>
      </c>
      <c r="CW13" t="str">
        <f>IF(ELEMENT!AO11="","",CM13*CR13)</f>
        <v/>
      </c>
      <c r="CX13" t="str">
        <f>IF(ELEMENT!AO11="","",CN13*CS13)</f>
        <v/>
      </c>
      <c r="CZ13" t="str">
        <f>IF(ELEMENT!AO11="","",CB13*CU13*CI13/10^6)</f>
        <v/>
      </c>
      <c r="DA13" t="str">
        <f>IF(ELEMENT!AO11="","",CC13*CV13*CI13/10^6)</f>
        <v/>
      </c>
      <c r="DB13" t="str">
        <f>IF(ELEMENT!AO11="","",CD13*CW13*CI13/10^6)</f>
        <v/>
      </c>
      <c r="DC13" t="str">
        <f>IF(ELEMENT!AO11="","",CE13*CX13*CI13/10^6)</f>
        <v/>
      </c>
      <c r="DD13" t="str">
        <f>IF(ELEMENT!AO11="","",CO13*CF13*CI13/10^3)</f>
        <v/>
      </c>
      <c r="DE13" t="str">
        <f>IF(ELEMENT!AO11="","",SUM(CZ13:DD13))</f>
        <v/>
      </c>
      <c r="DG13" t="str">
        <f>IF(ELEMENT!$AO11=1,
VLOOKUP($CA$3,$CF$55:$CQ$60,$CL$53,FALSE),"")</f>
        <v/>
      </c>
      <c r="DH13" t="str">
        <f>IF(ELEMENT!$AO11=1,
VLOOKUP($CA$3,$CF$55:$CQ$60,$CM$53,FALSE),"")</f>
        <v/>
      </c>
      <c r="DJ13" t="str">
        <f>IF(ELEMENT!AO11=1,
IF(ELEMENT!L11=0,
VLOOKUP($CA$3,$CF$55:$CS$60,$CS$53,FALSE),
VLOOKUP($CA$3,$CF$55:$CS$60,$CR$53,FALSE)),"")</f>
        <v/>
      </c>
      <c r="DK13" t="str">
        <f>IF(ELEMENT!AO11=1,
IF(ELEMENT!M11=0,
VLOOKUP($CA$3,$CF$55:$CS$60,$CR$53,FALSE),
VLOOKUP($CA$3,$CF$55:$CS$60,$CS$53,FALSE)),"")</f>
        <v/>
      </c>
      <c r="DL13" t="str">
        <f>IF(ELEMENT!AO11="","",DG13*DJ13+DH13*DK13)</f>
        <v/>
      </c>
      <c r="DN13" t="str">
        <f>IF(ELEMENT!AO11="","",DL13*CG13/10^6)</f>
        <v/>
      </c>
      <c r="DP13" t="str">
        <f>IF(ELEMENT!AO11="","",DE13+DN13)</f>
        <v/>
      </c>
      <c r="DR13">
        <f t="shared" si="55"/>
        <v>0</v>
      </c>
      <c r="DS13" t="str">
        <f>IF(ELEMENT!AO11="","",(CI13*(CB13*CP13+CC13*CQ13+CD13*CR13+CE13*CS13)+CG13*(DJ13+DK13))/10^6)</f>
        <v/>
      </c>
      <c r="DT13" t="str">
        <f>IF(ELEMENT!AO11="","",DR13-DS13)</f>
        <v/>
      </c>
      <c r="DV13" t="str">
        <f>IF(ELEMENT!AO11="","",DP13/DS13)</f>
        <v/>
      </c>
      <c r="DX13" t="str">
        <f>IF(ELEMENT!AO11="","",ELEMENT!DI171)</f>
        <v/>
      </c>
      <c r="DY13" t="str">
        <f>IF(ELEMENT!AO11="","",DV13*DS13)</f>
        <v/>
      </c>
      <c r="DZ13" t="str">
        <f>IF(ELEMENT!AO11="","",DX13*DT13)</f>
        <v/>
      </c>
      <c r="EA13" t="str">
        <f>IF(ELEMENT!AO11="","",$EA$3*((2*(CG13-CB13*CP13-CC13*CQ13-CD13*CR13-CE13*CS13)/1000)+2*(CI13/1000)))</f>
        <v/>
      </c>
      <c r="EB13" t="str">
        <f>IF(ELEMENT!AO11="","",$EA$3*((CI13/1000)*(2*(CD13+CE13)))+$EA$3*(2*CF13*CI13/1000))</f>
        <v/>
      </c>
      <c r="EC13">
        <f ca="1">IF(ELEMENT!FY11="",SUM(DY13:EB13),"")</f>
        <v>0</v>
      </c>
      <c r="EE13" t="str">
        <f>IF(ELEMENT!AO11="","",
IF(ELEMENT!FY11="",(EC13/DR13),""))</f>
        <v/>
      </c>
      <c r="EF13" t="str">
        <f t="shared" si="56"/>
        <v/>
      </c>
      <c r="EG13" t="str">
        <f>IF(ELEMENT!AO11="","",EC13*ELEMENT!C11)</f>
        <v/>
      </c>
    </row>
    <row r="14" spans="1:137" ht="21" customHeight="1" x14ac:dyDescent="0.2">
      <c r="A14" s="332">
        <f>ELEMENT!A12</f>
        <v>0</v>
      </c>
      <c r="B14" s="331">
        <f>ELEMENT!B12</f>
        <v>0</v>
      </c>
      <c r="C14" s="330">
        <f>ELEMENT!C12</f>
        <v>0</v>
      </c>
      <c r="D14" s="329">
        <f t="shared" si="8"/>
        <v>0</v>
      </c>
      <c r="E14" s="329">
        <f t="shared" si="9"/>
        <v>0</v>
      </c>
      <c r="F14" s="329" t="str">
        <f t="shared" si="10"/>
        <v/>
      </c>
      <c r="G14" s="317"/>
      <c r="H14" s="328">
        <f t="shared" si="11"/>
        <v>0</v>
      </c>
      <c r="I14" s="328" t="str">
        <f t="shared" si="12"/>
        <v/>
      </c>
      <c r="J14" s="328">
        <f t="shared" si="13"/>
        <v>0</v>
      </c>
      <c r="K14" s="328">
        <f t="shared" si="14"/>
        <v>0</v>
      </c>
      <c r="L14" s="327" t="str">
        <f t="shared" si="15"/>
        <v/>
      </c>
      <c r="M14" s="317"/>
      <c r="N14" s="322" t="str">
        <f t="shared" si="16"/>
        <v/>
      </c>
      <c r="O14" s="322" t="str">
        <f t="shared" si="17"/>
        <v/>
      </c>
      <c r="P14" s="322" t="str">
        <f t="shared" si="18"/>
        <v/>
      </c>
      <c r="Q14" s="322" t="str">
        <f t="shared" si="19"/>
        <v/>
      </c>
      <c r="R14" s="322" t="str">
        <f t="shared" si="20"/>
        <v/>
      </c>
      <c r="S14" s="317"/>
      <c r="T14" s="315" t="str">
        <f t="shared" si="21"/>
        <v/>
      </c>
      <c r="U14" s="315" t="str">
        <f t="shared" si="22"/>
        <v/>
      </c>
      <c r="V14" s="315" t="str">
        <f t="shared" si="23"/>
        <v/>
      </c>
      <c r="W14" s="315" t="str">
        <f t="shared" si="24"/>
        <v/>
      </c>
      <c r="X14" s="317"/>
      <c r="Y14" s="327" t="str">
        <f t="shared" si="25"/>
        <v/>
      </c>
      <c r="Z14" s="327" t="str">
        <f t="shared" si="26"/>
        <v/>
      </c>
      <c r="AA14" s="327" t="str">
        <f t="shared" si="27"/>
        <v/>
      </c>
      <c r="AB14" s="327" t="str">
        <f t="shared" si="28"/>
        <v/>
      </c>
      <c r="AC14" s="317"/>
      <c r="AD14" s="322" t="str">
        <f t="shared" si="29"/>
        <v/>
      </c>
      <c r="AE14" s="322" t="str">
        <f t="shared" si="30"/>
        <v/>
      </c>
      <c r="AF14" s="322" t="str">
        <f t="shared" si="31"/>
        <v/>
      </c>
      <c r="AG14" s="322" t="str">
        <f t="shared" si="32"/>
        <v/>
      </c>
      <c r="AH14" s="322" t="str">
        <f t="shared" si="33"/>
        <v/>
      </c>
      <c r="AI14" s="322"/>
      <c r="AJ14" s="325" t="str">
        <f t="shared" si="34"/>
        <v/>
      </c>
      <c r="AK14" s="316"/>
      <c r="AL14" s="322" t="str">
        <f t="shared" si="35"/>
        <v/>
      </c>
      <c r="AM14" s="322" t="str">
        <f t="shared" si="36"/>
        <v/>
      </c>
      <c r="AN14" s="317"/>
      <c r="AO14" s="326" t="str">
        <f t="shared" si="37"/>
        <v/>
      </c>
      <c r="AP14" s="326" t="str">
        <f t="shared" si="38"/>
        <v/>
      </c>
      <c r="AQ14" s="317"/>
      <c r="AR14" s="322" t="str">
        <f t="shared" si="39"/>
        <v/>
      </c>
      <c r="AS14" s="325" t="str">
        <f t="shared" si="40"/>
        <v/>
      </c>
      <c r="AT14" s="316"/>
      <c r="AU14" s="324" t="str">
        <f t="shared" si="41"/>
        <v/>
      </c>
      <c r="AV14" s="316"/>
      <c r="AW14" s="322">
        <f t="shared" si="42"/>
        <v>0</v>
      </c>
      <c r="AX14" s="322" t="str">
        <f t="shared" si="43"/>
        <v/>
      </c>
      <c r="AY14" s="322" t="str">
        <f t="shared" si="44"/>
        <v/>
      </c>
      <c r="AZ14" s="316"/>
      <c r="BA14" s="321" t="str">
        <f t="shared" si="45"/>
        <v/>
      </c>
      <c r="BB14" s="316"/>
      <c r="BC14" s="323" t="str">
        <f t="shared" si="46"/>
        <v/>
      </c>
      <c r="BD14" s="323" t="str">
        <f>IFERROR(VZ!AB16,"")</f>
        <v/>
      </c>
      <c r="BE14" s="322" t="str">
        <f t="shared" si="47"/>
        <v/>
      </c>
      <c r="BF14" s="322" t="str">
        <f t="shared" si="48"/>
        <v/>
      </c>
      <c r="BG14" s="320" t="str">
        <f t="shared" si="49"/>
        <v/>
      </c>
      <c r="BH14" s="322" t="str">
        <f t="shared" si="50"/>
        <v/>
      </c>
      <c r="BI14" s="321">
        <f t="shared" ca="1" si="51"/>
        <v>0</v>
      </c>
      <c r="BJ14" s="316"/>
      <c r="BK14" s="320" t="str">
        <f t="shared" si="52"/>
        <v/>
      </c>
      <c r="BL14" s="319" t="str">
        <f t="shared" si="53"/>
        <v/>
      </c>
      <c r="BM14" s="318" t="str">
        <f t="shared" si="54"/>
        <v/>
      </c>
      <c r="CB14">
        <f>ELEMENT!R12</f>
        <v>0</v>
      </c>
      <c r="CC14" t="str">
        <f>IF(ELEMENT!AO12="","",(2-CB14-CF14))</f>
        <v/>
      </c>
      <c r="CD14">
        <f>ELEMENT!S12</f>
        <v>0</v>
      </c>
      <c r="CE14">
        <f>ELEMENT!T12</f>
        <v>0</v>
      </c>
      <c r="CF14" t="str">
        <f>IF(ELEMENT!AO12="","",IF(ELEMENT!P12="R",1,IF(ELEMENT!P12="L",1,IF(ELEMENT!P12=2,2,0))))</f>
        <v/>
      </c>
      <c r="CG14">
        <f>ELEMENT!AS12</f>
        <v>0</v>
      </c>
      <c r="CH14">
        <f>ELEMENT!AT12</f>
        <v>0</v>
      </c>
      <c r="CI14" t="str">
        <f>IF(ELEMENT!AO12="","",ELEMENT!AT12-(ELEMENT!L12*CJ$69+ELEMENT!M12*CK$69))</f>
        <v/>
      </c>
      <c r="CK14" t="str">
        <f>IF(ELEMENT!$AO12=1,VLOOKUP($CA$3,$CF$55:$CQ$60,$CG$53,FALSE),"")</f>
        <v/>
      </c>
      <c r="CL14" t="str">
        <f>IF(ELEMENT!$AO12=1,VLOOKUP($CA$3,$CF$55:$CQ$60,$CH$53,FALSE),"")</f>
        <v/>
      </c>
      <c r="CM14" t="str">
        <f>IF(ELEMENT!$AO12=1,VLOOKUP($CA$3,$CF$55:$CQ$60,$CI$53,FALSE),"")</f>
        <v/>
      </c>
      <c r="CN14" t="str">
        <f>IF(ELEMENT!$AO12=1,VLOOKUP($CA$3,$CF$55:$CQ$60,$CJ$53,FALSE),"")</f>
        <v/>
      </c>
      <c r="CO14" t="str">
        <f>IF(ELEMENT!$AO12=1,VLOOKUP($CA$3,$CF$55:$CQ$60,$CK$53,FALSE),"")</f>
        <v/>
      </c>
      <c r="CP14" t="str">
        <f>IF(ELEMENT!$AO12=1,VLOOKUP($CA$3,$CF$55:$CQ$60,$CN$53,FALSE),"")</f>
        <v/>
      </c>
      <c r="CQ14" t="str">
        <f>IF(ELEMENT!$AO12=1,VLOOKUP($CA$3,$CF$55:$CQ$60,$CO$53,FALSE),"")</f>
        <v/>
      </c>
      <c r="CR14" t="str">
        <f>IF(ELEMENT!$AO12=1,VLOOKUP($CA$3,$CF$55:$CQ$60,$CP$53,FALSE),"")</f>
        <v/>
      </c>
      <c r="CS14" t="str">
        <f>IF(ELEMENT!$AO12=1,VLOOKUP($CA$3,$CF$55:$CQ$60,$CQ$53,FALSE),"")</f>
        <v/>
      </c>
      <c r="CU14" t="str">
        <f>IF(ELEMENT!AO12="","",CK14*CP14)</f>
        <v/>
      </c>
      <c r="CV14" t="str">
        <f>IF(ELEMENT!AO12="","",CL14*CQ14)</f>
        <v/>
      </c>
      <c r="CW14" t="str">
        <f>IF(ELEMENT!AO12="","",CM14*CR14)</f>
        <v/>
      </c>
      <c r="CX14" t="str">
        <f>IF(ELEMENT!AO12="","",CN14*CS14)</f>
        <v/>
      </c>
      <c r="CZ14" t="str">
        <f>IF(ELEMENT!AO12="","",CB14*CU14*CI14/10^6)</f>
        <v/>
      </c>
      <c r="DA14" t="str">
        <f>IF(ELEMENT!AO12="","",CC14*CV14*CI14/10^6)</f>
        <v/>
      </c>
      <c r="DB14" t="str">
        <f>IF(ELEMENT!AO12="","",CD14*CW14*CI14/10^6)</f>
        <v/>
      </c>
      <c r="DC14" t="str">
        <f>IF(ELEMENT!AO12="","",CE14*CX14*CI14/10^6)</f>
        <v/>
      </c>
      <c r="DD14" t="str">
        <f>IF(ELEMENT!AO12="","",CO14*CF14*CI14/10^3)</f>
        <v/>
      </c>
      <c r="DE14" t="str">
        <f>IF(ELEMENT!AO12="","",SUM(CZ14:DD14))</f>
        <v/>
      </c>
      <c r="DG14" t="str">
        <f>IF(ELEMENT!$AO12=1,
VLOOKUP($CA$3,$CF$55:$CQ$60,$CL$53,FALSE),"")</f>
        <v/>
      </c>
      <c r="DH14" t="str">
        <f>IF(ELEMENT!$AO12=1,
VLOOKUP($CA$3,$CF$55:$CQ$60,$CM$53,FALSE),"")</f>
        <v/>
      </c>
      <c r="DJ14" t="str">
        <f>IF(ELEMENT!AO12=1,
IF(ELEMENT!L12=0,
VLOOKUP($CA$3,$CF$55:$CS$60,$CS$53,FALSE),
VLOOKUP($CA$3,$CF$55:$CS$60,$CR$53,FALSE)),"")</f>
        <v/>
      </c>
      <c r="DK14" t="str">
        <f>IF(ELEMENT!AO12=1,
IF(ELEMENT!M12=0,
VLOOKUP($CA$3,$CF$55:$CS$60,$CR$53,FALSE),
VLOOKUP($CA$3,$CF$55:$CS$60,$CS$53,FALSE)),"")</f>
        <v/>
      </c>
      <c r="DL14" t="str">
        <f>IF(ELEMENT!AO12="","",DG14*DJ14+DH14*DK14)</f>
        <v/>
      </c>
      <c r="DN14" t="str">
        <f>IF(ELEMENT!AO12="","",DL14*CG14/10^6)</f>
        <v/>
      </c>
      <c r="DP14" t="str">
        <f>IF(ELEMENT!AO12="","",DE14+DN14)</f>
        <v/>
      </c>
      <c r="DR14">
        <f t="shared" si="55"/>
        <v>0</v>
      </c>
      <c r="DS14" t="str">
        <f>IF(ELEMENT!AO12="","",(CI14*(CB14*CP14+CC14*CQ14+CD14*CR14+CE14*CS14)+CG14*(DJ14+DK14))/10^6)</f>
        <v/>
      </c>
      <c r="DT14" t="str">
        <f>IF(ELEMENT!AO12="","",DR14-DS14)</f>
        <v/>
      </c>
      <c r="DV14" t="str">
        <f>IF(ELEMENT!AO12="","",DP14/DS14)</f>
        <v/>
      </c>
      <c r="DX14" t="str">
        <f>IF(ELEMENT!AO12="","",ELEMENT!DI172)</f>
        <v/>
      </c>
      <c r="DY14" t="str">
        <f>IF(ELEMENT!AO12="","",DV14*DS14)</f>
        <v/>
      </c>
      <c r="DZ14" t="str">
        <f>IF(ELEMENT!AO12="","",DX14*DT14)</f>
        <v/>
      </c>
      <c r="EA14" t="str">
        <f>IF(ELEMENT!AO12="","",$EA$3*((2*(CG14-CB14*CP14-CC14*CQ14-CD14*CR14-CE14*CS14)/1000)+2*(CI14/1000)))</f>
        <v/>
      </c>
      <c r="EB14" t="str">
        <f>IF(ELEMENT!AO12="","",$EA$3*((CI14/1000)*(2*(CD14+CE14)))+$EA$3*(2*CF14*CI14/1000))</f>
        <v/>
      </c>
      <c r="EC14">
        <f ca="1">IF(ELEMENT!FY12="",SUM(DY14:EB14),"")</f>
        <v>0</v>
      </c>
      <c r="EE14" t="str">
        <f>IF(ELEMENT!AO12="","",
IF(ELEMENT!FY12="",(EC14/DR14),""))</f>
        <v/>
      </c>
      <c r="EF14" t="str">
        <f t="shared" si="56"/>
        <v/>
      </c>
      <c r="EG14" t="str">
        <f>IF(ELEMENT!AO12="","",EC14*ELEMENT!C12)</f>
        <v/>
      </c>
    </row>
    <row r="15" spans="1:137" ht="21" customHeight="1" x14ac:dyDescent="0.2">
      <c r="A15" s="332">
        <f>ELEMENT!A13</f>
        <v>0</v>
      </c>
      <c r="B15" s="331">
        <f>ELEMENT!B13</f>
        <v>0</v>
      </c>
      <c r="C15" s="330">
        <f>ELEMENT!C13</f>
        <v>0</v>
      </c>
      <c r="D15" s="329">
        <f t="shared" si="8"/>
        <v>0</v>
      </c>
      <c r="E15" s="329">
        <f t="shared" si="9"/>
        <v>0</v>
      </c>
      <c r="F15" s="329" t="str">
        <f t="shared" si="10"/>
        <v/>
      </c>
      <c r="G15" s="317"/>
      <c r="H15" s="328">
        <f t="shared" si="11"/>
        <v>0</v>
      </c>
      <c r="I15" s="328" t="str">
        <f t="shared" si="12"/>
        <v/>
      </c>
      <c r="J15" s="328">
        <f t="shared" si="13"/>
        <v>0</v>
      </c>
      <c r="K15" s="328">
        <f t="shared" si="14"/>
        <v>0</v>
      </c>
      <c r="L15" s="327" t="str">
        <f t="shared" si="15"/>
        <v/>
      </c>
      <c r="M15" s="317"/>
      <c r="N15" s="322" t="str">
        <f t="shared" si="16"/>
        <v/>
      </c>
      <c r="O15" s="322" t="str">
        <f t="shared" si="17"/>
        <v/>
      </c>
      <c r="P15" s="322" t="str">
        <f t="shared" si="18"/>
        <v/>
      </c>
      <c r="Q15" s="322" t="str">
        <f t="shared" si="19"/>
        <v/>
      </c>
      <c r="R15" s="322" t="str">
        <f t="shared" si="20"/>
        <v/>
      </c>
      <c r="S15" s="317"/>
      <c r="T15" s="315" t="str">
        <f t="shared" si="21"/>
        <v/>
      </c>
      <c r="U15" s="315" t="str">
        <f t="shared" si="22"/>
        <v/>
      </c>
      <c r="V15" s="315" t="str">
        <f t="shared" si="23"/>
        <v/>
      </c>
      <c r="W15" s="315" t="str">
        <f t="shared" si="24"/>
        <v/>
      </c>
      <c r="X15" s="317"/>
      <c r="Y15" s="327" t="str">
        <f t="shared" si="25"/>
        <v/>
      </c>
      <c r="Z15" s="327" t="str">
        <f t="shared" si="26"/>
        <v/>
      </c>
      <c r="AA15" s="327" t="str">
        <f t="shared" si="27"/>
        <v/>
      </c>
      <c r="AB15" s="327" t="str">
        <f t="shared" si="28"/>
        <v/>
      </c>
      <c r="AC15" s="317"/>
      <c r="AD15" s="322" t="str">
        <f t="shared" si="29"/>
        <v/>
      </c>
      <c r="AE15" s="322" t="str">
        <f t="shared" si="30"/>
        <v/>
      </c>
      <c r="AF15" s="322" t="str">
        <f t="shared" si="31"/>
        <v/>
      </c>
      <c r="AG15" s="322" t="str">
        <f t="shared" si="32"/>
        <v/>
      </c>
      <c r="AH15" s="322" t="str">
        <f t="shared" si="33"/>
        <v/>
      </c>
      <c r="AI15" s="322"/>
      <c r="AJ15" s="325" t="str">
        <f t="shared" si="34"/>
        <v/>
      </c>
      <c r="AK15" s="316"/>
      <c r="AL15" s="322" t="str">
        <f t="shared" si="35"/>
        <v/>
      </c>
      <c r="AM15" s="322" t="str">
        <f t="shared" si="36"/>
        <v/>
      </c>
      <c r="AN15" s="317"/>
      <c r="AO15" s="326" t="str">
        <f t="shared" si="37"/>
        <v/>
      </c>
      <c r="AP15" s="326" t="str">
        <f t="shared" si="38"/>
        <v/>
      </c>
      <c r="AQ15" s="317"/>
      <c r="AR15" s="322" t="str">
        <f t="shared" si="39"/>
        <v/>
      </c>
      <c r="AS15" s="325" t="str">
        <f t="shared" si="40"/>
        <v/>
      </c>
      <c r="AT15" s="316"/>
      <c r="AU15" s="324" t="str">
        <f t="shared" si="41"/>
        <v/>
      </c>
      <c r="AV15" s="316"/>
      <c r="AW15" s="322">
        <f t="shared" si="42"/>
        <v>0</v>
      </c>
      <c r="AX15" s="322" t="str">
        <f t="shared" si="43"/>
        <v/>
      </c>
      <c r="AY15" s="322" t="str">
        <f t="shared" si="44"/>
        <v/>
      </c>
      <c r="AZ15" s="316"/>
      <c r="BA15" s="321" t="str">
        <f t="shared" si="45"/>
        <v/>
      </c>
      <c r="BB15" s="316"/>
      <c r="BC15" s="323" t="str">
        <f t="shared" si="46"/>
        <v/>
      </c>
      <c r="BD15" s="323" t="str">
        <f>IFERROR(VZ!AB17,"")</f>
        <v/>
      </c>
      <c r="BE15" s="322" t="str">
        <f t="shared" si="47"/>
        <v/>
      </c>
      <c r="BF15" s="322" t="str">
        <f t="shared" si="48"/>
        <v/>
      </c>
      <c r="BG15" s="320" t="str">
        <f t="shared" si="49"/>
        <v/>
      </c>
      <c r="BH15" s="322" t="str">
        <f t="shared" si="50"/>
        <v/>
      </c>
      <c r="BI15" s="321">
        <f t="shared" ca="1" si="51"/>
        <v>0</v>
      </c>
      <c r="BJ15" s="316"/>
      <c r="BK15" s="320" t="str">
        <f t="shared" si="52"/>
        <v/>
      </c>
      <c r="BL15" s="319" t="str">
        <f t="shared" si="53"/>
        <v/>
      </c>
      <c r="BM15" s="318" t="str">
        <f t="shared" si="54"/>
        <v/>
      </c>
      <c r="CB15">
        <f>ELEMENT!R13</f>
        <v>0</v>
      </c>
      <c r="CC15" t="str">
        <f>IF(ELEMENT!AO13="","",(2-CB15-CF15))</f>
        <v/>
      </c>
      <c r="CD15">
        <f>ELEMENT!S13</f>
        <v>0</v>
      </c>
      <c r="CE15">
        <f>ELEMENT!T13</f>
        <v>0</v>
      </c>
      <c r="CF15" t="str">
        <f>IF(ELEMENT!AO13="","",IF(ELEMENT!P13="R",1,IF(ELEMENT!P13="L",1,IF(ELEMENT!P13=2,2,0))))</f>
        <v/>
      </c>
      <c r="CG15">
        <f>ELEMENT!AS13</f>
        <v>0</v>
      </c>
      <c r="CH15">
        <f>ELEMENT!AT13</f>
        <v>0</v>
      </c>
      <c r="CI15" t="str">
        <f>IF(ELEMENT!AO13="","",ELEMENT!AT13-(ELEMENT!L13*CJ$69+ELEMENT!M13*CK$69))</f>
        <v/>
      </c>
      <c r="CK15" t="str">
        <f>IF(ELEMENT!$AO13=1,VLOOKUP($CA$3,$CF$55:$CQ$60,$CG$53,FALSE),"")</f>
        <v/>
      </c>
      <c r="CL15" t="str">
        <f>IF(ELEMENT!$AO13=1,VLOOKUP($CA$3,$CF$55:$CQ$60,$CH$53,FALSE),"")</f>
        <v/>
      </c>
      <c r="CM15" t="str">
        <f>IF(ELEMENT!$AO13=1,VLOOKUP($CA$3,$CF$55:$CQ$60,$CI$53,FALSE),"")</f>
        <v/>
      </c>
      <c r="CN15" t="str">
        <f>IF(ELEMENT!$AO13=1,VLOOKUP($CA$3,$CF$55:$CQ$60,$CJ$53,FALSE),"")</f>
        <v/>
      </c>
      <c r="CO15" t="str">
        <f>IF(ELEMENT!$AO13=1,VLOOKUP($CA$3,$CF$55:$CQ$60,$CK$53,FALSE),"")</f>
        <v/>
      </c>
      <c r="CP15" t="str">
        <f>IF(ELEMENT!$AO13=1,VLOOKUP($CA$3,$CF$55:$CQ$60,$CN$53,FALSE),"")</f>
        <v/>
      </c>
      <c r="CQ15" t="str">
        <f>IF(ELEMENT!$AO13=1,VLOOKUP($CA$3,$CF$55:$CQ$60,$CO$53,FALSE),"")</f>
        <v/>
      </c>
      <c r="CR15" t="str">
        <f>IF(ELEMENT!$AO13=1,VLOOKUP($CA$3,$CF$55:$CQ$60,$CP$53,FALSE),"")</f>
        <v/>
      </c>
      <c r="CS15" t="str">
        <f>IF(ELEMENT!$AO13=1,VLOOKUP($CA$3,$CF$55:$CQ$60,$CQ$53,FALSE),"")</f>
        <v/>
      </c>
      <c r="CU15" t="str">
        <f>IF(ELEMENT!AO13="","",CK15*CP15)</f>
        <v/>
      </c>
      <c r="CV15" t="str">
        <f>IF(ELEMENT!AO13="","",CL15*CQ15)</f>
        <v/>
      </c>
      <c r="CW15" t="str">
        <f>IF(ELEMENT!AO13="","",CM15*CR15)</f>
        <v/>
      </c>
      <c r="CX15" t="str">
        <f>IF(ELEMENT!AO13="","",CN15*CS15)</f>
        <v/>
      </c>
      <c r="CZ15" t="str">
        <f>IF(ELEMENT!AO13="","",CB15*CU15*CI15/10^6)</f>
        <v/>
      </c>
      <c r="DA15" t="str">
        <f>IF(ELEMENT!AO13="","",CC15*CV15*CI15/10^6)</f>
        <v/>
      </c>
      <c r="DB15" t="str">
        <f>IF(ELEMENT!AO13="","",CD15*CW15*CI15/10^6)</f>
        <v/>
      </c>
      <c r="DC15" t="str">
        <f>IF(ELEMENT!AO13="","",CE15*CX15*CI15/10^6)</f>
        <v/>
      </c>
      <c r="DD15" t="str">
        <f>IF(ELEMENT!AO13="","",CO15*CF15*CI15/10^3)</f>
        <v/>
      </c>
      <c r="DE15" t="str">
        <f>IF(ELEMENT!AO13="","",SUM(CZ15:DD15))</f>
        <v/>
      </c>
      <c r="DG15" t="str">
        <f>IF(ELEMENT!$AO13=1,
VLOOKUP($CA$3,$CF$55:$CQ$60,$CL$53,FALSE),"")</f>
        <v/>
      </c>
      <c r="DH15" t="str">
        <f>IF(ELEMENT!$AO13=1,
VLOOKUP($CA$3,$CF$55:$CQ$60,$CM$53,FALSE),"")</f>
        <v/>
      </c>
      <c r="DJ15" t="str">
        <f>IF(ELEMENT!AO13=1,
IF(ELEMENT!L13=0,
VLOOKUP($CA$3,$CF$55:$CS$60,$CS$53,FALSE),
VLOOKUP($CA$3,$CF$55:$CS$60,$CR$53,FALSE)),"")</f>
        <v/>
      </c>
      <c r="DK15" t="str">
        <f>IF(ELEMENT!AO13=1,
IF(ELEMENT!M13=0,
VLOOKUP($CA$3,$CF$55:$CS$60,$CR$53,FALSE),
VLOOKUP($CA$3,$CF$55:$CS$60,$CS$53,FALSE)),"")</f>
        <v/>
      </c>
      <c r="DL15" t="str">
        <f>IF(ELEMENT!AO13="","",DG15*DJ15+DH15*DK15)</f>
        <v/>
      </c>
      <c r="DN15" t="str">
        <f>IF(ELEMENT!AO13="","",DL15*CG15/10^6)</f>
        <v/>
      </c>
      <c r="DP15" t="str">
        <f>IF(ELEMENT!AO13="","",DE15+DN15)</f>
        <v/>
      </c>
      <c r="DR15">
        <f t="shared" si="55"/>
        <v>0</v>
      </c>
      <c r="DS15" t="str">
        <f>IF(ELEMENT!AO13="","",(CI15*(CB15*CP15+CC15*CQ15+CD15*CR15+CE15*CS15)+CG15*(DJ15+DK15))/10^6)</f>
        <v/>
      </c>
      <c r="DT15" t="str">
        <f>IF(ELEMENT!AO13="","",DR15-DS15)</f>
        <v/>
      </c>
      <c r="DV15" t="str">
        <f>IF(ELEMENT!AO13="","",DP15/DS15)</f>
        <v/>
      </c>
      <c r="DX15" t="str">
        <f>IF(ELEMENT!AO13="","",ELEMENT!DI173)</f>
        <v/>
      </c>
      <c r="DY15" t="str">
        <f>IF(ELEMENT!AO13="","",DV15*DS15)</f>
        <v/>
      </c>
      <c r="DZ15" t="str">
        <f>IF(ELEMENT!AO13="","",DX15*DT15)</f>
        <v/>
      </c>
      <c r="EA15" t="str">
        <f>IF(ELEMENT!AO13="","",$EA$3*((2*(CG15-CB15*CP15-CC15*CQ15-CD15*CR15-CE15*CS15)/1000)+2*(CI15/1000)))</f>
        <v/>
      </c>
      <c r="EB15" t="str">
        <f>IF(ELEMENT!AO13="","",$EA$3*((CI15/1000)*(2*(CD15+CE15)))+$EA$3*(2*CF15*CI15/1000))</f>
        <v/>
      </c>
      <c r="EC15">
        <f ca="1">IF(ELEMENT!FY13="",SUM(DY15:EB15),"")</f>
        <v>0</v>
      </c>
      <c r="EE15" t="str">
        <f>IF(ELEMENT!AO13="","",
IF(ELEMENT!FY13="",(EC15/DR15),""))</f>
        <v/>
      </c>
      <c r="EF15" t="str">
        <f t="shared" si="56"/>
        <v/>
      </c>
      <c r="EG15" t="str">
        <f>IF(ELEMENT!AO13="","",EC15*ELEMENT!C13)</f>
        <v/>
      </c>
    </row>
    <row r="16" spans="1:137" ht="21" customHeight="1" x14ac:dyDescent="0.2">
      <c r="A16" s="332">
        <f>ELEMENT!A14</f>
        <v>0</v>
      </c>
      <c r="B16" s="331">
        <f>ELEMENT!B14</f>
        <v>0</v>
      </c>
      <c r="C16" s="330">
        <f>ELEMENT!C14</f>
        <v>0</v>
      </c>
      <c r="D16" s="329">
        <f t="shared" si="8"/>
        <v>0</v>
      </c>
      <c r="E16" s="329">
        <f t="shared" si="9"/>
        <v>0</v>
      </c>
      <c r="F16" s="329" t="str">
        <f t="shared" si="10"/>
        <v/>
      </c>
      <c r="G16" s="317"/>
      <c r="H16" s="328">
        <f t="shared" si="11"/>
        <v>0</v>
      </c>
      <c r="I16" s="328" t="str">
        <f t="shared" si="12"/>
        <v/>
      </c>
      <c r="J16" s="328">
        <f t="shared" si="13"/>
        <v>0</v>
      </c>
      <c r="K16" s="328">
        <f t="shared" si="14"/>
        <v>0</v>
      </c>
      <c r="L16" s="327" t="str">
        <f t="shared" si="15"/>
        <v/>
      </c>
      <c r="M16" s="317"/>
      <c r="N16" s="322" t="str">
        <f t="shared" si="16"/>
        <v/>
      </c>
      <c r="O16" s="322" t="str">
        <f t="shared" si="17"/>
        <v/>
      </c>
      <c r="P16" s="322" t="str">
        <f t="shared" si="18"/>
        <v/>
      </c>
      <c r="Q16" s="322" t="str">
        <f t="shared" si="19"/>
        <v/>
      </c>
      <c r="R16" s="322" t="str">
        <f t="shared" si="20"/>
        <v/>
      </c>
      <c r="S16" s="317"/>
      <c r="T16" s="315" t="str">
        <f t="shared" si="21"/>
        <v/>
      </c>
      <c r="U16" s="315" t="str">
        <f t="shared" si="22"/>
        <v/>
      </c>
      <c r="V16" s="315" t="str">
        <f t="shared" si="23"/>
        <v/>
      </c>
      <c r="W16" s="315" t="str">
        <f t="shared" si="24"/>
        <v/>
      </c>
      <c r="X16" s="317"/>
      <c r="Y16" s="327" t="str">
        <f t="shared" si="25"/>
        <v/>
      </c>
      <c r="Z16" s="327" t="str">
        <f t="shared" si="26"/>
        <v/>
      </c>
      <c r="AA16" s="327" t="str">
        <f t="shared" si="27"/>
        <v/>
      </c>
      <c r="AB16" s="327" t="str">
        <f t="shared" si="28"/>
        <v/>
      </c>
      <c r="AC16" s="317"/>
      <c r="AD16" s="322" t="str">
        <f t="shared" si="29"/>
        <v/>
      </c>
      <c r="AE16" s="322" t="str">
        <f t="shared" si="30"/>
        <v/>
      </c>
      <c r="AF16" s="322" t="str">
        <f t="shared" si="31"/>
        <v/>
      </c>
      <c r="AG16" s="322" t="str">
        <f t="shared" si="32"/>
        <v/>
      </c>
      <c r="AH16" s="322" t="str">
        <f t="shared" si="33"/>
        <v/>
      </c>
      <c r="AI16" s="322"/>
      <c r="AJ16" s="325" t="str">
        <f t="shared" si="34"/>
        <v/>
      </c>
      <c r="AK16" s="316"/>
      <c r="AL16" s="322" t="str">
        <f t="shared" si="35"/>
        <v/>
      </c>
      <c r="AM16" s="322" t="str">
        <f t="shared" si="36"/>
        <v/>
      </c>
      <c r="AN16" s="317"/>
      <c r="AO16" s="326" t="str">
        <f t="shared" si="37"/>
        <v/>
      </c>
      <c r="AP16" s="326" t="str">
        <f t="shared" si="38"/>
        <v/>
      </c>
      <c r="AQ16" s="317"/>
      <c r="AR16" s="322" t="str">
        <f t="shared" si="39"/>
        <v/>
      </c>
      <c r="AS16" s="325" t="str">
        <f t="shared" si="40"/>
        <v/>
      </c>
      <c r="AT16" s="316"/>
      <c r="AU16" s="324" t="str">
        <f t="shared" si="41"/>
        <v/>
      </c>
      <c r="AV16" s="316"/>
      <c r="AW16" s="322">
        <f t="shared" si="42"/>
        <v>0</v>
      </c>
      <c r="AX16" s="322" t="str">
        <f t="shared" si="43"/>
        <v/>
      </c>
      <c r="AY16" s="322" t="str">
        <f t="shared" si="44"/>
        <v/>
      </c>
      <c r="AZ16" s="316"/>
      <c r="BA16" s="321" t="str">
        <f t="shared" si="45"/>
        <v/>
      </c>
      <c r="BB16" s="316"/>
      <c r="BC16" s="323" t="str">
        <f t="shared" si="46"/>
        <v/>
      </c>
      <c r="BD16" s="323" t="str">
        <f>IFERROR(VZ!AB18,"")</f>
        <v/>
      </c>
      <c r="BE16" s="322" t="str">
        <f t="shared" si="47"/>
        <v/>
      </c>
      <c r="BF16" s="322" t="str">
        <f t="shared" si="48"/>
        <v/>
      </c>
      <c r="BG16" s="320" t="str">
        <f t="shared" si="49"/>
        <v/>
      </c>
      <c r="BH16" s="322" t="str">
        <f t="shared" si="50"/>
        <v/>
      </c>
      <c r="BI16" s="321">
        <f t="shared" ca="1" si="51"/>
        <v>0</v>
      </c>
      <c r="BJ16" s="316"/>
      <c r="BK16" s="320" t="str">
        <f t="shared" si="52"/>
        <v/>
      </c>
      <c r="BL16" s="319" t="str">
        <f t="shared" si="53"/>
        <v/>
      </c>
      <c r="BM16" s="318" t="str">
        <f t="shared" si="54"/>
        <v/>
      </c>
      <c r="CB16">
        <f>ELEMENT!R14</f>
        <v>0</v>
      </c>
      <c r="CC16" t="str">
        <f>IF(ELEMENT!AO14="","",(2-CB16-CF16))</f>
        <v/>
      </c>
      <c r="CD16">
        <f>ELEMENT!S14</f>
        <v>0</v>
      </c>
      <c r="CE16">
        <f>ELEMENT!T14</f>
        <v>0</v>
      </c>
      <c r="CF16" t="str">
        <f>IF(ELEMENT!AO14="","",IF(ELEMENT!P14="R",1,IF(ELEMENT!P14="L",1,IF(ELEMENT!P14=2,2,0))))</f>
        <v/>
      </c>
      <c r="CG16">
        <f>ELEMENT!AS14</f>
        <v>0</v>
      </c>
      <c r="CH16">
        <f>ELEMENT!AT14</f>
        <v>0</v>
      </c>
      <c r="CI16" t="str">
        <f>IF(ELEMENT!AO14="","",ELEMENT!AT14-(ELEMENT!L14*CJ$69+ELEMENT!M14*CK$69))</f>
        <v/>
      </c>
      <c r="CK16" t="str">
        <f>IF(ELEMENT!$AO14=1,VLOOKUP($CA$3,$CF$55:$CQ$60,$CG$53,FALSE),"")</f>
        <v/>
      </c>
      <c r="CL16" t="str">
        <f>IF(ELEMENT!$AO14=1,VLOOKUP($CA$3,$CF$55:$CQ$60,$CH$53,FALSE),"")</f>
        <v/>
      </c>
      <c r="CM16" t="str">
        <f>IF(ELEMENT!$AO14=1,VLOOKUP($CA$3,$CF$55:$CQ$60,$CI$53,FALSE),"")</f>
        <v/>
      </c>
      <c r="CN16" t="str">
        <f>IF(ELEMENT!$AO14=1,VLOOKUP($CA$3,$CF$55:$CQ$60,$CJ$53,FALSE),"")</f>
        <v/>
      </c>
      <c r="CO16" t="str">
        <f>IF(ELEMENT!$AO14=1,VLOOKUP($CA$3,$CF$55:$CQ$60,$CK$53,FALSE),"")</f>
        <v/>
      </c>
      <c r="CP16" t="str">
        <f>IF(ELEMENT!$AO14=1,VLOOKUP($CA$3,$CF$55:$CQ$60,$CN$53,FALSE),"")</f>
        <v/>
      </c>
      <c r="CQ16" t="str">
        <f>IF(ELEMENT!$AO14=1,VLOOKUP($CA$3,$CF$55:$CQ$60,$CO$53,FALSE),"")</f>
        <v/>
      </c>
      <c r="CR16" t="str">
        <f>IF(ELEMENT!$AO14=1,VLOOKUP($CA$3,$CF$55:$CQ$60,$CP$53,FALSE),"")</f>
        <v/>
      </c>
      <c r="CS16" t="str">
        <f>IF(ELEMENT!$AO14=1,VLOOKUP($CA$3,$CF$55:$CQ$60,$CQ$53,FALSE),"")</f>
        <v/>
      </c>
      <c r="CU16" t="str">
        <f>IF(ELEMENT!AO14="","",CK16*CP16)</f>
        <v/>
      </c>
      <c r="CV16" t="str">
        <f>IF(ELEMENT!AO14="","",CL16*CQ16)</f>
        <v/>
      </c>
      <c r="CW16" t="str">
        <f>IF(ELEMENT!AO14="","",CM16*CR16)</f>
        <v/>
      </c>
      <c r="CX16" t="str">
        <f>IF(ELEMENT!AO14="","",CN16*CS16)</f>
        <v/>
      </c>
      <c r="CZ16" t="str">
        <f>IF(ELEMENT!AO14="","",CB16*CU16*CI16/10^6)</f>
        <v/>
      </c>
      <c r="DA16" t="str">
        <f>IF(ELEMENT!AO14="","",CC16*CV16*CI16/10^6)</f>
        <v/>
      </c>
      <c r="DB16" t="str">
        <f>IF(ELEMENT!AO14="","",CD16*CW16*CI16/10^6)</f>
        <v/>
      </c>
      <c r="DC16" t="str">
        <f>IF(ELEMENT!AO14="","",CE16*CX16*CI16/10^6)</f>
        <v/>
      </c>
      <c r="DD16" t="str">
        <f>IF(ELEMENT!AO14="","",CO16*CF16*CI16/10^3)</f>
        <v/>
      </c>
      <c r="DE16" t="str">
        <f>IF(ELEMENT!AO14="","",SUM(CZ16:DD16))</f>
        <v/>
      </c>
      <c r="DG16" t="str">
        <f>IF(ELEMENT!$AO14=1,
VLOOKUP($CA$3,$CF$55:$CQ$60,$CL$53,FALSE),"")</f>
        <v/>
      </c>
      <c r="DH16" t="str">
        <f>IF(ELEMENT!$AO14=1,
VLOOKUP($CA$3,$CF$55:$CQ$60,$CM$53,FALSE),"")</f>
        <v/>
      </c>
      <c r="DJ16" t="str">
        <f>IF(ELEMENT!AO14=1,
IF(ELEMENT!L14=0,
VLOOKUP($CA$3,$CF$55:$CS$60,$CS$53,FALSE),
VLOOKUP($CA$3,$CF$55:$CS$60,$CR$53,FALSE)),"")</f>
        <v/>
      </c>
      <c r="DK16" t="str">
        <f>IF(ELEMENT!AO14=1,
IF(ELEMENT!M14=0,
VLOOKUP($CA$3,$CF$55:$CS$60,$CR$53,FALSE),
VLOOKUP($CA$3,$CF$55:$CS$60,$CS$53,FALSE)),"")</f>
        <v/>
      </c>
      <c r="DL16" t="str">
        <f>IF(ELEMENT!AO14="","",DG16*DJ16+DH16*DK16)</f>
        <v/>
      </c>
      <c r="DN16" t="str">
        <f>IF(ELEMENT!AO14="","",DL16*CG16/10^6)</f>
        <v/>
      </c>
      <c r="DP16" t="str">
        <f>IF(ELEMENT!AO14="","",DE16+DN16)</f>
        <v/>
      </c>
      <c r="DR16">
        <f t="shared" si="55"/>
        <v>0</v>
      </c>
      <c r="DS16" t="str">
        <f>IF(ELEMENT!AO14="","",(CI16*(CB16*CP16+CC16*CQ16+CD16*CR16+CE16*CS16)+CG16*(DJ16+DK16))/10^6)</f>
        <v/>
      </c>
      <c r="DT16" t="str">
        <f>IF(ELEMENT!AO14="","",DR16-DS16)</f>
        <v/>
      </c>
      <c r="DV16" t="str">
        <f>IF(ELEMENT!AO14="","",DP16/DS16)</f>
        <v/>
      </c>
      <c r="DX16" t="str">
        <f>IF(ELEMENT!AO14="","",ELEMENT!DI174)</f>
        <v/>
      </c>
      <c r="DY16" t="str">
        <f>IF(ELEMENT!AO14="","",DV16*DS16)</f>
        <v/>
      </c>
      <c r="DZ16" t="str">
        <f>IF(ELEMENT!AO14="","",DX16*DT16)</f>
        <v/>
      </c>
      <c r="EA16" t="str">
        <f>IF(ELEMENT!AO14="","",$EA$3*((2*(CG16-CB16*CP16-CC16*CQ16-CD16*CR16-CE16*CS16)/1000)+2*(CI16/1000)))</f>
        <v/>
      </c>
      <c r="EB16" t="str">
        <f>IF(ELEMENT!AO14="","",$EA$3*((CI16/1000)*(2*(CD16+CE16)))+$EA$3*(2*CF16*CI16/1000))</f>
        <v/>
      </c>
      <c r="EC16">
        <f ca="1">IF(ELEMENT!FY14="",SUM(DY16:EB16),"")</f>
        <v>0</v>
      </c>
      <c r="EE16" t="str">
        <f>IF(ELEMENT!AO14="","",
IF(ELEMENT!FY14="",(EC16/DR16),""))</f>
        <v/>
      </c>
      <c r="EF16" t="str">
        <f t="shared" si="56"/>
        <v/>
      </c>
      <c r="EG16" t="str">
        <f>IF(ELEMENT!AO14="","",EC16*ELEMENT!C14)</f>
        <v/>
      </c>
    </row>
    <row r="17" spans="1:137" ht="21" customHeight="1" x14ac:dyDescent="0.2">
      <c r="A17" s="332">
        <f>ELEMENT!A15</f>
        <v>0</v>
      </c>
      <c r="B17" s="331">
        <f>ELEMENT!B15</f>
        <v>0</v>
      </c>
      <c r="C17" s="330">
        <f>ELEMENT!C15</f>
        <v>0</v>
      </c>
      <c r="D17" s="329">
        <f t="shared" si="8"/>
        <v>0</v>
      </c>
      <c r="E17" s="329">
        <f t="shared" si="9"/>
        <v>0</v>
      </c>
      <c r="F17" s="329" t="str">
        <f t="shared" si="10"/>
        <v/>
      </c>
      <c r="G17" s="317"/>
      <c r="H17" s="328">
        <f t="shared" si="11"/>
        <v>0</v>
      </c>
      <c r="I17" s="328" t="str">
        <f t="shared" si="12"/>
        <v/>
      </c>
      <c r="J17" s="328">
        <f t="shared" si="13"/>
        <v>0</v>
      </c>
      <c r="K17" s="328">
        <f t="shared" si="14"/>
        <v>0</v>
      </c>
      <c r="L17" s="327" t="str">
        <f t="shared" si="15"/>
        <v/>
      </c>
      <c r="M17" s="317"/>
      <c r="N17" s="322" t="str">
        <f t="shared" si="16"/>
        <v/>
      </c>
      <c r="O17" s="322" t="str">
        <f t="shared" si="17"/>
        <v/>
      </c>
      <c r="P17" s="322" t="str">
        <f t="shared" si="18"/>
        <v/>
      </c>
      <c r="Q17" s="322" t="str">
        <f t="shared" si="19"/>
        <v/>
      </c>
      <c r="R17" s="322" t="str">
        <f t="shared" si="20"/>
        <v/>
      </c>
      <c r="S17" s="317"/>
      <c r="T17" s="315" t="str">
        <f t="shared" si="21"/>
        <v/>
      </c>
      <c r="U17" s="315" t="str">
        <f t="shared" si="22"/>
        <v/>
      </c>
      <c r="V17" s="315" t="str">
        <f t="shared" si="23"/>
        <v/>
      </c>
      <c r="W17" s="315" t="str">
        <f t="shared" si="24"/>
        <v/>
      </c>
      <c r="X17" s="317"/>
      <c r="Y17" s="327" t="str">
        <f t="shared" si="25"/>
        <v/>
      </c>
      <c r="Z17" s="327" t="str">
        <f t="shared" si="26"/>
        <v/>
      </c>
      <c r="AA17" s="327" t="str">
        <f t="shared" si="27"/>
        <v/>
      </c>
      <c r="AB17" s="327" t="str">
        <f t="shared" si="28"/>
        <v/>
      </c>
      <c r="AC17" s="317"/>
      <c r="AD17" s="322" t="str">
        <f t="shared" si="29"/>
        <v/>
      </c>
      <c r="AE17" s="322" t="str">
        <f t="shared" si="30"/>
        <v/>
      </c>
      <c r="AF17" s="322" t="str">
        <f t="shared" si="31"/>
        <v/>
      </c>
      <c r="AG17" s="322" t="str">
        <f t="shared" si="32"/>
        <v/>
      </c>
      <c r="AH17" s="322" t="str">
        <f t="shared" si="33"/>
        <v/>
      </c>
      <c r="AI17" s="322"/>
      <c r="AJ17" s="325" t="str">
        <f t="shared" si="34"/>
        <v/>
      </c>
      <c r="AK17" s="316"/>
      <c r="AL17" s="322" t="str">
        <f t="shared" si="35"/>
        <v/>
      </c>
      <c r="AM17" s="322" t="str">
        <f t="shared" si="36"/>
        <v/>
      </c>
      <c r="AN17" s="317"/>
      <c r="AO17" s="326" t="str">
        <f t="shared" si="37"/>
        <v/>
      </c>
      <c r="AP17" s="326" t="str">
        <f t="shared" si="38"/>
        <v/>
      </c>
      <c r="AQ17" s="317"/>
      <c r="AR17" s="322" t="str">
        <f t="shared" si="39"/>
        <v/>
      </c>
      <c r="AS17" s="325" t="str">
        <f t="shared" si="40"/>
        <v/>
      </c>
      <c r="AT17" s="316"/>
      <c r="AU17" s="324" t="str">
        <f t="shared" si="41"/>
        <v/>
      </c>
      <c r="AV17" s="316"/>
      <c r="AW17" s="322">
        <f t="shared" si="42"/>
        <v>0</v>
      </c>
      <c r="AX17" s="322" t="str">
        <f t="shared" si="43"/>
        <v/>
      </c>
      <c r="AY17" s="322" t="str">
        <f t="shared" si="44"/>
        <v/>
      </c>
      <c r="AZ17" s="316"/>
      <c r="BA17" s="321" t="str">
        <f t="shared" si="45"/>
        <v/>
      </c>
      <c r="BB17" s="316"/>
      <c r="BC17" s="323" t="str">
        <f t="shared" si="46"/>
        <v/>
      </c>
      <c r="BD17" s="323" t="str">
        <f>IFERROR(VZ!AB19,"")</f>
        <v/>
      </c>
      <c r="BE17" s="322" t="str">
        <f t="shared" si="47"/>
        <v/>
      </c>
      <c r="BF17" s="322" t="str">
        <f t="shared" si="48"/>
        <v/>
      </c>
      <c r="BG17" s="320" t="str">
        <f t="shared" si="49"/>
        <v/>
      </c>
      <c r="BH17" s="322" t="str">
        <f t="shared" si="50"/>
        <v/>
      </c>
      <c r="BI17" s="321">
        <f t="shared" ca="1" si="51"/>
        <v>0</v>
      </c>
      <c r="BJ17" s="316"/>
      <c r="BK17" s="320" t="str">
        <f t="shared" si="52"/>
        <v/>
      </c>
      <c r="BL17" s="319" t="str">
        <f t="shared" si="53"/>
        <v/>
      </c>
      <c r="BM17" s="318" t="str">
        <f t="shared" si="54"/>
        <v/>
      </c>
      <c r="CB17">
        <f>ELEMENT!R15</f>
        <v>0</v>
      </c>
      <c r="CC17" t="str">
        <f>IF(ELEMENT!AO15="","",(2-CB17-CF17))</f>
        <v/>
      </c>
      <c r="CD17">
        <f>ELEMENT!S15</f>
        <v>0</v>
      </c>
      <c r="CE17">
        <f>ELEMENT!T15</f>
        <v>0</v>
      </c>
      <c r="CF17" t="str">
        <f>IF(ELEMENT!AO15="","",IF(ELEMENT!P15="R",1,IF(ELEMENT!P15="L",1,IF(ELEMENT!P15=2,2,0))))</f>
        <v/>
      </c>
      <c r="CG17">
        <f>ELEMENT!AS15</f>
        <v>0</v>
      </c>
      <c r="CH17">
        <f>ELEMENT!AT15</f>
        <v>0</v>
      </c>
      <c r="CI17" t="str">
        <f>IF(ELEMENT!AO15="","",ELEMENT!AT15-(ELEMENT!L15*CJ$69+ELEMENT!M15*CK$69))</f>
        <v/>
      </c>
      <c r="CK17" t="str">
        <f>IF(ELEMENT!$AO15=1,VLOOKUP($CA$3,$CF$55:$CQ$60,$CG$53,FALSE),"")</f>
        <v/>
      </c>
      <c r="CL17" t="str">
        <f>IF(ELEMENT!$AO15=1,VLOOKUP($CA$3,$CF$55:$CQ$60,$CH$53,FALSE),"")</f>
        <v/>
      </c>
      <c r="CM17" t="str">
        <f>IF(ELEMENT!$AO15=1,VLOOKUP($CA$3,$CF$55:$CQ$60,$CI$53,FALSE),"")</f>
        <v/>
      </c>
      <c r="CN17" t="str">
        <f>IF(ELEMENT!$AO15=1,VLOOKUP($CA$3,$CF$55:$CQ$60,$CJ$53,FALSE),"")</f>
        <v/>
      </c>
      <c r="CO17" t="str">
        <f>IF(ELEMENT!$AO15=1,VLOOKUP($CA$3,$CF$55:$CQ$60,$CK$53,FALSE),"")</f>
        <v/>
      </c>
      <c r="CP17" t="str">
        <f>IF(ELEMENT!$AO15=1,VLOOKUP($CA$3,$CF$55:$CQ$60,$CN$53,FALSE),"")</f>
        <v/>
      </c>
      <c r="CQ17" t="str">
        <f>IF(ELEMENT!$AO15=1,VLOOKUP($CA$3,$CF$55:$CQ$60,$CO$53,FALSE),"")</f>
        <v/>
      </c>
      <c r="CR17" t="str">
        <f>IF(ELEMENT!$AO15=1,VLOOKUP($CA$3,$CF$55:$CQ$60,$CP$53,FALSE),"")</f>
        <v/>
      </c>
      <c r="CS17" t="str">
        <f>IF(ELEMENT!$AO15=1,VLOOKUP($CA$3,$CF$55:$CQ$60,$CQ$53,FALSE),"")</f>
        <v/>
      </c>
      <c r="CU17" t="str">
        <f>IF(ELEMENT!AO15="","",CK17*CP17)</f>
        <v/>
      </c>
      <c r="CV17" t="str">
        <f>IF(ELEMENT!AO15="","",CL17*CQ17)</f>
        <v/>
      </c>
      <c r="CW17" t="str">
        <f>IF(ELEMENT!AO15="","",CM17*CR17)</f>
        <v/>
      </c>
      <c r="CX17" t="str">
        <f>IF(ELEMENT!AO15="","",CN17*CS17)</f>
        <v/>
      </c>
      <c r="CZ17" t="str">
        <f>IF(ELEMENT!AO15="","",CB17*CU17*CI17/10^6)</f>
        <v/>
      </c>
      <c r="DA17" t="str">
        <f>IF(ELEMENT!AO15="","",CC17*CV17*CI17/10^6)</f>
        <v/>
      </c>
      <c r="DB17" t="str">
        <f>IF(ELEMENT!AO15="","",CD17*CW17*CI17/10^6)</f>
        <v/>
      </c>
      <c r="DC17" t="str">
        <f>IF(ELEMENT!AO15="","",CE17*CX17*CI17/10^6)</f>
        <v/>
      </c>
      <c r="DD17" t="str">
        <f>IF(ELEMENT!AO15="","",CO17*CF17*CI17/10^3)</f>
        <v/>
      </c>
      <c r="DE17" t="str">
        <f>IF(ELEMENT!AO15="","",SUM(CZ17:DD17))</f>
        <v/>
      </c>
      <c r="DG17" t="str">
        <f>IF(ELEMENT!$AO15=1,
VLOOKUP($CA$3,$CF$55:$CQ$60,$CL$53,FALSE),"")</f>
        <v/>
      </c>
      <c r="DH17" t="str">
        <f>IF(ELEMENT!$AO15=1,
VLOOKUP($CA$3,$CF$55:$CQ$60,$CM$53,FALSE),"")</f>
        <v/>
      </c>
      <c r="DJ17" t="str">
        <f>IF(ELEMENT!AO15=1,
IF(ELEMENT!L15=0,
VLOOKUP($CA$3,$CF$55:$CS$60,$CS$53,FALSE),
VLOOKUP($CA$3,$CF$55:$CS$60,$CR$53,FALSE)),"")</f>
        <v/>
      </c>
      <c r="DK17" t="str">
        <f>IF(ELEMENT!AO15=1,
IF(ELEMENT!M15=0,
VLOOKUP($CA$3,$CF$55:$CS$60,$CR$53,FALSE),
VLOOKUP($CA$3,$CF$55:$CS$60,$CS$53,FALSE)),"")</f>
        <v/>
      </c>
      <c r="DL17" t="str">
        <f>IF(ELEMENT!AO15="","",DG17*DJ17+DH17*DK17)</f>
        <v/>
      </c>
      <c r="DN17" t="str">
        <f>IF(ELEMENT!AO15="","",DL17*CG17/10^6)</f>
        <v/>
      </c>
      <c r="DP17" t="str">
        <f>IF(ELEMENT!AO15="","",DE17+DN17)</f>
        <v/>
      </c>
      <c r="DR17">
        <f t="shared" si="55"/>
        <v>0</v>
      </c>
      <c r="DS17" t="str">
        <f>IF(ELEMENT!AO15="","",(CI17*(CB17*CP17+CC17*CQ17+CD17*CR17+CE17*CS17)+CG17*(DJ17+DK17))/10^6)</f>
        <v/>
      </c>
      <c r="DT17" t="str">
        <f>IF(ELEMENT!AO15="","",DR17-DS17)</f>
        <v/>
      </c>
      <c r="DV17" t="str">
        <f>IF(ELEMENT!AO15="","",DP17/DS17)</f>
        <v/>
      </c>
      <c r="DX17" t="str">
        <f>IF(ELEMENT!AO15="","",ELEMENT!DI175)</f>
        <v/>
      </c>
      <c r="DY17" t="str">
        <f>IF(ELEMENT!AO15="","",DV17*DS17)</f>
        <v/>
      </c>
      <c r="DZ17" t="str">
        <f>IF(ELEMENT!AO15="","",DX17*DT17)</f>
        <v/>
      </c>
      <c r="EA17" t="str">
        <f>IF(ELEMENT!AO15="","",$EA$3*((2*(CG17-CB17*CP17-CC17*CQ17-CD17*CR17-CE17*CS17)/1000)+2*(CI17/1000)))</f>
        <v/>
      </c>
      <c r="EB17" t="str">
        <f>IF(ELEMENT!AO15="","",$EA$3*((CI17/1000)*(2*(CD17+CE17)))+$EA$3*(2*CF17*CI17/1000))</f>
        <v/>
      </c>
      <c r="EC17">
        <f ca="1">IF(ELEMENT!FY15="",SUM(DY17:EB17),"")</f>
        <v>0</v>
      </c>
      <c r="EE17" t="str">
        <f>IF(ELEMENT!AO15="","",
IF(ELEMENT!FY15="",(EC17/DR17),""))</f>
        <v/>
      </c>
      <c r="EF17" t="str">
        <f t="shared" si="56"/>
        <v/>
      </c>
      <c r="EG17" t="str">
        <f>IF(ELEMENT!AO15="","",EC17*ELEMENT!C15)</f>
        <v/>
      </c>
    </row>
    <row r="18" spans="1:137" ht="21" customHeight="1" x14ac:dyDescent="0.2">
      <c r="A18" s="332">
        <f>ELEMENT!A16</f>
        <v>0</v>
      </c>
      <c r="B18" s="331">
        <f>ELEMENT!B16</f>
        <v>0</v>
      </c>
      <c r="C18" s="330">
        <f>ELEMENT!C16</f>
        <v>0</v>
      </c>
      <c r="D18" s="329">
        <f t="shared" si="8"/>
        <v>0</v>
      </c>
      <c r="E18" s="329">
        <f t="shared" si="9"/>
        <v>0</v>
      </c>
      <c r="F18" s="329" t="str">
        <f t="shared" si="10"/>
        <v/>
      </c>
      <c r="G18" s="317"/>
      <c r="H18" s="328">
        <f t="shared" si="11"/>
        <v>0</v>
      </c>
      <c r="I18" s="328" t="str">
        <f t="shared" si="12"/>
        <v/>
      </c>
      <c r="J18" s="328">
        <f t="shared" si="13"/>
        <v>0</v>
      </c>
      <c r="K18" s="328">
        <f t="shared" si="14"/>
        <v>0</v>
      </c>
      <c r="L18" s="327" t="str">
        <f t="shared" si="15"/>
        <v/>
      </c>
      <c r="M18" s="317"/>
      <c r="N18" s="322" t="str">
        <f t="shared" si="16"/>
        <v/>
      </c>
      <c r="O18" s="322" t="str">
        <f t="shared" si="17"/>
        <v/>
      </c>
      <c r="P18" s="322" t="str">
        <f t="shared" si="18"/>
        <v/>
      </c>
      <c r="Q18" s="322" t="str">
        <f t="shared" si="19"/>
        <v/>
      </c>
      <c r="R18" s="322" t="str">
        <f t="shared" si="20"/>
        <v/>
      </c>
      <c r="S18" s="317"/>
      <c r="T18" s="315" t="str">
        <f t="shared" si="21"/>
        <v/>
      </c>
      <c r="U18" s="315" t="str">
        <f t="shared" si="22"/>
        <v/>
      </c>
      <c r="V18" s="315" t="str">
        <f t="shared" si="23"/>
        <v/>
      </c>
      <c r="W18" s="315" t="str">
        <f t="shared" si="24"/>
        <v/>
      </c>
      <c r="X18" s="317"/>
      <c r="Y18" s="327" t="str">
        <f t="shared" si="25"/>
        <v/>
      </c>
      <c r="Z18" s="327" t="str">
        <f t="shared" si="26"/>
        <v/>
      </c>
      <c r="AA18" s="327" t="str">
        <f t="shared" si="27"/>
        <v/>
      </c>
      <c r="AB18" s="327" t="str">
        <f t="shared" si="28"/>
        <v/>
      </c>
      <c r="AC18" s="317"/>
      <c r="AD18" s="322" t="str">
        <f t="shared" si="29"/>
        <v/>
      </c>
      <c r="AE18" s="322" t="str">
        <f t="shared" si="30"/>
        <v/>
      </c>
      <c r="AF18" s="322" t="str">
        <f t="shared" si="31"/>
        <v/>
      </c>
      <c r="AG18" s="322" t="str">
        <f t="shared" si="32"/>
        <v/>
      </c>
      <c r="AH18" s="322" t="str">
        <f t="shared" si="33"/>
        <v/>
      </c>
      <c r="AI18" s="322"/>
      <c r="AJ18" s="325" t="str">
        <f t="shared" si="34"/>
        <v/>
      </c>
      <c r="AK18" s="316"/>
      <c r="AL18" s="322" t="str">
        <f t="shared" si="35"/>
        <v/>
      </c>
      <c r="AM18" s="322" t="str">
        <f t="shared" si="36"/>
        <v/>
      </c>
      <c r="AN18" s="317"/>
      <c r="AO18" s="326" t="str">
        <f t="shared" si="37"/>
        <v/>
      </c>
      <c r="AP18" s="326" t="str">
        <f t="shared" si="38"/>
        <v/>
      </c>
      <c r="AQ18" s="317"/>
      <c r="AR18" s="322" t="str">
        <f t="shared" si="39"/>
        <v/>
      </c>
      <c r="AS18" s="325" t="str">
        <f t="shared" si="40"/>
        <v/>
      </c>
      <c r="AT18" s="316"/>
      <c r="AU18" s="324" t="str">
        <f t="shared" si="41"/>
        <v/>
      </c>
      <c r="AV18" s="316"/>
      <c r="AW18" s="322">
        <f t="shared" si="42"/>
        <v>0</v>
      </c>
      <c r="AX18" s="322" t="str">
        <f t="shared" si="43"/>
        <v/>
      </c>
      <c r="AY18" s="322" t="str">
        <f t="shared" si="44"/>
        <v/>
      </c>
      <c r="AZ18" s="316"/>
      <c r="BA18" s="321" t="str">
        <f t="shared" si="45"/>
        <v/>
      </c>
      <c r="BB18" s="316"/>
      <c r="BC18" s="323" t="str">
        <f t="shared" si="46"/>
        <v/>
      </c>
      <c r="BD18" s="323" t="str">
        <f>IFERROR(VZ!AB20,"")</f>
        <v/>
      </c>
      <c r="BE18" s="322" t="str">
        <f t="shared" si="47"/>
        <v/>
      </c>
      <c r="BF18" s="322" t="str">
        <f t="shared" si="48"/>
        <v/>
      </c>
      <c r="BG18" s="320" t="str">
        <f t="shared" si="49"/>
        <v/>
      </c>
      <c r="BH18" s="322" t="str">
        <f t="shared" si="50"/>
        <v/>
      </c>
      <c r="BI18" s="321">
        <f t="shared" ca="1" si="51"/>
        <v>0</v>
      </c>
      <c r="BJ18" s="316"/>
      <c r="BK18" s="320" t="str">
        <f t="shared" si="52"/>
        <v/>
      </c>
      <c r="BL18" s="319" t="str">
        <f t="shared" si="53"/>
        <v/>
      </c>
      <c r="BM18" s="318" t="str">
        <f t="shared" si="54"/>
        <v/>
      </c>
      <c r="CB18">
        <f>ELEMENT!R16</f>
        <v>0</v>
      </c>
      <c r="CC18" t="str">
        <f>IF(ELEMENT!AO16="","",(2-CB18-CF18))</f>
        <v/>
      </c>
      <c r="CD18">
        <f>ELEMENT!S16</f>
        <v>0</v>
      </c>
      <c r="CE18">
        <f>ELEMENT!T16</f>
        <v>0</v>
      </c>
      <c r="CF18" t="str">
        <f>IF(ELEMENT!AO16="","",IF(ELEMENT!P16="R",1,IF(ELEMENT!P16="L",1,IF(ELEMENT!P16=2,2,0))))</f>
        <v/>
      </c>
      <c r="CG18">
        <f>ELEMENT!AS16</f>
        <v>0</v>
      </c>
      <c r="CH18">
        <f>ELEMENT!AT16</f>
        <v>0</v>
      </c>
      <c r="CI18" t="str">
        <f>IF(ELEMENT!AO16="","",ELEMENT!AT16-(ELEMENT!L16*CJ$69+ELEMENT!M16*CK$69))</f>
        <v/>
      </c>
      <c r="CK18" t="str">
        <f>IF(ELEMENT!$AO16=1,VLOOKUP($CA$3,$CF$55:$CQ$60,$CG$53,FALSE),"")</f>
        <v/>
      </c>
      <c r="CL18" t="str">
        <f>IF(ELEMENT!$AO16=1,VLOOKUP($CA$3,$CF$55:$CQ$60,$CH$53,FALSE),"")</f>
        <v/>
      </c>
      <c r="CM18" t="str">
        <f>IF(ELEMENT!$AO16=1,VLOOKUP($CA$3,$CF$55:$CQ$60,$CI$53,FALSE),"")</f>
        <v/>
      </c>
      <c r="CN18" t="str">
        <f>IF(ELEMENT!$AO16=1,VLOOKUP($CA$3,$CF$55:$CQ$60,$CJ$53,FALSE),"")</f>
        <v/>
      </c>
      <c r="CO18" t="str">
        <f>IF(ELEMENT!$AO16=1,VLOOKUP($CA$3,$CF$55:$CQ$60,$CK$53,FALSE),"")</f>
        <v/>
      </c>
      <c r="CP18" t="str">
        <f>IF(ELEMENT!$AO16=1,VLOOKUP($CA$3,$CF$55:$CQ$60,$CN$53,FALSE),"")</f>
        <v/>
      </c>
      <c r="CQ18" t="str">
        <f>IF(ELEMENT!$AO16=1,VLOOKUP($CA$3,$CF$55:$CQ$60,$CO$53,FALSE),"")</f>
        <v/>
      </c>
      <c r="CR18" t="str">
        <f>IF(ELEMENT!$AO16=1,VLOOKUP($CA$3,$CF$55:$CQ$60,$CP$53,FALSE),"")</f>
        <v/>
      </c>
      <c r="CS18" t="str">
        <f>IF(ELEMENT!$AO16=1,VLOOKUP($CA$3,$CF$55:$CQ$60,$CQ$53,FALSE),"")</f>
        <v/>
      </c>
      <c r="CU18" t="str">
        <f>IF(ELEMENT!AO16="","",CK18*CP18)</f>
        <v/>
      </c>
      <c r="CV18" t="str">
        <f>IF(ELEMENT!AO16="","",CL18*CQ18)</f>
        <v/>
      </c>
      <c r="CW18" t="str">
        <f>IF(ELEMENT!AO16="","",CM18*CR18)</f>
        <v/>
      </c>
      <c r="CX18" t="str">
        <f>IF(ELEMENT!AO16="","",CN18*CS18)</f>
        <v/>
      </c>
      <c r="CZ18" t="str">
        <f>IF(ELEMENT!AO16="","",CB18*CU18*CI18/10^6)</f>
        <v/>
      </c>
      <c r="DA18" t="str">
        <f>IF(ELEMENT!AO16="","",CC18*CV18*CI18/10^6)</f>
        <v/>
      </c>
      <c r="DB18" t="str">
        <f>IF(ELEMENT!AO16="","",CD18*CW18*CI18/10^6)</f>
        <v/>
      </c>
      <c r="DC18" t="str">
        <f>IF(ELEMENT!AO16="","",CE18*CX18*CI18/10^6)</f>
        <v/>
      </c>
      <c r="DD18" t="str">
        <f>IF(ELEMENT!AO16="","",CO18*CF18*CI18/10^3)</f>
        <v/>
      </c>
      <c r="DE18" t="str">
        <f>IF(ELEMENT!AO16="","",SUM(CZ18:DD18))</f>
        <v/>
      </c>
      <c r="DG18" t="str">
        <f>IF(ELEMENT!$AO16=1,
VLOOKUP($CA$3,$CF$55:$CQ$60,$CL$53,FALSE),"")</f>
        <v/>
      </c>
      <c r="DH18" t="str">
        <f>IF(ELEMENT!$AO16=1,
VLOOKUP($CA$3,$CF$55:$CQ$60,$CM$53,FALSE),"")</f>
        <v/>
      </c>
      <c r="DJ18" t="str">
        <f>IF(ELEMENT!AO16=1,
IF(ELEMENT!L16=0,
VLOOKUP($CA$3,$CF$55:$CS$60,$CS$53,FALSE),
VLOOKUP($CA$3,$CF$55:$CS$60,$CR$53,FALSE)),"")</f>
        <v/>
      </c>
      <c r="DK18" t="str">
        <f>IF(ELEMENT!AO16=1,
IF(ELEMENT!M16=0,
VLOOKUP($CA$3,$CF$55:$CS$60,$CR$53,FALSE),
VLOOKUP($CA$3,$CF$55:$CS$60,$CS$53,FALSE)),"")</f>
        <v/>
      </c>
      <c r="DL18" t="str">
        <f>IF(ELEMENT!AO16="","",DG18*DJ18+DH18*DK18)</f>
        <v/>
      </c>
      <c r="DN18" t="str">
        <f>IF(ELEMENT!AO16="","",DL18*CG18/10^6)</f>
        <v/>
      </c>
      <c r="DP18" t="str">
        <f>IF(ELEMENT!AO16="","",DE18+DN18)</f>
        <v/>
      </c>
      <c r="DR18">
        <f t="shared" si="55"/>
        <v>0</v>
      </c>
      <c r="DS18" t="str">
        <f>IF(ELEMENT!AO16="","",(CI18*(CB18*CP18+CC18*CQ18+CD18*CR18+CE18*CS18)+CG18*(DJ18+DK18))/10^6)</f>
        <v/>
      </c>
      <c r="DT18" t="str">
        <f>IF(ELEMENT!AO16="","",DR18-DS18)</f>
        <v/>
      </c>
      <c r="DV18" t="str">
        <f>IF(ELEMENT!AO16="","",DP18/DS18)</f>
        <v/>
      </c>
      <c r="DX18" t="str">
        <f>IF(ELEMENT!AO16="","",ELEMENT!DI176)</f>
        <v/>
      </c>
      <c r="DY18" t="str">
        <f>IF(ELEMENT!AO16="","",DV18*DS18)</f>
        <v/>
      </c>
      <c r="DZ18" t="str">
        <f>IF(ELEMENT!AO16="","",DX18*DT18)</f>
        <v/>
      </c>
      <c r="EA18" t="str">
        <f>IF(ELEMENT!AO16="","",$EA$3*((2*(CG18-CB18*CP18-CC18*CQ18-CD18*CR18-CE18*CS18)/1000)+2*(CI18/1000)))</f>
        <v/>
      </c>
      <c r="EB18" t="str">
        <f>IF(ELEMENT!AO16="","",$EA$3*((CI18/1000)*(2*(CD18+CE18)))+$EA$3*(2*CF18*CI18/1000))</f>
        <v/>
      </c>
      <c r="EC18">
        <f ca="1">IF(ELEMENT!FY16="",SUM(DY18:EB18),"")</f>
        <v>0</v>
      </c>
      <c r="EE18" t="str">
        <f>IF(ELEMENT!AO16="","",
IF(ELEMENT!FY16="",(EC18/DR18),""))</f>
        <v/>
      </c>
      <c r="EF18" t="str">
        <f t="shared" si="56"/>
        <v/>
      </c>
      <c r="EG18" t="str">
        <f>IF(ELEMENT!AO16="","",EC18*ELEMENT!C16)</f>
        <v/>
      </c>
    </row>
    <row r="19" spans="1:137" ht="21" customHeight="1" x14ac:dyDescent="0.2">
      <c r="A19" s="332">
        <f>ELEMENT!A17</f>
        <v>0</v>
      </c>
      <c r="B19" s="331">
        <f>ELEMENT!B17</f>
        <v>0</v>
      </c>
      <c r="C19" s="330">
        <f>ELEMENT!C17</f>
        <v>0</v>
      </c>
      <c r="D19" s="329">
        <f t="shared" si="8"/>
        <v>0</v>
      </c>
      <c r="E19" s="329">
        <f t="shared" si="9"/>
        <v>0</v>
      </c>
      <c r="F19" s="329" t="str">
        <f t="shared" si="10"/>
        <v/>
      </c>
      <c r="G19" s="317"/>
      <c r="H19" s="328">
        <f t="shared" si="11"/>
        <v>0</v>
      </c>
      <c r="I19" s="328" t="str">
        <f t="shared" si="12"/>
        <v/>
      </c>
      <c r="J19" s="328">
        <f t="shared" si="13"/>
        <v>0</v>
      </c>
      <c r="K19" s="328">
        <f t="shared" si="14"/>
        <v>0</v>
      </c>
      <c r="L19" s="327" t="str">
        <f t="shared" si="15"/>
        <v/>
      </c>
      <c r="M19" s="317"/>
      <c r="N19" s="322" t="str">
        <f t="shared" si="16"/>
        <v/>
      </c>
      <c r="O19" s="322" t="str">
        <f t="shared" si="17"/>
        <v/>
      </c>
      <c r="P19" s="322" t="str">
        <f t="shared" si="18"/>
        <v/>
      </c>
      <c r="Q19" s="322" t="str">
        <f t="shared" si="19"/>
        <v/>
      </c>
      <c r="R19" s="322" t="str">
        <f t="shared" si="20"/>
        <v/>
      </c>
      <c r="S19" s="317"/>
      <c r="T19" s="315" t="str">
        <f t="shared" si="21"/>
        <v/>
      </c>
      <c r="U19" s="315" t="str">
        <f t="shared" si="22"/>
        <v/>
      </c>
      <c r="V19" s="315" t="str">
        <f t="shared" si="23"/>
        <v/>
      </c>
      <c r="W19" s="315" t="str">
        <f t="shared" si="24"/>
        <v/>
      </c>
      <c r="X19" s="317"/>
      <c r="Y19" s="327" t="str">
        <f t="shared" si="25"/>
        <v/>
      </c>
      <c r="Z19" s="327" t="str">
        <f t="shared" si="26"/>
        <v/>
      </c>
      <c r="AA19" s="327" t="str">
        <f t="shared" si="27"/>
        <v/>
      </c>
      <c r="AB19" s="327" t="str">
        <f t="shared" si="28"/>
        <v/>
      </c>
      <c r="AC19" s="317"/>
      <c r="AD19" s="322" t="str">
        <f t="shared" si="29"/>
        <v/>
      </c>
      <c r="AE19" s="322" t="str">
        <f t="shared" si="30"/>
        <v/>
      </c>
      <c r="AF19" s="322" t="str">
        <f t="shared" si="31"/>
        <v/>
      </c>
      <c r="AG19" s="322" t="str">
        <f t="shared" si="32"/>
        <v/>
      </c>
      <c r="AH19" s="322" t="str">
        <f t="shared" si="33"/>
        <v/>
      </c>
      <c r="AI19" s="322"/>
      <c r="AJ19" s="325" t="str">
        <f t="shared" si="34"/>
        <v/>
      </c>
      <c r="AK19" s="316"/>
      <c r="AL19" s="322" t="str">
        <f t="shared" si="35"/>
        <v/>
      </c>
      <c r="AM19" s="322" t="str">
        <f t="shared" si="36"/>
        <v/>
      </c>
      <c r="AN19" s="317"/>
      <c r="AO19" s="326" t="str">
        <f t="shared" si="37"/>
        <v/>
      </c>
      <c r="AP19" s="326" t="str">
        <f t="shared" si="38"/>
        <v/>
      </c>
      <c r="AQ19" s="317"/>
      <c r="AR19" s="322" t="str">
        <f t="shared" si="39"/>
        <v/>
      </c>
      <c r="AS19" s="325" t="str">
        <f t="shared" si="40"/>
        <v/>
      </c>
      <c r="AT19" s="316"/>
      <c r="AU19" s="324" t="str">
        <f t="shared" si="41"/>
        <v/>
      </c>
      <c r="AV19" s="316"/>
      <c r="AW19" s="322">
        <f t="shared" si="42"/>
        <v>0</v>
      </c>
      <c r="AX19" s="322" t="str">
        <f t="shared" si="43"/>
        <v/>
      </c>
      <c r="AY19" s="322" t="str">
        <f t="shared" si="44"/>
        <v/>
      </c>
      <c r="AZ19" s="316"/>
      <c r="BA19" s="321" t="str">
        <f t="shared" si="45"/>
        <v/>
      </c>
      <c r="BB19" s="316"/>
      <c r="BC19" s="323" t="str">
        <f t="shared" si="46"/>
        <v/>
      </c>
      <c r="BD19" s="323" t="str">
        <f>IFERROR(VZ!AB21,"")</f>
        <v/>
      </c>
      <c r="BE19" s="322" t="str">
        <f t="shared" si="47"/>
        <v/>
      </c>
      <c r="BF19" s="322" t="str">
        <f t="shared" si="48"/>
        <v/>
      </c>
      <c r="BG19" s="320" t="str">
        <f t="shared" si="49"/>
        <v/>
      </c>
      <c r="BH19" s="322" t="str">
        <f t="shared" si="50"/>
        <v/>
      </c>
      <c r="BI19" s="321">
        <f t="shared" ca="1" si="51"/>
        <v>0</v>
      </c>
      <c r="BJ19" s="316"/>
      <c r="BK19" s="320" t="str">
        <f t="shared" si="52"/>
        <v/>
      </c>
      <c r="BL19" s="319" t="str">
        <f t="shared" si="53"/>
        <v/>
      </c>
      <c r="BM19" s="318" t="str">
        <f t="shared" si="54"/>
        <v/>
      </c>
      <c r="CB19">
        <f>ELEMENT!R17</f>
        <v>0</v>
      </c>
      <c r="CC19" t="str">
        <f>IF(ELEMENT!AO17="","",(2-CB19-CF19))</f>
        <v/>
      </c>
      <c r="CD19">
        <f>ELEMENT!S17</f>
        <v>0</v>
      </c>
      <c r="CE19">
        <f>ELEMENT!T17</f>
        <v>0</v>
      </c>
      <c r="CF19" t="str">
        <f>IF(ELEMENT!AO17="","",IF(ELEMENT!P17="R",1,IF(ELEMENT!P17="L",1,IF(ELEMENT!P17=2,2,0))))</f>
        <v/>
      </c>
      <c r="CG19">
        <f>ELEMENT!AS17</f>
        <v>0</v>
      </c>
      <c r="CH19">
        <f>ELEMENT!AT17</f>
        <v>0</v>
      </c>
      <c r="CI19" t="str">
        <f>IF(ELEMENT!AO17="","",ELEMENT!AT17-(ELEMENT!L17*CJ$69+ELEMENT!M17*CK$69))</f>
        <v/>
      </c>
      <c r="CK19" t="str">
        <f>IF(ELEMENT!$AO17=1,VLOOKUP($CA$3,$CF$55:$CQ$60,$CG$53,FALSE),"")</f>
        <v/>
      </c>
      <c r="CL19" t="str">
        <f>IF(ELEMENT!$AO17=1,VLOOKUP($CA$3,$CF$55:$CQ$60,$CH$53,FALSE),"")</f>
        <v/>
      </c>
      <c r="CM19" t="str">
        <f>IF(ELEMENT!$AO17=1,VLOOKUP($CA$3,$CF$55:$CQ$60,$CI$53,FALSE),"")</f>
        <v/>
      </c>
      <c r="CN19" t="str">
        <f>IF(ELEMENT!$AO17=1,VLOOKUP($CA$3,$CF$55:$CQ$60,$CJ$53,FALSE),"")</f>
        <v/>
      </c>
      <c r="CO19" t="str">
        <f>IF(ELEMENT!$AO17=1,VLOOKUP($CA$3,$CF$55:$CQ$60,$CK$53,FALSE),"")</f>
        <v/>
      </c>
      <c r="CP19" t="str">
        <f>IF(ELEMENT!$AO17=1,VLOOKUP($CA$3,$CF$55:$CQ$60,$CN$53,FALSE),"")</f>
        <v/>
      </c>
      <c r="CQ19" t="str">
        <f>IF(ELEMENT!$AO17=1,VLOOKUP($CA$3,$CF$55:$CQ$60,$CO$53,FALSE),"")</f>
        <v/>
      </c>
      <c r="CR19" t="str">
        <f>IF(ELEMENT!$AO17=1,VLOOKUP($CA$3,$CF$55:$CQ$60,$CP$53,FALSE),"")</f>
        <v/>
      </c>
      <c r="CS19" t="str">
        <f>IF(ELEMENT!$AO17=1,VLOOKUP($CA$3,$CF$55:$CQ$60,$CQ$53,FALSE),"")</f>
        <v/>
      </c>
      <c r="CU19" t="str">
        <f>IF(ELEMENT!AO17="","",CK19*CP19)</f>
        <v/>
      </c>
      <c r="CV19" t="str">
        <f>IF(ELEMENT!AO17="","",CL19*CQ19)</f>
        <v/>
      </c>
      <c r="CW19" t="str">
        <f>IF(ELEMENT!AO17="","",CM19*CR19)</f>
        <v/>
      </c>
      <c r="CX19" t="str">
        <f>IF(ELEMENT!AO17="","",CN19*CS19)</f>
        <v/>
      </c>
      <c r="CZ19" t="str">
        <f>IF(ELEMENT!AO17="","",CB19*CU19*CI19/10^6)</f>
        <v/>
      </c>
      <c r="DA19" t="str">
        <f>IF(ELEMENT!AO17="","",CC19*CV19*CI19/10^6)</f>
        <v/>
      </c>
      <c r="DB19" t="str">
        <f>IF(ELEMENT!AO17="","",CD19*CW19*CI19/10^6)</f>
        <v/>
      </c>
      <c r="DC19" t="str">
        <f>IF(ELEMENT!AO17="","",CE19*CX19*CI19/10^6)</f>
        <v/>
      </c>
      <c r="DD19" t="str">
        <f>IF(ELEMENT!AO17="","",CO19*CF19*CI19/10^3)</f>
        <v/>
      </c>
      <c r="DE19" t="str">
        <f>IF(ELEMENT!AO17="","",SUM(CZ19:DD19))</f>
        <v/>
      </c>
      <c r="DG19" t="str">
        <f>IF(ELEMENT!$AO17=1,
VLOOKUP($CA$3,$CF$55:$CQ$60,$CL$53,FALSE),"")</f>
        <v/>
      </c>
      <c r="DH19" t="str">
        <f>IF(ELEMENT!$AO17=1,
VLOOKUP($CA$3,$CF$55:$CQ$60,$CM$53,FALSE),"")</f>
        <v/>
      </c>
      <c r="DJ19" t="str">
        <f>IF(ELEMENT!AO17=1,
IF(ELEMENT!L17=0,
VLOOKUP($CA$3,$CF$55:$CS$60,$CS$53,FALSE),
VLOOKUP($CA$3,$CF$55:$CS$60,$CR$53,FALSE)),"")</f>
        <v/>
      </c>
      <c r="DK19" t="str">
        <f>IF(ELEMENT!AO17=1,
IF(ELEMENT!M17=0,
VLOOKUP($CA$3,$CF$55:$CS$60,$CR$53,FALSE),
VLOOKUP($CA$3,$CF$55:$CS$60,$CS$53,FALSE)),"")</f>
        <v/>
      </c>
      <c r="DL19" t="str">
        <f>IF(ELEMENT!AO17="","",DG19*DJ19+DH19*DK19)</f>
        <v/>
      </c>
      <c r="DN19" t="str">
        <f>IF(ELEMENT!AO17="","",DL19*CG19/10^6)</f>
        <v/>
      </c>
      <c r="DP19" t="str">
        <f>IF(ELEMENT!AO17="","",DE19+DN19)</f>
        <v/>
      </c>
      <c r="DR19">
        <f t="shared" si="55"/>
        <v>0</v>
      </c>
      <c r="DS19" t="str">
        <f>IF(ELEMENT!AO17="","",(CI19*(CB19*CP19+CC19*CQ19+CD19*CR19+CE19*CS19)+CG19*(DJ19+DK19))/10^6)</f>
        <v/>
      </c>
      <c r="DT19" t="str">
        <f>IF(ELEMENT!AO17="","",DR19-DS19)</f>
        <v/>
      </c>
      <c r="DV19" t="str">
        <f>IF(ELEMENT!AO17="","",DP19/DS19)</f>
        <v/>
      </c>
      <c r="DX19" t="str">
        <f>IF(ELEMENT!AO17="","",ELEMENT!DI177)</f>
        <v/>
      </c>
      <c r="DY19" t="str">
        <f>IF(ELEMENT!AO17="","",DV19*DS19)</f>
        <v/>
      </c>
      <c r="DZ19" t="str">
        <f>IF(ELEMENT!AO17="","",DX19*DT19)</f>
        <v/>
      </c>
      <c r="EA19" t="str">
        <f>IF(ELEMENT!AO17="","",$EA$3*((2*(CG19-CB19*CP19-CC19*CQ19-CD19*CR19-CE19*CS19)/1000)+2*(CI19/1000)))</f>
        <v/>
      </c>
      <c r="EB19" t="str">
        <f>IF(ELEMENT!AO17="","",$EA$3*((CI19/1000)*(2*(CD19+CE19)))+$EA$3*(2*CF19*CI19/1000))</f>
        <v/>
      </c>
      <c r="EC19">
        <f ca="1">IF(ELEMENT!FY17="",SUM(DY19:EB19),"")</f>
        <v>0</v>
      </c>
      <c r="EE19" t="str">
        <f>IF(ELEMENT!AO17="","",
IF(ELEMENT!FY17="",(EC19/DR19),""))</f>
        <v/>
      </c>
      <c r="EF19" t="str">
        <f t="shared" si="56"/>
        <v/>
      </c>
      <c r="EG19" t="str">
        <f>IF(ELEMENT!AO17="","",EC19*ELEMENT!C17)</f>
        <v/>
      </c>
    </row>
    <row r="20" spans="1:137" ht="21" customHeight="1" x14ac:dyDescent="0.2">
      <c r="A20" s="332">
        <f>ELEMENT!A18</f>
        <v>0</v>
      </c>
      <c r="B20" s="331">
        <f>ELEMENT!B18</f>
        <v>0</v>
      </c>
      <c r="C20" s="330">
        <f>ELEMENT!C18</f>
        <v>0</v>
      </c>
      <c r="D20" s="329">
        <f t="shared" si="8"/>
        <v>0</v>
      </c>
      <c r="E20" s="329">
        <f t="shared" si="9"/>
        <v>0</v>
      </c>
      <c r="F20" s="329" t="str">
        <f t="shared" si="10"/>
        <v/>
      </c>
      <c r="G20" s="317"/>
      <c r="H20" s="328">
        <f t="shared" si="11"/>
        <v>0</v>
      </c>
      <c r="I20" s="328" t="str">
        <f t="shared" si="12"/>
        <v/>
      </c>
      <c r="J20" s="328">
        <f t="shared" si="13"/>
        <v>0</v>
      </c>
      <c r="K20" s="328">
        <f t="shared" si="14"/>
        <v>0</v>
      </c>
      <c r="L20" s="327" t="str">
        <f t="shared" si="15"/>
        <v/>
      </c>
      <c r="M20" s="317"/>
      <c r="N20" s="322" t="str">
        <f t="shared" si="16"/>
        <v/>
      </c>
      <c r="O20" s="322" t="str">
        <f t="shared" si="17"/>
        <v/>
      </c>
      <c r="P20" s="322" t="str">
        <f t="shared" si="18"/>
        <v/>
      </c>
      <c r="Q20" s="322" t="str">
        <f t="shared" si="19"/>
        <v/>
      </c>
      <c r="R20" s="322" t="str">
        <f t="shared" si="20"/>
        <v/>
      </c>
      <c r="S20" s="317"/>
      <c r="T20" s="315" t="str">
        <f t="shared" si="21"/>
        <v/>
      </c>
      <c r="U20" s="315" t="str">
        <f t="shared" si="22"/>
        <v/>
      </c>
      <c r="V20" s="315" t="str">
        <f t="shared" si="23"/>
        <v/>
      </c>
      <c r="W20" s="315" t="str">
        <f t="shared" si="24"/>
        <v/>
      </c>
      <c r="X20" s="317"/>
      <c r="Y20" s="327" t="str">
        <f t="shared" si="25"/>
        <v/>
      </c>
      <c r="Z20" s="327" t="str">
        <f t="shared" si="26"/>
        <v/>
      </c>
      <c r="AA20" s="327" t="str">
        <f t="shared" si="27"/>
        <v/>
      </c>
      <c r="AB20" s="327" t="str">
        <f t="shared" si="28"/>
        <v/>
      </c>
      <c r="AC20" s="317"/>
      <c r="AD20" s="322" t="str">
        <f t="shared" si="29"/>
        <v/>
      </c>
      <c r="AE20" s="322" t="str">
        <f t="shared" si="30"/>
        <v/>
      </c>
      <c r="AF20" s="322" t="str">
        <f t="shared" si="31"/>
        <v/>
      </c>
      <c r="AG20" s="322" t="str">
        <f t="shared" si="32"/>
        <v/>
      </c>
      <c r="AH20" s="322" t="str">
        <f t="shared" si="33"/>
        <v/>
      </c>
      <c r="AI20" s="322"/>
      <c r="AJ20" s="325" t="str">
        <f t="shared" si="34"/>
        <v/>
      </c>
      <c r="AK20" s="316"/>
      <c r="AL20" s="322" t="str">
        <f t="shared" si="35"/>
        <v/>
      </c>
      <c r="AM20" s="322" t="str">
        <f t="shared" si="36"/>
        <v/>
      </c>
      <c r="AN20" s="317"/>
      <c r="AO20" s="326" t="str">
        <f t="shared" si="37"/>
        <v/>
      </c>
      <c r="AP20" s="326" t="str">
        <f t="shared" si="38"/>
        <v/>
      </c>
      <c r="AQ20" s="317"/>
      <c r="AR20" s="322" t="str">
        <f t="shared" si="39"/>
        <v/>
      </c>
      <c r="AS20" s="325" t="str">
        <f t="shared" si="40"/>
        <v/>
      </c>
      <c r="AT20" s="316"/>
      <c r="AU20" s="324" t="str">
        <f t="shared" si="41"/>
        <v/>
      </c>
      <c r="AV20" s="316"/>
      <c r="AW20" s="322">
        <f t="shared" si="42"/>
        <v>0</v>
      </c>
      <c r="AX20" s="322" t="str">
        <f t="shared" si="43"/>
        <v/>
      </c>
      <c r="AY20" s="322" t="str">
        <f t="shared" si="44"/>
        <v/>
      </c>
      <c r="AZ20" s="316"/>
      <c r="BA20" s="321" t="str">
        <f t="shared" si="45"/>
        <v/>
      </c>
      <c r="BB20" s="316"/>
      <c r="BC20" s="323" t="str">
        <f t="shared" si="46"/>
        <v/>
      </c>
      <c r="BD20" s="323" t="str">
        <f>IFERROR(VZ!AB22,"")</f>
        <v/>
      </c>
      <c r="BE20" s="322" t="str">
        <f t="shared" si="47"/>
        <v/>
      </c>
      <c r="BF20" s="322" t="str">
        <f t="shared" si="48"/>
        <v/>
      </c>
      <c r="BG20" s="320" t="str">
        <f t="shared" si="49"/>
        <v/>
      </c>
      <c r="BH20" s="322" t="str">
        <f t="shared" si="50"/>
        <v/>
      </c>
      <c r="BI20" s="321">
        <f t="shared" ca="1" si="51"/>
        <v>0</v>
      </c>
      <c r="BJ20" s="316"/>
      <c r="BK20" s="320" t="str">
        <f t="shared" si="52"/>
        <v/>
      </c>
      <c r="BL20" s="319" t="str">
        <f t="shared" si="53"/>
        <v/>
      </c>
      <c r="BM20" s="318" t="str">
        <f t="shared" si="54"/>
        <v/>
      </c>
      <c r="CB20">
        <f>ELEMENT!R18</f>
        <v>0</v>
      </c>
      <c r="CC20" t="str">
        <f>IF(ELEMENT!AO18="","",(2-CB20-CF20))</f>
        <v/>
      </c>
      <c r="CD20">
        <f>ELEMENT!S18</f>
        <v>0</v>
      </c>
      <c r="CE20">
        <f>ELEMENT!T18</f>
        <v>0</v>
      </c>
      <c r="CF20" t="str">
        <f>IF(ELEMENT!AO18="","",IF(ELEMENT!P18="R",1,IF(ELEMENT!P18="L",1,IF(ELEMENT!P18=2,2,0))))</f>
        <v/>
      </c>
      <c r="CG20">
        <f>ELEMENT!AS18</f>
        <v>0</v>
      </c>
      <c r="CH20">
        <f>ELEMENT!AT18</f>
        <v>0</v>
      </c>
      <c r="CI20" t="str">
        <f>IF(ELEMENT!AO18="","",ELEMENT!AT18-(ELEMENT!L18*CJ$69+ELEMENT!M18*CK$69))</f>
        <v/>
      </c>
      <c r="CK20" t="str">
        <f>IF(ELEMENT!$AO18=1,VLOOKUP($CA$3,$CF$55:$CQ$60,$CG$53,FALSE),"")</f>
        <v/>
      </c>
      <c r="CL20" t="str">
        <f>IF(ELEMENT!$AO18=1,VLOOKUP($CA$3,$CF$55:$CQ$60,$CH$53,FALSE),"")</f>
        <v/>
      </c>
      <c r="CM20" t="str">
        <f>IF(ELEMENT!$AO18=1,VLOOKUP($CA$3,$CF$55:$CQ$60,$CI$53,FALSE),"")</f>
        <v/>
      </c>
      <c r="CN20" t="str">
        <f>IF(ELEMENT!$AO18=1,VLOOKUP($CA$3,$CF$55:$CQ$60,$CJ$53,FALSE),"")</f>
        <v/>
      </c>
      <c r="CO20" t="str">
        <f>IF(ELEMENT!$AO18=1,VLOOKUP($CA$3,$CF$55:$CQ$60,$CK$53,FALSE),"")</f>
        <v/>
      </c>
      <c r="CP20" t="str">
        <f>IF(ELEMENT!$AO18=1,VLOOKUP($CA$3,$CF$55:$CQ$60,$CN$53,FALSE),"")</f>
        <v/>
      </c>
      <c r="CQ20" t="str">
        <f>IF(ELEMENT!$AO18=1,VLOOKUP($CA$3,$CF$55:$CQ$60,$CO$53,FALSE),"")</f>
        <v/>
      </c>
      <c r="CR20" t="str">
        <f>IF(ELEMENT!$AO18=1,VLOOKUP($CA$3,$CF$55:$CQ$60,$CP$53,FALSE),"")</f>
        <v/>
      </c>
      <c r="CS20" t="str">
        <f>IF(ELEMENT!$AO18=1,VLOOKUP($CA$3,$CF$55:$CQ$60,$CQ$53,FALSE),"")</f>
        <v/>
      </c>
      <c r="CU20" t="str">
        <f>IF(ELEMENT!AO18="","",CK20*CP20)</f>
        <v/>
      </c>
      <c r="CV20" t="str">
        <f>IF(ELEMENT!AO18="","",CL20*CQ20)</f>
        <v/>
      </c>
      <c r="CW20" t="str">
        <f>IF(ELEMENT!AO18="","",CM20*CR20)</f>
        <v/>
      </c>
      <c r="CX20" t="str">
        <f>IF(ELEMENT!AO18="","",CN20*CS20)</f>
        <v/>
      </c>
      <c r="CZ20" t="str">
        <f>IF(ELEMENT!AO18="","",CB20*CU20*CI20/10^6)</f>
        <v/>
      </c>
      <c r="DA20" t="str">
        <f>IF(ELEMENT!AO18="","",CC20*CV20*CI20/10^6)</f>
        <v/>
      </c>
      <c r="DB20" t="str">
        <f>IF(ELEMENT!AO18="","",CD20*CW20*CI20/10^6)</f>
        <v/>
      </c>
      <c r="DC20" t="str">
        <f>IF(ELEMENT!AO18="","",CE20*CX20*CI20/10^6)</f>
        <v/>
      </c>
      <c r="DD20" t="str">
        <f>IF(ELEMENT!AO18="","",CO20*CF20*CI20/10^3)</f>
        <v/>
      </c>
      <c r="DE20" t="str">
        <f>IF(ELEMENT!AO18="","",SUM(CZ20:DD20))</f>
        <v/>
      </c>
      <c r="DG20" t="str">
        <f>IF(ELEMENT!$AO18=1,
VLOOKUP($CA$3,$CF$55:$CQ$60,$CL$53,FALSE),"")</f>
        <v/>
      </c>
      <c r="DH20" t="str">
        <f>IF(ELEMENT!$AO18=1,
VLOOKUP($CA$3,$CF$55:$CQ$60,$CM$53,FALSE),"")</f>
        <v/>
      </c>
      <c r="DJ20" t="str">
        <f>IF(ELEMENT!AO18=1,
IF(ELEMENT!L18=0,
VLOOKUP($CA$3,$CF$55:$CS$60,$CS$53,FALSE),
VLOOKUP($CA$3,$CF$55:$CS$60,$CR$53,FALSE)),"")</f>
        <v/>
      </c>
      <c r="DK20" t="str">
        <f>IF(ELEMENT!AO18=1,
IF(ELEMENT!M18=0,
VLOOKUP($CA$3,$CF$55:$CS$60,$CR$53,FALSE),
VLOOKUP($CA$3,$CF$55:$CS$60,$CS$53,FALSE)),"")</f>
        <v/>
      </c>
      <c r="DL20" t="str">
        <f>IF(ELEMENT!AO18="","",DG20*DJ20+DH20*DK20)</f>
        <v/>
      </c>
      <c r="DN20" t="str">
        <f>IF(ELEMENT!AO18="","",DL20*CG20/10^6)</f>
        <v/>
      </c>
      <c r="DP20" t="str">
        <f>IF(ELEMENT!AO18="","",DE20+DN20)</f>
        <v/>
      </c>
      <c r="DR20">
        <f t="shared" si="55"/>
        <v>0</v>
      </c>
      <c r="DS20" t="str">
        <f>IF(ELEMENT!AO18="","",(CI20*(CB20*CP20+CC20*CQ20+CD20*CR20+CE20*CS20)+CG20*(DJ20+DK20))/10^6)</f>
        <v/>
      </c>
      <c r="DT20" t="str">
        <f>IF(ELEMENT!AO18="","",DR20-DS20)</f>
        <v/>
      </c>
      <c r="DV20" t="str">
        <f>IF(ELEMENT!AO18="","",DP20/DS20)</f>
        <v/>
      </c>
      <c r="DX20" t="str">
        <f>IF(ELEMENT!AO18="","",ELEMENT!DI178)</f>
        <v/>
      </c>
      <c r="DY20" t="str">
        <f>IF(ELEMENT!AO18="","",DV20*DS20)</f>
        <v/>
      </c>
      <c r="DZ20" t="str">
        <f>IF(ELEMENT!AO18="","",DX20*DT20)</f>
        <v/>
      </c>
      <c r="EA20" t="str">
        <f>IF(ELEMENT!AO18="","",$EA$3*((2*(CG20-CB20*CP20-CC20*CQ20-CD20*CR20-CE20*CS20)/1000)+2*(CI20/1000)))</f>
        <v/>
      </c>
      <c r="EB20" t="str">
        <f>IF(ELEMENT!AO18="","",$EA$3*((CI20/1000)*(2*(CD20+CE20)))+$EA$3*(2*CF20*CI20/1000))</f>
        <v/>
      </c>
      <c r="EC20">
        <f ca="1">IF(ELEMENT!FY18="",SUM(DY20:EB20),"")</f>
        <v>0</v>
      </c>
      <c r="EE20" t="str">
        <f>IF(ELEMENT!AO18="","",
IF(ELEMENT!FY18="",(EC20/DR20),""))</f>
        <v/>
      </c>
      <c r="EF20" t="str">
        <f t="shared" si="56"/>
        <v/>
      </c>
      <c r="EG20" t="str">
        <f>IF(ELEMENT!AO18="","",EC20*ELEMENT!C18)</f>
        <v/>
      </c>
    </row>
    <row r="21" spans="1:137" ht="21" customHeight="1" x14ac:dyDescent="0.2">
      <c r="A21" s="332">
        <f>ELEMENT!A19</f>
        <v>0</v>
      </c>
      <c r="B21" s="331">
        <f>ELEMENT!B19</f>
        <v>0</v>
      </c>
      <c r="C21" s="330">
        <f>ELEMENT!C19</f>
        <v>0</v>
      </c>
      <c r="D21" s="329">
        <f t="shared" si="8"/>
        <v>0</v>
      </c>
      <c r="E21" s="329">
        <f t="shared" si="9"/>
        <v>0</v>
      </c>
      <c r="F21" s="329" t="str">
        <f t="shared" si="10"/>
        <v/>
      </c>
      <c r="G21" s="317"/>
      <c r="H21" s="328">
        <f t="shared" si="11"/>
        <v>0</v>
      </c>
      <c r="I21" s="328" t="str">
        <f t="shared" si="12"/>
        <v/>
      </c>
      <c r="J21" s="328">
        <f t="shared" si="13"/>
        <v>0</v>
      </c>
      <c r="K21" s="328">
        <f t="shared" si="14"/>
        <v>0</v>
      </c>
      <c r="L21" s="327" t="str">
        <f t="shared" si="15"/>
        <v/>
      </c>
      <c r="M21" s="317"/>
      <c r="N21" s="322" t="str">
        <f t="shared" si="16"/>
        <v/>
      </c>
      <c r="O21" s="322" t="str">
        <f t="shared" si="17"/>
        <v/>
      </c>
      <c r="P21" s="322" t="str">
        <f t="shared" si="18"/>
        <v/>
      </c>
      <c r="Q21" s="322" t="str">
        <f t="shared" si="19"/>
        <v/>
      </c>
      <c r="R21" s="322" t="str">
        <f t="shared" si="20"/>
        <v/>
      </c>
      <c r="S21" s="317"/>
      <c r="T21" s="315" t="str">
        <f t="shared" si="21"/>
        <v/>
      </c>
      <c r="U21" s="315" t="str">
        <f t="shared" si="22"/>
        <v/>
      </c>
      <c r="V21" s="315" t="str">
        <f t="shared" si="23"/>
        <v/>
      </c>
      <c r="W21" s="315" t="str">
        <f t="shared" si="24"/>
        <v/>
      </c>
      <c r="X21" s="317"/>
      <c r="Y21" s="327" t="str">
        <f t="shared" si="25"/>
        <v/>
      </c>
      <c r="Z21" s="327" t="str">
        <f t="shared" si="26"/>
        <v/>
      </c>
      <c r="AA21" s="327" t="str">
        <f t="shared" si="27"/>
        <v/>
      </c>
      <c r="AB21" s="327" t="str">
        <f t="shared" si="28"/>
        <v/>
      </c>
      <c r="AC21" s="317"/>
      <c r="AD21" s="322" t="str">
        <f t="shared" si="29"/>
        <v/>
      </c>
      <c r="AE21" s="322" t="str">
        <f t="shared" si="30"/>
        <v/>
      </c>
      <c r="AF21" s="322" t="str">
        <f t="shared" si="31"/>
        <v/>
      </c>
      <c r="AG21" s="322" t="str">
        <f t="shared" si="32"/>
        <v/>
      </c>
      <c r="AH21" s="322" t="str">
        <f t="shared" si="33"/>
        <v/>
      </c>
      <c r="AI21" s="322"/>
      <c r="AJ21" s="325" t="str">
        <f t="shared" si="34"/>
        <v/>
      </c>
      <c r="AK21" s="316"/>
      <c r="AL21" s="322" t="str">
        <f t="shared" si="35"/>
        <v/>
      </c>
      <c r="AM21" s="322" t="str">
        <f t="shared" si="36"/>
        <v/>
      </c>
      <c r="AN21" s="317"/>
      <c r="AO21" s="326" t="str">
        <f t="shared" si="37"/>
        <v/>
      </c>
      <c r="AP21" s="326" t="str">
        <f t="shared" si="38"/>
        <v/>
      </c>
      <c r="AQ21" s="317"/>
      <c r="AR21" s="322" t="str">
        <f t="shared" si="39"/>
        <v/>
      </c>
      <c r="AS21" s="325" t="str">
        <f t="shared" si="40"/>
        <v/>
      </c>
      <c r="AT21" s="316"/>
      <c r="AU21" s="324" t="str">
        <f t="shared" si="41"/>
        <v/>
      </c>
      <c r="AV21" s="316"/>
      <c r="AW21" s="322">
        <f t="shared" si="42"/>
        <v>0</v>
      </c>
      <c r="AX21" s="322" t="str">
        <f t="shared" si="43"/>
        <v/>
      </c>
      <c r="AY21" s="322" t="str">
        <f t="shared" si="44"/>
        <v/>
      </c>
      <c r="AZ21" s="316"/>
      <c r="BA21" s="321" t="str">
        <f t="shared" si="45"/>
        <v/>
      </c>
      <c r="BB21" s="316"/>
      <c r="BC21" s="323" t="str">
        <f t="shared" si="46"/>
        <v/>
      </c>
      <c r="BD21" s="323" t="str">
        <f>IFERROR(VZ!AB23,"")</f>
        <v/>
      </c>
      <c r="BE21" s="322" t="str">
        <f t="shared" si="47"/>
        <v/>
      </c>
      <c r="BF21" s="322" t="str">
        <f t="shared" si="48"/>
        <v/>
      </c>
      <c r="BG21" s="320" t="str">
        <f t="shared" si="49"/>
        <v/>
      </c>
      <c r="BH21" s="322" t="str">
        <f t="shared" si="50"/>
        <v/>
      </c>
      <c r="BI21" s="321">
        <f t="shared" ca="1" si="51"/>
        <v>0</v>
      </c>
      <c r="BJ21" s="316"/>
      <c r="BK21" s="320" t="str">
        <f t="shared" si="52"/>
        <v/>
      </c>
      <c r="BL21" s="319" t="str">
        <f t="shared" si="53"/>
        <v/>
      </c>
      <c r="BM21" s="318" t="str">
        <f t="shared" si="54"/>
        <v/>
      </c>
      <c r="CB21">
        <f>ELEMENT!R19</f>
        <v>0</v>
      </c>
      <c r="CC21" t="str">
        <f>IF(ELEMENT!AO19="","",(2-CB21-CF21))</f>
        <v/>
      </c>
      <c r="CD21">
        <f>ELEMENT!S19</f>
        <v>0</v>
      </c>
      <c r="CE21">
        <f>ELEMENT!T19</f>
        <v>0</v>
      </c>
      <c r="CF21" t="str">
        <f>IF(ELEMENT!AO19="","",IF(ELEMENT!P19="R",1,IF(ELEMENT!P19="L",1,IF(ELEMENT!P19=2,2,0))))</f>
        <v/>
      </c>
      <c r="CG21">
        <f>ELEMENT!AS19</f>
        <v>0</v>
      </c>
      <c r="CH21">
        <f>ELEMENT!AT19</f>
        <v>0</v>
      </c>
      <c r="CI21" t="str">
        <f>IF(ELEMENT!AO19="","",ELEMENT!AT19-(ELEMENT!L19*CJ$69+ELEMENT!M19*CK$69))</f>
        <v/>
      </c>
      <c r="CK21" t="str">
        <f>IF(ELEMENT!$AO19=1,VLOOKUP($CA$3,$CF$55:$CQ$60,$CG$53,FALSE),"")</f>
        <v/>
      </c>
      <c r="CL21" t="str">
        <f>IF(ELEMENT!$AO19=1,VLOOKUP($CA$3,$CF$55:$CQ$60,$CH$53,FALSE),"")</f>
        <v/>
      </c>
      <c r="CM21" t="str">
        <f>IF(ELEMENT!$AO19=1,VLOOKUP($CA$3,$CF$55:$CQ$60,$CI$53,FALSE),"")</f>
        <v/>
      </c>
      <c r="CN21" t="str">
        <f>IF(ELEMENT!$AO19=1,VLOOKUP($CA$3,$CF$55:$CQ$60,$CJ$53,FALSE),"")</f>
        <v/>
      </c>
      <c r="CO21" t="str">
        <f>IF(ELEMENT!$AO19=1,VLOOKUP($CA$3,$CF$55:$CQ$60,$CK$53,FALSE),"")</f>
        <v/>
      </c>
      <c r="CP21" t="str">
        <f>IF(ELEMENT!$AO19=1,VLOOKUP($CA$3,$CF$55:$CQ$60,$CN$53,FALSE),"")</f>
        <v/>
      </c>
      <c r="CQ21" t="str">
        <f>IF(ELEMENT!$AO19=1,VLOOKUP($CA$3,$CF$55:$CQ$60,$CO$53,FALSE),"")</f>
        <v/>
      </c>
      <c r="CR21" t="str">
        <f>IF(ELEMENT!$AO19=1,VLOOKUP($CA$3,$CF$55:$CQ$60,$CP$53,FALSE),"")</f>
        <v/>
      </c>
      <c r="CS21" t="str">
        <f>IF(ELEMENT!$AO19=1,VLOOKUP($CA$3,$CF$55:$CQ$60,$CQ$53,FALSE),"")</f>
        <v/>
      </c>
      <c r="CU21" t="str">
        <f>IF(ELEMENT!AO19="","",CK21*CP21)</f>
        <v/>
      </c>
      <c r="CV21" t="str">
        <f>IF(ELEMENT!AO19="","",CL21*CQ21)</f>
        <v/>
      </c>
      <c r="CW21" t="str">
        <f>IF(ELEMENT!AO19="","",CM21*CR21)</f>
        <v/>
      </c>
      <c r="CX21" t="str">
        <f>IF(ELEMENT!AO19="","",CN21*CS21)</f>
        <v/>
      </c>
      <c r="CZ21" t="str">
        <f>IF(ELEMENT!AO19="","",CB21*CU21*CI21/10^6)</f>
        <v/>
      </c>
      <c r="DA21" t="str">
        <f>IF(ELEMENT!AO19="","",CC21*CV21*CI21/10^6)</f>
        <v/>
      </c>
      <c r="DB21" t="str">
        <f>IF(ELEMENT!AO19="","",CD21*CW21*CI21/10^6)</f>
        <v/>
      </c>
      <c r="DC21" t="str">
        <f>IF(ELEMENT!AO19="","",CE21*CX21*CI21/10^6)</f>
        <v/>
      </c>
      <c r="DD21" t="str">
        <f>IF(ELEMENT!AO19="","",CO21*CF21*CI21/10^3)</f>
        <v/>
      </c>
      <c r="DE21" t="str">
        <f>IF(ELEMENT!AO19="","",SUM(CZ21:DD21))</f>
        <v/>
      </c>
      <c r="DG21" t="str">
        <f>IF(ELEMENT!$AO19=1,
VLOOKUP($CA$3,$CF$55:$CQ$60,$CL$53,FALSE),"")</f>
        <v/>
      </c>
      <c r="DH21" t="str">
        <f>IF(ELEMENT!$AO19=1,
VLOOKUP($CA$3,$CF$55:$CQ$60,$CM$53,FALSE),"")</f>
        <v/>
      </c>
      <c r="DJ21" t="str">
        <f>IF(ELEMENT!AO19=1,
IF(ELEMENT!L19=0,
VLOOKUP($CA$3,$CF$55:$CS$60,$CS$53,FALSE),
VLOOKUP($CA$3,$CF$55:$CS$60,$CR$53,FALSE)),"")</f>
        <v/>
      </c>
      <c r="DK21" t="str">
        <f>IF(ELEMENT!AO19=1,
IF(ELEMENT!M19=0,
VLOOKUP($CA$3,$CF$55:$CS$60,$CR$53,FALSE),
VLOOKUP($CA$3,$CF$55:$CS$60,$CS$53,FALSE)),"")</f>
        <v/>
      </c>
      <c r="DL21" t="str">
        <f>IF(ELEMENT!AO19="","",DG21*DJ21+DH21*DK21)</f>
        <v/>
      </c>
      <c r="DN21" t="str">
        <f>IF(ELEMENT!AO19="","",DL21*CG21/10^6)</f>
        <v/>
      </c>
      <c r="DP21" t="str">
        <f>IF(ELEMENT!AO19="","",DE21+DN21)</f>
        <v/>
      </c>
      <c r="DR21">
        <f t="shared" si="55"/>
        <v>0</v>
      </c>
      <c r="DS21" t="str">
        <f>IF(ELEMENT!AO19="","",(CI21*(CB21*CP21+CC21*CQ21+CD21*CR21+CE21*CS21)+CG21*(DJ21+DK21))/10^6)</f>
        <v/>
      </c>
      <c r="DT21" t="str">
        <f>IF(ELEMENT!AO19="","",DR21-DS21)</f>
        <v/>
      </c>
      <c r="DV21" t="str">
        <f>IF(ELEMENT!AO19="","",DP21/DS21)</f>
        <v/>
      </c>
      <c r="DX21" t="str">
        <f>IF(ELEMENT!AO19="","",ELEMENT!DI179)</f>
        <v/>
      </c>
      <c r="DY21" t="str">
        <f>IF(ELEMENT!AO19="","",DV21*DS21)</f>
        <v/>
      </c>
      <c r="DZ21" t="str">
        <f>IF(ELEMENT!AO19="","",DX21*DT21)</f>
        <v/>
      </c>
      <c r="EA21" t="str">
        <f>IF(ELEMENT!AO19="","",$EA$3*((2*(CG21-CB21*CP21-CC21*CQ21-CD21*CR21-CE21*CS21)/1000)+2*(CI21/1000)))</f>
        <v/>
      </c>
      <c r="EB21" t="str">
        <f>IF(ELEMENT!AO19="","",$EA$3*((CI21/1000)*(2*(CD21+CE21)))+$EA$3*(2*CF21*CI21/1000))</f>
        <v/>
      </c>
      <c r="EC21">
        <f ca="1">IF(ELEMENT!FY19="",SUM(DY21:EB21),"")</f>
        <v>0</v>
      </c>
      <c r="EE21" t="str">
        <f>IF(ELEMENT!AO19="","",
IF(ELEMENT!FY19="",(EC21/DR21),""))</f>
        <v/>
      </c>
      <c r="EF21" t="str">
        <f t="shared" si="56"/>
        <v/>
      </c>
      <c r="EG21" t="str">
        <f>IF(ELEMENT!AO19="","",EC21*ELEMENT!C19)</f>
        <v/>
      </c>
    </row>
    <row r="22" spans="1:137" ht="21" customHeight="1" x14ac:dyDescent="0.2">
      <c r="A22" s="332">
        <f>ELEMENT!A20</f>
        <v>0</v>
      </c>
      <c r="B22" s="331">
        <f>ELEMENT!B20</f>
        <v>0</v>
      </c>
      <c r="C22" s="330">
        <f>ELEMENT!C20</f>
        <v>0</v>
      </c>
      <c r="D22" s="329">
        <f t="shared" si="8"/>
        <v>0</v>
      </c>
      <c r="E22" s="329">
        <f t="shared" si="9"/>
        <v>0</v>
      </c>
      <c r="F22" s="329" t="str">
        <f t="shared" si="10"/>
        <v/>
      </c>
      <c r="G22" s="317"/>
      <c r="H22" s="328">
        <f t="shared" si="11"/>
        <v>0</v>
      </c>
      <c r="I22" s="328" t="str">
        <f t="shared" si="12"/>
        <v/>
      </c>
      <c r="J22" s="328">
        <f t="shared" si="13"/>
        <v>0</v>
      </c>
      <c r="K22" s="328">
        <f t="shared" si="14"/>
        <v>0</v>
      </c>
      <c r="L22" s="327" t="str">
        <f t="shared" si="15"/>
        <v/>
      </c>
      <c r="M22" s="317"/>
      <c r="N22" s="322" t="str">
        <f t="shared" si="16"/>
        <v/>
      </c>
      <c r="O22" s="322" t="str">
        <f t="shared" si="17"/>
        <v/>
      </c>
      <c r="P22" s="322" t="str">
        <f t="shared" si="18"/>
        <v/>
      </c>
      <c r="Q22" s="322" t="str">
        <f t="shared" si="19"/>
        <v/>
      </c>
      <c r="R22" s="322" t="str">
        <f t="shared" si="20"/>
        <v/>
      </c>
      <c r="S22" s="317"/>
      <c r="T22" s="315" t="str">
        <f t="shared" si="21"/>
        <v/>
      </c>
      <c r="U22" s="315" t="str">
        <f t="shared" si="22"/>
        <v/>
      </c>
      <c r="V22" s="315" t="str">
        <f t="shared" si="23"/>
        <v/>
      </c>
      <c r="W22" s="315" t="str">
        <f t="shared" si="24"/>
        <v/>
      </c>
      <c r="X22" s="317"/>
      <c r="Y22" s="327" t="str">
        <f t="shared" si="25"/>
        <v/>
      </c>
      <c r="Z22" s="327" t="str">
        <f t="shared" si="26"/>
        <v/>
      </c>
      <c r="AA22" s="327" t="str">
        <f t="shared" si="27"/>
        <v/>
      </c>
      <c r="AB22" s="327" t="str">
        <f t="shared" si="28"/>
        <v/>
      </c>
      <c r="AC22" s="317"/>
      <c r="AD22" s="322" t="str">
        <f t="shared" si="29"/>
        <v/>
      </c>
      <c r="AE22" s="322" t="str">
        <f t="shared" si="30"/>
        <v/>
      </c>
      <c r="AF22" s="322" t="str">
        <f t="shared" si="31"/>
        <v/>
      </c>
      <c r="AG22" s="322" t="str">
        <f t="shared" si="32"/>
        <v/>
      </c>
      <c r="AH22" s="322" t="str">
        <f t="shared" si="33"/>
        <v/>
      </c>
      <c r="AI22" s="322"/>
      <c r="AJ22" s="325" t="str">
        <f t="shared" si="34"/>
        <v/>
      </c>
      <c r="AK22" s="316"/>
      <c r="AL22" s="322" t="str">
        <f t="shared" si="35"/>
        <v/>
      </c>
      <c r="AM22" s="322" t="str">
        <f t="shared" si="36"/>
        <v/>
      </c>
      <c r="AN22" s="317"/>
      <c r="AO22" s="326" t="str">
        <f t="shared" si="37"/>
        <v/>
      </c>
      <c r="AP22" s="326" t="str">
        <f t="shared" si="38"/>
        <v/>
      </c>
      <c r="AQ22" s="317"/>
      <c r="AR22" s="322" t="str">
        <f t="shared" si="39"/>
        <v/>
      </c>
      <c r="AS22" s="325" t="str">
        <f t="shared" si="40"/>
        <v/>
      </c>
      <c r="AT22" s="316"/>
      <c r="AU22" s="324" t="str">
        <f t="shared" si="41"/>
        <v/>
      </c>
      <c r="AV22" s="316"/>
      <c r="AW22" s="322">
        <f t="shared" si="42"/>
        <v>0</v>
      </c>
      <c r="AX22" s="322" t="str">
        <f t="shared" si="43"/>
        <v/>
      </c>
      <c r="AY22" s="322" t="str">
        <f t="shared" si="44"/>
        <v/>
      </c>
      <c r="AZ22" s="316"/>
      <c r="BA22" s="321" t="str">
        <f t="shared" si="45"/>
        <v/>
      </c>
      <c r="BB22" s="316"/>
      <c r="BC22" s="323" t="str">
        <f t="shared" si="46"/>
        <v/>
      </c>
      <c r="BD22" s="323" t="str">
        <f>IFERROR(VZ!AB24,"")</f>
        <v/>
      </c>
      <c r="BE22" s="322" t="str">
        <f t="shared" si="47"/>
        <v/>
      </c>
      <c r="BF22" s="322" t="str">
        <f t="shared" si="48"/>
        <v/>
      </c>
      <c r="BG22" s="320" t="str">
        <f t="shared" si="49"/>
        <v/>
      </c>
      <c r="BH22" s="322" t="str">
        <f t="shared" si="50"/>
        <v/>
      </c>
      <c r="BI22" s="321">
        <f t="shared" ca="1" si="51"/>
        <v>0</v>
      </c>
      <c r="BJ22" s="316"/>
      <c r="BK22" s="320" t="str">
        <f t="shared" si="52"/>
        <v/>
      </c>
      <c r="BL22" s="319" t="str">
        <f t="shared" si="53"/>
        <v/>
      </c>
      <c r="BM22" s="318" t="str">
        <f t="shared" si="54"/>
        <v/>
      </c>
      <c r="CB22">
        <f>ELEMENT!R20</f>
        <v>0</v>
      </c>
      <c r="CC22" t="str">
        <f>IF(ELEMENT!AO20="","",(2-CB22-CF22))</f>
        <v/>
      </c>
      <c r="CD22">
        <f>ELEMENT!S20</f>
        <v>0</v>
      </c>
      <c r="CE22">
        <f>ELEMENT!T20</f>
        <v>0</v>
      </c>
      <c r="CF22" t="str">
        <f>IF(ELEMENT!AO20="","",IF(ELEMENT!P20="R",1,IF(ELEMENT!P20="L",1,IF(ELEMENT!P20=2,2,0))))</f>
        <v/>
      </c>
      <c r="CG22">
        <f>ELEMENT!AS20</f>
        <v>0</v>
      </c>
      <c r="CH22">
        <f>ELEMENT!AT20</f>
        <v>0</v>
      </c>
      <c r="CI22" t="str">
        <f>IF(ELEMENT!AO20="","",ELEMENT!AT20-(ELEMENT!L20*CJ$69+ELEMENT!M20*CK$69))</f>
        <v/>
      </c>
      <c r="CK22" t="str">
        <f>IF(ELEMENT!$AO20=1,VLOOKUP($CA$3,$CF$55:$CQ$60,$CG$53,FALSE),"")</f>
        <v/>
      </c>
      <c r="CL22" t="str">
        <f>IF(ELEMENT!$AO20=1,VLOOKUP($CA$3,$CF$55:$CQ$60,$CH$53,FALSE),"")</f>
        <v/>
      </c>
      <c r="CM22" t="str">
        <f>IF(ELEMENT!$AO20=1,VLOOKUP($CA$3,$CF$55:$CQ$60,$CI$53,FALSE),"")</f>
        <v/>
      </c>
      <c r="CN22" t="str">
        <f>IF(ELEMENT!$AO20=1,VLOOKUP($CA$3,$CF$55:$CQ$60,$CJ$53,FALSE),"")</f>
        <v/>
      </c>
      <c r="CO22" t="str">
        <f>IF(ELEMENT!$AO20=1,VLOOKUP($CA$3,$CF$55:$CQ$60,$CK$53,FALSE),"")</f>
        <v/>
      </c>
      <c r="CP22" t="str">
        <f>IF(ELEMENT!$AO20=1,VLOOKUP($CA$3,$CF$55:$CQ$60,$CN$53,FALSE),"")</f>
        <v/>
      </c>
      <c r="CQ22" t="str">
        <f>IF(ELEMENT!$AO20=1,VLOOKUP($CA$3,$CF$55:$CQ$60,$CO$53,FALSE),"")</f>
        <v/>
      </c>
      <c r="CR22" t="str">
        <f>IF(ELEMENT!$AO20=1,VLOOKUP($CA$3,$CF$55:$CQ$60,$CP$53,FALSE),"")</f>
        <v/>
      </c>
      <c r="CS22" t="str">
        <f>IF(ELEMENT!$AO20=1,VLOOKUP($CA$3,$CF$55:$CQ$60,$CQ$53,FALSE),"")</f>
        <v/>
      </c>
      <c r="CU22" t="str">
        <f>IF(ELEMENT!AO20="","",CK22*CP22)</f>
        <v/>
      </c>
      <c r="CV22" t="str">
        <f>IF(ELEMENT!AO20="","",CL22*CQ22)</f>
        <v/>
      </c>
      <c r="CW22" t="str">
        <f>IF(ELEMENT!AO20="","",CM22*CR22)</f>
        <v/>
      </c>
      <c r="CX22" t="str">
        <f>IF(ELEMENT!AO20="","",CN22*CS22)</f>
        <v/>
      </c>
      <c r="CZ22" t="str">
        <f>IF(ELEMENT!AO20="","",CB22*CU22*CI22/10^6)</f>
        <v/>
      </c>
      <c r="DA22" t="str">
        <f>IF(ELEMENT!AO20="","",CC22*CV22*CI22/10^6)</f>
        <v/>
      </c>
      <c r="DB22" t="str">
        <f>IF(ELEMENT!AO20="","",CD22*CW22*CI22/10^6)</f>
        <v/>
      </c>
      <c r="DC22" t="str">
        <f>IF(ELEMENT!AO20="","",CE22*CX22*CI22/10^6)</f>
        <v/>
      </c>
      <c r="DD22" t="str">
        <f>IF(ELEMENT!AO20="","",CO22*CF22*CI22/10^3)</f>
        <v/>
      </c>
      <c r="DE22" t="str">
        <f>IF(ELEMENT!AO20="","",SUM(CZ22:DD22))</f>
        <v/>
      </c>
      <c r="DG22" t="str">
        <f>IF(ELEMENT!$AO20=1,
VLOOKUP($CA$3,$CF$55:$CQ$60,$CL$53,FALSE),"")</f>
        <v/>
      </c>
      <c r="DH22" t="str">
        <f>IF(ELEMENT!$AO20=1,
VLOOKUP($CA$3,$CF$55:$CQ$60,$CM$53,FALSE),"")</f>
        <v/>
      </c>
      <c r="DJ22" t="str">
        <f>IF(ELEMENT!AO20=1,
IF(ELEMENT!L20=0,
VLOOKUP($CA$3,$CF$55:$CS$60,$CS$53,FALSE),
VLOOKUP($CA$3,$CF$55:$CS$60,$CR$53,FALSE)),"")</f>
        <v/>
      </c>
      <c r="DK22" t="str">
        <f>IF(ELEMENT!AO20=1,
IF(ELEMENT!M20=0,
VLOOKUP($CA$3,$CF$55:$CS$60,$CR$53,FALSE),
VLOOKUP($CA$3,$CF$55:$CS$60,$CS$53,FALSE)),"")</f>
        <v/>
      </c>
      <c r="DL22" t="str">
        <f>IF(ELEMENT!AO20="","",DG22*DJ22+DH22*DK22)</f>
        <v/>
      </c>
      <c r="DN22" t="str">
        <f>IF(ELEMENT!AO20="","",DL22*CG22/10^6)</f>
        <v/>
      </c>
      <c r="DP22" t="str">
        <f>IF(ELEMENT!AO20="","",DE22+DN22)</f>
        <v/>
      </c>
      <c r="DR22">
        <f t="shared" si="55"/>
        <v>0</v>
      </c>
      <c r="DS22" t="str">
        <f>IF(ELEMENT!AO20="","",(CI22*(CB22*CP22+CC22*CQ22+CD22*CR22+CE22*CS22)+CG22*(DJ22+DK22))/10^6)</f>
        <v/>
      </c>
      <c r="DT22" t="str">
        <f>IF(ELEMENT!AO20="","",DR22-DS22)</f>
        <v/>
      </c>
      <c r="DV22" t="str">
        <f>IF(ELEMENT!AO20="","",DP22/DS22)</f>
        <v/>
      </c>
      <c r="DX22" t="str">
        <f>IF(ELEMENT!AO20="","",ELEMENT!DI180)</f>
        <v/>
      </c>
      <c r="DY22" t="str">
        <f>IF(ELEMENT!AO20="","",DV22*DS22)</f>
        <v/>
      </c>
      <c r="DZ22" t="str">
        <f>IF(ELEMENT!AO20="","",DX22*DT22)</f>
        <v/>
      </c>
      <c r="EA22" t="str">
        <f>IF(ELEMENT!AO20="","",$EA$3*((2*(CG22-CB22*CP22-CC22*CQ22-CD22*CR22-CE22*CS22)/1000)+2*(CI22/1000)))</f>
        <v/>
      </c>
      <c r="EB22" t="str">
        <f>IF(ELEMENT!AO20="","",$EA$3*((CI22/1000)*(2*(CD22+CE22)))+$EA$3*(2*CF22*CI22/1000))</f>
        <v/>
      </c>
      <c r="EC22">
        <f ca="1">IF(ELEMENT!FY20="",SUM(DY22:EB22),"")</f>
        <v>0</v>
      </c>
      <c r="EE22" t="str">
        <f>IF(ELEMENT!AO20="","",
IF(ELEMENT!FY20="",(EC22/DR22),""))</f>
        <v/>
      </c>
      <c r="EF22" t="str">
        <f t="shared" si="56"/>
        <v/>
      </c>
      <c r="EG22" t="str">
        <f>IF(ELEMENT!AO20="","",EC22*ELEMENT!C20)</f>
        <v/>
      </c>
    </row>
    <row r="23" spans="1:137" ht="21" customHeight="1" x14ac:dyDescent="0.2">
      <c r="A23" s="332">
        <f>ELEMENT!A21</f>
        <v>0</v>
      </c>
      <c r="B23" s="331">
        <f>ELEMENT!B21</f>
        <v>0</v>
      </c>
      <c r="C23" s="330">
        <f>ELEMENT!C21</f>
        <v>0</v>
      </c>
      <c r="D23" s="329">
        <f t="shared" si="8"/>
        <v>0</v>
      </c>
      <c r="E23" s="329">
        <f t="shared" si="9"/>
        <v>0</v>
      </c>
      <c r="F23" s="329" t="str">
        <f t="shared" si="10"/>
        <v/>
      </c>
      <c r="G23" s="317"/>
      <c r="H23" s="328">
        <f t="shared" si="11"/>
        <v>0</v>
      </c>
      <c r="I23" s="328" t="str">
        <f t="shared" si="12"/>
        <v/>
      </c>
      <c r="J23" s="328">
        <f t="shared" si="13"/>
        <v>0</v>
      </c>
      <c r="K23" s="328">
        <f t="shared" si="14"/>
        <v>0</v>
      </c>
      <c r="L23" s="327" t="str">
        <f t="shared" si="15"/>
        <v/>
      </c>
      <c r="M23" s="317"/>
      <c r="N23" s="322" t="str">
        <f t="shared" si="16"/>
        <v/>
      </c>
      <c r="O23" s="322" t="str">
        <f t="shared" si="17"/>
        <v/>
      </c>
      <c r="P23" s="322" t="str">
        <f t="shared" si="18"/>
        <v/>
      </c>
      <c r="Q23" s="322" t="str">
        <f t="shared" si="19"/>
        <v/>
      </c>
      <c r="R23" s="322" t="str">
        <f t="shared" si="20"/>
        <v/>
      </c>
      <c r="S23" s="317"/>
      <c r="T23" s="315" t="str">
        <f t="shared" si="21"/>
        <v/>
      </c>
      <c r="U23" s="315" t="str">
        <f t="shared" si="22"/>
        <v/>
      </c>
      <c r="V23" s="315" t="str">
        <f t="shared" si="23"/>
        <v/>
      </c>
      <c r="W23" s="315" t="str">
        <f t="shared" si="24"/>
        <v/>
      </c>
      <c r="X23" s="317"/>
      <c r="Y23" s="327" t="str">
        <f t="shared" si="25"/>
        <v/>
      </c>
      <c r="Z23" s="327" t="str">
        <f t="shared" si="26"/>
        <v/>
      </c>
      <c r="AA23" s="327" t="str">
        <f t="shared" si="27"/>
        <v/>
      </c>
      <c r="AB23" s="327" t="str">
        <f t="shared" si="28"/>
        <v/>
      </c>
      <c r="AC23" s="317"/>
      <c r="AD23" s="322" t="str">
        <f t="shared" si="29"/>
        <v/>
      </c>
      <c r="AE23" s="322" t="str">
        <f t="shared" si="30"/>
        <v/>
      </c>
      <c r="AF23" s="322" t="str">
        <f t="shared" si="31"/>
        <v/>
      </c>
      <c r="AG23" s="322" t="str">
        <f t="shared" si="32"/>
        <v/>
      </c>
      <c r="AH23" s="322" t="str">
        <f t="shared" si="33"/>
        <v/>
      </c>
      <c r="AI23" s="322"/>
      <c r="AJ23" s="325" t="str">
        <f t="shared" si="34"/>
        <v/>
      </c>
      <c r="AK23" s="316"/>
      <c r="AL23" s="322" t="str">
        <f t="shared" si="35"/>
        <v/>
      </c>
      <c r="AM23" s="322" t="str">
        <f t="shared" si="36"/>
        <v/>
      </c>
      <c r="AN23" s="317"/>
      <c r="AO23" s="326" t="str">
        <f t="shared" si="37"/>
        <v/>
      </c>
      <c r="AP23" s="326" t="str">
        <f t="shared" si="38"/>
        <v/>
      </c>
      <c r="AQ23" s="317"/>
      <c r="AR23" s="322" t="str">
        <f t="shared" si="39"/>
        <v/>
      </c>
      <c r="AS23" s="325" t="str">
        <f t="shared" si="40"/>
        <v/>
      </c>
      <c r="AT23" s="316"/>
      <c r="AU23" s="324" t="str">
        <f t="shared" si="41"/>
        <v/>
      </c>
      <c r="AV23" s="316"/>
      <c r="AW23" s="322">
        <f t="shared" si="42"/>
        <v>0</v>
      </c>
      <c r="AX23" s="322" t="str">
        <f t="shared" si="43"/>
        <v/>
      </c>
      <c r="AY23" s="322" t="str">
        <f t="shared" si="44"/>
        <v/>
      </c>
      <c r="AZ23" s="316"/>
      <c r="BA23" s="321" t="str">
        <f t="shared" si="45"/>
        <v/>
      </c>
      <c r="BB23" s="316"/>
      <c r="BC23" s="323" t="str">
        <f t="shared" si="46"/>
        <v/>
      </c>
      <c r="BD23" s="323" t="str">
        <f>IFERROR(VZ!AB25,"")</f>
        <v/>
      </c>
      <c r="BE23" s="322" t="str">
        <f t="shared" si="47"/>
        <v/>
      </c>
      <c r="BF23" s="322" t="str">
        <f t="shared" si="48"/>
        <v/>
      </c>
      <c r="BG23" s="320" t="str">
        <f t="shared" si="49"/>
        <v/>
      </c>
      <c r="BH23" s="322" t="str">
        <f t="shared" si="50"/>
        <v/>
      </c>
      <c r="BI23" s="321">
        <f t="shared" ca="1" si="51"/>
        <v>0</v>
      </c>
      <c r="BJ23" s="316"/>
      <c r="BK23" s="320" t="str">
        <f t="shared" si="52"/>
        <v/>
      </c>
      <c r="BL23" s="319" t="str">
        <f t="shared" si="53"/>
        <v/>
      </c>
      <c r="BM23" s="318" t="str">
        <f t="shared" si="54"/>
        <v/>
      </c>
      <c r="CB23">
        <f>ELEMENT!R21</f>
        <v>0</v>
      </c>
      <c r="CC23" t="str">
        <f>IF(ELEMENT!AO21="","",(2-CB23-CF23))</f>
        <v/>
      </c>
      <c r="CD23">
        <f>ELEMENT!S21</f>
        <v>0</v>
      </c>
      <c r="CE23">
        <f>ELEMENT!T21</f>
        <v>0</v>
      </c>
      <c r="CF23" t="str">
        <f>IF(ELEMENT!AO21="","",IF(ELEMENT!P21="R",1,IF(ELEMENT!P21="L",1,IF(ELEMENT!P21=2,2,0))))</f>
        <v/>
      </c>
      <c r="CG23">
        <f>ELEMENT!AS21</f>
        <v>0</v>
      </c>
      <c r="CH23">
        <f>ELEMENT!AT21</f>
        <v>0</v>
      </c>
      <c r="CI23" t="str">
        <f>IF(ELEMENT!AO21="","",ELEMENT!AT21-(ELEMENT!L21*CJ$69+ELEMENT!M21*CK$69))</f>
        <v/>
      </c>
      <c r="CK23" t="str">
        <f>IF(ELEMENT!$AO21=1,VLOOKUP($CA$3,$CF$55:$CQ$60,$CG$53,FALSE),"")</f>
        <v/>
      </c>
      <c r="CL23" t="str">
        <f>IF(ELEMENT!$AO21=1,VLOOKUP($CA$3,$CF$55:$CQ$60,$CH$53,FALSE),"")</f>
        <v/>
      </c>
      <c r="CM23" t="str">
        <f>IF(ELEMENT!$AO21=1,VLOOKUP($CA$3,$CF$55:$CQ$60,$CI$53,FALSE),"")</f>
        <v/>
      </c>
      <c r="CN23" t="str">
        <f>IF(ELEMENT!$AO21=1,VLOOKUP($CA$3,$CF$55:$CQ$60,$CJ$53,FALSE),"")</f>
        <v/>
      </c>
      <c r="CO23" t="str">
        <f>IF(ELEMENT!$AO21=1,VLOOKUP($CA$3,$CF$55:$CQ$60,$CK$53,FALSE),"")</f>
        <v/>
      </c>
      <c r="CP23" t="str">
        <f>IF(ELEMENT!$AO21=1,VLOOKUP($CA$3,$CF$55:$CQ$60,$CN$53,FALSE),"")</f>
        <v/>
      </c>
      <c r="CQ23" t="str">
        <f>IF(ELEMENT!$AO21=1,VLOOKUP($CA$3,$CF$55:$CQ$60,$CO$53,FALSE),"")</f>
        <v/>
      </c>
      <c r="CR23" t="str">
        <f>IF(ELEMENT!$AO21=1,VLOOKUP($CA$3,$CF$55:$CQ$60,$CP$53,FALSE),"")</f>
        <v/>
      </c>
      <c r="CS23" t="str">
        <f>IF(ELEMENT!$AO21=1,VLOOKUP($CA$3,$CF$55:$CQ$60,$CQ$53,FALSE),"")</f>
        <v/>
      </c>
      <c r="CU23" t="str">
        <f>IF(ELEMENT!AO21="","",CK23*CP23)</f>
        <v/>
      </c>
      <c r="CV23" t="str">
        <f>IF(ELEMENT!AO21="","",CL23*CQ23)</f>
        <v/>
      </c>
      <c r="CW23" t="str">
        <f>IF(ELEMENT!AO21="","",CM23*CR23)</f>
        <v/>
      </c>
      <c r="CX23" t="str">
        <f>IF(ELEMENT!AO21="","",CN23*CS23)</f>
        <v/>
      </c>
      <c r="CZ23" t="str">
        <f>IF(ELEMENT!AO21="","",CB23*CU23*CI23/10^6)</f>
        <v/>
      </c>
      <c r="DA23" t="str">
        <f>IF(ELEMENT!AO21="","",CC23*CV23*CI23/10^6)</f>
        <v/>
      </c>
      <c r="DB23" t="str">
        <f>IF(ELEMENT!AO21="","",CD23*CW23*CI23/10^6)</f>
        <v/>
      </c>
      <c r="DC23" t="str">
        <f>IF(ELEMENT!AO21="","",CE23*CX23*CI23/10^6)</f>
        <v/>
      </c>
      <c r="DD23" t="str">
        <f>IF(ELEMENT!AO21="","",CO23*CF23*CI23/10^3)</f>
        <v/>
      </c>
      <c r="DE23" t="str">
        <f>IF(ELEMENT!AO21="","",SUM(CZ23:DD23))</f>
        <v/>
      </c>
      <c r="DG23" t="str">
        <f>IF(ELEMENT!$AO21=1,
VLOOKUP($CA$3,$CF$55:$CQ$60,$CL$53,FALSE),"")</f>
        <v/>
      </c>
      <c r="DH23" t="str">
        <f>IF(ELEMENT!$AO21=1,
VLOOKUP($CA$3,$CF$55:$CQ$60,$CM$53,FALSE),"")</f>
        <v/>
      </c>
      <c r="DJ23" t="str">
        <f>IF(ELEMENT!AO21=1,
IF(ELEMENT!L21=0,
VLOOKUP($CA$3,$CF$55:$CS$60,$CS$53,FALSE),
VLOOKUP($CA$3,$CF$55:$CS$60,$CR$53,FALSE)),"")</f>
        <v/>
      </c>
      <c r="DK23" t="str">
        <f>IF(ELEMENT!AO21=1,
IF(ELEMENT!M21=0,
VLOOKUP($CA$3,$CF$55:$CS$60,$CR$53,FALSE),
VLOOKUP($CA$3,$CF$55:$CS$60,$CS$53,FALSE)),"")</f>
        <v/>
      </c>
      <c r="DL23" t="str">
        <f>IF(ELEMENT!AO21="","",DG23*DJ23+DH23*DK23)</f>
        <v/>
      </c>
      <c r="DN23" t="str">
        <f>IF(ELEMENT!AO21="","",DL23*CG23/10^6)</f>
        <v/>
      </c>
      <c r="DP23" t="str">
        <f>IF(ELEMENT!AO21="","",DE23+DN23)</f>
        <v/>
      </c>
      <c r="DR23">
        <f t="shared" si="55"/>
        <v>0</v>
      </c>
      <c r="DS23" t="str">
        <f>IF(ELEMENT!AO21="","",(CI23*(CB23*CP23+CC23*CQ23+CD23*CR23+CE23*CS23)+CG23*(DJ23+DK23))/10^6)</f>
        <v/>
      </c>
      <c r="DT23" t="str">
        <f>IF(ELEMENT!AO21="","",DR23-DS23)</f>
        <v/>
      </c>
      <c r="DV23" t="str">
        <f>IF(ELEMENT!AO21="","",DP23/DS23)</f>
        <v/>
      </c>
      <c r="DX23" t="str">
        <f>IF(ELEMENT!AO21="","",ELEMENT!DI181)</f>
        <v/>
      </c>
      <c r="DY23" t="str">
        <f>IF(ELEMENT!AO21="","",DV23*DS23)</f>
        <v/>
      </c>
      <c r="DZ23" t="str">
        <f>IF(ELEMENT!AO21="","",DX23*DT23)</f>
        <v/>
      </c>
      <c r="EA23" t="str">
        <f>IF(ELEMENT!AO21="","",$EA$3*((2*(CG23-CB23*CP23-CC23*CQ23-CD23*CR23-CE23*CS23)/1000)+2*(CI23/1000)))</f>
        <v/>
      </c>
      <c r="EB23" t="str">
        <f>IF(ELEMENT!AO21="","",$EA$3*((CI23/1000)*(2*(CD23+CE23)))+$EA$3*(2*CF23*CI23/1000))</f>
        <v/>
      </c>
      <c r="EC23">
        <f ca="1">IF(ELEMENT!FY21="",SUM(DY23:EB23),"")</f>
        <v>0</v>
      </c>
      <c r="EE23" t="str">
        <f>IF(ELEMENT!AO21="","",
IF(ELEMENT!FY21="",(EC23/DR23),""))</f>
        <v/>
      </c>
      <c r="EF23" t="str">
        <f t="shared" si="56"/>
        <v/>
      </c>
      <c r="EG23" t="str">
        <f>IF(ELEMENT!AO21="","",EC23*ELEMENT!C21)</f>
        <v/>
      </c>
    </row>
    <row r="24" spans="1:137" ht="21" customHeight="1" x14ac:dyDescent="0.2">
      <c r="A24" s="332">
        <f>ELEMENT!A22</f>
        <v>0</v>
      </c>
      <c r="B24" s="331">
        <f>ELEMENT!B22</f>
        <v>0</v>
      </c>
      <c r="C24" s="330">
        <f>ELEMENT!C22</f>
        <v>0</v>
      </c>
      <c r="D24" s="329">
        <f t="shared" si="8"/>
        <v>0</v>
      </c>
      <c r="E24" s="329">
        <f t="shared" si="9"/>
        <v>0</v>
      </c>
      <c r="F24" s="329" t="str">
        <f t="shared" si="10"/>
        <v/>
      </c>
      <c r="G24" s="317"/>
      <c r="H24" s="328">
        <f t="shared" si="11"/>
        <v>0</v>
      </c>
      <c r="I24" s="328" t="str">
        <f t="shared" si="12"/>
        <v/>
      </c>
      <c r="J24" s="328">
        <f t="shared" si="13"/>
        <v>0</v>
      </c>
      <c r="K24" s="328">
        <f t="shared" si="14"/>
        <v>0</v>
      </c>
      <c r="L24" s="327" t="str">
        <f t="shared" si="15"/>
        <v/>
      </c>
      <c r="M24" s="317"/>
      <c r="N24" s="322" t="str">
        <f t="shared" si="16"/>
        <v/>
      </c>
      <c r="O24" s="322" t="str">
        <f t="shared" si="17"/>
        <v/>
      </c>
      <c r="P24" s="322" t="str">
        <f t="shared" si="18"/>
        <v/>
      </c>
      <c r="Q24" s="322" t="str">
        <f t="shared" si="19"/>
        <v/>
      </c>
      <c r="R24" s="322" t="str">
        <f t="shared" si="20"/>
        <v/>
      </c>
      <c r="S24" s="317"/>
      <c r="T24" s="315" t="str">
        <f t="shared" si="21"/>
        <v/>
      </c>
      <c r="U24" s="315" t="str">
        <f t="shared" si="22"/>
        <v/>
      </c>
      <c r="V24" s="315" t="str">
        <f t="shared" si="23"/>
        <v/>
      </c>
      <c r="W24" s="315" t="str">
        <f t="shared" si="24"/>
        <v/>
      </c>
      <c r="X24" s="317"/>
      <c r="Y24" s="327" t="str">
        <f t="shared" si="25"/>
        <v/>
      </c>
      <c r="Z24" s="327" t="str">
        <f t="shared" si="26"/>
        <v/>
      </c>
      <c r="AA24" s="327" t="str">
        <f t="shared" si="27"/>
        <v/>
      </c>
      <c r="AB24" s="327" t="str">
        <f t="shared" si="28"/>
        <v/>
      </c>
      <c r="AC24" s="317"/>
      <c r="AD24" s="322" t="str">
        <f t="shared" si="29"/>
        <v/>
      </c>
      <c r="AE24" s="322" t="str">
        <f t="shared" si="30"/>
        <v/>
      </c>
      <c r="AF24" s="322" t="str">
        <f t="shared" si="31"/>
        <v/>
      </c>
      <c r="AG24" s="322" t="str">
        <f t="shared" si="32"/>
        <v/>
      </c>
      <c r="AH24" s="322" t="str">
        <f t="shared" si="33"/>
        <v/>
      </c>
      <c r="AI24" s="322"/>
      <c r="AJ24" s="325" t="str">
        <f t="shared" si="34"/>
        <v/>
      </c>
      <c r="AK24" s="316"/>
      <c r="AL24" s="322" t="str">
        <f t="shared" si="35"/>
        <v/>
      </c>
      <c r="AM24" s="322" t="str">
        <f t="shared" si="36"/>
        <v/>
      </c>
      <c r="AN24" s="317"/>
      <c r="AO24" s="326" t="str">
        <f t="shared" si="37"/>
        <v/>
      </c>
      <c r="AP24" s="326" t="str">
        <f t="shared" si="38"/>
        <v/>
      </c>
      <c r="AQ24" s="317"/>
      <c r="AR24" s="322" t="str">
        <f t="shared" si="39"/>
        <v/>
      </c>
      <c r="AS24" s="325" t="str">
        <f t="shared" si="40"/>
        <v/>
      </c>
      <c r="AT24" s="316"/>
      <c r="AU24" s="324" t="str">
        <f t="shared" si="41"/>
        <v/>
      </c>
      <c r="AV24" s="316"/>
      <c r="AW24" s="322">
        <f t="shared" si="42"/>
        <v>0</v>
      </c>
      <c r="AX24" s="322" t="str">
        <f t="shared" si="43"/>
        <v/>
      </c>
      <c r="AY24" s="322" t="str">
        <f t="shared" si="44"/>
        <v/>
      </c>
      <c r="AZ24" s="316"/>
      <c r="BA24" s="321" t="str">
        <f t="shared" si="45"/>
        <v/>
      </c>
      <c r="BB24" s="316"/>
      <c r="BC24" s="323" t="str">
        <f t="shared" si="46"/>
        <v/>
      </c>
      <c r="BD24" s="323" t="str">
        <f>IFERROR(VZ!AB26,"")</f>
        <v/>
      </c>
      <c r="BE24" s="322" t="str">
        <f t="shared" si="47"/>
        <v/>
      </c>
      <c r="BF24" s="322" t="str">
        <f t="shared" si="48"/>
        <v/>
      </c>
      <c r="BG24" s="320" t="str">
        <f t="shared" si="49"/>
        <v/>
      </c>
      <c r="BH24" s="322" t="str">
        <f t="shared" si="50"/>
        <v/>
      </c>
      <c r="BI24" s="321">
        <f t="shared" ca="1" si="51"/>
        <v>0</v>
      </c>
      <c r="BJ24" s="316"/>
      <c r="BK24" s="320" t="str">
        <f t="shared" si="52"/>
        <v/>
      </c>
      <c r="BL24" s="319" t="str">
        <f t="shared" si="53"/>
        <v/>
      </c>
      <c r="BM24" s="318" t="str">
        <f t="shared" si="54"/>
        <v/>
      </c>
      <c r="CB24">
        <f>ELEMENT!R22</f>
        <v>0</v>
      </c>
      <c r="CC24" t="str">
        <f>IF(ELEMENT!AO22="","",(2-CB24-CF24))</f>
        <v/>
      </c>
      <c r="CD24">
        <f>ELEMENT!S22</f>
        <v>0</v>
      </c>
      <c r="CE24">
        <f>ELEMENT!T22</f>
        <v>0</v>
      </c>
      <c r="CF24" t="str">
        <f>IF(ELEMENT!AO22="","",IF(ELEMENT!P22="R",1,IF(ELEMENT!P22="L",1,IF(ELEMENT!P22=2,2,0))))</f>
        <v/>
      </c>
      <c r="CG24">
        <f>ELEMENT!AS22</f>
        <v>0</v>
      </c>
      <c r="CH24">
        <f>ELEMENT!AT22</f>
        <v>0</v>
      </c>
      <c r="CI24" t="str">
        <f>IF(ELEMENT!AO22="","",ELEMENT!AT22-(ELEMENT!L22*CJ$69+ELEMENT!M22*CK$69))</f>
        <v/>
      </c>
      <c r="CK24" t="str">
        <f>IF(ELEMENT!$AO22=1,VLOOKUP($CA$3,$CF$55:$CQ$60,$CG$53,FALSE),"")</f>
        <v/>
      </c>
      <c r="CL24" t="str">
        <f>IF(ELEMENT!$AO22=1,VLOOKUP($CA$3,$CF$55:$CQ$60,$CH$53,FALSE),"")</f>
        <v/>
      </c>
      <c r="CM24" t="str">
        <f>IF(ELEMENT!$AO22=1,VLOOKUP($CA$3,$CF$55:$CQ$60,$CI$53,FALSE),"")</f>
        <v/>
      </c>
      <c r="CN24" t="str">
        <f>IF(ELEMENT!$AO22=1,VLOOKUP($CA$3,$CF$55:$CQ$60,$CJ$53,FALSE),"")</f>
        <v/>
      </c>
      <c r="CO24" t="str">
        <f>IF(ELEMENT!$AO22=1,VLOOKUP($CA$3,$CF$55:$CQ$60,$CK$53,FALSE),"")</f>
        <v/>
      </c>
      <c r="CP24" t="str">
        <f>IF(ELEMENT!$AO22=1,VLOOKUP($CA$3,$CF$55:$CQ$60,$CN$53,FALSE),"")</f>
        <v/>
      </c>
      <c r="CQ24" t="str">
        <f>IF(ELEMENT!$AO22=1,VLOOKUP($CA$3,$CF$55:$CQ$60,$CO$53,FALSE),"")</f>
        <v/>
      </c>
      <c r="CR24" t="str">
        <f>IF(ELEMENT!$AO22=1,VLOOKUP($CA$3,$CF$55:$CQ$60,$CP$53,FALSE),"")</f>
        <v/>
      </c>
      <c r="CS24" t="str">
        <f>IF(ELEMENT!$AO22=1,VLOOKUP($CA$3,$CF$55:$CQ$60,$CQ$53,FALSE),"")</f>
        <v/>
      </c>
      <c r="CU24" t="str">
        <f>IF(ELEMENT!AO22="","",CK24*CP24)</f>
        <v/>
      </c>
      <c r="CV24" t="str">
        <f>IF(ELEMENT!AO22="","",CL24*CQ24)</f>
        <v/>
      </c>
      <c r="CW24" t="str">
        <f>IF(ELEMENT!AO22="","",CM24*CR24)</f>
        <v/>
      </c>
      <c r="CX24" t="str">
        <f>IF(ELEMENT!AO22="","",CN24*CS24)</f>
        <v/>
      </c>
      <c r="CZ24" t="str">
        <f>IF(ELEMENT!AO22="","",CB24*CU24*CI24/10^6)</f>
        <v/>
      </c>
      <c r="DA24" t="str">
        <f>IF(ELEMENT!AO22="","",CC24*CV24*CI24/10^6)</f>
        <v/>
      </c>
      <c r="DB24" t="str">
        <f>IF(ELEMENT!AO22="","",CD24*CW24*CI24/10^6)</f>
        <v/>
      </c>
      <c r="DC24" t="str">
        <f>IF(ELEMENT!AO22="","",CE24*CX24*CI24/10^6)</f>
        <v/>
      </c>
      <c r="DD24" t="str">
        <f>IF(ELEMENT!AO22="","",CO24*CF24*CI24/10^3)</f>
        <v/>
      </c>
      <c r="DE24" t="str">
        <f>IF(ELEMENT!AO22="","",SUM(CZ24:DD24))</f>
        <v/>
      </c>
      <c r="DG24" t="str">
        <f>IF(ELEMENT!$AO22=1,
VLOOKUP($CA$3,$CF$55:$CQ$60,$CL$53,FALSE),"")</f>
        <v/>
      </c>
      <c r="DH24" t="str">
        <f>IF(ELEMENT!$AO22=1,
VLOOKUP($CA$3,$CF$55:$CQ$60,$CM$53,FALSE),"")</f>
        <v/>
      </c>
      <c r="DJ24" t="str">
        <f>IF(ELEMENT!AO22=1,
IF(ELEMENT!L22=0,
VLOOKUP($CA$3,$CF$55:$CS$60,$CS$53,FALSE),
VLOOKUP($CA$3,$CF$55:$CS$60,$CR$53,FALSE)),"")</f>
        <v/>
      </c>
      <c r="DK24" t="str">
        <f>IF(ELEMENT!AO22=1,
IF(ELEMENT!M22=0,
VLOOKUP($CA$3,$CF$55:$CS$60,$CR$53,FALSE),
VLOOKUP($CA$3,$CF$55:$CS$60,$CS$53,FALSE)),"")</f>
        <v/>
      </c>
      <c r="DL24" t="str">
        <f>IF(ELEMENT!AO22="","",DG24*DJ24+DH24*DK24)</f>
        <v/>
      </c>
      <c r="DN24" t="str">
        <f>IF(ELEMENT!AO22="","",DL24*CG24/10^6)</f>
        <v/>
      </c>
      <c r="DP24" t="str">
        <f>IF(ELEMENT!AO22="","",DE24+DN24)</f>
        <v/>
      </c>
      <c r="DR24">
        <f t="shared" si="55"/>
        <v>0</v>
      </c>
      <c r="DS24" t="str">
        <f>IF(ELEMENT!AO22="","",(CI24*(CB24*CP24+CC24*CQ24+CD24*CR24+CE24*CS24)+CG24*(DJ24+DK24))/10^6)</f>
        <v/>
      </c>
      <c r="DT24" t="str">
        <f>IF(ELEMENT!AO22="","",DR24-DS24)</f>
        <v/>
      </c>
      <c r="DV24" t="str">
        <f>IF(ELEMENT!AO22="","",DP24/DS24)</f>
        <v/>
      </c>
      <c r="DX24" t="str">
        <f>IF(ELEMENT!AO22="","",ELEMENT!DI182)</f>
        <v/>
      </c>
      <c r="DY24" t="str">
        <f>IF(ELEMENT!AO22="","",DV24*DS24)</f>
        <v/>
      </c>
      <c r="DZ24" t="str">
        <f>IF(ELEMENT!AO22="","",DX24*DT24)</f>
        <v/>
      </c>
      <c r="EA24" t="str">
        <f>IF(ELEMENT!AO22="","",$EA$3*((2*(CG24-CB24*CP24-CC24*CQ24-CD24*CR24-CE24*CS24)/1000)+2*(CI24/1000)))</f>
        <v/>
      </c>
      <c r="EB24" t="str">
        <f>IF(ELEMENT!AO22="","",$EA$3*((CI24/1000)*(2*(CD24+CE24)))+$EA$3*(2*CF24*CI24/1000))</f>
        <v/>
      </c>
      <c r="EC24">
        <f ca="1">IF(ELEMENT!FY22="",SUM(DY24:EB24),"")</f>
        <v>0</v>
      </c>
      <c r="EE24" t="str">
        <f>IF(ELEMENT!AO22="","",
IF(ELEMENT!FY22="",(EC24/DR24),""))</f>
        <v/>
      </c>
      <c r="EF24" t="str">
        <f t="shared" si="56"/>
        <v/>
      </c>
      <c r="EG24" t="str">
        <f>IF(ELEMENT!AO22="","",EC24*ELEMENT!C22)</f>
        <v/>
      </c>
    </row>
    <row r="25" spans="1:137" ht="21" customHeight="1" x14ac:dyDescent="0.2">
      <c r="A25" s="332">
        <f>ELEMENT!A23</f>
        <v>0</v>
      </c>
      <c r="B25" s="331">
        <f>ELEMENT!B23</f>
        <v>0</v>
      </c>
      <c r="C25" s="330">
        <f>ELEMENT!C23</f>
        <v>0</v>
      </c>
      <c r="D25" s="329">
        <f t="shared" si="8"/>
        <v>0</v>
      </c>
      <c r="E25" s="329">
        <f t="shared" si="9"/>
        <v>0</v>
      </c>
      <c r="F25" s="329" t="str">
        <f t="shared" si="10"/>
        <v/>
      </c>
      <c r="G25" s="317"/>
      <c r="H25" s="328">
        <f t="shared" si="11"/>
        <v>0</v>
      </c>
      <c r="I25" s="328" t="str">
        <f t="shared" si="12"/>
        <v/>
      </c>
      <c r="J25" s="328">
        <f t="shared" si="13"/>
        <v>0</v>
      </c>
      <c r="K25" s="328">
        <f t="shared" si="14"/>
        <v>0</v>
      </c>
      <c r="L25" s="327" t="str">
        <f t="shared" si="15"/>
        <v/>
      </c>
      <c r="M25" s="317"/>
      <c r="N25" s="322" t="str">
        <f t="shared" si="16"/>
        <v/>
      </c>
      <c r="O25" s="322" t="str">
        <f t="shared" si="17"/>
        <v/>
      </c>
      <c r="P25" s="322" t="str">
        <f t="shared" si="18"/>
        <v/>
      </c>
      <c r="Q25" s="322" t="str">
        <f t="shared" si="19"/>
        <v/>
      </c>
      <c r="R25" s="322" t="str">
        <f t="shared" si="20"/>
        <v/>
      </c>
      <c r="S25" s="317"/>
      <c r="T25" s="315" t="str">
        <f t="shared" si="21"/>
        <v/>
      </c>
      <c r="U25" s="315" t="str">
        <f t="shared" si="22"/>
        <v/>
      </c>
      <c r="V25" s="315" t="str">
        <f t="shared" si="23"/>
        <v/>
      </c>
      <c r="W25" s="315" t="str">
        <f t="shared" si="24"/>
        <v/>
      </c>
      <c r="X25" s="317"/>
      <c r="Y25" s="327" t="str">
        <f t="shared" si="25"/>
        <v/>
      </c>
      <c r="Z25" s="327" t="str">
        <f t="shared" si="26"/>
        <v/>
      </c>
      <c r="AA25" s="327" t="str">
        <f t="shared" si="27"/>
        <v/>
      </c>
      <c r="AB25" s="327" t="str">
        <f t="shared" si="28"/>
        <v/>
      </c>
      <c r="AC25" s="317"/>
      <c r="AD25" s="322" t="str">
        <f t="shared" si="29"/>
        <v/>
      </c>
      <c r="AE25" s="322" t="str">
        <f t="shared" si="30"/>
        <v/>
      </c>
      <c r="AF25" s="322" t="str">
        <f t="shared" si="31"/>
        <v/>
      </c>
      <c r="AG25" s="322" t="str">
        <f t="shared" si="32"/>
        <v/>
      </c>
      <c r="AH25" s="322" t="str">
        <f t="shared" si="33"/>
        <v/>
      </c>
      <c r="AI25" s="322"/>
      <c r="AJ25" s="325" t="str">
        <f t="shared" si="34"/>
        <v/>
      </c>
      <c r="AK25" s="316"/>
      <c r="AL25" s="322" t="str">
        <f t="shared" si="35"/>
        <v/>
      </c>
      <c r="AM25" s="322" t="str">
        <f t="shared" si="36"/>
        <v/>
      </c>
      <c r="AN25" s="317"/>
      <c r="AO25" s="326" t="str">
        <f t="shared" si="37"/>
        <v/>
      </c>
      <c r="AP25" s="326" t="str">
        <f t="shared" si="38"/>
        <v/>
      </c>
      <c r="AQ25" s="317"/>
      <c r="AR25" s="322" t="str">
        <f t="shared" si="39"/>
        <v/>
      </c>
      <c r="AS25" s="325" t="str">
        <f t="shared" si="40"/>
        <v/>
      </c>
      <c r="AT25" s="316"/>
      <c r="AU25" s="324" t="str">
        <f t="shared" si="41"/>
        <v/>
      </c>
      <c r="AV25" s="316"/>
      <c r="AW25" s="322">
        <f t="shared" si="42"/>
        <v>0</v>
      </c>
      <c r="AX25" s="322" t="str">
        <f t="shared" si="43"/>
        <v/>
      </c>
      <c r="AY25" s="322" t="str">
        <f t="shared" si="44"/>
        <v/>
      </c>
      <c r="AZ25" s="316"/>
      <c r="BA25" s="321" t="str">
        <f t="shared" si="45"/>
        <v/>
      </c>
      <c r="BB25" s="316"/>
      <c r="BC25" s="323" t="str">
        <f t="shared" si="46"/>
        <v/>
      </c>
      <c r="BD25" s="323" t="str">
        <f>IFERROR(VZ!AB27,"")</f>
        <v/>
      </c>
      <c r="BE25" s="322" t="str">
        <f t="shared" si="47"/>
        <v/>
      </c>
      <c r="BF25" s="322" t="str">
        <f t="shared" si="48"/>
        <v/>
      </c>
      <c r="BG25" s="320" t="str">
        <f t="shared" si="49"/>
        <v/>
      </c>
      <c r="BH25" s="322" t="str">
        <f t="shared" si="50"/>
        <v/>
      </c>
      <c r="BI25" s="321">
        <f t="shared" ca="1" si="51"/>
        <v>0</v>
      </c>
      <c r="BJ25" s="316"/>
      <c r="BK25" s="320" t="str">
        <f t="shared" si="52"/>
        <v/>
      </c>
      <c r="BL25" s="319" t="str">
        <f t="shared" si="53"/>
        <v/>
      </c>
      <c r="BM25" s="318" t="str">
        <f t="shared" si="54"/>
        <v/>
      </c>
      <c r="CB25">
        <f>ELEMENT!R23</f>
        <v>0</v>
      </c>
      <c r="CC25" t="str">
        <f>IF(ELEMENT!AO23="","",(2-CB25-CF25))</f>
        <v/>
      </c>
      <c r="CD25">
        <f>ELEMENT!S23</f>
        <v>0</v>
      </c>
      <c r="CE25">
        <f>ELEMENT!T23</f>
        <v>0</v>
      </c>
      <c r="CF25" t="str">
        <f>IF(ELEMENT!AO23="","",IF(ELEMENT!P23="R",1,IF(ELEMENT!P23="L",1,IF(ELEMENT!P23=2,2,0))))</f>
        <v/>
      </c>
      <c r="CG25">
        <f>ELEMENT!AS23</f>
        <v>0</v>
      </c>
      <c r="CH25">
        <f>ELEMENT!AT23</f>
        <v>0</v>
      </c>
      <c r="CI25" t="str">
        <f>IF(ELEMENT!AO23="","",ELEMENT!AT23-(ELEMENT!L23*CJ$69+ELEMENT!M23*CK$69))</f>
        <v/>
      </c>
      <c r="CK25" t="str">
        <f>IF(ELEMENT!$AO23=1,VLOOKUP($CA$3,$CF$55:$CQ$60,$CG$53,FALSE),"")</f>
        <v/>
      </c>
      <c r="CL25" t="str">
        <f>IF(ELEMENT!$AO23=1,VLOOKUP($CA$3,$CF$55:$CQ$60,$CH$53,FALSE),"")</f>
        <v/>
      </c>
      <c r="CM25" t="str">
        <f>IF(ELEMENT!$AO23=1,VLOOKUP($CA$3,$CF$55:$CQ$60,$CI$53,FALSE),"")</f>
        <v/>
      </c>
      <c r="CN25" t="str">
        <f>IF(ELEMENT!$AO23=1,VLOOKUP($CA$3,$CF$55:$CQ$60,$CJ$53,FALSE),"")</f>
        <v/>
      </c>
      <c r="CO25" t="str">
        <f>IF(ELEMENT!$AO23=1,VLOOKUP($CA$3,$CF$55:$CQ$60,$CK$53,FALSE),"")</f>
        <v/>
      </c>
      <c r="CP25" t="str">
        <f>IF(ELEMENT!$AO23=1,VLOOKUP($CA$3,$CF$55:$CQ$60,$CN$53,FALSE),"")</f>
        <v/>
      </c>
      <c r="CQ25" t="str">
        <f>IF(ELEMENT!$AO23=1,VLOOKUP($CA$3,$CF$55:$CQ$60,$CO$53,FALSE),"")</f>
        <v/>
      </c>
      <c r="CR25" t="str">
        <f>IF(ELEMENT!$AO23=1,VLOOKUP($CA$3,$CF$55:$CQ$60,$CP$53,FALSE),"")</f>
        <v/>
      </c>
      <c r="CS25" t="str">
        <f>IF(ELEMENT!$AO23=1,VLOOKUP($CA$3,$CF$55:$CQ$60,$CQ$53,FALSE),"")</f>
        <v/>
      </c>
      <c r="CU25" t="str">
        <f>IF(ELEMENT!AO23="","",CK25*CP25)</f>
        <v/>
      </c>
      <c r="CV25" t="str">
        <f>IF(ELEMENT!AO23="","",CL25*CQ25)</f>
        <v/>
      </c>
      <c r="CW25" t="str">
        <f>IF(ELEMENT!AO23="","",CM25*CR25)</f>
        <v/>
      </c>
      <c r="CX25" t="str">
        <f>IF(ELEMENT!AO23="","",CN25*CS25)</f>
        <v/>
      </c>
      <c r="CZ25" t="str">
        <f>IF(ELEMENT!AO23="","",CB25*CU25*CI25/10^6)</f>
        <v/>
      </c>
      <c r="DA25" t="str">
        <f>IF(ELEMENT!AO23="","",CC25*CV25*CI25/10^6)</f>
        <v/>
      </c>
      <c r="DB25" t="str">
        <f>IF(ELEMENT!AO23="","",CD25*CW25*CI25/10^6)</f>
        <v/>
      </c>
      <c r="DC25" t="str">
        <f>IF(ELEMENT!AO23="","",CE25*CX25*CI25/10^6)</f>
        <v/>
      </c>
      <c r="DD25" t="str">
        <f>IF(ELEMENT!AO23="","",CO25*CF25*CI25/10^3)</f>
        <v/>
      </c>
      <c r="DE25" t="str">
        <f>IF(ELEMENT!AO23="","",SUM(CZ25:DD25))</f>
        <v/>
      </c>
      <c r="DG25" t="str">
        <f>IF(ELEMENT!$AO23=1,
VLOOKUP($CA$3,$CF$55:$CQ$60,$CL$53,FALSE),"")</f>
        <v/>
      </c>
      <c r="DH25" t="str">
        <f>IF(ELEMENT!$AO23=1,
VLOOKUP($CA$3,$CF$55:$CQ$60,$CM$53,FALSE),"")</f>
        <v/>
      </c>
      <c r="DJ25" t="str">
        <f>IF(ELEMENT!AO23=1,
IF(ELEMENT!L23=0,
VLOOKUP($CA$3,$CF$55:$CS$60,$CS$53,FALSE),
VLOOKUP($CA$3,$CF$55:$CS$60,$CR$53,FALSE)),"")</f>
        <v/>
      </c>
      <c r="DK25" t="str">
        <f>IF(ELEMENT!AO23=1,
IF(ELEMENT!M23=0,
VLOOKUP($CA$3,$CF$55:$CS$60,$CR$53,FALSE),
VLOOKUP($CA$3,$CF$55:$CS$60,$CS$53,FALSE)),"")</f>
        <v/>
      </c>
      <c r="DL25" t="str">
        <f>IF(ELEMENT!AO23="","",DG25*DJ25+DH25*DK25)</f>
        <v/>
      </c>
      <c r="DN25" t="str">
        <f>IF(ELEMENT!AO23="","",DL25*CG25/10^6)</f>
        <v/>
      </c>
      <c r="DP25" t="str">
        <f>IF(ELEMENT!AO23="","",DE25+DN25)</f>
        <v/>
      </c>
      <c r="DR25">
        <f t="shared" si="55"/>
        <v>0</v>
      </c>
      <c r="DS25" t="str">
        <f>IF(ELEMENT!AO23="","",(CI25*(CB25*CP25+CC25*CQ25+CD25*CR25+CE25*CS25)+CG25*(DJ25+DK25))/10^6)</f>
        <v/>
      </c>
      <c r="DT25" t="str">
        <f>IF(ELEMENT!AO23="","",DR25-DS25)</f>
        <v/>
      </c>
      <c r="DV25" t="str">
        <f>IF(ELEMENT!AO23="","",DP25/DS25)</f>
        <v/>
      </c>
      <c r="DX25" t="str">
        <f>IF(ELEMENT!AO23="","",ELEMENT!DI183)</f>
        <v/>
      </c>
      <c r="DY25" t="str">
        <f>IF(ELEMENT!AO23="","",DV25*DS25)</f>
        <v/>
      </c>
      <c r="DZ25" t="str">
        <f>IF(ELEMENT!AO23="","",DX25*DT25)</f>
        <v/>
      </c>
      <c r="EA25" t="str">
        <f>IF(ELEMENT!AO23="","",$EA$3*((2*(CG25-CB25*CP25-CC25*CQ25-CD25*CR25-CE25*CS25)/1000)+2*(CI25/1000)))</f>
        <v/>
      </c>
      <c r="EB25" t="str">
        <f>IF(ELEMENT!AO23="","",$EA$3*((CI25/1000)*(2*(CD25+CE25)))+$EA$3*(2*CF25*CI25/1000))</f>
        <v/>
      </c>
      <c r="EC25">
        <f ca="1">IF(ELEMENT!FY23="",SUM(DY25:EB25),"")</f>
        <v>0</v>
      </c>
      <c r="EE25" t="str">
        <f>IF(ELEMENT!AO23="","",
IF(ELEMENT!FY23="",(EC25/DR25),""))</f>
        <v/>
      </c>
      <c r="EF25" t="str">
        <f t="shared" si="56"/>
        <v/>
      </c>
      <c r="EG25" t="str">
        <f>IF(ELEMENT!AO23="","",EC25*ELEMENT!C23)</f>
        <v/>
      </c>
    </row>
    <row r="26" spans="1:137" ht="21" customHeight="1" x14ac:dyDescent="0.2">
      <c r="A26" s="332">
        <f>ELEMENT!A24</f>
        <v>0</v>
      </c>
      <c r="B26" s="331">
        <f>ELEMENT!B24</f>
        <v>0</v>
      </c>
      <c r="C26" s="330">
        <f>ELEMENT!C24</f>
        <v>0</v>
      </c>
      <c r="D26" s="329">
        <f t="shared" si="8"/>
        <v>0</v>
      </c>
      <c r="E26" s="329">
        <f t="shared" si="9"/>
        <v>0</v>
      </c>
      <c r="F26" s="329" t="str">
        <f t="shared" si="10"/>
        <v/>
      </c>
      <c r="G26" s="317"/>
      <c r="H26" s="328">
        <f t="shared" si="11"/>
        <v>0</v>
      </c>
      <c r="I26" s="328" t="str">
        <f t="shared" si="12"/>
        <v/>
      </c>
      <c r="J26" s="328">
        <f t="shared" si="13"/>
        <v>0</v>
      </c>
      <c r="K26" s="328">
        <f t="shared" si="14"/>
        <v>0</v>
      </c>
      <c r="L26" s="327" t="str">
        <f t="shared" si="15"/>
        <v/>
      </c>
      <c r="M26" s="317"/>
      <c r="N26" s="322" t="str">
        <f t="shared" si="16"/>
        <v/>
      </c>
      <c r="O26" s="322" t="str">
        <f t="shared" si="17"/>
        <v/>
      </c>
      <c r="P26" s="322" t="str">
        <f t="shared" si="18"/>
        <v/>
      </c>
      <c r="Q26" s="322" t="str">
        <f t="shared" si="19"/>
        <v/>
      </c>
      <c r="R26" s="322" t="str">
        <f t="shared" si="20"/>
        <v/>
      </c>
      <c r="S26" s="317"/>
      <c r="T26" s="315" t="str">
        <f t="shared" si="21"/>
        <v/>
      </c>
      <c r="U26" s="315" t="str">
        <f t="shared" si="22"/>
        <v/>
      </c>
      <c r="V26" s="315" t="str">
        <f t="shared" si="23"/>
        <v/>
      </c>
      <c r="W26" s="315" t="str">
        <f t="shared" si="24"/>
        <v/>
      </c>
      <c r="X26" s="317"/>
      <c r="Y26" s="327" t="str">
        <f t="shared" si="25"/>
        <v/>
      </c>
      <c r="Z26" s="327" t="str">
        <f t="shared" si="26"/>
        <v/>
      </c>
      <c r="AA26" s="327" t="str">
        <f t="shared" si="27"/>
        <v/>
      </c>
      <c r="AB26" s="327" t="str">
        <f t="shared" si="28"/>
        <v/>
      </c>
      <c r="AC26" s="317"/>
      <c r="AD26" s="322" t="str">
        <f t="shared" si="29"/>
        <v/>
      </c>
      <c r="AE26" s="322" t="str">
        <f t="shared" si="30"/>
        <v/>
      </c>
      <c r="AF26" s="322" t="str">
        <f t="shared" si="31"/>
        <v/>
      </c>
      <c r="AG26" s="322" t="str">
        <f t="shared" si="32"/>
        <v/>
      </c>
      <c r="AH26" s="322" t="str">
        <f t="shared" si="33"/>
        <v/>
      </c>
      <c r="AI26" s="322"/>
      <c r="AJ26" s="325" t="str">
        <f t="shared" si="34"/>
        <v/>
      </c>
      <c r="AK26" s="316"/>
      <c r="AL26" s="322" t="str">
        <f t="shared" si="35"/>
        <v/>
      </c>
      <c r="AM26" s="322" t="str">
        <f t="shared" si="36"/>
        <v/>
      </c>
      <c r="AN26" s="317"/>
      <c r="AO26" s="326" t="str">
        <f t="shared" si="37"/>
        <v/>
      </c>
      <c r="AP26" s="326" t="str">
        <f t="shared" si="38"/>
        <v/>
      </c>
      <c r="AQ26" s="317"/>
      <c r="AR26" s="322" t="str">
        <f t="shared" si="39"/>
        <v/>
      </c>
      <c r="AS26" s="325" t="str">
        <f t="shared" si="40"/>
        <v/>
      </c>
      <c r="AT26" s="316"/>
      <c r="AU26" s="324" t="str">
        <f t="shared" si="41"/>
        <v/>
      </c>
      <c r="AV26" s="316"/>
      <c r="AW26" s="322">
        <f t="shared" si="42"/>
        <v>0</v>
      </c>
      <c r="AX26" s="322" t="str">
        <f t="shared" si="43"/>
        <v/>
      </c>
      <c r="AY26" s="322" t="str">
        <f t="shared" si="44"/>
        <v/>
      </c>
      <c r="AZ26" s="316"/>
      <c r="BA26" s="321" t="str">
        <f t="shared" si="45"/>
        <v/>
      </c>
      <c r="BB26" s="316"/>
      <c r="BC26" s="323" t="str">
        <f t="shared" si="46"/>
        <v/>
      </c>
      <c r="BD26" s="323" t="str">
        <f>IFERROR(VZ!AB28,"")</f>
        <v/>
      </c>
      <c r="BE26" s="322" t="str">
        <f t="shared" si="47"/>
        <v/>
      </c>
      <c r="BF26" s="322" t="str">
        <f t="shared" si="48"/>
        <v/>
      </c>
      <c r="BG26" s="320" t="str">
        <f t="shared" si="49"/>
        <v/>
      </c>
      <c r="BH26" s="322" t="str">
        <f t="shared" si="50"/>
        <v/>
      </c>
      <c r="BI26" s="321">
        <f t="shared" ca="1" si="51"/>
        <v>0</v>
      </c>
      <c r="BJ26" s="316"/>
      <c r="BK26" s="320" t="str">
        <f t="shared" si="52"/>
        <v/>
      </c>
      <c r="BL26" s="319" t="str">
        <f t="shared" si="53"/>
        <v/>
      </c>
      <c r="BM26" s="318" t="str">
        <f t="shared" si="54"/>
        <v/>
      </c>
      <c r="CB26">
        <f>ELEMENT!R24</f>
        <v>0</v>
      </c>
      <c r="CC26" t="str">
        <f>IF(ELEMENT!AO24="","",(2-CB26-CF26))</f>
        <v/>
      </c>
      <c r="CD26">
        <f>ELEMENT!S24</f>
        <v>0</v>
      </c>
      <c r="CE26">
        <f>ELEMENT!T24</f>
        <v>0</v>
      </c>
      <c r="CF26" t="str">
        <f>IF(ELEMENT!AO24="","",IF(ELEMENT!P24="R",1,IF(ELEMENT!P24="L",1,IF(ELEMENT!P24=2,2,0))))</f>
        <v/>
      </c>
      <c r="CG26">
        <f>ELEMENT!AS24</f>
        <v>0</v>
      </c>
      <c r="CH26">
        <f>ELEMENT!AT24</f>
        <v>0</v>
      </c>
      <c r="CI26" t="str">
        <f>IF(ELEMENT!AO24="","",ELEMENT!AT24-(ELEMENT!L24*CJ$69+ELEMENT!M24*CK$69))</f>
        <v/>
      </c>
      <c r="CK26" t="str">
        <f>IF(ELEMENT!$AO24=1,VLOOKUP($CA$3,$CF$55:$CQ$60,$CG$53,FALSE),"")</f>
        <v/>
      </c>
      <c r="CL26" t="str">
        <f>IF(ELEMENT!$AO24=1,VLOOKUP($CA$3,$CF$55:$CQ$60,$CH$53,FALSE),"")</f>
        <v/>
      </c>
      <c r="CM26" t="str">
        <f>IF(ELEMENT!$AO24=1,VLOOKUP($CA$3,$CF$55:$CQ$60,$CI$53,FALSE),"")</f>
        <v/>
      </c>
      <c r="CN26" t="str">
        <f>IF(ELEMENT!$AO24=1,VLOOKUP($CA$3,$CF$55:$CQ$60,$CJ$53,FALSE),"")</f>
        <v/>
      </c>
      <c r="CO26" t="str">
        <f>IF(ELEMENT!$AO24=1,VLOOKUP($CA$3,$CF$55:$CQ$60,$CK$53,FALSE),"")</f>
        <v/>
      </c>
      <c r="CP26" t="str">
        <f>IF(ELEMENT!$AO24=1,VLOOKUP($CA$3,$CF$55:$CQ$60,$CN$53,FALSE),"")</f>
        <v/>
      </c>
      <c r="CQ26" t="str">
        <f>IF(ELEMENT!$AO24=1,VLOOKUP($CA$3,$CF$55:$CQ$60,$CO$53,FALSE),"")</f>
        <v/>
      </c>
      <c r="CR26" t="str">
        <f>IF(ELEMENT!$AO24=1,VLOOKUP($CA$3,$CF$55:$CQ$60,$CP$53,FALSE),"")</f>
        <v/>
      </c>
      <c r="CS26" t="str">
        <f>IF(ELEMENT!$AO24=1,VLOOKUP($CA$3,$CF$55:$CQ$60,$CQ$53,FALSE),"")</f>
        <v/>
      </c>
      <c r="CU26" t="str">
        <f>IF(ELEMENT!AO24="","",CK26*CP26)</f>
        <v/>
      </c>
      <c r="CV26" t="str">
        <f>IF(ELEMENT!AO24="","",CL26*CQ26)</f>
        <v/>
      </c>
      <c r="CW26" t="str">
        <f>IF(ELEMENT!AO24="","",CM26*CR26)</f>
        <v/>
      </c>
      <c r="CX26" t="str">
        <f>IF(ELEMENT!AO24="","",CN26*CS26)</f>
        <v/>
      </c>
      <c r="CZ26" t="str">
        <f>IF(ELEMENT!AO24="","",CB26*CU26*CI26/10^6)</f>
        <v/>
      </c>
      <c r="DA26" t="str">
        <f>IF(ELEMENT!AO24="","",CC26*CV26*CI26/10^6)</f>
        <v/>
      </c>
      <c r="DB26" t="str">
        <f>IF(ELEMENT!AO24="","",CD26*CW26*CI26/10^6)</f>
        <v/>
      </c>
      <c r="DC26" t="str">
        <f>IF(ELEMENT!AO24="","",CE26*CX26*CI26/10^6)</f>
        <v/>
      </c>
      <c r="DD26" t="str">
        <f>IF(ELEMENT!AO24="","",CO26*CF26*CI26/10^3)</f>
        <v/>
      </c>
      <c r="DE26" t="str">
        <f>IF(ELEMENT!AO24="","",SUM(CZ26:DD26))</f>
        <v/>
      </c>
      <c r="DG26" t="str">
        <f>IF(ELEMENT!$AO24=1,
VLOOKUP($CA$3,$CF$55:$CQ$60,$CL$53,FALSE),"")</f>
        <v/>
      </c>
      <c r="DH26" t="str">
        <f>IF(ELEMENT!$AO24=1,
VLOOKUP($CA$3,$CF$55:$CQ$60,$CM$53,FALSE),"")</f>
        <v/>
      </c>
      <c r="DJ26" t="str">
        <f>IF(ELEMENT!AO24=1,
IF(ELEMENT!L24=0,
VLOOKUP($CA$3,$CF$55:$CS$60,$CS$53,FALSE),
VLOOKUP($CA$3,$CF$55:$CS$60,$CR$53,FALSE)),"")</f>
        <v/>
      </c>
      <c r="DK26" t="str">
        <f>IF(ELEMENT!AO24=1,
IF(ELEMENT!M24=0,
VLOOKUP($CA$3,$CF$55:$CS$60,$CR$53,FALSE),
VLOOKUP($CA$3,$CF$55:$CS$60,$CS$53,FALSE)),"")</f>
        <v/>
      </c>
      <c r="DL26" t="str">
        <f>IF(ELEMENT!AO24="","",DG26*DJ26+DH26*DK26)</f>
        <v/>
      </c>
      <c r="DN26" t="str">
        <f>IF(ELEMENT!AO24="","",DL26*CG26/10^6)</f>
        <v/>
      </c>
      <c r="DP26" t="str">
        <f>IF(ELEMENT!AO24="","",DE26+DN26)</f>
        <v/>
      </c>
      <c r="DR26">
        <f t="shared" si="55"/>
        <v>0</v>
      </c>
      <c r="DS26" t="str">
        <f>IF(ELEMENT!AO24="","",(CI26*(CB26*CP26+CC26*CQ26+CD26*CR26+CE26*CS26)+CG26*(DJ26+DK26))/10^6)</f>
        <v/>
      </c>
      <c r="DT26" t="str">
        <f>IF(ELEMENT!AO24="","",DR26-DS26)</f>
        <v/>
      </c>
      <c r="DV26" t="str">
        <f>IF(ELEMENT!AO24="","",DP26/DS26)</f>
        <v/>
      </c>
      <c r="DX26" t="str">
        <f>IF(ELEMENT!AO24="","",ELEMENT!DI184)</f>
        <v/>
      </c>
      <c r="DY26" t="str">
        <f>IF(ELEMENT!AO24="","",DV26*DS26)</f>
        <v/>
      </c>
      <c r="DZ26" t="str">
        <f>IF(ELEMENT!AO24="","",DX26*DT26)</f>
        <v/>
      </c>
      <c r="EA26" t="str">
        <f>IF(ELEMENT!AO24="","",$EA$3*((2*(CG26-CB26*CP26-CC26*CQ26-CD26*CR26-CE26*CS26)/1000)+2*(CI26/1000)))</f>
        <v/>
      </c>
      <c r="EB26" t="str">
        <f>IF(ELEMENT!AO24="","",$EA$3*((CI26/1000)*(2*(CD26+CE26)))+$EA$3*(2*CF26*CI26/1000))</f>
        <v/>
      </c>
      <c r="EC26">
        <f ca="1">IF(ELEMENT!FY24="",SUM(DY26:EB26),"")</f>
        <v>0</v>
      </c>
      <c r="EE26" t="str">
        <f>IF(ELEMENT!AO24="","",
IF(ELEMENT!FY24="",(EC26/DR26),""))</f>
        <v/>
      </c>
      <c r="EF26" t="str">
        <f t="shared" si="56"/>
        <v/>
      </c>
      <c r="EG26" t="str">
        <f>IF(ELEMENT!AO24="","",EC26*ELEMENT!C24)</f>
        <v/>
      </c>
    </row>
    <row r="27" spans="1:137" ht="21" customHeight="1" x14ac:dyDescent="0.2">
      <c r="A27" s="332">
        <f>ELEMENT!A25</f>
        <v>0</v>
      </c>
      <c r="B27" s="331">
        <f>ELEMENT!B25</f>
        <v>0</v>
      </c>
      <c r="C27" s="330">
        <f>ELEMENT!C25</f>
        <v>0</v>
      </c>
      <c r="D27" s="329">
        <f t="shared" si="8"/>
        <v>0</v>
      </c>
      <c r="E27" s="329">
        <f t="shared" si="9"/>
        <v>0</v>
      </c>
      <c r="F27" s="329" t="str">
        <f t="shared" si="10"/>
        <v/>
      </c>
      <c r="G27" s="317"/>
      <c r="H27" s="328">
        <f t="shared" si="11"/>
        <v>0</v>
      </c>
      <c r="I27" s="328" t="str">
        <f t="shared" si="12"/>
        <v/>
      </c>
      <c r="J27" s="328">
        <f t="shared" si="13"/>
        <v>0</v>
      </c>
      <c r="K27" s="328">
        <f t="shared" si="14"/>
        <v>0</v>
      </c>
      <c r="L27" s="327" t="str">
        <f t="shared" si="15"/>
        <v/>
      </c>
      <c r="M27" s="317"/>
      <c r="N27" s="322" t="str">
        <f t="shared" si="16"/>
        <v/>
      </c>
      <c r="O27" s="322" t="str">
        <f t="shared" si="17"/>
        <v/>
      </c>
      <c r="P27" s="322" t="str">
        <f t="shared" si="18"/>
        <v/>
      </c>
      <c r="Q27" s="322" t="str">
        <f t="shared" si="19"/>
        <v/>
      </c>
      <c r="R27" s="322" t="str">
        <f t="shared" si="20"/>
        <v/>
      </c>
      <c r="S27" s="317"/>
      <c r="T27" s="315" t="str">
        <f t="shared" si="21"/>
        <v/>
      </c>
      <c r="U27" s="315" t="str">
        <f t="shared" si="22"/>
        <v/>
      </c>
      <c r="V27" s="315" t="str">
        <f t="shared" si="23"/>
        <v/>
      </c>
      <c r="W27" s="315" t="str">
        <f t="shared" si="24"/>
        <v/>
      </c>
      <c r="X27" s="317"/>
      <c r="Y27" s="327" t="str">
        <f t="shared" si="25"/>
        <v/>
      </c>
      <c r="Z27" s="327" t="str">
        <f t="shared" si="26"/>
        <v/>
      </c>
      <c r="AA27" s="327" t="str">
        <f t="shared" si="27"/>
        <v/>
      </c>
      <c r="AB27" s="327" t="str">
        <f t="shared" si="28"/>
        <v/>
      </c>
      <c r="AC27" s="317"/>
      <c r="AD27" s="322" t="str">
        <f t="shared" si="29"/>
        <v/>
      </c>
      <c r="AE27" s="322" t="str">
        <f t="shared" si="30"/>
        <v/>
      </c>
      <c r="AF27" s="322" t="str">
        <f t="shared" si="31"/>
        <v/>
      </c>
      <c r="AG27" s="322" t="str">
        <f t="shared" si="32"/>
        <v/>
      </c>
      <c r="AH27" s="322" t="str">
        <f t="shared" si="33"/>
        <v/>
      </c>
      <c r="AI27" s="322"/>
      <c r="AJ27" s="325" t="str">
        <f t="shared" si="34"/>
        <v/>
      </c>
      <c r="AK27" s="316"/>
      <c r="AL27" s="322" t="str">
        <f t="shared" si="35"/>
        <v/>
      </c>
      <c r="AM27" s="322" t="str">
        <f t="shared" si="36"/>
        <v/>
      </c>
      <c r="AN27" s="317"/>
      <c r="AO27" s="326" t="str">
        <f t="shared" si="37"/>
        <v/>
      </c>
      <c r="AP27" s="326" t="str">
        <f t="shared" si="38"/>
        <v/>
      </c>
      <c r="AQ27" s="317"/>
      <c r="AR27" s="322" t="str">
        <f t="shared" si="39"/>
        <v/>
      </c>
      <c r="AS27" s="325" t="str">
        <f t="shared" si="40"/>
        <v/>
      </c>
      <c r="AT27" s="316"/>
      <c r="AU27" s="324" t="str">
        <f t="shared" si="41"/>
        <v/>
      </c>
      <c r="AV27" s="316"/>
      <c r="AW27" s="322">
        <f t="shared" si="42"/>
        <v>0</v>
      </c>
      <c r="AX27" s="322" t="str">
        <f t="shared" si="43"/>
        <v/>
      </c>
      <c r="AY27" s="322" t="str">
        <f t="shared" si="44"/>
        <v/>
      </c>
      <c r="AZ27" s="316"/>
      <c r="BA27" s="321" t="str">
        <f t="shared" si="45"/>
        <v/>
      </c>
      <c r="BB27" s="316"/>
      <c r="BC27" s="323" t="str">
        <f t="shared" si="46"/>
        <v/>
      </c>
      <c r="BD27" s="323" t="str">
        <f>IFERROR(VZ!AB29,"")</f>
        <v/>
      </c>
      <c r="BE27" s="322" t="str">
        <f t="shared" si="47"/>
        <v/>
      </c>
      <c r="BF27" s="322" t="str">
        <f t="shared" si="48"/>
        <v/>
      </c>
      <c r="BG27" s="320" t="str">
        <f t="shared" si="49"/>
        <v/>
      </c>
      <c r="BH27" s="322" t="str">
        <f t="shared" si="50"/>
        <v/>
      </c>
      <c r="BI27" s="321">
        <f t="shared" ca="1" si="51"/>
        <v>0</v>
      </c>
      <c r="BJ27" s="316"/>
      <c r="BK27" s="320" t="str">
        <f t="shared" si="52"/>
        <v/>
      </c>
      <c r="BL27" s="319" t="str">
        <f t="shared" si="53"/>
        <v/>
      </c>
      <c r="BM27" s="318" t="str">
        <f t="shared" si="54"/>
        <v/>
      </c>
      <c r="CB27">
        <f>ELEMENT!R25</f>
        <v>0</v>
      </c>
      <c r="CC27" t="str">
        <f>IF(ELEMENT!AO25="","",(2-CB27-CF27))</f>
        <v/>
      </c>
      <c r="CD27">
        <f>ELEMENT!S25</f>
        <v>0</v>
      </c>
      <c r="CE27">
        <f>ELEMENT!T25</f>
        <v>0</v>
      </c>
      <c r="CF27" t="str">
        <f>IF(ELEMENT!AO25="","",IF(ELEMENT!P25="R",1,IF(ELEMENT!P25="L",1,IF(ELEMENT!P25=2,2,0))))</f>
        <v/>
      </c>
      <c r="CG27">
        <f>ELEMENT!AS25</f>
        <v>0</v>
      </c>
      <c r="CH27">
        <f>ELEMENT!AT25</f>
        <v>0</v>
      </c>
      <c r="CI27" t="str">
        <f>IF(ELEMENT!AO25="","",ELEMENT!AT25-(ELEMENT!L25*CJ$69+ELEMENT!M25*CK$69))</f>
        <v/>
      </c>
      <c r="CK27" t="str">
        <f>IF(ELEMENT!$AO25=1,VLOOKUP($CA$3,$CF$55:$CQ$60,$CG$53,FALSE),"")</f>
        <v/>
      </c>
      <c r="CL27" t="str">
        <f>IF(ELEMENT!$AO25=1,VLOOKUP($CA$3,$CF$55:$CQ$60,$CH$53,FALSE),"")</f>
        <v/>
      </c>
      <c r="CM27" t="str">
        <f>IF(ELEMENT!$AO25=1,VLOOKUP($CA$3,$CF$55:$CQ$60,$CI$53,FALSE),"")</f>
        <v/>
      </c>
      <c r="CN27" t="str">
        <f>IF(ELEMENT!$AO25=1,VLOOKUP($CA$3,$CF$55:$CQ$60,$CJ$53,FALSE),"")</f>
        <v/>
      </c>
      <c r="CO27" t="str">
        <f>IF(ELEMENT!$AO25=1,VLOOKUP($CA$3,$CF$55:$CQ$60,$CK$53,FALSE),"")</f>
        <v/>
      </c>
      <c r="CP27" t="str">
        <f>IF(ELEMENT!$AO25=1,VLOOKUP($CA$3,$CF$55:$CQ$60,$CN$53,FALSE),"")</f>
        <v/>
      </c>
      <c r="CQ27" t="str">
        <f>IF(ELEMENT!$AO25=1,VLOOKUP($CA$3,$CF$55:$CQ$60,$CO$53,FALSE),"")</f>
        <v/>
      </c>
      <c r="CR27" t="str">
        <f>IF(ELEMENT!$AO25=1,VLOOKUP($CA$3,$CF$55:$CQ$60,$CP$53,FALSE),"")</f>
        <v/>
      </c>
      <c r="CS27" t="str">
        <f>IF(ELEMENT!$AO25=1,VLOOKUP($CA$3,$CF$55:$CQ$60,$CQ$53,FALSE),"")</f>
        <v/>
      </c>
      <c r="CU27" t="str">
        <f>IF(ELEMENT!AO25="","",CK27*CP27)</f>
        <v/>
      </c>
      <c r="CV27" t="str">
        <f>IF(ELEMENT!AO25="","",CL27*CQ27)</f>
        <v/>
      </c>
      <c r="CW27" t="str">
        <f>IF(ELEMENT!AO25="","",CM27*CR27)</f>
        <v/>
      </c>
      <c r="CX27" t="str">
        <f>IF(ELEMENT!AO25="","",CN27*CS27)</f>
        <v/>
      </c>
      <c r="CZ27" t="str">
        <f>IF(ELEMENT!AO25="","",CB27*CU27*CI27/10^6)</f>
        <v/>
      </c>
      <c r="DA27" t="str">
        <f>IF(ELEMENT!AO25="","",CC27*CV27*CI27/10^6)</f>
        <v/>
      </c>
      <c r="DB27" t="str">
        <f>IF(ELEMENT!AO25="","",CD27*CW27*CI27/10^6)</f>
        <v/>
      </c>
      <c r="DC27" t="str">
        <f>IF(ELEMENT!AO25="","",CE27*CX27*CI27/10^6)</f>
        <v/>
      </c>
      <c r="DD27" t="str">
        <f>IF(ELEMENT!AO25="","",CO27*CF27*CI27/10^3)</f>
        <v/>
      </c>
      <c r="DE27" t="str">
        <f>IF(ELEMENT!AO25="","",SUM(CZ27:DD27))</f>
        <v/>
      </c>
      <c r="DG27" t="str">
        <f>IF(ELEMENT!$AO25=1,
VLOOKUP($CA$3,$CF$55:$CQ$60,$CL$53,FALSE),"")</f>
        <v/>
      </c>
      <c r="DH27" t="str">
        <f>IF(ELEMENT!$AO25=1,
VLOOKUP($CA$3,$CF$55:$CQ$60,$CM$53,FALSE),"")</f>
        <v/>
      </c>
      <c r="DJ27" t="str">
        <f>IF(ELEMENT!AO25=1,
IF(ELEMENT!L25=0,
VLOOKUP($CA$3,$CF$55:$CS$60,$CS$53,FALSE),
VLOOKUP($CA$3,$CF$55:$CS$60,$CR$53,FALSE)),"")</f>
        <v/>
      </c>
      <c r="DK27" t="str">
        <f>IF(ELEMENT!AO25=1,
IF(ELEMENT!M25=0,
VLOOKUP($CA$3,$CF$55:$CS$60,$CR$53,FALSE),
VLOOKUP($CA$3,$CF$55:$CS$60,$CS$53,FALSE)),"")</f>
        <v/>
      </c>
      <c r="DL27" t="str">
        <f>IF(ELEMENT!AO25="","",DG27*DJ27+DH27*DK27)</f>
        <v/>
      </c>
      <c r="DN27" t="str">
        <f>IF(ELEMENT!AO25="","",DL27*CG27/10^6)</f>
        <v/>
      </c>
      <c r="DP27" t="str">
        <f>IF(ELEMENT!AO25="","",DE27+DN27)</f>
        <v/>
      </c>
      <c r="DR27">
        <f t="shared" si="55"/>
        <v>0</v>
      </c>
      <c r="DS27" t="str">
        <f>IF(ELEMENT!AO25="","",(CI27*(CB27*CP27+CC27*CQ27+CD27*CR27+CE27*CS27)+CG27*(DJ27+DK27))/10^6)</f>
        <v/>
      </c>
      <c r="DT27" t="str">
        <f>IF(ELEMENT!AO25="","",DR27-DS27)</f>
        <v/>
      </c>
      <c r="DV27" t="str">
        <f>IF(ELEMENT!AO25="","",DP27/DS27)</f>
        <v/>
      </c>
      <c r="DX27" t="str">
        <f>IF(ELEMENT!AO25="","",ELEMENT!DI185)</f>
        <v/>
      </c>
      <c r="DY27" t="str">
        <f>IF(ELEMENT!AO25="","",DV27*DS27)</f>
        <v/>
      </c>
      <c r="DZ27" t="str">
        <f>IF(ELEMENT!AO25="","",DX27*DT27)</f>
        <v/>
      </c>
      <c r="EA27" t="str">
        <f>IF(ELEMENT!AO25="","",$EA$3*((2*(CG27-CB27*CP27-CC27*CQ27-CD27*CR27-CE27*CS27)/1000)+2*(CI27/1000)))</f>
        <v/>
      </c>
      <c r="EB27" t="str">
        <f>IF(ELEMENT!AO25="","",$EA$3*((CI27/1000)*(2*(CD27+CE27)))+$EA$3*(2*CF27*CI27/1000))</f>
        <v/>
      </c>
      <c r="EC27">
        <f ca="1">IF(ELEMENT!FY25="",SUM(DY27:EB27),"")</f>
        <v>0</v>
      </c>
      <c r="EE27" t="str">
        <f>IF(ELEMENT!AO25="","",
IF(ELEMENT!FY25="",(EC27/DR27),""))</f>
        <v/>
      </c>
      <c r="EF27" t="str">
        <f t="shared" si="56"/>
        <v/>
      </c>
      <c r="EG27" t="str">
        <f>IF(ELEMENT!AO25="","",EC27*ELEMENT!C25)</f>
        <v/>
      </c>
    </row>
    <row r="28" spans="1:137" ht="21" customHeight="1" x14ac:dyDescent="0.2">
      <c r="A28" s="332">
        <f>ELEMENT!A26</f>
        <v>0</v>
      </c>
      <c r="B28" s="331">
        <f>ELEMENT!B26</f>
        <v>0</v>
      </c>
      <c r="C28" s="330">
        <f>ELEMENT!C26</f>
        <v>0</v>
      </c>
      <c r="D28" s="329">
        <f t="shared" si="8"/>
        <v>0</v>
      </c>
      <c r="E28" s="329">
        <f t="shared" si="9"/>
        <v>0</v>
      </c>
      <c r="F28" s="329" t="str">
        <f t="shared" si="10"/>
        <v/>
      </c>
      <c r="G28" s="317"/>
      <c r="H28" s="328">
        <f t="shared" si="11"/>
        <v>0</v>
      </c>
      <c r="I28" s="328" t="str">
        <f t="shared" si="12"/>
        <v/>
      </c>
      <c r="J28" s="328">
        <f t="shared" si="13"/>
        <v>0</v>
      </c>
      <c r="K28" s="328">
        <f t="shared" si="14"/>
        <v>0</v>
      </c>
      <c r="L28" s="327" t="str">
        <f t="shared" si="15"/>
        <v/>
      </c>
      <c r="M28" s="317"/>
      <c r="N28" s="322" t="str">
        <f t="shared" si="16"/>
        <v/>
      </c>
      <c r="O28" s="322" t="str">
        <f t="shared" si="17"/>
        <v/>
      </c>
      <c r="P28" s="322" t="str">
        <f t="shared" si="18"/>
        <v/>
      </c>
      <c r="Q28" s="322" t="str">
        <f t="shared" si="19"/>
        <v/>
      </c>
      <c r="R28" s="322" t="str">
        <f t="shared" si="20"/>
        <v/>
      </c>
      <c r="S28" s="317"/>
      <c r="T28" s="315" t="str">
        <f t="shared" si="21"/>
        <v/>
      </c>
      <c r="U28" s="315" t="str">
        <f t="shared" si="22"/>
        <v/>
      </c>
      <c r="V28" s="315" t="str">
        <f t="shared" si="23"/>
        <v/>
      </c>
      <c r="W28" s="315" t="str">
        <f t="shared" si="24"/>
        <v/>
      </c>
      <c r="X28" s="317"/>
      <c r="Y28" s="327" t="str">
        <f t="shared" si="25"/>
        <v/>
      </c>
      <c r="Z28" s="327" t="str">
        <f t="shared" si="26"/>
        <v/>
      </c>
      <c r="AA28" s="327" t="str">
        <f t="shared" si="27"/>
        <v/>
      </c>
      <c r="AB28" s="327" t="str">
        <f t="shared" si="28"/>
        <v/>
      </c>
      <c r="AC28" s="317"/>
      <c r="AD28" s="322" t="str">
        <f t="shared" si="29"/>
        <v/>
      </c>
      <c r="AE28" s="322" t="str">
        <f t="shared" si="30"/>
        <v/>
      </c>
      <c r="AF28" s="322" t="str">
        <f t="shared" si="31"/>
        <v/>
      </c>
      <c r="AG28" s="322" t="str">
        <f t="shared" si="32"/>
        <v/>
      </c>
      <c r="AH28" s="322" t="str">
        <f t="shared" si="33"/>
        <v/>
      </c>
      <c r="AI28" s="322"/>
      <c r="AJ28" s="325" t="str">
        <f t="shared" si="34"/>
        <v/>
      </c>
      <c r="AK28" s="316"/>
      <c r="AL28" s="322" t="str">
        <f t="shared" si="35"/>
        <v/>
      </c>
      <c r="AM28" s="322" t="str">
        <f t="shared" si="36"/>
        <v/>
      </c>
      <c r="AN28" s="317"/>
      <c r="AO28" s="326" t="str">
        <f t="shared" si="37"/>
        <v/>
      </c>
      <c r="AP28" s="326" t="str">
        <f t="shared" si="38"/>
        <v/>
      </c>
      <c r="AQ28" s="317"/>
      <c r="AR28" s="322" t="str">
        <f t="shared" si="39"/>
        <v/>
      </c>
      <c r="AS28" s="325" t="str">
        <f t="shared" si="40"/>
        <v/>
      </c>
      <c r="AT28" s="316"/>
      <c r="AU28" s="324" t="str">
        <f t="shared" si="41"/>
        <v/>
      </c>
      <c r="AV28" s="316"/>
      <c r="AW28" s="322">
        <f t="shared" si="42"/>
        <v>0</v>
      </c>
      <c r="AX28" s="322" t="str">
        <f t="shared" si="43"/>
        <v/>
      </c>
      <c r="AY28" s="322" t="str">
        <f t="shared" si="44"/>
        <v/>
      </c>
      <c r="AZ28" s="316"/>
      <c r="BA28" s="321" t="str">
        <f t="shared" si="45"/>
        <v/>
      </c>
      <c r="BB28" s="316"/>
      <c r="BC28" s="323" t="str">
        <f t="shared" si="46"/>
        <v/>
      </c>
      <c r="BD28" s="323" t="str">
        <f>IFERROR(VZ!AB30,"")</f>
        <v/>
      </c>
      <c r="BE28" s="322" t="str">
        <f t="shared" si="47"/>
        <v/>
      </c>
      <c r="BF28" s="322" t="str">
        <f t="shared" si="48"/>
        <v/>
      </c>
      <c r="BG28" s="320" t="str">
        <f t="shared" si="49"/>
        <v/>
      </c>
      <c r="BH28" s="322" t="str">
        <f t="shared" si="50"/>
        <v/>
      </c>
      <c r="BI28" s="321">
        <f t="shared" ca="1" si="51"/>
        <v>0</v>
      </c>
      <c r="BJ28" s="316"/>
      <c r="BK28" s="320" t="str">
        <f t="shared" si="52"/>
        <v/>
      </c>
      <c r="BL28" s="319" t="str">
        <f t="shared" si="53"/>
        <v/>
      </c>
      <c r="BM28" s="318" t="str">
        <f t="shared" si="54"/>
        <v/>
      </c>
      <c r="CB28">
        <f>ELEMENT!R26</f>
        <v>0</v>
      </c>
      <c r="CC28" t="str">
        <f>IF(ELEMENT!AO26="","",(2-CB28-CF28))</f>
        <v/>
      </c>
      <c r="CD28">
        <f>ELEMENT!S26</f>
        <v>0</v>
      </c>
      <c r="CE28">
        <f>ELEMENT!T26</f>
        <v>0</v>
      </c>
      <c r="CF28" t="str">
        <f>IF(ELEMENT!AO26="","",IF(ELEMENT!P26="R",1,IF(ELEMENT!P26="L",1,IF(ELEMENT!P26=2,2,0))))</f>
        <v/>
      </c>
      <c r="CG28">
        <f>ELEMENT!AS26</f>
        <v>0</v>
      </c>
      <c r="CH28">
        <f>ELEMENT!AT26</f>
        <v>0</v>
      </c>
      <c r="CI28" t="str">
        <f>IF(ELEMENT!AO26="","",ELEMENT!AT26-(ELEMENT!L26*CJ$69+ELEMENT!M26*CK$69))</f>
        <v/>
      </c>
      <c r="CK28" t="str">
        <f>IF(ELEMENT!$AO26=1,VLOOKUP($CA$3,$CF$55:$CQ$60,$CG$53,FALSE),"")</f>
        <v/>
      </c>
      <c r="CL28" t="str">
        <f>IF(ELEMENT!$AO26=1,VLOOKUP($CA$3,$CF$55:$CQ$60,$CH$53,FALSE),"")</f>
        <v/>
      </c>
      <c r="CM28" t="str">
        <f>IF(ELEMENT!$AO26=1,VLOOKUP($CA$3,$CF$55:$CQ$60,$CI$53,FALSE),"")</f>
        <v/>
      </c>
      <c r="CN28" t="str">
        <f>IF(ELEMENT!$AO26=1,VLOOKUP($CA$3,$CF$55:$CQ$60,$CJ$53,FALSE),"")</f>
        <v/>
      </c>
      <c r="CO28" t="str">
        <f>IF(ELEMENT!$AO26=1,VLOOKUP($CA$3,$CF$55:$CQ$60,$CK$53,FALSE),"")</f>
        <v/>
      </c>
      <c r="CP28" t="str">
        <f>IF(ELEMENT!$AO26=1,VLOOKUP($CA$3,$CF$55:$CQ$60,$CN$53,FALSE),"")</f>
        <v/>
      </c>
      <c r="CQ28" t="str">
        <f>IF(ELEMENT!$AO26=1,VLOOKUP($CA$3,$CF$55:$CQ$60,$CO$53,FALSE),"")</f>
        <v/>
      </c>
      <c r="CR28" t="str">
        <f>IF(ELEMENT!$AO26=1,VLOOKUP($CA$3,$CF$55:$CQ$60,$CP$53,FALSE),"")</f>
        <v/>
      </c>
      <c r="CS28" t="str">
        <f>IF(ELEMENT!$AO26=1,VLOOKUP($CA$3,$CF$55:$CQ$60,$CQ$53,FALSE),"")</f>
        <v/>
      </c>
      <c r="CU28" t="str">
        <f>IF(ELEMENT!AO26="","",CK28*CP28)</f>
        <v/>
      </c>
      <c r="CV28" t="str">
        <f>IF(ELEMENT!AO26="","",CL28*CQ28)</f>
        <v/>
      </c>
      <c r="CW28" t="str">
        <f>IF(ELEMENT!AO26="","",CM28*CR28)</f>
        <v/>
      </c>
      <c r="CX28" t="str">
        <f>IF(ELEMENT!AO26="","",CN28*CS28)</f>
        <v/>
      </c>
      <c r="CZ28" t="str">
        <f>IF(ELEMENT!AO26="","",CB28*CU28*CI28/10^6)</f>
        <v/>
      </c>
      <c r="DA28" t="str">
        <f>IF(ELEMENT!AO26="","",CC28*CV28*CI28/10^6)</f>
        <v/>
      </c>
      <c r="DB28" t="str">
        <f>IF(ELEMENT!AO26="","",CD28*CW28*CI28/10^6)</f>
        <v/>
      </c>
      <c r="DC28" t="str">
        <f>IF(ELEMENT!AO26="","",CE28*CX28*CI28/10^6)</f>
        <v/>
      </c>
      <c r="DD28" t="str">
        <f>IF(ELEMENT!AO26="","",CO28*CF28*CI28/10^3)</f>
        <v/>
      </c>
      <c r="DE28" t="str">
        <f>IF(ELEMENT!AO26="","",SUM(CZ28:DD28))</f>
        <v/>
      </c>
      <c r="DG28" t="str">
        <f>IF(ELEMENT!$AO26=1,
VLOOKUP($CA$3,$CF$55:$CQ$60,$CL$53,FALSE),"")</f>
        <v/>
      </c>
      <c r="DH28" t="str">
        <f>IF(ELEMENT!$AO26=1,
VLOOKUP($CA$3,$CF$55:$CQ$60,$CM$53,FALSE),"")</f>
        <v/>
      </c>
      <c r="DJ28" t="str">
        <f>IF(ELEMENT!AO26=1,
IF(ELEMENT!L26=0,
VLOOKUP($CA$3,$CF$55:$CS$60,$CS$53,FALSE),
VLOOKUP($CA$3,$CF$55:$CS$60,$CR$53,FALSE)),"")</f>
        <v/>
      </c>
      <c r="DK28" t="str">
        <f>IF(ELEMENT!AO26=1,
IF(ELEMENT!M26=0,
VLOOKUP($CA$3,$CF$55:$CS$60,$CR$53,FALSE),
VLOOKUP($CA$3,$CF$55:$CS$60,$CS$53,FALSE)),"")</f>
        <v/>
      </c>
      <c r="DL28" t="str">
        <f>IF(ELEMENT!AO26="","",DG28*DJ28+DH28*DK28)</f>
        <v/>
      </c>
      <c r="DN28" t="str">
        <f>IF(ELEMENT!AO26="","",DL28*CG28/10^6)</f>
        <v/>
      </c>
      <c r="DP28" t="str">
        <f>IF(ELEMENT!AO26="","",DE28+DN28)</f>
        <v/>
      </c>
      <c r="DR28">
        <f t="shared" si="55"/>
        <v>0</v>
      </c>
      <c r="DS28" t="str">
        <f>IF(ELEMENT!AO26="","",(CI28*(CB28*CP28+CC28*CQ28+CD28*CR28+CE28*CS28)+CG28*(DJ28+DK28))/10^6)</f>
        <v/>
      </c>
      <c r="DT28" t="str">
        <f>IF(ELEMENT!AO26="","",DR28-DS28)</f>
        <v/>
      </c>
      <c r="DV28" t="str">
        <f>IF(ELEMENT!AO26="","",DP28/DS28)</f>
        <v/>
      </c>
      <c r="DX28" t="str">
        <f>IF(ELEMENT!AO26="","",ELEMENT!DI186)</f>
        <v/>
      </c>
      <c r="DY28" t="str">
        <f>IF(ELEMENT!AO26="","",DV28*DS28)</f>
        <v/>
      </c>
      <c r="DZ28" t="str">
        <f>IF(ELEMENT!AO26="","",DX28*DT28)</f>
        <v/>
      </c>
      <c r="EA28" t="str">
        <f>IF(ELEMENT!AO26="","",$EA$3*((2*(CG28-CB28*CP28-CC28*CQ28-CD28*CR28-CE28*CS28)/1000)+2*(CI28/1000)))</f>
        <v/>
      </c>
      <c r="EB28" t="str">
        <f>IF(ELEMENT!AO26="","",$EA$3*((CI28/1000)*(2*(CD28+CE28)))+$EA$3*(2*CF28*CI28/1000))</f>
        <v/>
      </c>
      <c r="EC28">
        <f ca="1">IF(ELEMENT!FY26="",SUM(DY28:EB28),"")</f>
        <v>0</v>
      </c>
      <c r="EE28" t="str">
        <f>IF(ELEMENT!AO26="","",
IF(ELEMENT!FY26="",(EC28/DR28),""))</f>
        <v/>
      </c>
      <c r="EF28" t="str">
        <f t="shared" si="56"/>
        <v/>
      </c>
      <c r="EG28" t="str">
        <f>IF(ELEMENT!AO26="","",EC28*ELEMENT!C26)</f>
        <v/>
      </c>
    </row>
    <row r="29" spans="1:137" ht="21" customHeight="1" x14ac:dyDescent="0.2">
      <c r="A29" s="332">
        <f>ELEMENT!A27</f>
        <v>0</v>
      </c>
      <c r="B29" s="331">
        <f>ELEMENT!B27</f>
        <v>0</v>
      </c>
      <c r="C29" s="330">
        <f>ELEMENT!C27</f>
        <v>0</v>
      </c>
      <c r="D29" s="329">
        <f t="shared" si="8"/>
        <v>0</v>
      </c>
      <c r="E29" s="329">
        <f t="shared" si="9"/>
        <v>0</v>
      </c>
      <c r="F29" s="329" t="str">
        <f t="shared" si="10"/>
        <v/>
      </c>
      <c r="G29" s="317"/>
      <c r="H29" s="328">
        <f t="shared" si="11"/>
        <v>0</v>
      </c>
      <c r="I29" s="328" t="str">
        <f t="shared" si="12"/>
        <v/>
      </c>
      <c r="J29" s="328">
        <f t="shared" si="13"/>
        <v>0</v>
      </c>
      <c r="K29" s="328">
        <f t="shared" si="14"/>
        <v>0</v>
      </c>
      <c r="L29" s="327" t="str">
        <f t="shared" si="15"/>
        <v/>
      </c>
      <c r="M29" s="317"/>
      <c r="N29" s="322" t="str">
        <f t="shared" si="16"/>
        <v/>
      </c>
      <c r="O29" s="322" t="str">
        <f t="shared" si="17"/>
        <v/>
      </c>
      <c r="P29" s="322" t="str">
        <f t="shared" si="18"/>
        <v/>
      </c>
      <c r="Q29" s="322" t="str">
        <f t="shared" si="19"/>
        <v/>
      </c>
      <c r="R29" s="322" t="str">
        <f t="shared" si="20"/>
        <v/>
      </c>
      <c r="S29" s="317"/>
      <c r="T29" s="315" t="str">
        <f t="shared" si="21"/>
        <v/>
      </c>
      <c r="U29" s="315" t="str">
        <f t="shared" si="22"/>
        <v/>
      </c>
      <c r="V29" s="315" t="str">
        <f t="shared" si="23"/>
        <v/>
      </c>
      <c r="W29" s="315" t="str">
        <f t="shared" si="24"/>
        <v/>
      </c>
      <c r="X29" s="317"/>
      <c r="Y29" s="327" t="str">
        <f t="shared" si="25"/>
        <v/>
      </c>
      <c r="Z29" s="327" t="str">
        <f t="shared" si="26"/>
        <v/>
      </c>
      <c r="AA29" s="327" t="str">
        <f t="shared" si="27"/>
        <v/>
      </c>
      <c r="AB29" s="327" t="str">
        <f t="shared" si="28"/>
        <v/>
      </c>
      <c r="AC29" s="317"/>
      <c r="AD29" s="322" t="str">
        <f t="shared" si="29"/>
        <v/>
      </c>
      <c r="AE29" s="322" t="str">
        <f t="shared" si="30"/>
        <v/>
      </c>
      <c r="AF29" s="322" t="str">
        <f t="shared" si="31"/>
        <v/>
      </c>
      <c r="AG29" s="322" t="str">
        <f t="shared" si="32"/>
        <v/>
      </c>
      <c r="AH29" s="322" t="str">
        <f t="shared" si="33"/>
        <v/>
      </c>
      <c r="AI29" s="322"/>
      <c r="AJ29" s="325" t="str">
        <f t="shared" si="34"/>
        <v/>
      </c>
      <c r="AK29" s="316"/>
      <c r="AL29" s="322" t="str">
        <f t="shared" si="35"/>
        <v/>
      </c>
      <c r="AM29" s="322" t="str">
        <f t="shared" si="36"/>
        <v/>
      </c>
      <c r="AN29" s="317"/>
      <c r="AO29" s="326" t="str">
        <f t="shared" si="37"/>
        <v/>
      </c>
      <c r="AP29" s="326" t="str">
        <f t="shared" si="38"/>
        <v/>
      </c>
      <c r="AQ29" s="317"/>
      <c r="AR29" s="322" t="str">
        <f t="shared" si="39"/>
        <v/>
      </c>
      <c r="AS29" s="325" t="str">
        <f t="shared" si="40"/>
        <v/>
      </c>
      <c r="AT29" s="316"/>
      <c r="AU29" s="324" t="str">
        <f t="shared" si="41"/>
        <v/>
      </c>
      <c r="AV29" s="316"/>
      <c r="AW29" s="322">
        <f t="shared" si="42"/>
        <v>0</v>
      </c>
      <c r="AX29" s="322" t="str">
        <f t="shared" si="43"/>
        <v/>
      </c>
      <c r="AY29" s="322" t="str">
        <f t="shared" si="44"/>
        <v/>
      </c>
      <c r="AZ29" s="316"/>
      <c r="BA29" s="321" t="str">
        <f t="shared" si="45"/>
        <v/>
      </c>
      <c r="BB29" s="316"/>
      <c r="BC29" s="323" t="str">
        <f t="shared" si="46"/>
        <v/>
      </c>
      <c r="BD29" s="323" t="str">
        <f>IFERROR(VZ!AB31,"")</f>
        <v/>
      </c>
      <c r="BE29" s="322" t="str">
        <f t="shared" si="47"/>
        <v/>
      </c>
      <c r="BF29" s="322" t="str">
        <f t="shared" si="48"/>
        <v/>
      </c>
      <c r="BG29" s="320" t="str">
        <f t="shared" si="49"/>
        <v/>
      </c>
      <c r="BH29" s="322" t="str">
        <f t="shared" si="50"/>
        <v/>
      </c>
      <c r="BI29" s="321">
        <f t="shared" ca="1" si="51"/>
        <v>0</v>
      </c>
      <c r="BJ29" s="316"/>
      <c r="BK29" s="320" t="str">
        <f t="shared" si="52"/>
        <v/>
      </c>
      <c r="BL29" s="319" t="str">
        <f t="shared" si="53"/>
        <v/>
      </c>
      <c r="BM29" s="318" t="str">
        <f t="shared" si="54"/>
        <v/>
      </c>
      <c r="CB29">
        <f>ELEMENT!R27</f>
        <v>0</v>
      </c>
      <c r="CC29" t="str">
        <f>IF(ELEMENT!AO27="","",(2-CB29-CF29))</f>
        <v/>
      </c>
      <c r="CD29">
        <f>ELEMENT!S27</f>
        <v>0</v>
      </c>
      <c r="CE29">
        <f>ELEMENT!T27</f>
        <v>0</v>
      </c>
      <c r="CF29" t="str">
        <f>IF(ELEMENT!AO27="","",IF(ELEMENT!P27="R",1,IF(ELEMENT!P27="L",1,IF(ELEMENT!P27=2,2,0))))</f>
        <v/>
      </c>
      <c r="CG29">
        <f>ELEMENT!AS27</f>
        <v>0</v>
      </c>
      <c r="CH29">
        <f>ELEMENT!AT27</f>
        <v>0</v>
      </c>
      <c r="CI29" t="str">
        <f>IF(ELEMENT!AO27="","",ELEMENT!AT27-(ELEMENT!L27*CJ$69+ELEMENT!M27*CK$69))</f>
        <v/>
      </c>
      <c r="CK29" t="str">
        <f>IF(ELEMENT!$AO27=1,VLOOKUP($CA$3,$CF$55:$CQ$60,$CG$53,FALSE),"")</f>
        <v/>
      </c>
      <c r="CL29" t="str">
        <f>IF(ELEMENT!$AO27=1,VLOOKUP($CA$3,$CF$55:$CQ$60,$CH$53,FALSE),"")</f>
        <v/>
      </c>
      <c r="CM29" t="str">
        <f>IF(ELEMENT!$AO27=1,VLOOKUP($CA$3,$CF$55:$CQ$60,$CI$53,FALSE),"")</f>
        <v/>
      </c>
      <c r="CN29" t="str">
        <f>IF(ELEMENT!$AO27=1,VLOOKUP($CA$3,$CF$55:$CQ$60,$CJ$53,FALSE),"")</f>
        <v/>
      </c>
      <c r="CO29" t="str">
        <f>IF(ELEMENT!$AO27=1,VLOOKUP($CA$3,$CF$55:$CQ$60,$CK$53,FALSE),"")</f>
        <v/>
      </c>
      <c r="CP29" t="str">
        <f>IF(ELEMENT!$AO27=1,VLOOKUP($CA$3,$CF$55:$CQ$60,$CN$53,FALSE),"")</f>
        <v/>
      </c>
      <c r="CQ29" t="str">
        <f>IF(ELEMENT!$AO27=1,VLOOKUP($CA$3,$CF$55:$CQ$60,$CO$53,FALSE),"")</f>
        <v/>
      </c>
      <c r="CR29" t="str">
        <f>IF(ELEMENT!$AO27=1,VLOOKUP($CA$3,$CF$55:$CQ$60,$CP$53,FALSE),"")</f>
        <v/>
      </c>
      <c r="CS29" t="str">
        <f>IF(ELEMENT!$AO27=1,VLOOKUP($CA$3,$CF$55:$CQ$60,$CQ$53,FALSE),"")</f>
        <v/>
      </c>
      <c r="CU29" t="str">
        <f>IF(ELEMENT!AO27="","",CK29*CP29)</f>
        <v/>
      </c>
      <c r="CV29" t="str">
        <f>IF(ELEMENT!AO27="","",CL29*CQ29)</f>
        <v/>
      </c>
      <c r="CW29" t="str">
        <f>IF(ELEMENT!AO27="","",CM29*CR29)</f>
        <v/>
      </c>
      <c r="CX29" t="str">
        <f>IF(ELEMENT!AO27="","",CN29*CS29)</f>
        <v/>
      </c>
      <c r="CZ29" t="str">
        <f>IF(ELEMENT!AO27="","",CB29*CU29*CI29/10^6)</f>
        <v/>
      </c>
      <c r="DA29" t="str">
        <f>IF(ELEMENT!AO27="","",CC29*CV29*CI29/10^6)</f>
        <v/>
      </c>
      <c r="DB29" t="str">
        <f>IF(ELEMENT!AO27="","",CD29*CW29*CI29/10^6)</f>
        <v/>
      </c>
      <c r="DC29" t="str">
        <f>IF(ELEMENT!AO27="","",CE29*CX29*CI29/10^6)</f>
        <v/>
      </c>
      <c r="DD29" t="str">
        <f>IF(ELEMENT!AO27="","",CO29*CF29*CI29/10^3)</f>
        <v/>
      </c>
      <c r="DE29" t="str">
        <f>IF(ELEMENT!AO27="","",SUM(CZ29:DD29))</f>
        <v/>
      </c>
      <c r="DG29" t="str">
        <f>IF(ELEMENT!$AO27=1,
VLOOKUP($CA$3,$CF$55:$CQ$60,$CL$53,FALSE),"")</f>
        <v/>
      </c>
      <c r="DH29" t="str">
        <f>IF(ELEMENT!$AO27=1,
VLOOKUP($CA$3,$CF$55:$CQ$60,$CM$53,FALSE),"")</f>
        <v/>
      </c>
      <c r="DJ29" t="str">
        <f>IF(ELEMENT!AO27=1,
IF(ELEMENT!L27=0,
VLOOKUP($CA$3,$CF$55:$CS$60,$CS$53,FALSE),
VLOOKUP($CA$3,$CF$55:$CS$60,$CR$53,FALSE)),"")</f>
        <v/>
      </c>
      <c r="DK29" t="str">
        <f>IF(ELEMENT!AO27=1,
IF(ELEMENT!M27=0,
VLOOKUP($CA$3,$CF$55:$CS$60,$CR$53,FALSE),
VLOOKUP($CA$3,$CF$55:$CS$60,$CS$53,FALSE)),"")</f>
        <v/>
      </c>
      <c r="DL29" t="str">
        <f>IF(ELEMENT!AO27="","",DG29*DJ29+DH29*DK29)</f>
        <v/>
      </c>
      <c r="DN29" t="str">
        <f>IF(ELEMENT!AO27="","",DL29*CG29/10^6)</f>
        <v/>
      </c>
      <c r="DP29" t="str">
        <f>IF(ELEMENT!AO27="","",DE29+DN29)</f>
        <v/>
      </c>
      <c r="DR29">
        <f t="shared" si="55"/>
        <v>0</v>
      </c>
      <c r="DS29" t="str">
        <f>IF(ELEMENT!AO27="","",(CI29*(CB29*CP29+CC29*CQ29+CD29*CR29+CE29*CS29)+CG29*(DJ29+DK29))/10^6)</f>
        <v/>
      </c>
      <c r="DT29" t="str">
        <f>IF(ELEMENT!AO27="","",DR29-DS29)</f>
        <v/>
      </c>
      <c r="DV29" t="str">
        <f>IF(ELEMENT!AO27="","",DP29/DS29)</f>
        <v/>
      </c>
      <c r="DX29" t="str">
        <f>IF(ELEMENT!AO27="","",ELEMENT!DI187)</f>
        <v/>
      </c>
      <c r="DY29" t="str">
        <f>IF(ELEMENT!AO27="","",DV29*DS29)</f>
        <v/>
      </c>
      <c r="DZ29" t="str">
        <f>IF(ELEMENT!AO27="","",DX29*DT29)</f>
        <v/>
      </c>
      <c r="EA29" t="str">
        <f>IF(ELEMENT!AO27="","",$EA$3*((2*(CG29-CB29*CP29-CC29*CQ29-CD29*CR29-CE29*CS29)/1000)+2*(CI29/1000)))</f>
        <v/>
      </c>
      <c r="EB29" t="str">
        <f>IF(ELEMENT!AO27="","",$EA$3*((CI29/1000)*(2*(CD29+CE29)))+$EA$3*(2*CF29*CI29/1000))</f>
        <v/>
      </c>
      <c r="EC29">
        <f ca="1">IF(ELEMENT!FY27="",SUM(DY29:EB29),"")</f>
        <v>0</v>
      </c>
      <c r="EE29" t="str">
        <f>IF(ELEMENT!AO27="","",
IF(ELEMENT!FY27="",(EC29/DR29),""))</f>
        <v/>
      </c>
      <c r="EF29" t="str">
        <f t="shared" si="56"/>
        <v/>
      </c>
      <c r="EG29" t="str">
        <f>IF(ELEMENT!AO27="","",EC29*ELEMENT!C27)</f>
        <v/>
      </c>
    </row>
    <row r="30" spans="1:137" ht="21" customHeight="1" x14ac:dyDescent="0.2">
      <c r="A30" s="332">
        <f>ELEMENT!A28</f>
        <v>0</v>
      </c>
      <c r="B30" s="331">
        <f>ELEMENT!B28</f>
        <v>0</v>
      </c>
      <c r="C30" s="330">
        <f>ELEMENT!C28</f>
        <v>0</v>
      </c>
      <c r="D30" s="329">
        <f t="shared" si="8"/>
        <v>0</v>
      </c>
      <c r="E30" s="329">
        <f t="shared" si="9"/>
        <v>0</v>
      </c>
      <c r="F30" s="329" t="str">
        <f t="shared" si="10"/>
        <v/>
      </c>
      <c r="G30" s="317"/>
      <c r="H30" s="328">
        <f t="shared" si="11"/>
        <v>0</v>
      </c>
      <c r="I30" s="328" t="str">
        <f t="shared" si="12"/>
        <v/>
      </c>
      <c r="J30" s="328">
        <f t="shared" si="13"/>
        <v>0</v>
      </c>
      <c r="K30" s="328">
        <f t="shared" si="14"/>
        <v>0</v>
      </c>
      <c r="L30" s="327" t="str">
        <f t="shared" si="15"/>
        <v/>
      </c>
      <c r="M30" s="317"/>
      <c r="N30" s="322" t="str">
        <f t="shared" si="16"/>
        <v/>
      </c>
      <c r="O30" s="322" t="str">
        <f t="shared" si="17"/>
        <v/>
      </c>
      <c r="P30" s="322" t="str">
        <f t="shared" si="18"/>
        <v/>
      </c>
      <c r="Q30" s="322" t="str">
        <f t="shared" si="19"/>
        <v/>
      </c>
      <c r="R30" s="322" t="str">
        <f t="shared" si="20"/>
        <v/>
      </c>
      <c r="S30" s="317"/>
      <c r="T30" s="315" t="str">
        <f t="shared" si="21"/>
        <v/>
      </c>
      <c r="U30" s="315" t="str">
        <f t="shared" si="22"/>
        <v/>
      </c>
      <c r="V30" s="315" t="str">
        <f t="shared" si="23"/>
        <v/>
      </c>
      <c r="W30" s="315" t="str">
        <f t="shared" si="24"/>
        <v/>
      </c>
      <c r="X30" s="317"/>
      <c r="Y30" s="327" t="str">
        <f t="shared" si="25"/>
        <v/>
      </c>
      <c r="Z30" s="327" t="str">
        <f t="shared" si="26"/>
        <v/>
      </c>
      <c r="AA30" s="327" t="str">
        <f t="shared" si="27"/>
        <v/>
      </c>
      <c r="AB30" s="327" t="str">
        <f t="shared" si="28"/>
        <v/>
      </c>
      <c r="AC30" s="317"/>
      <c r="AD30" s="322" t="str">
        <f t="shared" si="29"/>
        <v/>
      </c>
      <c r="AE30" s="322" t="str">
        <f t="shared" si="30"/>
        <v/>
      </c>
      <c r="AF30" s="322" t="str">
        <f t="shared" si="31"/>
        <v/>
      </c>
      <c r="AG30" s="322" t="str">
        <f t="shared" si="32"/>
        <v/>
      </c>
      <c r="AH30" s="322" t="str">
        <f t="shared" si="33"/>
        <v/>
      </c>
      <c r="AI30" s="322"/>
      <c r="AJ30" s="325" t="str">
        <f t="shared" si="34"/>
        <v/>
      </c>
      <c r="AK30" s="316"/>
      <c r="AL30" s="322" t="str">
        <f t="shared" si="35"/>
        <v/>
      </c>
      <c r="AM30" s="322" t="str">
        <f t="shared" si="36"/>
        <v/>
      </c>
      <c r="AN30" s="317"/>
      <c r="AO30" s="326" t="str">
        <f t="shared" si="37"/>
        <v/>
      </c>
      <c r="AP30" s="326" t="str">
        <f t="shared" si="38"/>
        <v/>
      </c>
      <c r="AQ30" s="317"/>
      <c r="AR30" s="322" t="str">
        <f t="shared" si="39"/>
        <v/>
      </c>
      <c r="AS30" s="325" t="str">
        <f t="shared" si="40"/>
        <v/>
      </c>
      <c r="AT30" s="316"/>
      <c r="AU30" s="324" t="str">
        <f t="shared" si="41"/>
        <v/>
      </c>
      <c r="AV30" s="316"/>
      <c r="AW30" s="322">
        <f t="shared" si="42"/>
        <v>0</v>
      </c>
      <c r="AX30" s="322" t="str">
        <f t="shared" si="43"/>
        <v/>
      </c>
      <c r="AY30" s="322" t="str">
        <f t="shared" si="44"/>
        <v/>
      </c>
      <c r="AZ30" s="316"/>
      <c r="BA30" s="321" t="str">
        <f t="shared" si="45"/>
        <v/>
      </c>
      <c r="BB30" s="316"/>
      <c r="BC30" s="323" t="str">
        <f t="shared" si="46"/>
        <v/>
      </c>
      <c r="BD30" s="323" t="str">
        <f>IFERROR(VZ!AB32,"")</f>
        <v/>
      </c>
      <c r="BE30" s="322" t="str">
        <f t="shared" si="47"/>
        <v/>
      </c>
      <c r="BF30" s="322" t="str">
        <f t="shared" si="48"/>
        <v/>
      </c>
      <c r="BG30" s="320" t="str">
        <f t="shared" si="49"/>
        <v/>
      </c>
      <c r="BH30" s="322" t="str">
        <f t="shared" si="50"/>
        <v/>
      </c>
      <c r="BI30" s="321">
        <f t="shared" ca="1" si="51"/>
        <v>0</v>
      </c>
      <c r="BJ30" s="316"/>
      <c r="BK30" s="320" t="str">
        <f t="shared" si="52"/>
        <v/>
      </c>
      <c r="BL30" s="319" t="str">
        <f t="shared" si="53"/>
        <v/>
      </c>
      <c r="BM30" s="318" t="str">
        <f t="shared" si="54"/>
        <v/>
      </c>
      <c r="CB30">
        <f>ELEMENT!R28</f>
        <v>0</v>
      </c>
      <c r="CC30" t="str">
        <f>IF(ELEMENT!AO28="","",(2-CB30-CF30))</f>
        <v/>
      </c>
      <c r="CD30">
        <f>ELEMENT!S28</f>
        <v>0</v>
      </c>
      <c r="CE30">
        <f>ELEMENT!T28</f>
        <v>0</v>
      </c>
      <c r="CF30" t="str">
        <f>IF(ELEMENT!AO28="","",IF(ELEMENT!P28="R",1,IF(ELEMENT!P28="L",1,IF(ELEMENT!P28=2,2,0))))</f>
        <v/>
      </c>
      <c r="CG30">
        <f>ELEMENT!AS28</f>
        <v>0</v>
      </c>
      <c r="CH30">
        <f>ELEMENT!AT28</f>
        <v>0</v>
      </c>
      <c r="CI30" t="str">
        <f>IF(ELEMENT!AO28="","",ELEMENT!AT28-(ELEMENT!L28*CJ$69+ELEMENT!M28*CK$69))</f>
        <v/>
      </c>
      <c r="CK30" t="str">
        <f>IF(ELEMENT!$AO28=1,VLOOKUP($CA$3,$CF$55:$CQ$60,$CG$53,FALSE),"")</f>
        <v/>
      </c>
      <c r="CL30" t="str">
        <f>IF(ELEMENT!$AO28=1,VLOOKUP($CA$3,$CF$55:$CQ$60,$CH$53,FALSE),"")</f>
        <v/>
      </c>
      <c r="CM30" t="str">
        <f>IF(ELEMENT!$AO28=1,VLOOKUP($CA$3,$CF$55:$CQ$60,$CI$53,FALSE),"")</f>
        <v/>
      </c>
      <c r="CN30" t="str">
        <f>IF(ELEMENT!$AO28=1,VLOOKUP($CA$3,$CF$55:$CQ$60,$CJ$53,FALSE),"")</f>
        <v/>
      </c>
      <c r="CO30" t="str">
        <f>IF(ELEMENT!$AO28=1,VLOOKUP($CA$3,$CF$55:$CQ$60,$CK$53,FALSE),"")</f>
        <v/>
      </c>
      <c r="CP30" t="str">
        <f>IF(ELEMENT!$AO28=1,VLOOKUP($CA$3,$CF$55:$CQ$60,$CN$53,FALSE),"")</f>
        <v/>
      </c>
      <c r="CQ30" t="str">
        <f>IF(ELEMENT!$AO28=1,VLOOKUP($CA$3,$CF$55:$CQ$60,$CO$53,FALSE),"")</f>
        <v/>
      </c>
      <c r="CR30" t="str">
        <f>IF(ELEMENT!$AO28=1,VLOOKUP($CA$3,$CF$55:$CQ$60,$CP$53,FALSE),"")</f>
        <v/>
      </c>
      <c r="CS30" t="str">
        <f>IF(ELEMENT!$AO28=1,VLOOKUP($CA$3,$CF$55:$CQ$60,$CQ$53,FALSE),"")</f>
        <v/>
      </c>
      <c r="CU30" t="str">
        <f>IF(ELEMENT!AO28="","",CK30*CP30)</f>
        <v/>
      </c>
      <c r="CV30" t="str">
        <f>IF(ELEMENT!AO28="","",CL30*CQ30)</f>
        <v/>
      </c>
      <c r="CW30" t="str">
        <f>IF(ELEMENT!AO28="","",CM30*CR30)</f>
        <v/>
      </c>
      <c r="CX30" t="str">
        <f>IF(ELEMENT!AO28="","",CN30*CS30)</f>
        <v/>
      </c>
      <c r="CZ30" t="str">
        <f>IF(ELEMENT!AO28="","",CB30*CU30*CI30/10^6)</f>
        <v/>
      </c>
      <c r="DA30" t="str">
        <f>IF(ELEMENT!AO28="","",CC30*CV30*CI30/10^6)</f>
        <v/>
      </c>
      <c r="DB30" t="str">
        <f>IF(ELEMENT!AO28="","",CD30*CW30*CI30/10^6)</f>
        <v/>
      </c>
      <c r="DC30" t="str">
        <f>IF(ELEMENT!AO28="","",CE30*CX30*CI30/10^6)</f>
        <v/>
      </c>
      <c r="DD30" t="str">
        <f>IF(ELEMENT!AO28="","",CO30*CF30*CI30/10^3)</f>
        <v/>
      </c>
      <c r="DE30" t="str">
        <f>IF(ELEMENT!AO28="","",SUM(CZ30:DD30))</f>
        <v/>
      </c>
      <c r="DG30" t="str">
        <f>IF(ELEMENT!$AO28=1,
VLOOKUP($CA$3,$CF$55:$CQ$60,$CL$53,FALSE),"")</f>
        <v/>
      </c>
      <c r="DH30" t="str">
        <f>IF(ELEMENT!$AO28=1,
VLOOKUP($CA$3,$CF$55:$CQ$60,$CM$53,FALSE),"")</f>
        <v/>
      </c>
      <c r="DJ30" t="str">
        <f>IF(ELEMENT!AO28=1,
IF(ELEMENT!L28=0,
VLOOKUP($CA$3,$CF$55:$CS$60,$CS$53,FALSE),
VLOOKUP($CA$3,$CF$55:$CS$60,$CR$53,FALSE)),"")</f>
        <v/>
      </c>
      <c r="DK30" t="str">
        <f>IF(ELEMENT!AO28=1,
IF(ELEMENT!M28=0,
VLOOKUP($CA$3,$CF$55:$CS$60,$CR$53,FALSE),
VLOOKUP($CA$3,$CF$55:$CS$60,$CS$53,FALSE)),"")</f>
        <v/>
      </c>
      <c r="DL30" t="str">
        <f>IF(ELEMENT!AO28="","",DG30*DJ30+DH30*DK30)</f>
        <v/>
      </c>
      <c r="DN30" t="str">
        <f>IF(ELEMENT!AO28="","",DL30*CG30/10^6)</f>
        <v/>
      </c>
      <c r="DP30" t="str">
        <f>IF(ELEMENT!AO28="","",DE30+DN30)</f>
        <v/>
      </c>
      <c r="DR30">
        <f t="shared" si="55"/>
        <v>0</v>
      </c>
      <c r="DS30" t="str">
        <f>IF(ELEMENT!AO28="","",(CI30*(CB30*CP30+CC30*CQ30+CD30*CR30+CE30*CS30)+CG30*(DJ30+DK30))/10^6)</f>
        <v/>
      </c>
      <c r="DT30" t="str">
        <f>IF(ELEMENT!AO28="","",DR30-DS30)</f>
        <v/>
      </c>
      <c r="DV30" t="str">
        <f>IF(ELEMENT!AO28="","",DP30/DS30)</f>
        <v/>
      </c>
      <c r="DX30" t="str">
        <f>IF(ELEMENT!AO28="","",ELEMENT!DI188)</f>
        <v/>
      </c>
      <c r="DY30" t="str">
        <f>IF(ELEMENT!AO28="","",DV30*DS30)</f>
        <v/>
      </c>
      <c r="DZ30" t="str">
        <f>IF(ELEMENT!AO28="","",DX30*DT30)</f>
        <v/>
      </c>
      <c r="EA30" t="str">
        <f>IF(ELEMENT!AO28="","",$EA$3*((2*(CG30-CB30*CP30-CC30*CQ30-CD30*CR30-CE30*CS30)/1000)+2*(CI30/1000)))</f>
        <v/>
      </c>
      <c r="EB30" t="str">
        <f>IF(ELEMENT!AO28="","",$EA$3*((CI30/1000)*(2*(CD30+CE30)))+$EA$3*(2*CF30*CI30/1000))</f>
        <v/>
      </c>
      <c r="EC30">
        <f ca="1">IF(ELEMENT!FY28="",SUM(DY30:EB30),"")</f>
        <v>0</v>
      </c>
      <c r="EE30" t="str">
        <f>IF(ELEMENT!AO28="","",
IF(ELEMENT!FY28="",(EC30/DR30),""))</f>
        <v/>
      </c>
      <c r="EF30" t="str">
        <f t="shared" si="56"/>
        <v/>
      </c>
      <c r="EG30" t="str">
        <f>IF(ELEMENT!AO28="","",EC30*ELEMENT!C28)</f>
        <v/>
      </c>
    </row>
    <row r="31" spans="1:137" ht="21" customHeight="1" x14ac:dyDescent="0.2">
      <c r="A31" s="332">
        <f>ELEMENT!A29</f>
        <v>0</v>
      </c>
      <c r="B31" s="331">
        <f>ELEMENT!B29</f>
        <v>0</v>
      </c>
      <c r="C31" s="330">
        <f>ELEMENT!C29</f>
        <v>0</v>
      </c>
      <c r="D31" s="329">
        <f t="shared" si="8"/>
        <v>0</v>
      </c>
      <c r="E31" s="329">
        <f t="shared" si="9"/>
        <v>0</v>
      </c>
      <c r="F31" s="329" t="str">
        <f t="shared" si="10"/>
        <v/>
      </c>
      <c r="G31" s="317"/>
      <c r="H31" s="328">
        <f t="shared" si="11"/>
        <v>0</v>
      </c>
      <c r="I31" s="328" t="str">
        <f t="shared" si="12"/>
        <v/>
      </c>
      <c r="J31" s="328">
        <f t="shared" si="13"/>
        <v>0</v>
      </c>
      <c r="K31" s="328">
        <f t="shared" si="14"/>
        <v>0</v>
      </c>
      <c r="L31" s="327" t="str">
        <f t="shared" si="15"/>
        <v/>
      </c>
      <c r="M31" s="317"/>
      <c r="N31" s="322" t="str">
        <f t="shared" si="16"/>
        <v/>
      </c>
      <c r="O31" s="322" t="str">
        <f t="shared" si="17"/>
        <v/>
      </c>
      <c r="P31" s="322" t="str">
        <f t="shared" si="18"/>
        <v/>
      </c>
      <c r="Q31" s="322" t="str">
        <f t="shared" si="19"/>
        <v/>
      </c>
      <c r="R31" s="322" t="str">
        <f t="shared" si="20"/>
        <v/>
      </c>
      <c r="S31" s="317"/>
      <c r="T31" s="315" t="str">
        <f t="shared" si="21"/>
        <v/>
      </c>
      <c r="U31" s="315" t="str">
        <f t="shared" si="22"/>
        <v/>
      </c>
      <c r="V31" s="315" t="str">
        <f t="shared" si="23"/>
        <v/>
      </c>
      <c r="W31" s="315" t="str">
        <f t="shared" si="24"/>
        <v/>
      </c>
      <c r="X31" s="317"/>
      <c r="Y31" s="327" t="str">
        <f t="shared" si="25"/>
        <v/>
      </c>
      <c r="Z31" s="327" t="str">
        <f t="shared" si="26"/>
        <v/>
      </c>
      <c r="AA31" s="327" t="str">
        <f t="shared" si="27"/>
        <v/>
      </c>
      <c r="AB31" s="327" t="str">
        <f t="shared" si="28"/>
        <v/>
      </c>
      <c r="AC31" s="317"/>
      <c r="AD31" s="322" t="str">
        <f t="shared" si="29"/>
        <v/>
      </c>
      <c r="AE31" s="322" t="str">
        <f t="shared" si="30"/>
        <v/>
      </c>
      <c r="AF31" s="322" t="str">
        <f t="shared" si="31"/>
        <v/>
      </c>
      <c r="AG31" s="322" t="str">
        <f t="shared" si="32"/>
        <v/>
      </c>
      <c r="AH31" s="322" t="str">
        <f t="shared" si="33"/>
        <v/>
      </c>
      <c r="AI31" s="322"/>
      <c r="AJ31" s="325" t="str">
        <f t="shared" si="34"/>
        <v/>
      </c>
      <c r="AK31" s="316"/>
      <c r="AL31" s="322" t="str">
        <f t="shared" si="35"/>
        <v/>
      </c>
      <c r="AM31" s="322" t="str">
        <f t="shared" si="36"/>
        <v/>
      </c>
      <c r="AN31" s="317"/>
      <c r="AO31" s="326" t="str">
        <f t="shared" si="37"/>
        <v/>
      </c>
      <c r="AP31" s="326" t="str">
        <f t="shared" si="38"/>
        <v/>
      </c>
      <c r="AQ31" s="317"/>
      <c r="AR31" s="322" t="str">
        <f t="shared" si="39"/>
        <v/>
      </c>
      <c r="AS31" s="325" t="str">
        <f t="shared" si="40"/>
        <v/>
      </c>
      <c r="AT31" s="316"/>
      <c r="AU31" s="324" t="str">
        <f t="shared" si="41"/>
        <v/>
      </c>
      <c r="AV31" s="316"/>
      <c r="AW31" s="322">
        <f t="shared" si="42"/>
        <v>0</v>
      </c>
      <c r="AX31" s="322" t="str">
        <f t="shared" si="43"/>
        <v/>
      </c>
      <c r="AY31" s="322" t="str">
        <f t="shared" si="44"/>
        <v/>
      </c>
      <c r="AZ31" s="316"/>
      <c r="BA31" s="321" t="str">
        <f t="shared" si="45"/>
        <v/>
      </c>
      <c r="BB31" s="316"/>
      <c r="BC31" s="323" t="str">
        <f t="shared" si="46"/>
        <v/>
      </c>
      <c r="BD31" s="323" t="str">
        <f>IFERROR(VZ!AB33,"")</f>
        <v/>
      </c>
      <c r="BE31" s="322" t="str">
        <f t="shared" si="47"/>
        <v/>
      </c>
      <c r="BF31" s="322" t="str">
        <f t="shared" si="48"/>
        <v/>
      </c>
      <c r="BG31" s="320" t="str">
        <f t="shared" si="49"/>
        <v/>
      </c>
      <c r="BH31" s="322" t="str">
        <f t="shared" si="50"/>
        <v/>
      </c>
      <c r="BI31" s="321">
        <f t="shared" ca="1" si="51"/>
        <v>0</v>
      </c>
      <c r="BJ31" s="316"/>
      <c r="BK31" s="320" t="str">
        <f t="shared" si="52"/>
        <v/>
      </c>
      <c r="BL31" s="319" t="str">
        <f t="shared" si="53"/>
        <v/>
      </c>
      <c r="BM31" s="318" t="str">
        <f t="shared" si="54"/>
        <v/>
      </c>
      <c r="CB31">
        <f>ELEMENT!R29</f>
        <v>0</v>
      </c>
      <c r="CC31" t="str">
        <f>IF(ELEMENT!AO29="","",(2-CB31-CF31))</f>
        <v/>
      </c>
      <c r="CD31">
        <f>ELEMENT!S29</f>
        <v>0</v>
      </c>
      <c r="CE31">
        <f>ELEMENT!T29</f>
        <v>0</v>
      </c>
      <c r="CF31" t="str">
        <f>IF(ELEMENT!AO29="","",IF(ELEMENT!P29="R",1,IF(ELEMENT!P29="L",1,IF(ELEMENT!P29=2,2,0))))</f>
        <v/>
      </c>
      <c r="CG31">
        <f>ELEMENT!AS29</f>
        <v>0</v>
      </c>
      <c r="CH31">
        <f>ELEMENT!AT29</f>
        <v>0</v>
      </c>
      <c r="CI31" t="str">
        <f>IF(ELEMENT!AO29="","",ELEMENT!AT29-(ELEMENT!L29*CJ$69+ELEMENT!M29*CK$69))</f>
        <v/>
      </c>
      <c r="CK31" t="str">
        <f>IF(ELEMENT!$AO29=1,VLOOKUP($CA$3,$CF$55:$CQ$60,$CG$53,FALSE),"")</f>
        <v/>
      </c>
      <c r="CL31" t="str">
        <f>IF(ELEMENT!$AO29=1,VLOOKUP($CA$3,$CF$55:$CQ$60,$CH$53,FALSE),"")</f>
        <v/>
      </c>
      <c r="CM31" t="str">
        <f>IF(ELEMENT!$AO29=1,VLOOKUP($CA$3,$CF$55:$CQ$60,$CI$53,FALSE),"")</f>
        <v/>
      </c>
      <c r="CN31" t="str">
        <f>IF(ELEMENT!$AO29=1,VLOOKUP($CA$3,$CF$55:$CQ$60,$CJ$53,FALSE),"")</f>
        <v/>
      </c>
      <c r="CO31" t="str">
        <f>IF(ELEMENT!$AO29=1,VLOOKUP($CA$3,$CF$55:$CQ$60,$CK$53,FALSE),"")</f>
        <v/>
      </c>
      <c r="CP31" t="str">
        <f>IF(ELEMENT!$AO29=1,VLOOKUP($CA$3,$CF$55:$CQ$60,$CN$53,FALSE),"")</f>
        <v/>
      </c>
      <c r="CQ31" t="str">
        <f>IF(ELEMENT!$AO29=1,VLOOKUP($CA$3,$CF$55:$CQ$60,$CO$53,FALSE),"")</f>
        <v/>
      </c>
      <c r="CR31" t="str">
        <f>IF(ELEMENT!$AO29=1,VLOOKUP($CA$3,$CF$55:$CQ$60,$CP$53,FALSE),"")</f>
        <v/>
      </c>
      <c r="CS31" t="str">
        <f>IF(ELEMENT!$AO29=1,VLOOKUP($CA$3,$CF$55:$CQ$60,$CQ$53,FALSE),"")</f>
        <v/>
      </c>
      <c r="CU31" t="str">
        <f>IF(ELEMENT!AO29="","",CK31*CP31)</f>
        <v/>
      </c>
      <c r="CV31" t="str">
        <f>IF(ELEMENT!AO29="","",CL31*CQ31)</f>
        <v/>
      </c>
      <c r="CW31" t="str">
        <f>IF(ELEMENT!AO29="","",CM31*CR31)</f>
        <v/>
      </c>
      <c r="CX31" t="str">
        <f>IF(ELEMENT!AO29="","",CN31*CS31)</f>
        <v/>
      </c>
      <c r="CZ31" t="str">
        <f>IF(ELEMENT!AO29="","",CB31*CU31*CI31/10^6)</f>
        <v/>
      </c>
      <c r="DA31" t="str">
        <f>IF(ELEMENT!AO29="","",CC31*CV31*CI31/10^6)</f>
        <v/>
      </c>
      <c r="DB31" t="str">
        <f>IF(ELEMENT!AO29="","",CD31*CW31*CI31/10^6)</f>
        <v/>
      </c>
      <c r="DC31" t="str">
        <f>IF(ELEMENT!AO29="","",CE31*CX31*CI31/10^6)</f>
        <v/>
      </c>
      <c r="DD31" t="str">
        <f>IF(ELEMENT!AO29="","",CO31*CF31*CI31/10^3)</f>
        <v/>
      </c>
      <c r="DE31" t="str">
        <f>IF(ELEMENT!AO29="","",SUM(CZ31:DD31))</f>
        <v/>
      </c>
      <c r="DG31" t="str">
        <f>IF(ELEMENT!$AO29=1,
VLOOKUP($CA$3,$CF$55:$CQ$60,$CL$53,FALSE),"")</f>
        <v/>
      </c>
      <c r="DH31" t="str">
        <f>IF(ELEMENT!$AO29=1,
VLOOKUP($CA$3,$CF$55:$CQ$60,$CM$53,FALSE),"")</f>
        <v/>
      </c>
      <c r="DJ31" t="str">
        <f>IF(ELEMENT!AO29=1,
IF(ELEMENT!L29=0,
VLOOKUP($CA$3,$CF$55:$CS$60,$CS$53,FALSE),
VLOOKUP($CA$3,$CF$55:$CS$60,$CR$53,FALSE)),"")</f>
        <v/>
      </c>
      <c r="DK31" t="str">
        <f>IF(ELEMENT!AO29=1,
IF(ELEMENT!M29=0,
VLOOKUP($CA$3,$CF$55:$CS$60,$CR$53,FALSE),
VLOOKUP($CA$3,$CF$55:$CS$60,$CS$53,FALSE)),"")</f>
        <v/>
      </c>
      <c r="DL31" t="str">
        <f>IF(ELEMENT!AO29="","",DG31*DJ31+DH31*DK31)</f>
        <v/>
      </c>
      <c r="DN31" t="str">
        <f>IF(ELEMENT!AO29="","",DL31*CG31/10^6)</f>
        <v/>
      </c>
      <c r="DP31" t="str">
        <f>IF(ELEMENT!AO29="","",DE31+DN31)</f>
        <v/>
      </c>
      <c r="DR31">
        <f t="shared" si="55"/>
        <v>0</v>
      </c>
      <c r="DS31" t="str">
        <f>IF(ELEMENT!AO29="","",(CI31*(CB31*CP31+CC31*CQ31+CD31*CR31+CE31*CS31)+CG31*(DJ31+DK31))/10^6)</f>
        <v/>
      </c>
      <c r="DT31" t="str">
        <f>IF(ELEMENT!AO29="","",DR31-DS31)</f>
        <v/>
      </c>
      <c r="DV31" t="str">
        <f>IF(ELEMENT!AO29="","",DP31/DS31)</f>
        <v/>
      </c>
      <c r="DX31" t="str">
        <f>IF(ELEMENT!AO29="","",ELEMENT!DI189)</f>
        <v/>
      </c>
      <c r="DY31" t="str">
        <f>IF(ELEMENT!AO29="","",DV31*DS31)</f>
        <v/>
      </c>
      <c r="DZ31" t="str">
        <f>IF(ELEMENT!AO29="","",DX31*DT31)</f>
        <v/>
      </c>
      <c r="EA31" t="str">
        <f>IF(ELEMENT!AO29="","",$EA$3*((2*(CG31-CB31*CP31-CC31*CQ31-CD31*CR31-CE31*CS31)/1000)+2*(CI31/1000)))</f>
        <v/>
      </c>
      <c r="EB31" t="str">
        <f>IF(ELEMENT!AO29="","",$EA$3*((CI31/1000)*(2*(CD31+CE31)))+$EA$3*(2*CF31*CI31/1000))</f>
        <v/>
      </c>
      <c r="EC31">
        <f ca="1">IF(ELEMENT!FY29="",SUM(DY31:EB31),"")</f>
        <v>0</v>
      </c>
      <c r="EE31" t="str">
        <f>IF(ELEMENT!AO29="","",
IF(ELEMENT!FY29="",(EC31/DR31),""))</f>
        <v/>
      </c>
      <c r="EF31" t="str">
        <f t="shared" si="56"/>
        <v/>
      </c>
      <c r="EG31" t="str">
        <f>IF(ELEMENT!AO29="","",EC31*ELEMENT!C29)</f>
        <v/>
      </c>
    </row>
    <row r="32" spans="1:137" ht="21" customHeight="1" x14ac:dyDescent="0.2">
      <c r="A32" s="332">
        <f>ELEMENT!A30</f>
        <v>0</v>
      </c>
      <c r="B32" s="331">
        <f>ELEMENT!B30</f>
        <v>0</v>
      </c>
      <c r="C32" s="330">
        <f>ELEMENT!C30</f>
        <v>0</v>
      </c>
      <c r="D32" s="329">
        <f t="shared" si="8"/>
        <v>0</v>
      </c>
      <c r="E32" s="329">
        <f t="shared" si="9"/>
        <v>0</v>
      </c>
      <c r="F32" s="329" t="str">
        <f t="shared" si="10"/>
        <v/>
      </c>
      <c r="G32" s="317"/>
      <c r="H32" s="328">
        <f t="shared" si="11"/>
        <v>0</v>
      </c>
      <c r="I32" s="328" t="str">
        <f t="shared" si="12"/>
        <v/>
      </c>
      <c r="J32" s="328">
        <f t="shared" si="13"/>
        <v>0</v>
      </c>
      <c r="K32" s="328">
        <f t="shared" si="14"/>
        <v>0</v>
      </c>
      <c r="L32" s="327" t="str">
        <f t="shared" si="15"/>
        <v/>
      </c>
      <c r="M32" s="317"/>
      <c r="N32" s="322" t="str">
        <f t="shared" si="16"/>
        <v/>
      </c>
      <c r="O32" s="322" t="str">
        <f t="shared" si="17"/>
        <v/>
      </c>
      <c r="P32" s="322" t="str">
        <f t="shared" si="18"/>
        <v/>
      </c>
      <c r="Q32" s="322" t="str">
        <f t="shared" si="19"/>
        <v/>
      </c>
      <c r="R32" s="322" t="str">
        <f t="shared" si="20"/>
        <v/>
      </c>
      <c r="S32" s="317"/>
      <c r="T32" s="315" t="str">
        <f t="shared" si="21"/>
        <v/>
      </c>
      <c r="U32" s="315" t="str">
        <f t="shared" si="22"/>
        <v/>
      </c>
      <c r="V32" s="315" t="str">
        <f t="shared" si="23"/>
        <v/>
      </c>
      <c r="W32" s="315" t="str">
        <f t="shared" si="24"/>
        <v/>
      </c>
      <c r="X32" s="317"/>
      <c r="Y32" s="327" t="str">
        <f t="shared" si="25"/>
        <v/>
      </c>
      <c r="Z32" s="327" t="str">
        <f t="shared" si="26"/>
        <v/>
      </c>
      <c r="AA32" s="327" t="str">
        <f t="shared" si="27"/>
        <v/>
      </c>
      <c r="AB32" s="327" t="str">
        <f t="shared" si="28"/>
        <v/>
      </c>
      <c r="AC32" s="317"/>
      <c r="AD32" s="322" t="str">
        <f t="shared" si="29"/>
        <v/>
      </c>
      <c r="AE32" s="322" t="str">
        <f t="shared" si="30"/>
        <v/>
      </c>
      <c r="AF32" s="322" t="str">
        <f t="shared" si="31"/>
        <v/>
      </c>
      <c r="AG32" s="322" t="str">
        <f t="shared" si="32"/>
        <v/>
      </c>
      <c r="AH32" s="322" t="str">
        <f t="shared" si="33"/>
        <v/>
      </c>
      <c r="AI32" s="322"/>
      <c r="AJ32" s="325" t="str">
        <f t="shared" si="34"/>
        <v/>
      </c>
      <c r="AK32" s="316"/>
      <c r="AL32" s="322" t="str">
        <f t="shared" si="35"/>
        <v/>
      </c>
      <c r="AM32" s="322" t="str">
        <f t="shared" si="36"/>
        <v/>
      </c>
      <c r="AN32" s="317"/>
      <c r="AO32" s="326" t="str">
        <f t="shared" si="37"/>
        <v/>
      </c>
      <c r="AP32" s="326" t="str">
        <f t="shared" si="38"/>
        <v/>
      </c>
      <c r="AQ32" s="317"/>
      <c r="AR32" s="322" t="str">
        <f t="shared" si="39"/>
        <v/>
      </c>
      <c r="AS32" s="325" t="str">
        <f t="shared" si="40"/>
        <v/>
      </c>
      <c r="AT32" s="316"/>
      <c r="AU32" s="324" t="str">
        <f t="shared" si="41"/>
        <v/>
      </c>
      <c r="AV32" s="316"/>
      <c r="AW32" s="322">
        <f t="shared" si="42"/>
        <v>0</v>
      </c>
      <c r="AX32" s="322" t="str">
        <f t="shared" si="43"/>
        <v/>
      </c>
      <c r="AY32" s="322" t="str">
        <f t="shared" si="44"/>
        <v/>
      </c>
      <c r="AZ32" s="316"/>
      <c r="BA32" s="321" t="str">
        <f t="shared" si="45"/>
        <v/>
      </c>
      <c r="BB32" s="316"/>
      <c r="BC32" s="323" t="str">
        <f t="shared" si="46"/>
        <v/>
      </c>
      <c r="BD32" s="323" t="str">
        <f>IFERROR(VZ!AB34,"")</f>
        <v/>
      </c>
      <c r="BE32" s="322" t="str">
        <f t="shared" si="47"/>
        <v/>
      </c>
      <c r="BF32" s="322" t="str">
        <f t="shared" si="48"/>
        <v/>
      </c>
      <c r="BG32" s="320" t="str">
        <f t="shared" si="49"/>
        <v/>
      </c>
      <c r="BH32" s="322" t="str">
        <f t="shared" si="50"/>
        <v/>
      </c>
      <c r="BI32" s="321">
        <f t="shared" ca="1" si="51"/>
        <v>0</v>
      </c>
      <c r="BJ32" s="316"/>
      <c r="BK32" s="320" t="str">
        <f t="shared" si="52"/>
        <v/>
      </c>
      <c r="BL32" s="319" t="str">
        <f t="shared" si="53"/>
        <v/>
      </c>
      <c r="BM32" s="318" t="str">
        <f t="shared" si="54"/>
        <v/>
      </c>
      <c r="CB32">
        <f>ELEMENT!R30</f>
        <v>0</v>
      </c>
      <c r="CC32" t="str">
        <f>IF(ELEMENT!AO30="","",(2-CB32-CF32))</f>
        <v/>
      </c>
      <c r="CD32">
        <f>ELEMENT!S30</f>
        <v>0</v>
      </c>
      <c r="CE32">
        <f>ELEMENT!T30</f>
        <v>0</v>
      </c>
      <c r="CF32" t="str">
        <f>IF(ELEMENT!AO30="","",IF(ELEMENT!P30="R",1,IF(ELEMENT!P30="L",1,IF(ELEMENT!P30=2,2,0))))</f>
        <v/>
      </c>
      <c r="CG32">
        <f>ELEMENT!AS30</f>
        <v>0</v>
      </c>
      <c r="CH32">
        <f>ELEMENT!AT30</f>
        <v>0</v>
      </c>
      <c r="CI32" t="str">
        <f>IF(ELEMENT!AO30="","",ELEMENT!AT30-(ELEMENT!L30*CJ$69+ELEMENT!M30*CK$69))</f>
        <v/>
      </c>
      <c r="CK32" t="str">
        <f>IF(ELEMENT!$AO30=1,VLOOKUP($CA$3,$CF$55:$CQ$60,$CG$53,FALSE),"")</f>
        <v/>
      </c>
      <c r="CL32" t="str">
        <f>IF(ELEMENT!$AO30=1,VLOOKUP($CA$3,$CF$55:$CQ$60,$CH$53,FALSE),"")</f>
        <v/>
      </c>
      <c r="CM32" t="str">
        <f>IF(ELEMENT!$AO30=1,VLOOKUP($CA$3,$CF$55:$CQ$60,$CI$53,FALSE),"")</f>
        <v/>
      </c>
      <c r="CN32" t="str">
        <f>IF(ELEMENT!$AO30=1,VLOOKUP($CA$3,$CF$55:$CQ$60,$CJ$53,FALSE),"")</f>
        <v/>
      </c>
      <c r="CO32" t="str">
        <f>IF(ELEMENT!$AO30=1,VLOOKUP($CA$3,$CF$55:$CQ$60,$CK$53,FALSE),"")</f>
        <v/>
      </c>
      <c r="CP32" t="str">
        <f>IF(ELEMENT!$AO30=1,VLOOKUP($CA$3,$CF$55:$CQ$60,$CN$53,FALSE),"")</f>
        <v/>
      </c>
      <c r="CQ32" t="str">
        <f>IF(ELEMENT!$AO30=1,VLOOKUP($CA$3,$CF$55:$CQ$60,$CO$53,FALSE),"")</f>
        <v/>
      </c>
      <c r="CR32" t="str">
        <f>IF(ELEMENT!$AO30=1,VLOOKUP($CA$3,$CF$55:$CQ$60,$CP$53,FALSE),"")</f>
        <v/>
      </c>
      <c r="CS32" t="str">
        <f>IF(ELEMENT!$AO30=1,VLOOKUP($CA$3,$CF$55:$CQ$60,$CQ$53,FALSE),"")</f>
        <v/>
      </c>
      <c r="CU32" t="str">
        <f>IF(ELEMENT!AO30="","",CK32*CP32)</f>
        <v/>
      </c>
      <c r="CV32" t="str">
        <f>IF(ELEMENT!AO30="","",CL32*CQ32)</f>
        <v/>
      </c>
      <c r="CW32" t="str">
        <f>IF(ELEMENT!AO30="","",CM32*CR32)</f>
        <v/>
      </c>
      <c r="CX32" t="str">
        <f>IF(ELEMENT!AO30="","",CN32*CS32)</f>
        <v/>
      </c>
      <c r="CZ32" t="str">
        <f>IF(ELEMENT!AO30="","",CB32*CU32*CI32/10^6)</f>
        <v/>
      </c>
      <c r="DA32" t="str">
        <f>IF(ELEMENT!AO30="","",CC32*CV32*CI32/10^6)</f>
        <v/>
      </c>
      <c r="DB32" t="str">
        <f>IF(ELEMENT!AO30="","",CD32*CW32*CI32/10^6)</f>
        <v/>
      </c>
      <c r="DC32" t="str">
        <f>IF(ELEMENT!AO30="","",CE32*CX32*CI32/10^6)</f>
        <v/>
      </c>
      <c r="DD32" t="str">
        <f>IF(ELEMENT!AO30="","",CO32*CF32*CI32/10^3)</f>
        <v/>
      </c>
      <c r="DE32" t="str">
        <f>IF(ELEMENT!AO30="","",SUM(CZ32:DD32))</f>
        <v/>
      </c>
      <c r="DG32" t="str">
        <f>IF(ELEMENT!$AO30=1,
VLOOKUP($CA$3,$CF$55:$CQ$60,$CL$53,FALSE),"")</f>
        <v/>
      </c>
      <c r="DH32" t="str">
        <f>IF(ELEMENT!$AO30=1,
VLOOKUP($CA$3,$CF$55:$CQ$60,$CM$53,FALSE),"")</f>
        <v/>
      </c>
      <c r="DJ32" t="str">
        <f>IF(ELEMENT!AO30=1,
IF(ELEMENT!L30=0,
VLOOKUP($CA$3,$CF$55:$CS$60,$CS$53,FALSE),
VLOOKUP($CA$3,$CF$55:$CS$60,$CR$53,FALSE)),"")</f>
        <v/>
      </c>
      <c r="DK32" t="str">
        <f>IF(ELEMENT!AO30=1,
IF(ELEMENT!M30=0,
VLOOKUP($CA$3,$CF$55:$CS$60,$CR$53,FALSE),
VLOOKUP($CA$3,$CF$55:$CS$60,$CS$53,FALSE)),"")</f>
        <v/>
      </c>
      <c r="DL32" t="str">
        <f>IF(ELEMENT!AO30="","",DG32*DJ32+DH32*DK32)</f>
        <v/>
      </c>
      <c r="DN32" t="str">
        <f>IF(ELEMENT!AO30="","",DL32*CG32/10^6)</f>
        <v/>
      </c>
      <c r="DP32" t="str">
        <f>IF(ELEMENT!AO30="","",DE32+DN32)</f>
        <v/>
      </c>
      <c r="DR32">
        <f t="shared" si="55"/>
        <v>0</v>
      </c>
      <c r="DS32" t="str">
        <f>IF(ELEMENT!AO30="","",(CI32*(CB32*CP32+CC32*CQ32+CD32*CR32+CE32*CS32)+CG32*(DJ32+DK32))/10^6)</f>
        <v/>
      </c>
      <c r="DT32" t="str">
        <f>IF(ELEMENT!AO30="","",DR32-DS32)</f>
        <v/>
      </c>
      <c r="DV32" t="str">
        <f>IF(ELEMENT!AO30="","",DP32/DS32)</f>
        <v/>
      </c>
      <c r="DX32" t="str">
        <f>IF(ELEMENT!AO30="","",ELEMENT!DI190)</f>
        <v/>
      </c>
      <c r="DY32" t="str">
        <f>IF(ELEMENT!AO30="","",DV32*DS32)</f>
        <v/>
      </c>
      <c r="DZ32" t="str">
        <f>IF(ELEMENT!AO30="","",DX32*DT32)</f>
        <v/>
      </c>
      <c r="EA32" t="str">
        <f>IF(ELEMENT!AO30="","",$EA$3*((2*(CG32-CB32*CP32-CC32*CQ32-CD32*CR32-CE32*CS32)/1000)+2*(CI32/1000)))</f>
        <v/>
      </c>
      <c r="EB32" t="str">
        <f>IF(ELEMENT!AO30="","",$EA$3*((CI32/1000)*(2*(CD32+CE32)))+$EA$3*(2*CF32*CI32/1000))</f>
        <v/>
      </c>
      <c r="EC32">
        <f ca="1">IF(ELEMENT!FY30="",SUM(DY32:EB32),"")</f>
        <v>0</v>
      </c>
      <c r="EE32" t="str">
        <f>IF(ELEMENT!AO30="","",
IF(ELEMENT!FY30="",(EC32/DR32),""))</f>
        <v/>
      </c>
      <c r="EF32" t="str">
        <f t="shared" si="56"/>
        <v/>
      </c>
      <c r="EG32" t="str">
        <f>IF(ELEMENT!AO30="","",EC32*ELEMENT!C30)</f>
        <v/>
      </c>
    </row>
    <row r="33" spans="1:137" ht="21" customHeight="1" x14ac:dyDescent="0.2">
      <c r="A33" s="332">
        <f>ELEMENT!A31</f>
        <v>0</v>
      </c>
      <c r="B33" s="331">
        <f>ELEMENT!B31</f>
        <v>0</v>
      </c>
      <c r="C33" s="330">
        <f>ELEMENT!C31</f>
        <v>0</v>
      </c>
      <c r="D33" s="329">
        <f t="shared" si="8"/>
        <v>0</v>
      </c>
      <c r="E33" s="329">
        <f t="shared" si="9"/>
        <v>0</v>
      </c>
      <c r="F33" s="329" t="str">
        <f t="shared" si="10"/>
        <v/>
      </c>
      <c r="G33" s="317"/>
      <c r="H33" s="328">
        <f t="shared" si="11"/>
        <v>0</v>
      </c>
      <c r="I33" s="328" t="str">
        <f t="shared" si="12"/>
        <v/>
      </c>
      <c r="J33" s="328">
        <f t="shared" si="13"/>
        <v>0</v>
      </c>
      <c r="K33" s="328">
        <f t="shared" si="14"/>
        <v>0</v>
      </c>
      <c r="L33" s="327" t="str">
        <f t="shared" si="15"/>
        <v/>
      </c>
      <c r="M33" s="317"/>
      <c r="N33" s="322" t="str">
        <f t="shared" si="16"/>
        <v/>
      </c>
      <c r="O33" s="322" t="str">
        <f t="shared" si="17"/>
        <v/>
      </c>
      <c r="P33" s="322" t="str">
        <f t="shared" si="18"/>
        <v/>
      </c>
      <c r="Q33" s="322" t="str">
        <f t="shared" si="19"/>
        <v/>
      </c>
      <c r="R33" s="322" t="str">
        <f t="shared" si="20"/>
        <v/>
      </c>
      <c r="S33" s="317"/>
      <c r="T33" s="315" t="str">
        <f t="shared" si="21"/>
        <v/>
      </c>
      <c r="U33" s="315" t="str">
        <f t="shared" si="22"/>
        <v/>
      </c>
      <c r="V33" s="315" t="str">
        <f t="shared" si="23"/>
        <v/>
      </c>
      <c r="W33" s="315" t="str">
        <f t="shared" si="24"/>
        <v/>
      </c>
      <c r="X33" s="317"/>
      <c r="Y33" s="327" t="str">
        <f t="shared" si="25"/>
        <v/>
      </c>
      <c r="Z33" s="327" t="str">
        <f t="shared" si="26"/>
        <v/>
      </c>
      <c r="AA33" s="327" t="str">
        <f t="shared" si="27"/>
        <v/>
      </c>
      <c r="AB33" s="327" t="str">
        <f t="shared" si="28"/>
        <v/>
      </c>
      <c r="AC33" s="317"/>
      <c r="AD33" s="322" t="str">
        <f t="shared" si="29"/>
        <v/>
      </c>
      <c r="AE33" s="322" t="str">
        <f t="shared" si="30"/>
        <v/>
      </c>
      <c r="AF33" s="322" t="str">
        <f t="shared" si="31"/>
        <v/>
      </c>
      <c r="AG33" s="322" t="str">
        <f t="shared" si="32"/>
        <v/>
      </c>
      <c r="AH33" s="322" t="str">
        <f t="shared" si="33"/>
        <v/>
      </c>
      <c r="AI33" s="322"/>
      <c r="AJ33" s="325" t="str">
        <f t="shared" si="34"/>
        <v/>
      </c>
      <c r="AK33" s="316"/>
      <c r="AL33" s="322" t="str">
        <f t="shared" si="35"/>
        <v/>
      </c>
      <c r="AM33" s="322" t="str">
        <f t="shared" si="36"/>
        <v/>
      </c>
      <c r="AN33" s="317"/>
      <c r="AO33" s="326" t="str">
        <f t="shared" si="37"/>
        <v/>
      </c>
      <c r="AP33" s="326" t="str">
        <f t="shared" si="38"/>
        <v/>
      </c>
      <c r="AQ33" s="317"/>
      <c r="AR33" s="322" t="str">
        <f t="shared" si="39"/>
        <v/>
      </c>
      <c r="AS33" s="325" t="str">
        <f t="shared" si="40"/>
        <v/>
      </c>
      <c r="AT33" s="316"/>
      <c r="AU33" s="324" t="str">
        <f t="shared" si="41"/>
        <v/>
      </c>
      <c r="AV33" s="316"/>
      <c r="AW33" s="322">
        <f t="shared" si="42"/>
        <v>0</v>
      </c>
      <c r="AX33" s="322" t="str">
        <f t="shared" si="43"/>
        <v/>
      </c>
      <c r="AY33" s="322" t="str">
        <f t="shared" si="44"/>
        <v/>
      </c>
      <c r="AZ33" s="316"/>
      <c r="BA33" s="321" t="str">
        <f t="shared" si="45"/>
        <v/>
      </c>
      <c r="BB33" s="316"/>
      <c r="BC33" s="323" t="str">
        <f t="shared" si="46"/>
        <v/>
      </c>
      <c r="BD33" s="323" t="str">
        <f>IFERROR(VZ!AB35,"")</f>
        <v/>
      </c>
      <c r="BE33" s="322" t="str">
        <f t="shared" si="47"/>
        <v/>
      </c>
      <c r="BF33" s="322" t="str">
        <f t="shared" si="48"/>
        <v/>
      </c>
      <c r="BG33" s="320" t="str">
        <f t="shared" si="49"/>
        <v/>
      </c>
      <c r="BH33" s="322" t="str">
        <f t="shared" si="50"/>
        <v/>
      </c>
      <c r="BI33" s="321">
        <f t="shared" ca="1" si="51"/>
        <v>0</v>
      </c>
      <c r="BJ33" s="316"/>
      <c r="BK33" s="320" t="str">
        <f t="shared" si="52"/>
        <v/>
      </c>
      <c r="BL33" s="319" t="str">
        <f t="shared" si="53"/>
        <v/>
      </c>
      <c r="BM33" s="318" t="str">
        <f t="shared" si="54"/>
        <v/>
      </c>
      <c r="CB33">
        <f>ELEMENT!R31</f>
        <v>0</v>
      </c>
      <c r="CC33" t="str">
        <f>IF(ELEMENT!AO31="","",(2-CB33-CF33))</f>
        <v/>
      </c>
      <c r="CD33">
        <f>ELEMENT!S31</f>
        <v>0</v>
      </c>
      <c r="CE33">
        <f>ELEMENT!T31</f>
        <v>0</v>
      </c>
      <c r="CF33" t="str">
        <f>IF(ELEMENT!AO31="","",IF(ELEMENT!P31="R",1,IF(ELEMENT!P31="L",1,IF(ELEMENT!P31=2,2,0))))</f>
        <v/>
      </c>
      <c r="CG33">
        <f>ELEMENT!AS31</f>
        <v>0</v>
      </c>
      <c r="CH33">
        <f>ELEMENT!AT31</f>
        <v>0</v>
      </c>
      <c r="CI33" t="str">
        <f>IF(ELEMENT!AO31="","",ELEMENT!AT31-(ELEMENT!L31*CJ$69+ELEMENT!M31*CK$69))</f>
        <v/>
      </c>
      <c r="CK33" t="str">
        <f>IF(ELEMENT!$AO31=1,VLOOKUP($CA$3,$CF$55:$CQ$60,$CG$53,FALSE),"")</f>
        <v/>
      </c>
      <c r="CL33" t="str">
        <f>IF(ELEMENT!$AO31=1,VLOOKUP($CA$3,$CF$55:$CQ$60,$CH$53,FALSE),"")</f>
        <v/>
      </c>
      <c r="CM33" t="str">
        <f>IF(ELEMENT!$AO31=1,VLOOKUP($CA$3,$CF$55:$CQ$60,$CI$53,FALSE),"")</f>
        <v/>
      </c>
      <c r="CN33" t="str">
        <f>IF(ELEMENT!$AO31=1,VLOOKUP($CA$3,$CF$55:$CQ$60,$CJ$53,FALSE),"")</f>
        <v/>
      </c>
      <c r="CO33" t="str">
        <f>IF(ELEMENT!$AO31=1,VLOOKUP($CA$3,$CF$55:$CQ$60,$CK$53,FALSE),"")</f>
        <v/>
      </c>
      <c r="CP33" t="str">
        <f>IF(ELEMENT!$AO31=1,VLOOKUP($CA$3,$CF$55:$CQ$60,$CN$53,FALSE),"")</f>
        <v/>
      </c>
      <c r="CQ33" t="str">
        <f>IF(ELEMENT!$AO31=1,VLOOKUP($CA$3,$CF$55:$CQ$60,$CO$53,FALSE),"")</f>
        <v/>
      </c>
      <c r="CR33" t="str">
        <f>IF(ELEMENT!$AO31=1,VLOOKUP($CA$3,$CF$55:$CQ$60,$CP$53,FALSE),"")</f>
        <v/>
      </c>
      <c r="CS33" t="str">
        <f>IF(ELEMENT!$AO31=1,VLOOKUP($CA$3,$CF$55:$CQ$60,$CQ$53,FALSE),"")</f>
        <v/>
      </c>
      <c r="CU33" t="str">
        <f>IF(ELEMENT!AO31="","",CK33*CP33)</f>
        <v/>
      </c>
      <c r="CV33" t="str">
        <f>IF(ELEMENT!AO31="","",CL33*CQ33)</f>
        <v/>
      </c>
      <c r="CW33" t="str">
        <f>IF(ELEMENT!AO31="","",CM33*CR33)</f>
        <v/>
      </c>
      <c r="CX33" t="str">
        <f>IF(ELEMENT!AO31="","",CN33*CS33)</f>
        <v/>
      </c>
      <c r="CZ33" t="str">
        <f>IF(ELEMENT!AO31="","",CB33*CU33*CI33/10^6)</f>
        <v/>
      </c>
      <c r="DA33" t="str">
        <f>IF(ELEMENT!AO31="","",CC33*CV33*CI33/10^6)</f>
        <v/>
      </c>
      <c r="DB33" t="str">
        <f>IF(ELEMENT!AO31="","",CD33*CW33*CI33/10^6)</f>
        <v/>
      </c>
      <c r="DC33" t="str">
        <f>IF(ELEMENT!AO31="","",CE33*CX33*CI33/10^6)</f>
        <v/>
      </c>
      <c r="DD33" t="str">
        <f>IF(ELEMENT!AO31="","",CO33*CF33*CI33/10^3)</f>
        <v/>
      </c>
      <c r="DE33" t="str">
        <f>IF(ELEMENT!AO31="","",SUM(CZ33:DD33))</f>
        <v/>
      </c>
      <c r="DG33" t="str">
        <f>IF(ELEMENT!$AO31=1,
VLOOKUP($CA$3,$CF$55:$CQ$60,$CL$53,FALSE),"")</f>
        <v/>
      </c>
      <c r="DH33" t="str">
        <f>IF(ELEMENT!$AO31=1,
VLOOKUP($CA$3,$CF$55:$CQ$60,$CM$53,FALSE),"")</f>
        <v/>
      </c>
      <c r="DJ33" t="str">
        <f>IF(ELEMENT!AO31=1,
IF(ELEMENT!L31=0,
VLOOKUP($CA$3,$CF$55:$CS$60,$CS$53,FALSE),
VLOOKUP($CA$3,$CF$55:$CS$60,$CR$53,FALSE)),"")</f>
        <v/>
      </c>
      <c r="DK33" t="str">
        <f>IF(ELEMENT!AO31=1,
IF(ELEMENT!M31=0,
VLOOKUP($CA$3,$CF$55:$CS$60,$CR$53,FALSE),
VLOOKUP($CA$3,$CF$55:$CS$60,$CS$53,FALSE)),"")</f>
        <v/>
      </c>
      <c r="DL33" t="str">
        <f>IF(ELEMENT!AO31="","",DG33*DJ33+DH33*DK33)</f>
        <v/>
      </c>
      <c r="DN33" t="str">
        <f>IF(ELEMENT!AO31="","",DL33*CG33/10^6)</f>
        <v/>
      </c>
      <c r="DP33" t="str">
        <f>IF(ELEMENT!AO31="","",DE33+DN33)</f>
        <v/>
      </c>
      <c r="DR33">
        <f t="shared" si="55"/>
        <v>0</v>
      </c>
      <c r="DS33" t="str">
        <f>IF(ELEMENT!AO31="","",(CI33*(CB33*CP33+CC33*CQ33+CD33*CR33+CE33*CS33)+CG33*(DJ33+DK33))/10^6)</f>
        <v/>
      </c>
      <c r="DT33" t="str">
        <f>IF(ELEMENT!AO31="","",DR33-DS33)</f>
        <v/>
      </c>
      <c r="DV33" t="str">
        <f>IF(ELEMENT!AO31="","",DP33/DS33)</f>
        <v/>
      </c>
      <c r="DX33" t="str">
        <f>IF(ELEMENT!AO31="","",ELEMENT!DI191)</f>
        <v/>
      </c>
      <c r="DY33" t="str">
        <f>IF(ELEMENT!AO31="","",DV33*DS33)</f>
        <v/>
      </c>
      <c r="DZ33" t="str">
        <f>IF(ELEMENT!AO31="","",DX33*DT33)</f>
        <v/>
      </c>
      <c r="EA33" t="str">
        <f>IF(ELEMENT!AO31="","",$EA$3*((2*(CG33-CB33*CP33-CC33*CQ33-CD33*CR33-CE33*CS33)/1000)+2*(CI33/1000)))</f>
        <v/>
      </c>
      <c r="EB33" t="str">
        <f>IF(ELEMENT!AO31="","",$EA$3*((CI33/1000)*(2*(CD33+CE33)))+$EA$3*(2*CF33*CI33/1000))</f>
        <v/>
      </c>
      <c r="EC33">
        <f ca="1">IF(ELEMENT!FY31="",SUM(DY33:EB33),"")</f>
        <v>0</v>
      </c>
      <c r="EE33" t="str">
        <f>IF(ELEMENT!AO31="","",
IF(ELEMENT!FY31="",(EC33/DR33),""))</f>
        <v/>
      </c>
      <c r="EF33" t="str">
        <f t="shared" si="56"/>
        <v/>
      </c>
      <c r="EG33" t="str">
        <f>IF(ELEMENT!AO31="","",EC33*ELEMENT!C31)</f>
        <v/>
      </c>
    </row>
    <row r="34" spans="1:137" ht="21" customHeight="1" x14ac:dyDescent="0.2">
      <c r="A34" s="332">
        <f>ELEMENT!A32</f>
        <v>0</v>
      </c>
      <c r="B34" s="331">
        <f>ELEMENT!B32</f>
        <v>0</v>
      </c>
      <c r="C34" s="330">
        <f>ELEMENT!C32</f>
        <v>0</v>
      </c>
      <c r="D34" s="329">
        <f t="shared" si="8"/>
        <v>0</v>
      </c>
      <c r="E34" s="329">
        <f t="shared" si="9"/>
        <v>0</v>
      </c>
      <c r="F34" s="329" t="str">
        <f t="shared" si="10"/>
        <v/>
      </c>
      <c r="G34" s="317"/>
      <c r="H34" s="328">
        <f t="shared" si="11"/>
        <v>0</v>
      </c>
      <c r="I34" s="328" t="str">
        <f t="shared" si="12"/>
        <v/>
      </c>
      <c r="J34" s="328">
        <f t="shared" si="13"/>
        <v>0</v>
      </c>
      <c r="K34" s="328">
        <f t="shared" si="14"/>
        <v>0</v>
      </c>
      <c r="L34" s="327" t="str">
        <f t="shared" si="15"/>
        <v/>
      </c>
      <c r="M34" s="317"/>
      <c r="N34" s="322" t="str">
        <f t="shared" si="16"/>
        <v/>
      </c>
      <c r="O34" s="322" t="str">
        <f t="shared" si="17"/>
        <v/>
      </c>
      <c r="P34" s="322" t="str">
        <f t="shared" si="18"/>
        <v/>
      </c>
      <c r="Q34" s="322" t="str">
        <f t="shared" si="19"/>
        <v/>
      </c>
      <c r="R34" s="322" t="str">
        <f t="shared" si="20"/>
        <v/>
      </c>
      <c r="S34" s="317"/>
      <c r="T34" s="315" t="str">
        <f t="shared" si="21"/>
        <v/>
      </c>
      <c r="U34" s="315" t="str">
        <f t="shared" si="22"/>
        <v/>
      </c>
      <c r="V34" s="315" t="str">
        <f t="shared" si="23"/>
        <v/>
      </c>
      <c r="W34" s="315" t="str">
        <f t="shared" si="24"/>
        <v/>
      </c>
      <c r="X34" s="317"/>
      <c r="Y34" s="327" t="str">
        <f t="shared" si="25"/>
        <v/>
      </c>
      <c r="Z34" s="327" t="str">
        <f t="shared" si="26"/>
        <v/>
      </c>
      <c r="AA34" s="327" t="str">
        <f t="shared" si="27"/>
        <v/>
      </c>
      <c r="AB34" s="327" t="str">
        <f t="shared" si="28"/>
        <v/>
      </c>
      <c r="AC34" s="317"/>
      <c r="AD34" s="322" t="str">
        <f t="shared" si="29"/>
        <v/>
      </c>
      <c r="AE34" s="322" t="str">
        <f t="shared" si="30"/>
        <v/>
      </c>
      <c r="AF34" s="322" t="str">
        <f t="shared" si="31"/>
        <v/>
      </c>
      <c r="AG34" s="322" t="str">
        <f t="shared" si="32"/>
        <v/>
      </c>
      <c r="AH34" s="322" t="str">
        <f t="shared" si="33"/>
        <v/>
      </c>
      <c r="AI34" s="322"/>
      <c r="AJ34" s="325" t="str">
        <f t="shared" si="34"/>
        <v/>
      </c>
      <c r="AK34" s="316"/>
      <c r="AL34" s="322" t="str">
        <f t="shared" si="35"/>
        <v/>
      </c>
      <c r="AM34" s="322" t="str">
        <f t="shared" si="36"/>
        <v/>
      </c>
      <c r="AN34" s="317"/>
      <c r="AO34" s="326" t="str">
        <f t="shared" si="37"/>
        <v/>
      </c>
      <c r="AP34" s="326" t="str">
        <f t="shared" si="38"/>
        <v/>
      </c>
      <c r="AQ34" s="317"/>
      <c r="AR34" s="322" t="str">
        <f t="shared" si="39"/>
        <v/>
      </c>
      <c r="AS34" s="325" t="str">
        <f t="shared" si="40"/>
        <v/>
      </c>
      <c r="AT34" s="316"/>
      <c r="AU34" s="324" t="str">
        <f t="shared" si="41"/>
        <v/>
      </c>
      <c r="AV34" s="316"/>
      <c r="AW34" s="322">
        <f t="shared" si="42"/>
        <v>0</v>
      </c>
      <c r="AX34" s="322" t="str">
        <f t="shared" si="43"/>
        <v/>
      </c>
      <c r="AY34" s="322" t="str">
        <f t="shared" si="44"/>
        <v/>
      </c>
      <c r="AZ34" s="316"/>
      <c r="BA34" s="321" t="str">
        <f t="shared" si="45"/>
        <v/>
      </c>
      <c r="BB34" s="316"/>
      <c r="BC34" s="323" t="str">
        <f t="shared" si="46"/>
        <v/>
      </c>
      <c r="BD34" s="323" t="str">
        <f>IFERROR(VZ!AB36,"")</f>
        <v/>
      </c>
      <c r="BE34" s="322" t="str">
        <f t="shared" si="47"/>
        <v/>
      </c>
      <c r="BF34" s="322" t="str">
        <f t="shared" si="48"/>
        <v/>
      </c>
      <c r="BG34" s="320" t="str">
        <f t="shared" si="49"/>
        <v/>
      </c>
      <c r="BH34" s="322" t="str">
        <f t="shared" si="50"/>
        <v/>
      </c>
      <c r="BI34" s="321">
        <f t="shared" ca="1" si="51"/>
        <v>0</v>
      </c>
      <c r="BJ34" s="316"/>
      <c r="BK34" s="320" t="str">
        <f t="shared" si="52"/>
        <v/>
      </c>
      <c r="BL34" s="319" t="str">
        <f t="shared" si="53"/>
        <v/>
      </c>
      <c r="BM34" s="318" t="str">
        <f t="shared" si="54"/>
        <v/>
      </c>
      <c r="CB34">
        <f>ELEMENT!R32</f>
        <v>0</v>
      </c>
      <c r="CC34" t="str">
        <f>IF(ELEMENT!AO32="","",(2-CB34-CF34))</f>
        <v/>
      </c>
      <c r="CD34">
        <f>ELEMENT!S32</f>
        <v>0</v>
      </c>
      <c r="CE34">
        <f>ELEMENT!T32</f>
        <v>0</v>
      </c>
      <c r="CF34" t="str">
        <f>IF(ELEMENT!AO32="","",IF(ELEMENT!P32="R",1,IF(ELEMENT!P32="L",1,IF(ELEMENT!P32=2,2,0))))</f>
        <v/>
      </c>
      <c r="CG34">
        <f>ELEMENT!AS32</f>
        <v>0</v>
      </c>
      <c r="CH34">
        <f>ELEMENT!AT32</f>
        <v>0</v>
      </c>
      <c r="CI34" t="str">
        <f>IF(ELEMENT!AO32="","",ELEMENT!AT32-(ELEMENT!L32*CJ$69+ELEMENT!M32*CK$69))</f>
        <v/>
      </c>
      <c r="CK34" t="str">
        <f>IF(ELEMENT!$AO32=1,VLOOKUP($CA$3,$CF$55:$CQ$60,$CG$53,FALSE),"")</f>
        <v/>
      </c>
      <c r="CL34" t="str">
        <f>IF(ELEMENT!$AO32=1,VLOOKUP($CA$3,$CF$55:$CQ$60,$CH$53,FALSE),"")</f>
        <v/>
      </c>
      <c r="CM34" t="str">
        <f>IF(ELEMENT!$AO32=1,VLOOKUP($CA$3,$CF$55:$CQ$60,$CI$53,FALSE),"")</f>
        <v/>
      </c>
      <c r="CN34" t="str">
        <f>IF(ELEMENT!$AO32=1,VLOOKUP($CA$3,$CF$55:$CQ$60,$CJ$53,FALSE),"")</f>
        <v/>
      </c>
      <c r="CO34" t="str">
        <f>IF(ELEMENT!$AO32=1,VLOOKUP($CA$3,$CF$55:$CQ$60,$CK$53,FALSE),"")</f>
        <v/>
      </c>
      <c r="CP34" t="str">
        <f>IF(ELEMENT!$AO32=1,VLOOKUP($CA$3,$CF$55:$CQ$60,$CN$53,FALSE),"")</f>
        <v/>
      </c>
      <c r="CQ34" t="str">
        <f>IF(ELEMENT!$AO32=1,VLOOKUP($CA$3,$CF$55:$CQ$60,$CO$53,FALSE),"")</f>
        <v/>
      </c>
      <c r="CR34" t="str">
        <f>IF(ELEMENT!$AO32=1,VLOOKUP($CA$3,$CF$55:$CQ$60,$CP$53,FALSE),"")</f>
        <v/>
      </c>
      <c r="CS34" t="str">
        <f>IF(ELEMENT!$AO32=1,VLOOKUP($CA$3,$CF$55:$CQ$60,$CQ$53,FALSE),"")</f>
        <v/>
      </c>
      <c r="CU34" t="str">
        <f>IF(ELEMENT!AO32="","",CK34*CP34)</f>
        <v/>
      </c>
      <c r="CV34" t="str">
        <f>IF(ELEMENT!AO32="","",CL34*CQ34)</f>
        <v/>
      </c>
      <c r="CW34" t="str">
        <f>IF(ELEMENT!AO32="","",CM34*CR34)</f>
        <v/>
      </c>
      <c r="CX34" t="str">
        <f>IF(ELEMENT!AO32="","",CN34*CS34)</f>
        <v/>
      </c>
      <c r="CZ34" t="str">
        <f>IF(ELEMENT!AO32="","",CB34*CU34*CI34/10^6)</f>
        <v/>
      </c>
      <c r="DA34" t="str">
        <f>IF(ELEMENT!AO32="","",CC34*CV34*CI34/10^6)</f>
        <v/>
      </c>
      <c r="DB34" t="str">
        <f>IF(ELEMENT!AO32="","",CD34*CW34*CI34/10^6)</f>
        <v/>
      </c>
      <c r="DC34" t="str">
        <f>IF(ELEMENT!AO32="","",CE34*CX34*CI34/10^6)</f>
        <v/>
      </c>
      <c r="DD34" t="str">
        <f>IF(ELEMENT!AO32="","",CO34*CF34*CI34/10^3)</f>
        <v/>
      </c>
      <c r="DE34" t="str">
        <f>IF(ELEMENT!AO32="","",SUM(CZ34:DD34))</f>
        <v/>
      </c>
      <c r="DG34" t="str">
        <f>IF(ELEMENT!$AO32=1,
VLOOKUP($CA$3,$CF$55:$CQ$60,$CL$53,FALSE),"")</f>
        <v/>
      </c>
      <c r="DH34" t="str">
        <f>IF(ELEMENT!$AO32=1,
VLOOKUP($CA$3,$CF$55:$CQ$60,$CM$53,FALSE),"")</f>
        <v/>
      </c>
      <c r="DJ34" t="str">
        <f>IF(ELEMENT!AO32=1,
IF(ELEMENT!L32=0,
VLOOKUP($CA$3,$CF$55:$CS$60,$CS$53,FALSE),
VLOOKUP($CA$3,$CF$55:$CS$60,$CR$53,FALSE)),"")</f>
        <v/>
      </c>
      <c r="DK34" t="str">
        <f>IF(ELEMENT!AO32=1,
IF(ELEMENT!M32=0,
VLOOKUP($CA$3,$CF$55:$CS$60,$CR$53,FALSE),
VLOOKUP($CA$3,$CF$55:$CS$60,$CS$53,FALSE)),"")</f>
        <v/>
      </c>
      <c r="DL34" t="str">
        <f>IF(ELEMENT!AO32="","",DG34*DJ34+DH34*DK34)</f>
        <v/>
      </c>
      <c r="DN34" t="str">
        <f>IF(ELEMENT!AO32="","",DL34*CG34/10^6)</f>
        <v/>
      </c>
      <c r="DP34" t="str">
        <f>IF(ELEMENT!AO32="","",DE34+DN34)</f>
        <v/>
      </c>
      <c r="DR34">
        <f t="shared" si="55"/>
        <v>0</v>
      </c>
      <c r="DS34" t="str">
        <f>IF(ELEMENT!AO32="","",(CI34*(CB34*CP34+CC34*CQ34+CD34*CR34+CE34*CS34)+CG34*(DJ34+DK34))/10^6)</f>
        <v/>
      </c>
      <c r="DT34" t="str">
        <f>IF(ELEMENT!AO32="","",DR34-DS34)</f>
        <v/>
      </c>
      <c r="DV34" t="str">
        <f>IF(ELEMENT!AO32="","",DP34/DS34)</f>
        <v/>
      </c>
      <c r="DX34" t="str">
        <f>IF(ELEMENT!AO32="","",ELEMENT!DI192)</f>
        <v/>
      </c>
      <c r="DY34" t="str">
        <f>IF(ELEMENT!AO32="","",DV34*DS34)</f>
        <v/>
      </c>
      <c r="DZ34" t="str">
        <f>IF(ELEMENT!AO32="","",DX34*DT34)</f>
        <v/>
      </c>
      <c r="EA34" t="str">
        <f>IF(ELEMENT!AO32="","",$EA$3*((2*(CG34-CB34*CP34-CC34*CQ34-CD34*CR34-CE34*CS34)/1000)+2*(CI34/1000)))</f>
        <v/>
      </c>
      <c r="EB34" t="str">
        <f>IF(ELEMENT!AO32="","",$EA$3*((CI34/1000)*(2*(CD34+CE34)))+$EA$3*(2*CF34*CI34/1000))</f>
        <v/>
      </c>
      <c r="EC34">
        <f ca="1">IF(ELEMENT!FY32="",SUM(DY34:EB34),"")</f>
        <v>0</v>
      </c>
      <c r="EE34" t="str">
        <f>IF(ELEMENT!AO32="","",
IF(ELEMENT!FY32="",(EC34/DR34),""))</f>
        <v/>
      </c>
      <c r="EF34" t="str">
        <f t="shared" si="56"/>
        <v/>
      </c>
      <c r="EG34" t="str">
        <f>IF(ELEMENT!AO32="","",EC34*ELEMENT!C32)</f>
        <v/>
      </c>
    </row>
    <row r="35" spans="1:137" ht="21" customHeight="1" x14ac:dyDescent="0.2">
      <c r="A35" s="332">
        <f>ELEMENT!A33</f>
        <v>0</v>
      </c>
      <c r="B35" s="331">
        <f>ELEMENT!B33</f>
        <v>0</v>
      </c>
      <c r="C35" s="330">
        <f>ELEMENT!C33</f>
        <v>0</v>
      </c>
      <c r="D35" s="329">
        <f t="shared" si="8"/>
        <v>0</v>
      </c>
      <c r="E35" s="329">
        <f t="shared" si="9"/>
        <v>0</v>
      </c>
      <c r="F35" s="329" t="str">
        <f t="shared" si="10"/>
        <v/>
      </c>
      <c r="G35" s="317"/>
      <c r="H35" s="328">
        <f t="shared" si="11"/>
        <v>0</v>
      </c>
      <c r="I35" s="328" t="str">
        <f t="shared" si="12"/>
        <v/>
      </c>
      <c r="J35" s="328">
        <f t="shared" si="13"/>
        <v>0</v>
      </c>
      <c r="K35" s="328">
        <f t="shared" si="14"/>
        <v>0</v>
      </c>
      <c r="L35" s="327" t="str">
        <f t="shared" si="15"/>
        <v/>
      </c>
      <c r="M35" s="317"/>
      <c r="N35" s="322" t="str">
        <f t="shared" si="16"/>
        <v/>
      </c>
      <c r="O35" s="322" t="str">
        <f t="shared" si="17"/>
        <v/>
      </c>
      <c r="P35" s="322" t="str">
        <f t="shared" si="18"/>
        <v/>
      </c>
      <c r="Q35" s="322" t="str">
        <f t="shared" si="19"/>
        <v/>
      </c>
      <c r="R35" s="322" t="str">
        <f t="shared" si="20"/>
        <v/>
      </c>
      <c r="S35" s="317"/>
      <c r="T35" s="315" t="str">
        <f t="shared" si="21"/>
        <v/>
      </c>
      <c r="U35" s="315" t="str">
        <f t="shared" si="22"/>
        <v/>
      </c>
      <c r="V35" s="315" t="str">
        <f t="shared" si="23"/>
        <v/>
      </c>
      <c r="W35" s="315" t="str">
        <f t="shared" si="24"/>
        <v/>
      </c>
      <c r="X35" s="317"/>
      <c r="Y35" s="327" t="str">
        <f t="shared" si="25"/>
        <v/>
      </c>
      <c r="Z35" s="327" t="str">
        <f t="shared" si="26"/>
        <v/>
      </c>
      <c r="AA35" s="327" t="str">
        <f t="shared" si="27"/>
        <v/>
      </c>
      <c r="AB35" s="327" t="str">
        <f t="shared" si="28"/>
        <v/>
      </c>
      <c r="AC35" s="317"/>
      <c r="AD35" s="322" t="str">
        <f t="shared" si="29"/>
        <v/>
      </c>
      <c r="AE35" s="322" t="str">
        <f t="shared" si="30"/>
        <v/>
      </c>
      <c r="AF35" s="322" t="str">
        <f t="shared" si="31"/>
        <v/>
      </c>
      <c r="AG35" s="322" t="str">
        <f t="shared" si="32"/>
        <v/>
      </c>
      <c r="AH35" s="322" t="str">
        <f t="shared" si="33"/>
        <v/>
      </c>
      <c r="AI35" s="322"/>
      <c r="AJ35" s="325" t="str">
        <f t="shared" si="34"/>
        <v/>
      </c>
      <c r="AK35" s="316"/>
      <c r="AL35" s="322" t="str">
        <f t="shared" si="35"/>
        <v/>
      </c>
      <c r="AM35" s="322" t="str">
        <f t="shared" si="36"/>
        <v/>
      </c>
      <c r="AN35" s="317"/>
      <c r="AO35" s="326" t="str">
        <f t="shared" si="37"/>
        <v/>
      </c>
      <c r="AP35" s="326" t="str">
        <f t="shared" si="38"/>
        <v/>
      </c>
      <c r="AQ35" s="317"/>
      <c r="AR35" s="322" t="str">
        <f t="shared" si="39"/>
        <v/>
      </c>
      <c r="AS35" s="325" t="str">
        <f t="shared" si="40"/>
        <v/>
      </c>
      <c r="AT35" s="316"/>
      <c r="AU35" s="324" t="str">
        <f t="shared" si="41"/>
        <v/>
      </c>
      <c r="AV35" s="316"/>
      <c r="AW35" s="322">
        <f t="shared" si="42"/>
        <v>0</v>
      </c>
      <c r="AX35" s="322" t="str">
        <f t="shared" si="43"/>
        <v/>
      </c>
      <c r="AY35" s="322" t="str">
        <f t="shared" si="44"/>
        <v/>
      </c>
      <c r="AZ35" s="316"/>
      <c r="BA35" s="321" t="str">
        <f t="shared" si="45"/>
        <v/>
      </c>
      <c r="BB35" s="316"/>
      <c r="BC35" s="323" t="str">
        <f t="shared" si="46"/>
        <v/>
      </c>
      <c r="BD35" s="323" t="str">
        <f>IFERROR(VZ!AB37,"")</f>
        <v/>
      </c>
      <c r="BE35" s="322" t="str">
        <f t="shared" si="47"/>
        <v/>
      </c>
      <c r="BF35" s="322" t="str">
        <f t="shared" si="48"/>
        <v/>
      </c>
      <c r="BG35" s="320" t="str">
        <f t="shared" si="49"/>
        <v/>
      </c>
      <c r="BH35" s="322" t="str">
        <f t="shared" si="50"/>
        <v/>
      </c>
      <c r="BI35" s="321">
        <f t="shared" ca="1" si="51"/>
        <v>0</v>
      </c>
      <c r="BJ35" s="316"/>
      <c r="BK35" s="320" t="str">
        <f t="shared" si="52"/>
        <v/>
      </c>
      <c r="BL35" s="319" t="str">
        <f t="shared" si="53"/>
        <v/>
      </c>
      <c r="BM35" s="318" t="str">
        <f t="shared" si="54"/>
        <v/>
      </c>
      <c r="CB35">
        <f>ELEMENT!R33</f>
        <v>0</v>
      </c>
      <c r="CC35" t="str">
        <f>IF(ELEMENT!AO33="","",(2-CB35-CF35))</f>
        <v/>
      </c>
      <c r="CD35">
        <f>ELEMENT!S33</f>
        <v>0</v>
      </c>
      <c r="CE35">
        <f>ELEMENT!T33</f>
        <v>0</v>
      </c>
      <c r="CF35" t="str">
        <f>IF(ELEMENT!AO33="","",IF(ELEMENT!P33="R",1,IF(ELEMENT!P33="L",1,IF(ELEMENT!P33=2,2,0))))</f>
        <v/>
      </c>
      <c r="CG35">
        <f>ELEMENT!AS33</f>
        <v>0</v>
      </c>
      <c r="CH35">
        <f>ELEMENT!AT33</f>
        <v>0</v>
      </c>
      <c r="CI35" t="str">
        <f>IF(ELEMENT!AO33="","",ELEMENT!AT33-(ELEMENT!L33*CJ$69+ELEMENT!M33*CK$69))</f>
        <v/>
      </c>
      <c r="CK35" t="str">
        <f>IF(ELEMENT!$AO33=1,VLOOKUP($CA$3,$CF$55:$CQ$60,$CG$53,FALSE),"")</f>
        <v/>
      </c>
      <c r="CL35" t="str">
        <f>IF(ELEMENT!$AO33=1,VLOOKUP($CA$3,$CF$55:$CQ$60,$CH$53,FALSE),"")</f>
        <v/>
      </c>
      <c r="CM35" t="str">
        <f>IF(ELEMENT!$AO33=1,VLOOKUP($CA$3,$CF$55:$CQ$60,$CI$53,FALSE),"")</f>
        <v/>
      </c>
      <c r="CN35" t="str">
        <f>IF(ELEMENT!$AO33=1,VLOOKUP($CA$3,$CF$55:$CQ$60,$CJ$53,FALSE),"")</f>
        <v/>
      </c>
      <c r="CO35" t="str">
        <f>IF(ELEMENT!$AO33=1,VLOOKUP($CA$3,$CF$55:$CQ$60,$CK$53,FALSE),"")</f>
        <v/>
      </c>
      <c r="CP35" t="str">
        <f>IF(ELEMENT!$AO33=1,VLOOKUP($CA$3,$CF$55:$CQ$60,$CN$53,FALSE),"")</f>
        <v/>
      </c>
      <c r="CQ35" t="str">
        <f>IF(ELEMENT!$AO33=1,VLOOKUP($CA$3,$CF$55:$CQ$60,$CO$53,FALSE),"")</f>
        <v/>
      </c>
      <c r="CR35" t="str">
        <f>IF(ELEMENT!$AO33=1,VLOOKUP($CA$3,$CF$55:$CQ$60,$CP$53,FALSE),"")</f>
        <v/>
      </c>
      <c r="CS35" t="str">
        <f>IF(ELEMENT!$AO33=1,VLOOKUP($CA$3,$CF$55:$CQ$60,$CQ$53,FALSE),"")</f>
        <v/>
      </c>
      <c r="CU35" t="str">
        <f>IF(ELEMENT!AO33="","",CK35*CP35)</f>
        <v/>
      </c>
      <c r="CV35" t="str">
        <f>IF(ELEMENT!AO33="","",CL35*CQ35)</f>
        <v/>
      </c>
      <c r="CW35" t="str">
        <f>IF(ELEMENT!AO33="","",CM35*CR35)</f>
        <v/>
      </c>
      <c r="CX35" t="str">
        <f>IF(ELEMENT!AO33="","",CN35*CS35)</f>
        <v/>
      </c>
      <c r="CZ35" t="str">
        <f>IF(ELEMENT!AO33="","",CB35*CU35*CI35/10^6)</f>
        <v/>
      </c>
      <c r="DA35" t="str">
        <f>IF(ELEMENT!AO33="","",CC35*CV35*CI35/10^6)</f>
        <v/>
      </c>
      <c r="DB35" t="str">
        <f>IF(ELEMENT!AO33="","",CD35*CW35*CI35/10^6)</f>
        <v/>
      </c>
      <c r="DC35" t="str">
        <f>IF(ELEMENT!AO33="","",CE35*CX35*CI35/10^6)</f>
        <v/>
      </c>
      <c r="DD35" t="str">
        <f>IF(ELEMENT!AO33="","",CO35*CF35*CI35/10^3)</f>
        <v/>
      </c>
      <c r="DE35" t="str">
        <f>IF(ELEMENT!AO33="","",SUM(CZ35:DD35))</f>
        <v/>
      </c>
      <c r="DG35" t="str">
        <f>IF(ELEMENT!$AO33=1,
VLOOKUP($CA$3,$CF$55:$CQ$60,$CL$53,FALSE),"")</f>
        <v/>
      </c>
      <c r="DH35" t="str">
        <f>IF(ELEMENT!$AO33=1,
VLOOKUP($CA$3,$CF$55:$CQ$60,$CM$53,FALSE),"")</f>
        <v/>
      </c>
      <c r="DJ35" t="str">
        <f>IF(ELEMENT!AO33=1,
IF(ELEMENT!L33=0,
VLOOKUP($CA$3,$CF$55:$CS$60,$CS$53,FALSE),
VLOOKUP($CA$3,$CF$55:$CS$60,$CR$53,FALSE)),"")</f>
        <v/>
      </c>
      <c r="DK35" t="str">
        <f>IF(ELEMENT!AO33=1,
IF(ELEMENT!M33=0,
VLOOKUP($CA$3,$CF$55:$CS$60,$CR$53,FALSE),
VLOOKUP($CA$3,$CF$55:$CS$60,$CS$53,FALSE)),"")</f>
        <v/>
      </c>
      <c r="DL35" t="str">
        <f>IF(ELEMENT!AO33="","",DG35*DJ35+DH35*DK35)</f>
        <v/>
      </c>
      <c r="DN35" t="str">
        <f>IF(ELEMENT!AO33="","",DL35*CG35/10^6)</f>
        <v/>
      </c>
      <c r="DP35" t="str">
        <f>IF(ELEMENT!AO33="","",DE35+DN35)</f>
        <v/>
      </c>
      <c r="DR35">
        <f t="shared" si="55"/>
        <v>0</v>
      </c>
      <c r="DS35" t="str">
        <f>IF(ELEMENT!AO33="","",(CI35*(CB35*CP35+CC35*CQ35+CD35*CR35+CE35*CS35)+CG35*(DJ35+DK35))/10^6)</f>
        <v/>
      </c>
      <c r="DT35" t="str">
        <f>IF(ELEMENT!AO33="","",DR35-DS35)</f>
        <v/>
      </c>
      <c r="DV35" t="str">
        <f>IF(ELEMENT!AO33="","",DP35/DS35)</f>
        <v/>
      </c>
      <c r="DX35" t="str">
        <f>IF(ELEMENT!AO33="","",ELEMENT!DI193)</f>
        <v/>
      </c>
      <c r="DY35" t="str">
        <f>IF(ELEMENT!AO33="","",DV35*DS35)</f>
        <v/>
      </c>
      <c r="DZ35" t="str">
        <f>IF(ELEMENT!AO33="","",DX35*DT35)</f>
        <v/>
      </c>
      <c r="EA35" t="str">
        <f>IF(ELEMENT!AO33="","",$EA$3*((2*(CG35-CB35*CP35-CC35*CQ35-CD35*CR35-CE35*CS35)/1000)+2*(CI35/1000)))</f>
        <v/>
      </c>
      <c r="EB35" t="str">
        <f>IF(ELEMENT!AO33="","",$EA$3*((CI35/1000)*(2*(CD35+CE35)))+$EA$3*(2*CF35*CI35/1000))</f>
        <v/>
      </c>
      <c r="EC35">
        <f ca="1">IF(ELEMENT!FY33="",SUM(DY35:EB35),"")</f>
        <v>0</v>
      </c>
      <c r="EE35" t="str">
        <f>IF(ELEMENT!AO33="","",
IF(ELEMENT!FY33="",(EC35/DR35),""))</f>
        <v/>
      </c>
      <c r="EF35" t="str">
        <f t="shared" si="56"/>
        <v/>
      </c>
      <c r="EG35" t="str">
        <f>IF(ELEMENT!AO33="","",EC35*ELEMENT!C33)</f>
        <v/>
      </c>
    </row>
    <row r="36" spans="1:137" ht="21" customHeight="1" x14ac:dyDescent="0.2">
      <c r="A36" s="332">
        <f>ELEMENT!A34</f>
        <v>0</v>
      </c>
      <c r="B36" s="331">
        <f>ELEMENT!B34</f>
        <v>0</v>
      </c>
      <c r="C36" s="330">
        <f>ELEMENT!C34</f>
        <v>0</v>
      </c>
      <c r="D36" s="329">
        <f t="shared" si="8"/>
        <v>0</v>
      </c>
      <c r="E36" s="329">
        <f t="shared" si="9"/>
        <v>0</v>
      </c>
      <c r="F36" s="329" t="str">
        <f t="shared" si="10"/>
        <v/>
      </c>
      <c r="G36" s="317"/>
      <c r="H36" s="328">
        <f t="shared" si="11"/>
        <v>0</v>
      </c>
      <c r="I36" s="328" t="str">
        <f t="shared" si="12"/>
        <v/>
      </c>
      <c r="J36" s="328">
        <f t="shared" si="13"/>
        <v>0</v>
      </c>
      <c r="K36" s="328">
        <f t="shared" si="14"/>
        <v>0</v>
      </c>
      <c r="L36" s="327" t="str">
        <f t="shared" si="15"/>
        <v/>
      </c>
      <c r="M36" s="317"/>
      <c r="N36" s="322" t="str">
        <f t="shared" si="16"/>
        <v/>
      </c>
      <c r="O36" s="322" t="str">
        <f t="shared" si="17"/>
        <v/>
      </c>
      <c r="P36" s="322" t="str">
        <f t="shared" si="18"/>
        <v/>
      </c>
      <c r="Q36" s="322" t="str">
        <f t="shared" si="19"/>
        <v/>
      </c>
      <c r="R36" s="322" t="str">
        <f t="shared" si="20"/>
        <v/>
      </c>
      <c r="S36" s="317"/>
      <c r="T36" s="315" t="str">
        <f t="shared" si="21"/>
        <v/>
      </c>
      <c r="U36" s="315" t="str">
        <f t="shared" si="22"/>
        <v/>
      </c>
      <c r="V36" s="315" t="str">
        <f t="shared" si="23"/>
        <v/>
      </c>
      <c r="W36" s="315" t="str">
        <f t="shared" si="24"/>
        <v/>
      </c>
      <c r="X36" s="317"/>
      <c r="Y36" s="327" t="str">
        <f t="shared" si="25"/>
        <v/>
      </c>
      <c r="Z36" s="327" t="str">
        <f t="shared" si="26"/>
        <v/>
      </c>
      <c r="AA36" s="327" t="str">
        <f t="shared" si="27"/>
        <v/>
      </c>
      <c r="AB36" s="327" t="str">
        <f t="shared" si="28"/>
        <v/>
      </c>
      <c r="AC36" s="317"/>
      <c r="AD36" s="322" t="str">
        <f t="shared" si="29"/>
        <v/>
      </c>
      <c r="AE36" s="322" t="str">
        <f t="shared" si="30"/>
        <v/>
      </c>
      <c r="AF36" s="322" t="str">
        <f t="shared" si="31"/>
        <v/>
      </c>
      <c r="AG36" s="322" t="str">
        <f t="shared" si="32"/>
        <v/>
      </c>
      <c r="AH36" s="322" t="str">
        <f t="shared" si="33"/>
        <v/>
      </c>
      <c r="AI36" s="322"/>
      <c r="AJ36" s="325" t="str">
        <f t="shared" si="34"/>
        <v/>
      </c>
      <c r="AK36" s="316"/>
      <c r="AL36" s="322" t="str">
        <f t="shared" si="35"/>
        <v/>
      </c>
      <c r="AM36" s="322" t="str">
        <f t="shared" si="36"/>
        <v/>
      </c>
      <c r="AN36" s="317"/>
      <c r="AO36" s="326" t="str">
        <f t="shared" si="37"/>
        <v/>
      </c>
      <c r="AP36" s="326" t="str">
        <f t="shared" si="38"/>
        <v/>
      </c>
      <c r="AQ36" s="317"/>
      <c r="AR36" s="322" t="str">
        <f t="shared" si="39"/>
        <v/>
      </c>
      <c r="AS36" s="325" t="str">
        <f t="shared" si="40"/>
        <v/>
      </c>
      <c r="AT36" s="316"/>
      <c r="AU36" s="324" t="str">
        <f t="shared" si="41"/>
        <v/>
      </c>
      <c r="AV36" s="316"/>
      <c r="AW36" s="322">
        <f t="shared" si="42"/>
        <v>0</v>
      </c>
      <c r="AX36" s="322" t="str">
        <f t="shared" si="43"/>
        <v/>
      </c>
      <c r="AY36" s="322" t="str">
        <f t="shared" si="44"/>
        <v/>
      </c>
      <c r="AZ36" s="316"/>
      <c r="BA36" s="321" t="str">
        <f t="shared" si="45"/>
        <v/>
      </c>
      <c r="BB36" s="316"/>
      <c r="BC36" s="323" t="str">
        <f t="shared" si="46"/>
        <v/>
      </c>
      <c r="BD36" s="323" t="str">
        <f>IFERROR(VZ!AB38,"")</f>
        <v/>
      </c>
      <c r="BE36" s="322" t="str">
        <f t="shared" si="47"/>
        <v/>
      </c>
      <c r="BF36" s="322" t="str">
        <f t="shared" si="48"/>
        <v/>
      </c>
      <c r="BG36" s="320" t="str">
        <f t="shared" si="49"/>
        <v/>
      </c>
      <c r="BH36" s="322" t="str">
        <f t="shared" si="50"/>
        <v/>
      </c>
      <c r="BI36" s="321">
        <f t="shared" ca="1" si="51"/>
        <v>0</v>
      </c>
      <c r="BJ36" s="316"/>
      <c r="BK36" s="320" t="str">
        <f t="shared" si="52"/>
        <v/>
      </c>
      <c r="BL36" s="319" t="str">
        <f t="shared" si="53"/>
        <v/>
      </c>
      <c r="BM36" s="318" t="str">
        <f t="shared" si="54"/>
        <v/>
      </c>
      <c r="CB36">
        <f>ELEMENT!R34</f>
        <v>0</v>
      </c>
      <c r="CC36" t="str">
        <f>IF(ELEMENT!AO34="","",(2-CB36-CF36))</f>
        <v/>
      </c>
      <c r="CD36">
        <f>ELEMENT!S34</f>
        <v>0</v>
      </c>
      <c r="CE36">
        <f>ELEMENT!T34</f>
        <v>0</v>
      </c>
      <c r="CF36" t="str">
        <f>IF(ELEMENT!AO34="","",IF(ELEMENT!P34="R",1,IF(ELEMENT!P34="L",1,IF(ELEMENT!P34=2,2,0))))</f>
        <v/>
      </c>
      <c r="CG36">
        <f>ELEMENT!AS34</f>
        <v>0</v>
      </c>
      <c r="CH36">
        <f>ELEMENT!AT34</f>
        <v>0</v>
      </c>
      <c r="CI36" t="str">
        <f>IF(ELEMENT!AO34="","",ELEMENT!AT34-(ELEMENT!L34*CJ$69+ELEMENT!M34*CK$69))</f>
        <v/>
      </c>
      <c r="CK36" t="str">
        <f>IF(ELEMENT!$AO34=1,VLOOKUP($CA$3,$CF$55:$CQ$60,$CG$53,FALSE),"")</f>
        <v/>
      </c>
      <c r="CL36" t="str">
        <f>IF(ELEMENT!$AO34=1,VLOOKUP($CA$3,$CF$55:$CQ$60,$CH$53,FALSE),"")</f>
        <v/>
      </c>
      <c r="CM36" t="str">
        <f>IF(ELEMENT!$AO34=1,VLOOKUP($CA$3,$CF$55:$CQ$60,$CI$53,FALSE),"")</f>
        <v/>
      </c>
      <c r="CN36" t="str">
        <f>IF(ELEMENT!$AO34=1,VLOOKUP($CA$3,$CF$55:$CQ$60,$CJ$53,FALSE),"")</f>
        <v/>
      </c>
      <c r="CO36" t="str">
        <f>IF(ELEMENT!$AO34=1,VLOOKUP($CA$3,$CF$55:$CQ$60,$CK$53,FALSE),"")</f>
        <v/>
      </c>
      <c r="CP36" t="str">
        <f>IF(ELEMENT!$AO34=1,VLOOKUP($CA$3,$CF$55:$CQ$60,$CN$53,FALSE),"")</f>
        <v/>
      </c>
      <c r="CQ36" t="str">
        <f>IF(ELEMENT!$AO34=1,VLOOKUP($CA$3,$CF$55:$CQ$60,$CO$53,FALSE),"")</f>
        <v/>
      </c>
      <c r="CR36" t="str">
        <f>IF(ELEMENT!$AO34=1,VLOOKUP($CA$3,$CF$55:$CQ$60,$CP$53,FALSE),"")</f>
        <v/>
      </c>
      <c r="CS36" t="str">
        <f>IF(ELEMENT!$AO34=1,VLOOKUP($CA$3,$CF$55:$CQ$60,$CQ$53,FALSE),"")</f>
        <v/>
      </c>
      <c r="CU36" t="str">
        <f>IF(ELEMENT!AO34="","",CK36*CP36)</f>
        <v/>
      </c>
      <c r="CV36" t="str">
        <f>IF(ELEMENT!AO34="","",CL36*CQ36)</f>
        <v/>
      </c>
      <c r="CW36" t="str">
        <f>IF(ELEMENT!AO34="","",CM36*CR36)</f>
        <v/>
      </c>
      <c r="CX36" t="str">
        <f>IF(ELEMENT!AO34="","",CN36*CS36)</f>
        <v/>
      </c>
      <c r="CZ36" t="str">
        <f>IF(ELEMENT!AO34="","",CB36*CU36*CI36/10^6)</f>
        <v/>
      </c>
      <c r="DA36" t="str">
        <f>IF(ELEMENT!AO34="","",CC36*CV36*CI36/10^6)</f>
        <v/>
      </c>
      <c r="DB36" t="str">
        <f>IF(ELEMENT!AO34="","",CD36*CW36*CI36/10^6)</f>
        <v/>
      </c>
      <c r="DC36" t="str">
        <f>IF(ELEMENT!AO34="","",CE36*CX36*CI36/10^6)</f>
        <v/>
      </c>
      <c r="DD36" t="str">
        <f>IF(ELEMENT!AO34="","",CO36*CF36*CI36/10^3)</f>
        <v/>
      </c>
      <c r="DE36" t="str">
        <f>IF(ELEMENT!AO34="","",SUM(CZ36:DD36))</f>
        <v/>
      </c>
      <c r="DG36" t="str">
        <f>IF(ELEMENT!$AO34=1,
VLOOKUP($CA$3,$CF$55:$CQ$60,$CL$53,FALSE),"")</f>
        <v/>
      </c>
      <c r="DH36" t="str">
        <f>IF(ELEMENT!$AO34=1,
VLOOKUP($CA$3,$CF$55:$CQ$60,$CM$53,FALSE),"")</f>
        <v/>
      </c>
      <c r="DJ36" t="str">
        <f>IF(ELEMENT!AO34=1,
IF(ELEMENT!L34=0,
VLOOKUP($CA$3,$CF$55:$CS$60,$CS$53,FALSE),
VLOOKUP($CA$3,$CF$55:$CS$60,$CR$53,FALSE)),"")</f>
        <v/>
      </c>
      <c r="DK36" t="str">
        <f>IF(ELEMENT!AO34=1,
IF(ELEMENT!M34=0,
VLOOKUP($CA$3,$CF$55:$CS$60,$CR$53,FALSE),
VLOOKUP($CA$3,$CF$55:$CS$60,$CS$53,FALSE)),"")</f>
        <v/>
      </c>
      <c r="DL36" t="str">
        <f>IF(ELEMENT!AO34="","",DG36*DJ36+DH36*DK36)</f>
        <v/>
      </c>
      <c r="DN36" t="str">
        <f>IF(ELEMENT!AO34="","",DL36*CG36/10^6)</f>
        <v/>
      </c>
      <c r="DP36" t="str">
        <f>IF(ELEMENT!AO34="","",DE36+DN36)</f>
        <v/>
      </c>
      <c r="DR36">
        <f t="shared" si="55"/>
        <v>0</v>
      </c>
      <c r="DS36" t="str">
        <f>IF(ELEMENT!AO34="","",(CI36*(CB36*CP36+CC36*CQ36+CD36*CR36+CE36*CS36)+CG36*(DJ36+DK36))/10^6)</f>
        <v/>
      </c>
      <c r="DT36" t="str">
        <f>IF(ELEMENT!AO34="","",DR36-DS36)</f>
        <v/>
      </c>
      <c r="DV36" t="str">
        <f>IF(ELEMENT!AO34="","",DP36/DS36)</f>
        <v/>
      </c>
      <c r="DX36" t="str">
        <f>IF(ELEMENT!AO34="","",ELEMENT!DI194)</f>
        <v/>
      </c>
      <c r="DY36" t="str">
        <f>IF(ELEMENT!AO34="","",DV36*DS36)</f>
        <v/>
      </c>
      <c r="DZ36" t="str">
        <f>IF(ELEMENT!AO34="","",DX36*DT36)</f>
        <v/>
      </c>
      <c r="EA36" t="str">
        <f>IF(ELEMENT!AO34="","",$EA$3*((2*(CG36-CB36*CP36-CC36*CQ36-CD36*CR36-CE36*CS36)/1000)+2*(CI36/1000)))</f>
        <v/>
      </c>
      <c r="EB36" t="str">
        <f>IF(ELEMENT!AO34="","",$EA$3*((CI36/1000)*(2*(CD36+CE36)))+$EA$3*(2*CF36*CI36/1000))</f>
        <v/>
      </c>
      <c r="EC36">
        <f ca="1">IF(ELEMENT!FY34="",SUM(DY36:EB36),"")</f>
        <v>0</v>
      </c>
      <c r="EE36" t="str">
        <f>IF(ELEMENT!AO34="","",
IF(ELEMENT!FY34="",(EC36/DR36),""))</f>
        <v/>
      </c>
      <c r="EF36" t="str">
        <f t="shared" si="56"/>
        <v/>
      </c>
      <c r="EG36" t="str">
        <f>IF(ELEMENT!AO34="","",EC36*ELEMENT!C34)</f>
        <v/>
      </c>
    </row>
    <row r="37" spans="1:137" ht="21" customHeight="1" x14ac:dyDescent="0.2">
      <c r="A37" s="332">
        <f>ELEMENT!A35</f>
        <v>0</v>
      </c>
      <c r="B37" s="331">
        <f>ELEMENT!B35</f>
        <v>0</v>
      </c>
      <c r="C37" s="330">
        <f>ELEMENT!C35</f>
        <v>0</v>
      </c>
      <c r="D37" s="329">
        <f t="shared" si="8"/>
        <v>0</v>
      </c>
      <c r="E37" s="329">
        <f t="shared" si="9"/>
        <v>0</v>
      </c>
      <c r="F37" s="329" t="str">
        <f t="shared" si="10"/>
        <v/>
      </c>
      <c r="G37" s="317"/>
      <c r="H37" s="328">
        <f t="shared" si="11"/>
        <v>0</v>
      </c>
      <c r="I37" s="328" t="str">
        <f t="shared" si="12"/>
        <v/>
      </c>
      <c r="J37" s="328">
        <f t="shared" si="13"/>
        <v>0</v>
      </c>
      <c r="K37" s="328">
        <f t="shared" si="14"/>
        <v>0</v>
      </c>
      <c r="L37" s="327" t="str">
        <f t="shared" si="15"/>
        <v/>
      </c>
      <c r="M37" s="317"/>
      <c r="N37" s="322" t="str">
        <f t="shared" si="16"/>
        <v/>
      </c>
      <c r="O37" s="322" t="str">
        <f t="shared" si="17"/>
        <v/>
      </c>
      <c r="P37" s="322" t="str">
        <f t="shared" si="18"/>
        <v/>
      </c>
      <c r="Q37" s="322" t="str">
        <f t="shared" si="19"/>
        <v/>
      </c>
      <c r="R37" s="322" t="str">
        <f t="shared" si="20"/>
        <v/>
      </c>
      <c r="S37" s="317"/>
      <c r="T37" s="315" t="str">
        <f t="shared" si="21"/>
        <v/>
      </c>
      <c r="U37" s="315" t="str">
        <f t="shared" si="22"/>
        <v/>
      </c>
      <c r="V37" s="315" t="str">
        <f t="shared" si="23"/>
        <v/>
      </c>
      <c r="W37" s="315" t="str">
        <f t="shared" si="24"/>
        <v/>
      </c>
      <c r="X37" s="317"/>
      <c r="Y37" s="327" t="str">
        <f t="shared" si="25"/>
        <v/>
      </c>
      <c r="Z37" s="327" t="str">
        <f t="shared" si="26"/>
        <v/>
      </c>
      <c r="AA37" s="327" t="str">
        <f t="shared" si="27"/>
        <v/>
      </c>
      <c r="AB37" s="327" t="str">
        <f t="shared" si="28"/>
        <v/>
      </c>
      <c r="AC37" s="317"/>
      <c r="AD37" s="322" t="str">
        <f t="shared" si="29"/>
        <v/>
      </c>
      <c r="AE37" s="322" t="str">
        <f t="shared" si="30"/>
        <v/>
      </c>
      <c r="AF37" s="322" t="str">
        <f t="shared" si="31"/>
        <v/>
      </c>
      <c r="AG37" s="322" t="str">
        <f t="shared" si="32"/>
        <v/>
      </c>
      <c r="AH37" s="322" t="str">
        <f t="shared" si="33"/>
        <v/>
      </c>
      <c r="AI37" s="322"/>
      <c r="AJ37" s="325" t="str">
        <f t="shared" si="34"/>
        <v/>
      </c>
      <c r="AK37" s="316"/>
      <c r="AL37" s="322" t="str">
        <f t="shared" si="35"/>
        <v/>
      </c>
      <c r="AM37" s="322" t="str">
        <f t="shared" si="36"/>
        <v/>
      </c>
      <c r="AN37" s="317"/>
      <c r="AO37" s="326" t="str">
        <f t="shared" si="37"/>
        <v/>
      </c>
      <c r="AP37" s="326" t="str">
        <f t="shared" si="38"/>
        <v/>
      </c>
      <c r="AQ37" s="317"/>
      <c r="AR37" s="322" t="str">
        <f t="shared" si="39"/>
        <v/>
      </c>
      <c r="AS37" s="325" t="str">
        <f t="shared" si="40"/>
        <v/>
      </c>
      <c r="AT37" s="316"/>
      <c r="AU37" s="324" t="str">
        <f t="shared" si="41"/>
        <v/>
      </c>
      <c r="AV37" s="316"/>
      <c r="AW37" s="322">
        <f t="shared" si="42"/>
        <v>0</v>
      </c>
      <c r="AX37" s="322" t="str">
        <f t="shared" si="43"/>
        <v/>
      </c>
      <c r="AY37" s="322" t="str">
        <f t="shared" si="44"/>
        <v/>
      </c>
      <c r="AZ37" s="316"/>
      <c r="BA37" s="321" t="str">
        <f t="shared" si="45"/>
        <v/>
      </c>
      <c r="BB37" s="316"/>
      <c r="BC37" s="323" t="str">
        <f t="shared" si="46"/>
        <v/>
      </c>
      <c r="BD37" s="323" t="str">
        <f>IFERROR(VZ!AB39,"")</f>
        <v/>
      </c>
      <c r="BE37" s="322" t="str">
        <f t="shared" si="47"/>
        <v/>
      </c>
      <c r="BF37" s="322" t="str">
        <f t="shared" si="48"/>
        <v/>
      </c>
      <c r="BG37" s="320" t="str">
        <f t="shared" si="49"/>
        <v/>
      </c>
      <c r="BH37" s="322" t="str">
        <f t="shared" si="50"/>
        <v/>
      </c>
      <c r="BI37" s="321">
        <f t="shared" ca="1" si="51"/>
        <v>0</v>
      </c>
      <c r="BJ37" s="316"/>
      <c r="BK37" s="320" t="str">
        <f t="shared" si="52"/>
        <v/>
      </c>
      <c r="BL37" s="319" t="str">
        <f t="shared" si="53"/>
        <v/>
      </c>
      <c r="BM37" s="318" t="str">
        <f t="shared" si="54"/>
        <v/>
      </c>
      <c r="CB37">
        <f>ELEMENT!R35</f>
        <v>0</v>
      </c>
      <c r="CC37" t="str">
        <f>IF(ELEMENT!AO35="","",(2-CB37-CF37))</f>
        <v/>
      </c>
      <c r="CD37">
        <f>ELEMENT!S35</f>
        <v>0</v>
      </c>
      <c r="CE37">
        <f>ELEMENT!T35</f>
        <v>0</v>
      </c>
      <c r="CF37" t="str">
        <f>IF(ELEMENT!AO35="","",IF(ELEMENT!P35="R",1,IF(ELEMENT!P35="L",1,IF(ELEMENT!P35=2,2,0))))</f>
        <v/>
      </c>
      <c r="CG37">
        <f>ELEMENT!AS35</f>
        <v>0</v>
      </c>
      <c r="CH37">
        <f>ELEMENT!AT35</f>
        <v>0</v>
      </c>
      <c r="CI37" t="str">
        <f>IF(ELEMENT!AO35="","",ELEMENT!AT35-(ELEMENT!L35*CJ$69+ELEMENT!M35*CK$69))</f>
        <v/>
      </c>
      <c r="CK37" t="str">
        <f>IF(ELEMENT!$AO35=1,VLOOKUP($CA$3,$CF$55:$CQ$60,$CG$53,FALSE),"")</f>
        <v/>
      </c>
      <c r="CL37" t="str">
        <f>IF(ELEMENT!$AO35=1,VLOOKUP($CA$3,$CF$55:$CQ$60,$CH$53,FALSE),"")</f>
        <v/>
      </c>
      <c r="CM37" t="str">
        <f>IF(ELEMENT!$AO35=1,VLOOKUP($CA$3,$CF$55:$CQ$60,$CI$53,FALSE),"")</f>
        <v/>
      </c>
      <c r="CN37" t="str">
        <f>IF(ELEMENT!$AO35=1,VLOOKUP($CA$3,$CF$55:$CQ$60,$CJ$53,FALSE),"")</f>
        <v/>
      </c>
      <c r="CO37" t="str">
        <f>IF(ELEMENT!$AO35=1,VLOOKUP($CA$3,$CF$55:$CQ$60,$CK$53,FALSE),"")</f>
        <v/>
      </c>
      <c r="CP37" t="str">
        <f>IF(ELEMENT!$AO35=1,VLOOKUP($CA$3,$CF$55:$CQ$60,$CN$53,FALSE),"")</f>
        <v/>
      </c>
      <c r="CQ37" t="str">
        <f>IF(ELEMENT!$AO35=1,VLOOKUP($CA$3,$CF$55:$CQ$60,$CO$53,FALSE),"")</f>
        <v/>
      </c>
      <c r="CR37" t="str">
        <f>IF(ELEMENT!$AO35=1,VLOOKUP($CA$3,$CF$55:$CQ$60,$CP$53,FALSE),"")</f>
        <v/>
      </c>
      <c r="CS37" t="str">
        <f>IF(ELEMENT!$AO35=1,VLOOKUP($CA$3,$CF$55:$CQ$60,$CQ$53,FALSE),"")</f>
        <v/>
      </c>
      <c r="CU37" t="str">
        <f>IF(ELEMENT!AO35="","",CK37*CP37)</f>
        <v/>
      </c>
      <c r="CV37" t="str">
        <f>IF(ELEMENT!AO35="","",CL37*CQ37)</f>
        <v/>
      </c>
      <c r="CW37" t="str">
        <f>IF(ELEMENT!AO35="","",CM37*CR37)</f>
        <v/>
      </c>
      <c r="CX37" t="str">
        <f>IF(ELEMENT!AO35="","",CN37*CS37)</f>
        <v/>
      </c>
      <c r="CZ37" t="str">
        <f>IF(ELEMENT!AO35="","",CB37*CU37*CI37/10^6)</f>
        <v/>
      </c>
      <c r="DA37" t="str">
        <f>IF(ELEMENT!AO35="","",CC37*CV37*CI37/10^6)</f>
        <v/>
      </c>
      <c r="DB37" t="str">
        <f>IF(ELEMENT!AO35="","",CD37*CW37*CI37/10^6)</f>
        <v/>
      </c>
      <c r="DC37" t="str">
        <f>IF(ELEMENT!AO35="","",CE37*CX37*CI37/10^6)</f>
        <v/>
      </c>
      <c r="DD37" t="str">
        <f>IF(ELEMENT!AO35="","",CO37*CF37*CI37/10^3)</f>
        <v/>
      </c>
      <c r="DE37" t="str">
        <f>IF(ELEMENT!AO35="","",SUM(CZ37:DD37))</f>
        <v/>
      </c>
      <c r="DG37" t="str">
        <f>IF(ELEMENT!$AO35=1,
VLOOKUP($CA$3,$CF$55:$CQ$60,$CL$53,FALSE),"")</f>
        <v/>
      </c>
      <c r="DH37" t="str">
        <f>IF(ELEMENT!$AO35=1,
VLOOKUP($CA$3,$CF$55:$CQ$60,$CM$53,FALSE),"")</f>
        <v/>
      </c>
      <c r="DJ37" t="str">
        <f>IF(ELEMENT!AO35=1,
IF(ELEMENT!L35=0,
VLOOKUP($CA$3,$CF$55:$CS$60,$CS$53,FALSE),
VLOOKUP($CA$3,$CF$55:$CS$60,$CR$53,FALSE)),"")</f>
        <v/>
      </c>
      <c r="DK37" t="str">
        <f>IF(ELEMENT!AO35=1,
IF(ELEMENT!M35=0,
VLOOKUP($CA$3,$CF$55:$CS$60,$CR$53,FALSE),
VLOOKUP($CA$3,$CF$55:$CS$60,$CS$53,FALSE)),"")</f>
        <v/>
      </c>
      <c r="DL37" t="str">
        <f>IF(ELEMENT!AO35="","",DG37*DJ37+DH37*DK37)</f>
        <v/>
      </c>
      <c r="DN37" t="str">
        <f>IF(ELEMENT!AO35="","",DL37*CG37/10^6)</f>
        <v/>
      </c>
      <c r="DP37" t="str">
        <f>IF(ELEMENT!AO35="","",DE37+DN37)</f>
        <v/>
      </c>
      <c r="DR37">
        <f t="shared" si="55"/>
        <v>0</v>
      </c>
      <c r="DS37" t="str">
        <f>IF(ELEMENT!AO35="","",(CI37*(CB37*CP37+CC37*CQ37+CD37*CR37+CE37*CS37)+CG37*(DJ37+DK37))/10^6)</f>
        <v/>
      </c>
      <c r="DT37" t="str">
        <f>IF(ELEMENT!AO35="","",DR37-DS37)</f>
        <v/>
      </c>
      <c r="DV37" t="str">
        <f>IF(ELEMENT!AO35="","",DP37/DS37)</f>
        <v/>
      </c>
      <c r="DX37" t="str">
        <f>IF(ELEMENT!AO35="","",ELEMENT!DI195)</f>
        <v/>
      </c>
      <c r="DY37" t="str">
        <f>IF(ELEMENT!AO35="","",DV37*DS37)</f>
        <v/>
      </c>
      <c r="DZ37" t="str">
        <f>IF(ELEMENT!AO35="","",DX37*DT37)</f>
        <v/>
      </c>
      <c r="EA37" t="str">
        <f>IF(ELEMENT!AO35="","",$EA$3*((2*(CG37-CB37*CP37-CC37*CQ37-CD37*CR37-CE37*CS37)/1000)+2*(CI37/1000)))</f>
        <v/>
      </c>
      <c r="EB37" t="str">
        <f>IF(ELEMENT!AO35="","",$EA$3*((CI37/1000)*(2*(CD37+CE37)))+$EA$3*(2*CF37*CI37/1000))</f>
        <v/>
      </c>
      <c r="EC37">
        <f ca="1">IF(ELEMENT!FY35="",SUM(DY37:EB37),"")</f>
        <v>0</v>
      </c>
      <c r="EE37" t="str">
        <f>IF(ELEMENT!AO35="","",
IF(ELEMENT!FY35="",(EC37/DR37),""))</f>
        <v/>
      </c>
      <c r="EF37" t="str">
        <f t="shared" si="56"/>
        <v/>
      </c>
      <c r="EG37" t="str">
        <f>IF(ELEMENT!AO35="","",EC37*ELEMENT!C35)</f>
        <v/>
      </c>
    </row>
    <row r="38" spans="1:137" ht="21" customHeight="1" x14ac:dyDescent="0.2">
      <c r="A38" s="332">
        <f>ELEMENT!A36</f>
        <v>0</v>
      </c>
      <c r="B38" s="331">
        <f>ELEMENT!B36</f>
        <v>0</v>
      </c>
      <c r="C38" s="330">
        <f>ELEMENT!C36</f>
        <v>0</v>
      </c>
      <c r="D38" s="329">
        <f t="shared" si="8"/>
        <v>0</v>
      </c>
      <c r="E38" s="329">
        <f t="shared" si="9"/>
        <v>0</v>
      </c>
      <c r="F38" s="329" t="str">
        <f t="shared" si="10"/>
        <v/>
      </c>
      <c r="G38" s="317"/>
      <c r="H38" s="328">
        <f t="shared" si="11"/>
        <v>0</v>
      </c>
      <c r="I38" s="328" t="str">
        <f t="shared" si="12"/>
        <v/>
      </c>
      <c r="J38" s="328">
        <f t="shared" si="13"/>
        <v>0</v>
      </c>
      <c r="K38" s="328">
        <f t="shared" si="14"/>
        <v>0</v>
      </c>
      <c r="L38" s="327" t="str">
        <f t="shared" si="15"/>
        <v/>
      </c>
      <c r="M38" s="317"/>
      <c r="N38" s="322" t="str">
        <f t="shared" si="16"/>
        <v/>
      </c>
      <c r="O38" s="322" t="str">
        <f t="shared" si="17"/>
        <v/>
      </c>
      <c r="P38" s="322" t="str">
        <f t="shared" si="18"/>
        <v/>
      </c>
      <c r="Q38" s="322" t="str">
        <f t="shared" si="19"/>
        <v/>
      </c>
      <c r="R38" s="322" t="str">
        <f t="shared" si="20"/>
        <v/>
      </c>
      <c r="S38" s="317"/>
      <c r="T38" s="315" t="str">
        <f t="shared" si="21"/>
        <v/>
      </c>
      <c r="U38" s="315" t="str">
        <f t="shared" si="22"/>
        <v/>
      </c>
      <c r="V38" s="315" t="str">
        <f t="shared" si="23"/>
        <v/>
      </c>
      <c r="W38" s="315" t="str">
        <f t="shared" si="24"/>
        <v/>
      </c>
      <c r="X38" s="317"/>
      <c r="Y38" s="327" t="str">
        <f t="shared" si="25"/>
        <v/>
      </c>
      <c r="Z38" s="327" t="str">
        <f t="shared" si="26"/>
        <v/>
      </c>
      <c r="AA38" s="327" t="str">
        <f t="shared" si="27"/>
        <v/>
      </c>
      <c r="AB38" s="327" t="str">
        <f t="shared" si="28"/>
        <v/>
      </c>
      <c r="AC38" s="317"/>
      <c r="AD38" s="322" t="str">
        <f t="shared" si="29"/>
        <v/>
      </c>
      <c r="AE38" s="322" t="str">
        <f t="shared" si="30"/>
        <v/>
      </c>
      <c r="AF38" s="322" t="str">
        <f t="shared" si="31"/>
        <v/>
      </c>
      <c r="AG38" s="322" t="str">
        <f t="shared" si="32"/>
        <v/>
      </c>
      <c r="AH38" s="322" t="str">
        <f t="shared" si="33"/>
        <v/>
      </c>
      <c r="AI38" s="322"/>
      <c r="AJ38" s="325" t="str">
        <f t="shared" si="34"/>
        <v/>
      </c>
      <c r="AK38" s="316"/>
      <c r="AL38" s="322" t="str">
        <f t="shared" si="35"/>
        <v/>
      </c>
      <c r="AM38" s="322" t="str">
        <f t="shared" si="36"/>
        <v/>
      </c>
      <c r="AN38" s="317"/>
      <c r="AO38" s="326" t="str">
        <f t="shared" si="37"/>
        <v/>
      </c>
      <c r="AP38" s="326" t="str">
        <f t="shared" si="38"/>
        <v/>
      </c>
      <c r="AQ38" s="317"/>
      <c r="AR38" s="322" t="str">
        <f t="shared" si="39"/>
        <v/>
      </c>
      <c r="AS38" s="325" t="str">
        <f t="shared" si="40"/>
        <v/>
      </c>
      <c r="AT38" s="316"/>
      <c r="AU38" s="324" t="str">
        <f t="shared" si="41"/>
        <v/>
      </c>
      <c r="AV38" s="316"/>
      <c r="AW38" s="322">
        <f t="shared" si="42"/>
        <v>0</v>
      </c>
      <c r="AX38" s="322" t="str">
        <f t="shared" si="43"/>
        <v/>
      </c>
      <c r="AY38" s="322" t="str">
        <f t="shared" si="44"/>
        <v/>
      </c>
      <c r="AZ38" s="316"/>
      <c r="BA38" s="321" t="str">
        <f t="shared" si="45"/>
        <v/>
      </c>
      <c r="BB38" s="316"/>
      <c r="BC38" s="323" t="str">
        <f t="shared" si="46"/>
        <v/>
      </c>
      <c r="BD38" s="323" t="str">
        <f>IFERROR(VZ!AB40,"")</f>
        <v/>
      </c>
      <c r="BE38" s="322" t="str">
        <f t="shared" si="47"/>
        <v/>
      </c>
      <c r="BF38" s="322" t="str">
        <f t="shared" si="48"/>
        <v/>
      </c>
      <c r="BG38" s="320" t="str">
        <f t="shared" si="49"/>
        <v/>
      </c>
      <c r="BH38" s="322" t="str">
        <f t="shared" si="50"/>
        <v/>
      </c>
      <c r="BI38" s="321">
        <f t="shared" ca="1" si="51"/>
        <v>0</v>
      </c>
      <c r="BJ38" s="316"/>
      <c r="BK38" s="320" t="str">
        <f t="shared" si="52"/>
        <v/>
      </c>
      <c r="BL38" s="319" t="str">
        <f t="shared" si="53"/>
        <v/>
      </c>
      <c r="BM38" s="318" t="str">
        <f t="shared" si="54"/>
        <v/>
      </c>
      <c r="CB38">
        <f>ELEMENT!R36</f>
        <v>0</v>
      </c>
      <c r="CC38" t="str">
        <f>IF(ELEMENT!AO36="","",(2-CB38-CF38))</f>
        <v/>
      </c>
      <c r="CD38">
        <f>ELEMENT!S36</f>
        <v>0</v>
      </c>
      <c r="CE38">
        <f>ELEMENT!T36</f>
        <v>0</v>
      </c>
      <c r="CF38" t="str">
        <f>IF(ELEMENT!AO36="","",IF(ELEMENT!P36="R",1,IF(ELEMENT!P36="L",1,IF(ELEMENT!P36=2,2,0))))</f>
        <v/>
      </c>
      <c r="CG38">
        <f>ELEMENT!AS36</f>
        <v>0</v>
      </c>
      <c r="CH38">
        <f>ELEMENT!AT36</f>
        <v>0</v>
      </c>
      <c r="CI38" t="str">
        <f>IF(ELEMENT!AO36="","",ELEMENT!AT36-(ELEMENT!L36*CJ$69+ELEMENT!M36*CK$69))</f>
        <v/>
      </c>
      <c r="CK38" t="str">
        <f>IF(ELEMENT!$AO36=1,VLOOKUP($CA$3,$CF$55:$CQ$60,$CG$53,FALSE),"")</f>
        <v/>
      </c>
      <c r="CL38" t="str">
        <f>IF(ELEMENT!$AO36=1,VLOOKUP($CA$3,$CF$55:$CQ$60,$CH$53,FALSE),"")</f>
        <v/>
      </c>
      <c r="CM38" t="str">
        <f>IF(ELEMENT!$AO36=1,VLOOKUP($CA$3,$CF$55:$CQ$60,$CI$53,FALSE),"")</f>
        <v/>
      </c>
      <c r="CN38" t="str">
        <f>IF(ELEMENT!$AO36=1,VLOOKUP($CA$3,$CF$55:$CQ$60,$CJ$53,FALSE),"")</f>
        <v/>
      </c>
      <c r="CO38" t="str">
        <f>IF(ELEMENT!$AO36=1,VLOOKUP($CA$3,$CF$55:$CQ$60,$CK$53,FALSE),"")</f>
        <v/>
      </c>
      <c r="CP38" t="str">
        <f>IF(ELEMENT!$AO36=1,VLOOKUP($CA$3,$CF$55:$CQ$60,$CN$53,FALSE),"")</f>
        <v/>
      </c>
      <c r="CQ38" t="str">
        <f>IF(ELEMENT!$AO36=1,VLOOKUP($CA$3,$CF$55:$CQ$60,$CO$53,FALSE),"")</f>
        <v/>
      </c>
      <c r="CR38" t="str">
        <f>IF(ELEMENT!$AO36=1,VLOOKUP($CA$3,$CF$55:$CQ$60,$CP$53,FALSE),"")</f>
        <v/>
      </c>
      <c r="CS38" t="str">
        <f>IF(ELEMENT!$AO36=1,VLOOKUP($CA$3,$CF$55:$CQ$60,$CQ$53,FALSE),"")</f>
        <v/>
      </c>
      <c r="CU38" t="str">
        <f>IF(ELEMENT!AO36="","",CK38*CP38)</f>
        <v/>
      </c>
      <c r="CV38" t="str">
        <f>IF(ELEMENT!AO36="","",CL38*CQ38)</f>
        <v/>
      </c>
      <c r="CW38" t="str">
        <f>IF(ELEMENT!AO36="","",CM38*CR38)</f>
        <v/>
      </c>
      <c r="CX38" t="str">
        <f>IF(ELEMENT!AO36="","",CN38*CS38)</f>
        <v/>
      </c>
      <c r="CZ38" t="str">
        <f>IF(ELEMENT!AO36="","",CB38*CU38*CI38/10^6)</f>
        <v/>
      </c>
      <c r="DA38" t="str">
        <f>IF(ELEMENT!AO36="","",CC38*CV38*CI38/10^6)</f>
        <v/>
      </c>
      <c r="DB38" t="str">
        <f>IF(ELEMENT!AO36="","",CD38*CW38*CI38/10^6)</f>
        <v/>
      </c>
      <c r="DC38" t="str">
        <f>IF(ELEMENT!AO36="","",CE38*CX38*CI38/10^6)</f>
        <v/>
      </c>
      <c r="DD38" t="str">
        <f>IF(ELEMENT!AO36="","",CO38*CF38*CI38/10^3)</f>
        <v/>
      </c>
      <c r="DE38" t="str">
        <f>IF(ELEMENT!AO36="","",SUM(CZ38:DD38))</f>
        <v/>
      </c>
      <c r="DG38" t="str">
        <f>IF(ELEMENT!$AO36=1,
VLOOKUP($CA$3,$CF$55:$CQ$60,$CL$53,FALSE),"")</f>
        <v/>
      </c>
      <c r="DH38" t="str">
        <f>IF(ELEMENT!$AO36=1,
VLOOKUP($CA$3,$CF$55:$CQ$60,$CM$53,FALSE),"")</f>
        <v/>
      </c>
      <c r="DJ38" t="str">
        <f>IF(ELEMENT!AO36=1,
IF(ELEMENT!L36=0,
VLOOKUP($CA$3,$CF$55:$CS$60,$CS$53,FALSE),
VLOOKUP($CA$3,$CF$55:$CS$60,$CR$53,FALSE)),"")</f>
        <v/>
      </c>
      <c r="DK38" t="str">
        <f>IF(ELEMENT!AO36=1,
IF(ELEMENT!M36=0,
VLOOKUP($CA$3,$CF$55:$CS$60,$CR$53,FALSE),
VLOOKUP($CA$3,$CF$55:$CS$60,$CS$53,FALSE)),"")</f>
        <v/>
      </c>
      <c r="DL38" t="str">
        <f>IF(ELEMENT!AO36="","",DG38*DJ38+DH38*DK38)</f>
        <v/>
      </c>
      <c r="DN38" t="str">
        <f>IF(ELEMENT!AO36="","",DL38*CG38/10^6)</f>
        <v/>
      </c>
      <c r="DP38" t="str">
        <f>IF(ELEMENT!AO36="","",DE38+DN38)</f>
        <v/>
      </c>
      <c r="DR38">
        <f t="shared" si="55"/>
        <v>0</v>
      </c>
      <c r="DS38" t="str">
        <f>IF(ELEMENT!AO36="","",(CI38*(CB38*CP38+CC38*CQ38+CD38*CR38+CE38*CS38)+CG38*(DJ38+DK38))/10^6)</f>
        <v/>
      </c>
      <c r="DT38" t="str">
        <f>IF(ELEMENT!AO36="","",DR38-DS38)</f>
        <v/>
      </c>
      <c r="DV38" t="str">
        <f>IF(ELEMENT!AO36="","",DP38/DS38)</f>
        <v/>
      </c>
      <c r="DX38" t="str">
        <f>IF(ELEMENT!AO36="","",ELEMENT!DI196)</f>
        <v/>
      </c>
      <c r="DY38" t="str">
        <f>IF(ELEMENT!AO36="","",DV38*DS38)</f>
        <v/>
      </c>
      <c r="DZ38" t="str">
        <f>IF(ELEMENT!AO36="","",DX38*DT38)</f>
        <v/>
      </c>
      <c r="EA38" t="str">
        <f>IF(ELEMENT!AO36="","",$EA$3*((2*(CG38-CB38*CP38-CC38*CQ38-CD38*CR38-CE38*CS38)/1000)+2*(CI38/1000)))</f>
        <v/>
      </c>
      <c r="EB38" t="str">
        <f>IF(ELEMENT!AO36="","",$EA$3*((CI38/1000)*(2*(CD38+CE38)))+$EA$3*(2*CF38*CI38/1000))</f>
        <v/>
      </c>
      <c r="EC38">
        <f ca="1">IF(ELEMENT!FY36="",SUM(DY38:EB38),"")</f>
        <v>0</v>
      </c>
      <c r="EE38" t="str">
        <f>IF(ELEMENT!AO36="","",
IF(ELEMENT!FY36="",(EC38/DR38),""))</f>
        <v/>
      </c>
      <c r="EF38" t="str">
        <f t="shared" si="56"/>
        <v/>
      </c>
      <c r="EG38" t="str">
        <f>IF(ELEMENT!AO36="","",EC38*ELEMENT!C36)</f>
        <v/>
      </c>
    </row>
    <row r="39" spans="1:137" ht="21" customHeight="1" x14ac:dyDescent="0.2">
      <c r="A39" s="332">
        <f>ELEMENT!A37</f>
        <v>0</v>
      </c>
      <c r="B39" s="331">
        <f>ELEMENT!B37</f>
        <v>0</v>
      </c>
      <c r="C39" s="330">
        <f>ELEMENT!C37</f>
        <v>0</v>
      </c>
      <c r="D39" s="329">
        <f t="shared" si="8"/>
        <v>0</v>
      </c>
      <c r="E39" s="329">
        <f t="shared" si="9"/>
        <v>0</v>
      </c>
      <c r="F39" s="329" t="str">
        <f t="shared" si="10"/>
        <v/>
      </c>
      <c r="G39" s="317"/>
      <c r="H39" s="328">
        <f t="shared" si="11"/>
        <v>0</v>
      </c>
      <c r="I39" s="328" t="str">
        <f t="shared" si="12"/>
        <v/>
      </c>
      <c r="J39" s="328">
        <f t="shared" si="13"/>
        <v>0</v>
      </c>
      <c r="K39" s="328">
        <f t="shared" si="14"/>
        <v>0</v>
      </c>
      <c r="L39" s="327" t="str">
        <f t="shared" si="15"/>
        <v/>
      </c>
      <c r="M39" s="317"/>
      <c r="N39" s="322" t="str">
        <f t="shared" si="16"/>
        <v/>
      </c>
      <c r="O39" s="322" t="str">
        <f t="shared" si="17"/>
        <v/>
      </c>
      <c r="P39" s="322" t="str">
        <f t="shared" si="18"/>
        <v/>
      </c>
      <c r="Q39" s="322" t="str">
        <f t="shared" si="19"/>
        <v/>
      </c>
      <c r="R39" s="322" t="str">
        <f t="shared" si="20"/>
        <v/>
      </c>
      <c r="S39" s="317"/>
      <c r="T39" s="315" t="str">
        <f t="shared" si="21"/>
        <v/>
      </c>
      <c r="U39" s="315" t="str">
        <f t="shared" si="22"/>
        <v/>
      </c>
      <c r="V39" s="315" t="str">
        <f t="shared" si="23"/>
        <v/>
      </c>
      <c r="W39" s="315" t="str">
        <f t="shared" si="24"/>
        <v/>
      </c>
      <c r="X39" s="317"/>
      <c r="Y39" s="327" t="str">
        <f t="shared" si="25"/>
        <v/>
      </c>
      <c r="Z39" s="327" t="str">
        <f t="shared" si="26"/>
        <v/>
      </c>
      <c r="AA39" s="327" t="str">
        <f t="shared" si="27"/>
        <v/>
      </c>
      <c r="AB39" s="327" t="str">
        <f t="shared" si="28"/>
        <v/>
      </c>
      <c r="AC39" s="317"/>
      <c r="AD39" s="322" t="str">
        <f t="shared" si="29"/>
        <v/>
      </c>
      <c r="AE39" s="322" t="str">
        <f t="shared" si="30"/>
        <v/>
      </c>
      <c r="AF39" s="322" t="str">
        <f t="shared" si="31"/>
        <v/>
      </c>
      <c r="AG39" s="322" t="str">
        <f t="shared" si="32"/>
        <v/>
      </c>
      <c r="AH39" s="322" t="str">
        <f t="shared" si="33"/>
        <v/>
      </c>
      <c r="AI39" s="322"/>
      <c r="AJ39" s="325" t="str">
        <f t="shared" si="34"/>
        <v/>
      </c>
      <c r="AK39" s="316"/>
      <c r="AL39" s="322" t="str">
        <f t="shared" si="35"/>
        <v/>
      </c>
      <c r="AM39" s="322" t="str">
        <f t="shared" si="36"/>
        <v/>
      </c>
      <c r="AN39" s="317"/>
      <c r="AO39" s="326" t="str">
        <f t="shared" si="37"/>
        <v/>
      </c>
      <c r="AP39" s="326" t="str">
        <f t="shared" si="38"/>
        <v/>
      </c>
      <c r="AQ39" s="317"/>
      <c r="AR39" s="322" t="str">
        <f t="shared" si="39"/>
        <v/>
      </c>
      <c r="AS39" s="325" t="str">
        <f t="shared" si="40"/>
        <v/>
      </c>
      <c r="AT39" s="316"/>
      <c r="AU39" s="324" t="str">
        <f t="shared" si="41"/>
        <v/>
      </c>
      <c r="AV39" s="316"/>
      <c r="AW39" s="322">
        <f t="shared" si="42"/>
        <v>0</v>
      </c>
      <c r="AX39" s="322" t="str">
        <f t="shared" si="43"/>
        <v/>
      </c>
      <c r="AY39" s="322" t="str">
        <f t="shared" si="44"/>
        <v/>
      </c>
      <c r="AZ39" s="316"/>
      <c r="BA39" s="321" t="str">
        <f t="shared" si="45"/>
        <v/>
      </c>
      <c r="BB39" s="316"/>
      <c r="BC39" s="323" t="str">
        <f t="shared" si="46"/>
        <v/>
      </c>
      <c r="BD39" s="323" t="str">
        <f>IFERROR(VZ!AB41,"")</f>
        <v/>
      </c>
      <c r="BE39" s="322" t="str">
        <f t="shared" si="47"/>
        <v/>
      </c>
      <c r="BF39" s="322" t="str">
        <f t="shared" si="48"/>
        <v/>
      </c>
      <c r="BG39" s="320" t="str">
        <f t="shared" si="49"/>
        <v/>
      </c>
      <c r="BH39" s="322" t="str">
        <f t="shared" si="50"/>
        <v/>
      </c>
      <c r="BI39" s="321">
        <f t="shared" ca="1" si="51"/>
        <v>0</v>
      </c>
      <c r="BJ39" s="316"/>
      <c r="BK39" s="320" t="str">
        <f t="shared" si="52"/>
        <v/>
      </c>
      <c r="BL39" s="319" t="str">
        <f t="shared" si="53"/>
        <v/>
      </c>
      <c r="BM39" s="318" t="str">
        <f t="shared" si="54"/>
        <v/>
      </c>
      <c r="CB39">
        <f>ELEMENT!R37</f>
        <v>0</v>
      </c>
      <c r="CC39" t="str">
        <f>IF(ELEMENT!AO37="","",(2-CB39-CF39))</f>
        <v/>
      </c>
      <c r="CD39">
        <f>ELEMENT!S37</f>
        <v>0</v>
      </c>
      <c r="CE39">
        <f>ELEMENT!T37</f>
        <v>0</v>
      </c>
      <c r="CF39" t="str">
        <f>IF(ELEMENT!AO37="","",IF(ELEMENT!P37="R",1,IF(ELEMENT!P37="L",1,IF(ELEMENT!P37=2,2,0))))</f>
        <v/>
      </c>
      <c r="CG39">
        <f>ELEMENT!AS37</f>
        <v>0</v>
      </c>
      <c r="CH39">
        <f>ELEMENT!AT37</f>
        <v>0</v>
      </c>
      <c r="CI39" t="str">
        <f>IF(ELEMENT!AO37="","",ELEMENT!AT37-(ELEMENT!L37*CJ$69+ELEMENT!M37*CK$69))</f>
        <v/>
      </c>
      <c r="CK39" t="str">
        <f>IF(ELEMENT!$AO37=1,VLOOKUP($CA$3,$CF$55:$CQ$60,$CG$53,FALSE),"")</f>
        <v/>
      </c>
      <c r="CL39" t="str">
        <f>IF(ELEMENT!$AO37=1,VLOOKUP($CA$3,$CF$55:$CQ$60,$CH$53,FALSE),"")</f>
        <v/>
      </c>
      <c r="CM39" t="str">
        <f>IF(ELEMENT!$AO37=1,VLOOKUP($CA$3,$CF$55:$CQ$60,$CI$53,FALSE),"")</f>
        <v/>
      </c>
      <c r="CN39" t="str">
        <f>IF(ELEMENT!$AO37=1,VLOOKUP($CA$3,$CF$55:$CQ$60,$CJ$53,FALSE),"")</f>
        <v/>
      </c>
      <c r="CO39" t="str">
        <f>IF(ELEMENT!$AO37=1,VLOOKUP($CA$3,$CF$55:$CQ$60,$CK$53,FALSE),"")</f>
        <v/>
      </c>
      <c r="CP39" t="str">
        <f>IF(ELEMENT!$AO37=1,VLOOKUP($CA$3,$CF$55:$CQ$60,$CN$53,FALSE),"")</f>
        <v/>
      </c>
      <c r="CQ39" t="str">
        <f>IF(ELEMENT!$AO37=1,VLOOKUP($CA$3,$CF$55:$CQ$60,$CO$53,FALSE),"")</f>
        <v/>
      </c>
      <c r="CR39" t="str">
        <f>IF(ELEMENT!$AO37=1,VLOOKUP($CA$3,$CF$55:$CQ$60,$CP$53,FALSE),"")</f>
        <v/>
      </c>
      <c r="CS39" t="str">
        <f>IF(ELEMENT!$AO37=1,VLOOKUP($CA$3,$CF$55:$CQ$60,$CQ$53,FALSE),"")</f>
        <v/>
      </c>
      <c r="CU39" t="str">
        <f>IF(ELEMENT!AO37="","",CK39*CP39)</f>
        <v/>
      </c>
      <c r="CV39" t="str">
        <f>IF(ELEMENT!AO37="","",CL39*CQ39)</f>
        <v/>
      </c>
      <c r="CW39" t="str">
        <f>IF(ELEMENT!AO37="","",CM39*CR39)</f>
        <v/>
      </c>
      <c r="CX39" t="str">
        <f>IF(ELEMENT!AO37="","",CN39*CS39)</f>
        <v/>
      </c>
      <c r="CZ39" t="str">
        <f>IF(ELEMENT!AO37="","",CB39*CU39*CI39/10^6)</f>
        <v/>
      </c>
      <c r="DA39" t="str">
        <f>IF(ELEMENT!AO37="","",CC39*CV39*CI39/10^6)</f>
        <v/>
      </c>
      <c r="DB39" t="str">
        <f>IF(ELEMENT!AO37="","",CD39*CW39*CI39/10^6)</f>
        <v/>
      </c>
      <c r="DC39" t="str">
        <f>IF(ELEMENT!AO37="","",CE39*CX39*CI39/10^6)</f>
        <v/>
      </c>
      <c r="DD39" t="str">
        <f>IF(ELEMENT!AO37="","",CO39*CF39*CI39/10^3)</f>
        <v/>
      </c>
      <c r="DE39" t="str">
        <f>IF(ELEMENT!AO37="","",SUM(CZ39:DD39))</f>
        <v/>
      </c>
      <c r="DG39" t="str">
        <f>IF(ELEMENT!$AO37=1,
VLOOKUP($CA$3,$CF$55:$CQ$60,$CL$53,FALSE),"")</f>
        <v/>
      </c>
      <c r="DH39" t="str">
        <f>IF(ELEMENT!$AO37=1,
VLOOKUP($CA$3,$CF$55:$CQ$60,$CM$53,FALSE),"")</f>
        <v/>
      </c>
      <c r="DJ39" t="str">
        <f>IF(ELEMENT!AO37=1,
IF(ELEMENT!L37=0,
VLOOKUP($CA$3,$CF$55:$CS$60,$CS$53,FALSE),
VLOOKUP($CA$3,$CF$55:$CS$60,$CR$53,FALSE)),"")</f>
        <v/>
      </c>
      <c r="DK39" t="str">
        <f>IF(ELEMENT!AO37=1,
IF(ELEMENT!M37=0,
VLOOKUP($CA$3,$CF$55:$CS$60,$CR$53,FALSE),
VLOOKUP($CA$3,$CF$55:$CS$60,$CS$53,FALSE)),"")</f>
        <v/>
      </c>
      <c r="DL39" t="str">
        <f>IF(ELEMENT!AO37="","",DG39*DJ39+DH39*DK39)</f>
        <v/>
      </c>
      <c r="DN39" t="str">
        <f>IF(ELEMENT!AO37="","",DL39*CG39/10^6)</f>
        <v/>
      </c>
      <c r="DP39" t="str">
        <f>IF(ELEMENT!AO37="","",DE39+DN39)</f>
        <v/>
      </c>
      <c r="DR39">
        <f t="shared" si="55"/>
        <v>0</v>
      </c>
      <c r="DS39" t="str">
        <f>IF(ELEMENT!AO37="","",(CI39*(CB39*CP39+CC39*CQ39+CD39*CR39+CE39*CS39)+CG39*(DJ39+DK39))/10^6)</f>
        <v/>
      </c>
      <c r="DT39" t="str">
        <f>IF(ELEMENT!AO37="","",DR39-DS39)</f>
        <v/>
      </c>
      <c r="DV39" t="str">
        <f>IF(ELEMENT!AO37="","",DP39/DS39)</f>
        <v/>
      </c>
      <c r="DX39" t="str">
        <f>IF(ELEMENT!AO37="","",ELEMENT!DI197)</f>
        <v/>
      </c>
      <c r="DY39" t="str">
        <f>IF(ELEMENT!AO37="","",DV39*DS39)</f>
        <v/>
      </c>
      <c r="DZ39" t="str">
        <f>IF(ELEMENT!AO37="","",DX39*DT39)</f>
        <v/>
      </c>
      <c r="EA39" t="str">
        <f>IF(ELEMENT!AO37="","",$EA$3*((2*(CG39-CB39*CP39-CC39*CQ39-CD39*CR39-CE39*CS39)/1000)+2*(CI39/1000)))</f>
        <v/>
      </c>
      <c r="EB39" t="str">
        <f>IF(ELEMENT!AO37="","",$EA$3*((CI39/1000)*(2*(CD39+CE39)))+$EA$3*(2*CF39*CI39/1000))</f>
        <v/>
      </c>
      <c r="EC39">
        <f ca="1">IF(ELEMENT!FY37="",SUM(DY39:EB39),"")</f>
        <v>0</v>
      </c>
      <c r="EE39" t="str">
        <f>IF(ELEMENT!AO37="","",
IF(ELEMENT!FY37="",(EC39/DR39),""))</f>
        <v/>
      </c>
      <c r="EF39" t="str">
        <f t="shared" si="56"/>
        <v/>
      </c>
      <c r="EG39" t="str">
        <f>IF(ELEMENT!AO37="","",EC39*ELEMENT!C37)</f>
        <v/>
      </c>
    </row>
    <row r="40" spans="1:137" ht="21" customHeight="1" x14ac:dyDescent="0.2">
      <c r="A40" s="332">
        <f>ELEMENT!A38</f>
        <v>0</v>
      </c>
      <c r="B40" s="331">
        <f>ELEMENT!B38</f>
        <v>0</v>
      </c>
      <c r="C40" s="330">
        <f>ELEMENT!C38</f>
        <v>0</v>
      </c>
      <c r="D40" s="329">
        <f t="shared" si="8"/>
        <v>0</v>
      </c>
      <c r="E40" s="329">
        <f t="shared" si="9"/>
        <v>0</v>
      </c>
      <c r="F40" s="329" t="str">
        <f t="shared" si="10"/>
        <v/>
      </c>
      <c r="G40" s="317"/>
      <c r="H40" s="328">
        <f t="shared" si="11"/>
        <v>0</v>
      </c>
      <c r="I40" s="328" t="str">
        <f t="shared" si="12"/>
        <v/>
      </c>
      <c r="J40" s="328">
        <f t="shared" si="13"/>
        <v>0</v>
      </c>
      <c r="K40" s="328">
        <f t="shared" si="14"/>
        <v>0</v>
      </c>
      <c r="L40" s="327" t="str">
        <f t="shared" si="15"/>
        <v/>
      </c>
      <c r="M40" s="317"/>
      <c r="N40" s="322" t="str">
        <f t="shared" si="16"/>
        <v/>
      </c>
      <c r="O40" s="322" t="str">
        <f t="shared" si="17"/>
        <v/>
      </c>
      <c r="P40" s="322" t="str">
        <f t="shared" si="18"/>
        <v/>
      </c>
      <c r="Q40" s="322" t="str">
        <f t="shared" si="19"/>
        <v/>
      </c>
      <c r="R40" s="322" t="str">
        <f t="shared" si="20"/>
        <v/>
      </c>
      <c r="S40" s="317"/>
      <c r="T40" s="315" t="str">
        <f t="shared" si="21"/>
        <v/>
      </c>
      <c r="U40" s="315" t="str">
        <f t="shared" si="22"/>
        <v/>
      </c>
      <c r="V40" s="315" t="str">
        <f t="shared" si="23"/>
        <v/>
      </c>
      <c r="W40" s="315" t="str">
        <f t="shared" si="24"/>
        <v/>
      </c>
      <c r="X40" s="317"/>
      <c r="Y40" s="327" t="str">
        <f t="shared" si="25"/>
        <v/>
      </c>
      <c r="Z40" s="327" t="str">
        <f t="shared" si="26"/>
        <v/>
      </c>
      <c r="AA40" s="327" t="str">
        <f t="shared" si="27"/>
        <v/>
      </c>
      <c r="AB40" s="327" t="str">
        <f t="shared" si="28"/>
        <v/>
      </c>
      <c r="AC40" s="317"/>
      <c r="AD40" s="322" t="str">
        <f t="shared" si="29"/>
        <v/>
      </c>
      <c r="AE40" s="322" t="str">
        <f t="shared" si="30"/>
        <v/>
      </c>
      <c r="AF40" s="322" t="str">
        <f t="shared" si="31"/>
        <v/>
      </c>
      <c r="AG40" s="322" t="str">
        <f t="shared" si="32"/>
        <v/>
      </c>
      <c r="AH40" s="322" t="str">
        <f t="shared" si="33"/>
        <v/>
      </c>
      <c r="AI40" s="322"/>
      <c r="AJ40" s="325" t="str">
        <f t="shared" si="34"/>
        <v/>
      </c>
      <c r="AK40" s="316"/>
      <c r="AL40" s="322" t="str">
        <f t="shared" si="35"/>
        <v/>
      </c>
      <c r="AM40" s="322" t="str">
        <f t="shared" si="36"/>
        <v/>
      </c>
      <c r="AN40" s="317"/>
      <c r="AO40" s="326" t="str">
        <f t="shared" si="37"/>
        <v/>
      </c>
      <c r="AP40" s="326" t="str">
        <f t="shared" si="38"/>
        <v/>
      </c>
      <c r="AQ40" s="317"/>
      <c r="AR40" s="322" t="str">
        <f t="shared" si="39"/>
        <v/>
      </c>
      <c r="AS40" s="325" t="str">
        <f t="shared" si="40"/>
        <v/>
      </c>
      <c r="AT40" s="316"/>
      <c r="AU40" s="324" t="str">
        <f t="shared" si="41"/>
        <v/>
      </c>
      <c r="AV40" s="316"/>
      <c r="AW40" s="322">
        <f t="shared" si="42"/>
        <v>0</v>
      </c>
      <c r="AX40" s="322" t="str">
        <f t="shared" si="43"/>
        <v/>
      </c>
      <c r="AY40" s="322" t="str">
        <f t="shared" si="44"/>
        <v/>
      </c>
      <c r="AZ40" s="316"/>
      <c r="BA40" s="321" t="str">
        <f t="shared" si="45"/>
        <v/>
      </c>
      <c r="BB40" s="316"/>
      <c r="BC40" s="323" t="str">
        <f t="shared" si="46"/>
        <v/>
      </c>
      <c r="BD40" s="323" t="str">
        <f>IFERROR(VZ!AB42,"")</f>
        <v/>
      </c>
      <c r="BE40" s="322" t="str">
        <f t="shared" si="47"/>
        <v/>
      </c>
      <c r="BF40" s="322" t="str">
        <f t="shared" si="48"/>
        <v/>
      </c>
      <c r="BG40" s="320" t="str">
        <f t="shared" si="49"/>
        <v/>
      </c>
      <c r="BH40" s="322" t="str">
        <f t="shared" si="50"/>
        <v/>
      </c>
      <c r="BI40" s="321">
        <f t="shared" ca="1" si="51"/>
        <v>0</v>
      </c>
      <c r="BJ40" s="316"/>
      <c r="BK40" s="320" t="str">
        <f t="shared" si="52"/>
        <v/>
      </c>
      <c r="BL40" s="319" t="str">
        <f t="shared" si="53"/>
        <v/>
      </c>
      <c r="BM40" s="318" t="str">
        <f t="shared" si="54"/>
        <v/>
      </c>
      <c r="CB40">
        <f>ELEMENT!R38</f>
        <v>0</v>
      </c>
      <c r="CC40" t="str">
        <f>IF(ELEMENT!AO38="","",(2-CB40-CF40))</f>
        <v/>
      </c>
      <c r="CD40">
        <f>ELEMENT!S38</f>
        <v>0</v>
      </c>
      <c r="CE40">
        <f>ELEMENT!T38</f>
        <v>0</v>
      </c>
      <c r="CF40" t="str">
        <f>IF(ELEMENT!AO38="","",IF(ELEMENT!P38="R",1,IF(ELEMENT!P38="L",1,IF(ELEMENT!P38=2,2,0))))</f>
        <v/>
      </c>
      <c r="CG40">
        <f>ELEMENT!AS38</f>
        <v>0</v>
      </c>
      <c r="CH40">
        <f>ELEMENT!AT38</f>
        <v>0</v>
      </c>
      <c r="CI40" t="str">
        <f>IF(ELEMENT!AO38="","",ELEMENT!AT38-(ELEMENT!L38*CJ$69+ELEMENT!M38*CK$69))</f>
        <v/>
      </c>
      <c r="CK40" t="str">
        <f>IF(ELEMENT!$AO38=1,VLOOKUP($CA$3,$CF$55:$CQ$60,$CG$53,FALSE),"")</f>
        <v/>
      </c>
      <c r="CL40" t="str">
        <f>IF(ELEMENT!$AO38=1,VLOOKUP($CA$3,$CF$55:$CQ$60,$CH$53,FALSE),"")</f>
        <v/>
      </c>
      <c r="CM40" t="str">
        <f>IF(ELEMENT!$AO38=1,VLOOKUP($CA$3,$CF$55:$CQ$60,$CI$53,FALSE),"")</f>
        <v/>
      </c>
      <c r="CN40" t="str">
        <f>IF(ELEMENT!$AO38=1,VLOOKUP($CA$3,$CF$55:$CQ$60,$CJ$53,FALSE),"")</f>
        <v/>
      </c>
      <c r="CO40" t="str">
        <f>IF(ELEMENT!$AO38=1,VLOOKUP($CA$3,$CF$55:$CQ$60,$CK$53,FALSE),"")</f>
        <v/>
      </c>
      <c r="CP40" t="str">
        <f>IF(ELEMENT!$AO38=1,VLOOKUP($CA$3,$CF$55:$CQ$60,$CN$53,FALSE),"")</f>
        <v/>
      </c>
      <c r="CQ40" t="str">
        <f>IF(ELEMENT!$AO38=1,VLOOKUP($CA$3,$CF$55:$CQ$60,$CO$53,FALSE),"")</f>
        <v/>
      </c>
      <c r="CR40" t="str">
        <f>IF(ELEMENT!$AO38=1,VLOOKUP($CA$3,$CF$55:$CQ$60,$CP$53,FALSE),"")</f>
        <v/>
      </c>
      <c r="CS40" t="str">
        <f>IF(ELEMENT!$AO38=1,VLOOKUP($CA$3,$CF$55:$CQ$60,$CQ$53,FALSE),"")</f>
        <v/>
      </c>
      <c r="CU40" t="str">
        <f>IF(ELEMENT!AO38="","",CK40*CP40)</f>
        <v/>
      </c>
      <c r="CV40" t="str">
        <f>IF(ELEMENT!AO38="","",CL40*CQ40)</f>
        <v/>
      </c>
      <c r="CW40" t="str">
        <f>IF(ELEMENT!AO38="","",CM40*CR40)</f>
        <v/>
      </c>
      <c r="CX40" t="str">
        <f>IF(ELEMENT!AO38="","",CN40*CS40)</f>
        <v/>
      </c>
      <c r="CZ40" t="str">
        <f>IF(ELEMENT!AO38="","",CB40*CU40*CI40/10^6)</f>
        <v/>
      </c>
      <c r="DA40" t="str">
        <f>IF(ELEMENT!AO38="","",CC40*CV40*CI40/10^6)</f>
        <v/>
      </c>
      <c r="DB40" t="str">
        <f>IF(ELEMENT!AO38="","",CD40*CW40*CI40/10^6)</f>
        <v/>
      </c>
      <c r="DC40" t="str">
        <f>IF(ELEMENT!AO38="","",CE40*CX40*CI40/10^6)</f>
        <v/>
      </c>
      <c r="DD40" t="str">
        <f>IF(ELEMENT!AO38="","",CO40*CF40*CI40/10^3)</f>
        <v/>
      </c>
      <c r="DE40" t="str">
        <f>IF(ELEMENT!AO38="","",SUM(CZ40:DD40))</f>
        <v/>
      </c>
      <c r="DG40" t="str">
        <f>IF(ELEMENT!$AO38=1,
VLOOKUP($CA$3,$CF$55:$CQ$60,$CL$53,FALSE),"")</f>
        <v/>
      </c>
      <c r="DH40" t="str">
        <f>IF(ELEMENT!$AO38=1,
VLOOKUP($CA$3,$CF$55:$CQ$60,$CM$53,FALSE),"")</f>
        <v/>
      </c>
      <c r="DJ40" t="str">
        <f>IF(ELEMENT!AO38=1,
IF(ELEMENT!L38=0,
VLOOKUP($CA$3,$CF$55:$CS$60,$CS$53,FALSE),
VLOOKUP($CA$3,$CF$55:$CS$60,$CR$53,FALSE)),"")</f>
        <v/>
      </c>
      <c r="DK40" t="str">
        <f>IF(ELEMENT!AO38=1,
IF(ELEMENT!M38=0,
VLOOKUP($CA$3,$CF$55:$CS$60,$CR$53,FALSE),
VLOOKUP($CA$3,$CF$55:$CS$60,$CS$53,FALSE)),"")</f>
        <v/>
      </c>
      <c r="DL40" t="str">
        <f>IF(ELEMENT!AO38="","",DG40*DJ40+DH40*DK40)</f>
        <v/>
      </c>
      <c r="DN40" t="str">
        <f>IF(ELEMENT!AO38="","",DL40*CG40/10^6)</f>
        <v/>
      </c>
      <c r="DP40" t="str">
        <f>IF(ELEMENT!AO38="","",DE40+DN40)</f>
        <v/>
      </c>
      <c r="DR40">
        <f t="shared" si="55"/>
        <v>0</v>
      </c>
      <c r="DS40" t="str">
        <f>IF(ELEMENT!AO38="","",(CI40*(CB40*CP40+CC40*CQ40+CD40*CR40+CE40*CS40)+CG40*(DJ40+DK40))/10^6)</f>
        <v/>
      </c>
      <c r="DT40" t="str">
        <f>IF(ELEMENT!AO38="","",DR40-DS40)</f>
        <v/>
      </c>
      <c r="DV40" t="str">
        <f>IF(ELEMENT!AO38="","",DP40/DS40)</f>
        <v/>
      </c>
      <c r="DX40" t="str">
        <f>IF(ELEMENT!AO38="","",ELEMENT!DI198)</f>
        <v/>
      </c>
      <c r="DY40" t="str">
        <f>IF(ELEMENT!AO38="","",DV40*DS40)</f>
        <v/>
      </c>
      <c r="DZ40" t="str">
        <f>IF(ELEMENT!AO38="","",DX40*DT40)</f>
        <v/>
      </c>
      <c r="EA40" t="str">
        <f>IF(ELEMENT!AO38="","",$EA$3*((2*(CG40-CB40*CP40-CC40*CQ40-CD40*CR40-CE40*CS40)/1000)+2*(CI40/1000)))</f>
        <v/>
      </c>
      <c r="EB40" t="str">
        <f>IF(ELEMENT!AO38="","",$EA$3*((CI40/1000)*(2*(CD40+CE40)))+$EA$3*(2*CF40*CI40/1000))</f>
        <v/>
      </c>
      <c r="EC40">
        <f ca="1">IF(ELEMENT!FY38="",SUM(DY40:EB40),"")</f>
        <v>0</v>
      </c>
      <c r="EE40" t="str">
        <f>IF(ELEMENT!AO38="","",
IF(ELEMENT!FY38="",(EC40/DR40),""))</f>
        <v/>
      </c>
      <c r="EF40" t="str">
        <f t="shared" si="56"/>
        <v/>
      </c>
      <c r="EG40" t="str">
        <f>IF(ELEMENT!AO38="","",EC40*ELEMENT!C38)</f>
        <v/>
      </c>
    </row>
    <row r="41" spans="1:137" ht="21" customHeight="1" x14ac:dyDescent="0.2">
      <c r="A41" s="332">
        <f>ELEMENT!A39</f>
        <v>0</v>
      </c>
      <c r="B41" s="331">
        <f>ELEMENT!B39</f>
        <v>0</v>
      </c>
      <c r="C41" s="330">
        <f>ELEMENT!C39</f>
        <v>0</v>
      </c>
      <c r="D41" s="329">
        <f t="shared" si="8"/>
        <v>0</v>
      </c>
      <c r="E41" s="329">
        <f t="shared" si="9"/>
        <v>0</v>
      </c>
      <c r="F41" s="329" t="str">
        <f t="shared" si="10"/>
        <v/>
      </c>
      <c r="G41" s="317"/>
      <c r="H41" s="328">
        <f t="shared" si="11"/>
        <v>0</v>
      </c>
      <c r="I41" s="328" t="str">
        <f t="shared" si="12"/>
        <v/>
      </c>
      <c r="J41" s="328">
        <f t="shared" si="13"/>
        <v>0</v>
      </c>
      <c r="K41" s="328">
        <f t="shared" si="14"/>
        <v>0</v>
      </c>
      <c r="L41" s="327" t="str">
        <f t="shared" si="15"/>
        <v/>
      </c>
      <c r="M41" s="317"/>
      <c r="N41" s="322" t="str">
        <f t="shared" si="16"/>
        <v/>
      </c>
      <c r="O41" s="322" t="str">
        <f t="shared" si="17"/>
        <v/>
      </c>
      <c r="P41" s="322" t="str">
        <f t="shared" si="18"/>
        <v/>
      </c>
      <c r="Q41" s="322" t="str">
        <f t="shared" si="19"/>
        <v/>
      </c>
      <c r="R41" s="322" t="str">
        <f t="shared" si="20"/>
        <v/>
      </c>
      <c r="S41" s="317"/>
      <c r="T41" s="315" t="str">
        <f t="shared" si="21"/>
        <v/>
      </c>
      <c r="U41" s="315" t="str">
        <f t="shared" si="22"/>
        <v/>
      </c>
      <c r="V41" s="315" t="str">
        <f t="shared" si="23"/>
        <v/>
      </c>
      <c r="W41" s="315" t="str">
        <f t="shared" si="24"/>
        <v/>
      </c>
      <c r="X41" s="317"/>
      <c r="Y41" s="327" t="str">
        <f t="shared" si="25"/>
        <v/>
      </c>
      <c r="Z41" s="327" t="str">
        <f t="shared" si="26"/>
        <v/>
      </c>
      <c r="AA41" s="327" t="str">
        <f t="shared" si="27"/>
        <v/>
      </c>
      <c r="AB41" s="327" t="str">
        <f t="shared" si="28"/>
        <v/>
      </c>
      <c r="AC41" s="317"/>
      <c r="AD41" s="322" t="str">
        <f t="shared" si="29"/>
        <v/>
      </c>
      <c r="AE41" s="322" t="str">
        <f t="shared" si="30"/>
        <v/>
      </c>
      <c r="AF41" s="322" t="str">
        <f t="shared" si="31"/>
        <v/>
      </c>
      <c r="AG41" s="322" t="str">
        <f t="shared" si="32"/>
        <v/>
      </c>
      <c r="AH41" s="322" t="str">
        <f t="shared" si="33"/>
        <v/>
      </c>
      <c r="AI41" s="322"/>
      <c r="AJ41" s="325" t="str">
        <f t="shared" si="34"/>
        <v/>
      </c>
      <c r="AK41" s="316"/>
      <c r="AL41" s="322" t="str">
        <f t="shared" si="35"/>
        <v/>
      </c>
      <c r="AM41" s="322" t="str">
        <f t="shared" si="36"/>
        <v/>
      </c>
      <c r="AN41" s="317"/>
      <c r="AO41" s="326" t="str">
        <f t="shared" si="37"/>
        <v/>
      </c>
      <c r="AP41" s="326" t="str">
        <f t="shared" si="38"/>
        <v/>
      </c>
      <c r="AQ41" s="317"/>
      <c r="AR41" s="322" t="str">
        <f t="shared" si="39"/>
        <v/>
      </c>
      <c r="AS41" s="325" t="str">
        <f t="shared" si="40"/>
        <v/>
      </c>
      <c r="AT41" s="316"/>
      <c r="AU41" s="324" t="str">
        <f t="shared" si="41"/>
        <v/>
      </c>
      <c r="AV41" s="316"/>
      <c r="AW41" s="322">
        <f t="shared" si="42"/>
        <v>0</v>
      </c>
      <c r="AX41" s="322" t="str">
        <f t="shared" si="43"/>
        <v/>
      </c>
      <c r="AY41" s="322" t="str">
        <f t="shared" si="44"/>
        <v/>
      </c>
      <c r="AZ41" s="316"/>
      <c r="BA41" s="321" t="str">
        <f t="shared" si="45"/>
        <v/>
      </c>
      <c r="BB41" s="316"/>
      <c r="BC41" s="323" t="str">
        <f t="shared" si="46"/>
        <v/>
      </c>
      <c r="BD41" s="323" t="str">
        <f>IFERROR(VZ!AB43,"")</f>
        <v/>
      </c>
      <c r="BE41" s="322" t="str">
        <f t="shared" si="47"/>
        <v/>
      </c>
      <c r="BF41" s="322" t="str">
        <f t="shared" si="48"/>
        <v/>
      </c>
      <c r="BG41" s="320" t="str">
        <f t="shared" si="49"/>
        <v/>
      </c>
      <c r="BH41" s="322" t="str">
        <f t="shared" si="50"/>
        <v/>
      </c>
      <c r="BI41" s="321">
        <f t="shared" ca="1" si="51"/>
        <v>0</v>
      </c>
      <c r="BJ41" s="316"/>
      <c r="BK41" s="320" t="str">
        <f t="shared" si="52"/>
        <v/>
      </c>
      <c r="BL41" s="319" t="str">
        <f t="shared" si="53"/>
        <v/>
      </c>
      <c r="BM41" s="318" t="str">
        <f t="shared" si="54"/>
        <v/>
      </c>
      <c r="CB41">
        <f>ELEMENT!R39</f>
        <v>0</v>
      </c>
      <c r="CC41" t="str">
        <f>IF(ELEMENT!AO39="","",(2-CB41-CF41))</f>
        <v/>
      </c>
      <c r="CD41">
        <f>ELEMENT!S39</f>
        <v>0</v>
      </c>
      <c r="CE41">
        <f>ELEMENT!T39</f>
        <v>0</v>
      </c>
      <c r="CF41" t="str">
        <f>IF(ELEMENT!AO39="","",IF(ELEMENT!P39="R",1,IF(ELEMENT!P39="L",1,IF(ELEMENT!P39=2,2,0))))</f>
        <v/>
      </c>
      <c r="CG41">
        <f>ELEMENT!AS39</f>
        <v>0</v>
      </c>
      <c r="CH41">
        <f>ELEMENT!AT39</f>
        <v>0</v>
      </c>
      <c r="CI41" t="str">
        <f>IF(ELEMENT!AO39="","",ELEMENT!AT39-(ELEMENT!L39*CJ$69+ELEMENT!M39*CK$69))</f>
        <v/>
      </c>
      <c r="CK41" t="str">
        <f>IF(ELEMENT!$AO39=1,VLOOKUP($CA$3,$CF$55:$CQ$60,$CG$53,FALSE),"")</f>
        <v/>
      </c>
      <c r="CL41" t="str">
        <f>IF(ELEMENT!$AO39=1,VLOOKUP($CA$3,$CF$55:$CQ$60,$CH$53,FALSE),"")</f>
        <v/>
      </c>
      <c r="CM41" t="str">
        <f>IF(ELEMENT!$AO39=1,VLOOKUP($CA$3,$CF$55:$CQ$60,$CI$53,FALSE),"")</f>
        <v/>
      </c>
      <c r="CN41" t="str">
        <f>IF(ELEMENT!$AO39=1,VLOOKUP($CA$3,$CF$55:$CQ$60,$CJ$53,FALSE),"")</f>
        <v/>
      </c>
      <c r="CO41" t="str">
        <f>IF(ELEMENT!$AO39=1,VLOOKUP($CA$3,$CF$55:$CQ$60,$CK$53,FALSE),"")</f>
        <v/>
      </c>
      <c r="CP41" t="str">
        <f>IF(ELEMENT!$AO39=1,VLOOKUP($CA$3,$CF$55:$CQ$60,$CN$53,FALSE),"")</f>
        <v/>
      </c>
      <c r="CQ41" t="str">
        <f>IF(ELEMENT!$AO39=1,VLOOKUP($CA$3,$CF$55:$CQ$60,$CO$53,FALSE),"")</f>
        <v/>
      </c>
      <c r="CR41" t="str">
        <f>IF(ELEMENT!$AO39=1,VLOOKUP($CA$3,$CF$55:$CQ$60,$CP$53,FALSE),"")</f>
        <v/>
      </c>
      <c r="CS41" t="str">
        <f>IF(ELEMENT!$AO39=1,VLOOKUP($CA$3,$CF$55:$CQ$60,$CQ$53,FALSE),"")</f>
        <v/>
      </c>
      <c r="CU41" t="str">
        <f>IF(ELEMENT!AO39="","",CK41*CP41)</f>
        <v/>
      </c>
      <c r="CV41" t="str">
        <f>IF(ELEMENT!AO39="","",CL41*CQ41)</f>
        <v/>
      </c>
      <c r="CW41" t="str">
        <f>IF(ELEMENT!AO39="","",CM41*CR41)</f>
        <v/>
      </c>
      <c r="CX41" t="str">
        <f>IF(ELEMENT!AO39="","",CN41*CS41)</f>
        <v/>
      </c>
      <c r="CZ41" t="str">
        <f>IF(ELEMENT!AO39="","",CB41*CU41*CI41/10^6)</f>
        <v/>
      </c>
      <c r="DA41" t="str">
        <f>IF(ELEMENT!AO39="","",CC41*CV41*CI41/10^6)</f>
        <v/>
      </c>
      <c r="DB41" t="str">
        <f>IF(ELEMENT!AO39="","",CD41*CW41*CI41/10^6)</f>
        <v/>
      </c>
      <c r="DC41" t="str">
        <f>IF(ELEMENT!AO39="","",CE41*CX41*CI41/10^6)</f>
        <v/>
      </c>
      <c r="DD41" t="str">
        <f>IF(ELEMENT!AO39="","",CO41*CF41*CI41/10^3)</f>
        <v/>
      </c>
      <c r="DE41" t="str">
        <f>IF(ELEMENT!AO39="","",SUM(CZ41:DD41))</f>
        <v/>
      </c>
      <c r="DG41" t="str">
        <f>IF(ELEMENT!$AO39=1,
VLOOKUP($CA$3,$CF$55:$CQ$60,$CL$53,FALSE),"")</f>
        <v/>
      </c>
      <c r="DH41" t="str">
        <f>IF(ELEMENT!$AO39=1,
VLOOKUP($CA$3,$CF$55:$CQ$60,$CM$53,FALSE),"")</f>
        <v/>
      </c>
      <c r="DJ41" t="str">
        <f>IF(ELEMENT!AO39=1,
IF(ELEMENT!L39=0,
VLOOKUP($CA$3,$CF$55:$CS$60,$CS$53,FALSE),
VLOOKUP($CA$3,$CF$55:$CS$60,$CR$53,FALSE)),"")</f>
        <v/>
      </c>
      <c r="DK41" t="str">
        <f>IF(ELEMENT!AO39=1,
IF(ELEMENT!M39=0,
VLOOKUP($CA$3,$CF$55:$CS$60,$CR$53,FALSE),
VLOOKUP($CA$3,$CF$55:$CS$60,$CS$53,FALSE)),"")</f>
        <v/>
      </c>
      <c r="DL41" t="str">
        <f>IF(ELEMENT!AO39="","",DG41*DJ41+DH41*DK41)</f>
        <v/>
      </c>
      <c r="DN41" t="str">
        <f>IF(ELEMENT!AO39="","",DL41*CG41/10^6)</f>
        <v/>
      </c>
      <c r="DP41" t="str">
        <f>IF(ELEMENT!AO39="","",DE41+DN41)</f>
        <v/>
      </c>
      <c r="DR41">
        <f t="shared" si="55"/>
        <v>0</v>
      </c>
      <c r="DS41" t="str">
        <f>IF(ELEMENT!AO39="","",(CI41*(CB41*CP41+CC41*CQ41+CD41*CR41+CE41*CS41)+CG41*(DJ41+DK41))/10^6)</f>
        <v/>
      </c>
      <c r="DT41" t="str">
        <f>IF(ELEMENT!AO39="","",DR41-DS41)</f>
        <v/>
      </c>
      <c r="DV41" t="str">
        <f>IF(ELEMENT!AO39="","",DP41/DS41)</f>
        <v/>
      </c>
      <c r="DX41" t="str">
        <f>IF(ELEMENT!AO39="","",ELEMENT!DI199)</f>
        <v/>
      </c>
      <c r="DY41" t="str">
        <f>IF(ELEMENT!AO39="","",DV41*DS41)</f>
        <v/>
      </c>
      <c r="DZ41" t="str">
        <f>IF(ELEMENT!AO39="","",DX41*DT41)</f>
        <v/>
      </c>
      <c r="EA41" t="str">
        <f>IF(ELEMENT!AO39="","",$EA$3*((2*(CG41-CB41*CP41-CC41*CQ41-CD41*CR41-CE41*CS41)/1000)+2*(CI41/1000)))</f>
        <v/>
      </c>
      <c r="EB41" t="str">
        <f>IF(ELEMENT!AO39="","",$EA$3*((CI41/1000)*(2*(CD41+CE41)))+$EA$3*(2*CF41*CI41/1000))</f>
        <v/>
      </c>
      <c r="EC41">
        <f ca="1">IF(ELEMENT!FY39="",SUM(DY41:EB41),"")</f>
        <v>0</v>
      </c>
      <c r="EE41" t="str">
        <f>IF(ELEMENT!AO39="","",
IF(ELEMENT!FY39="",(EC41/DR41),""))</f>
        <v/>
      </c>
      <c r="EF41" t="str">
        <f t="shared" si="56"/>
        <v/>
      </c>
      <c r="EG41" t="str">
        <f>IF(ELEMENT!AO39="","",EC41*ELEMENT!C39)</f>
        <v/>
      </c>
    </row>
    <row r="42" spans="1:137" ht="21" customHeight="1" x14ac:dyDescent="0.2">
      <c r="A42" s="332">
        <f>ELEMENT!A40</f>
        <v>0</v>
      </c>
      <c r="B42" s="331">
        <f>ELEMENT!B40</f>
        <v>0</v>
      </c>
      <c r="C42" s="330">
        <f>ELEMENT!C40</f>
        <v>0</v>
      </c>
      <c r="D42" s="329">
        <f t="shared" si="8"/>
        <v>0</v>
      </c>
      <c r="E42" s="329">
        <f t="shared" si="9"/>
        <v>0</v>
      </c>
      <c r="F42" s="329" t="str">
        <f t="shared" si="10"/>
        <v/>
      </c>
      <c r="G42" s="317"/>
      <c r="H42" s="328">
        <f t="shared" si="11"/>
        <v>0</v>
      </c>
      <c r="I42" s="328" t="str">
        <f t="shared" si="12"/>
        <v/>
      </c>
      <c r="J42" s="328">
        <f t="shared" si="13"/>
        <v>0</v>
      </c>
      <c r="K42" s="328">
        <f t="shared" si="14"/>
        <v>0</v>
      </c>
      <c r="L42" s="327" t="str">
        <f t="shared" si="15"/>
        <v/>
      </c>
      <c r="M42" s="317"/>
      <c r="N42" s="322" t="str">
        <f t="shared" si="16"/>
        <v/>
      </c>
      <c r="O42" s="322" t="str">
        <f t="shared" si="17"/>
        <v/>
      </c>
      <c r="P42" s="322" t="str">
        <f t="shared" si="18"/>
        <v/>
      </c>
      <c r="Q42" s="322" t="str">
        <f t="shared" si="19"/>
        <v/>
      </c>
      <c r="R42" s="322" t="str">
        <f t="shared" si="20"/>
        <v/>
      </c>
      <c r="S42" s="317"/>
      <c r="T42" s="315" t="str">
        <f t="shared" si="21"/>
        <v/>
      </c>
      <c r="U42" s="315" t="str">
        <f t="shared" si="22"/>
        <v/>
      </c>
      <c r="V42" s="315" t="str">
        <f t="shared" si="23"/>
        <v/>
      </c>
      <c r="W42" s="315" t="str">
        <f t="shared" si="24"/>
        <v/>
      </c>
      <c r="X42" s="317"/>
      <c r="Y42" s="327" t="str">
        <f t="shared" si="25"/>
        <v/>
      </c>
      <c r="Z42" s="327" t="str">
        <f t="shared" si="26"/>
        <v/>
      </c>
      <c r="AA42" s="327" t="str">
        <f t="shared" si="27"/>
        <v/>
      </c>
      <c r="AB42" s="327" t="str">
        <f t="shared" si="28"/>
        <v/>
      </c>
      <c r="AC42" s="317"/>
      <c r="AD42" s="322" t="str">
        <f t="shared" si="29"/>
        <v/>
      </c>
      <c r="AE42" s="322" t="str">
        <f t="shared" si="30"/>
        <v/>
      </c>
      <c r="AF42" s="322" t="str">
        <f t="shared" si="31"/>
        <v/>
      </c>
      <c r="AG42" s="322" t="str">
        <f t="shared" si="32"/>
        <v/>
      </c>
      <c r="AH42" s="322" t="str">
        <f t="shared" si="33"/>
        <v/>
      </c>
      <c r="AI42" s="322"/>
      <c r="AJ42" s="325" t="str">
        <f t="shared" si="34"/>
        <v/>
      </c>
      <c r="AK42" s="316"/>
      <c r="AL42" s="322" t="str">
        <f t="shared" si="35"/>
        <v/>
      </c>
      <c r="AM42" s="322" t="str">
        <f t="shared" si="36"/>
        <v/>
      </c>
      <c r="AN42" s="317"/>
      <c r="AO42" s="326" t="str">
        <f t="shared" si="37"/>
        <v/>
      </c>
      <c r="AP42" s="326" t="str">
        <f t="shared" si="38"/>
        <v/>
      </c>
      <c r="AQ42" s="317"/>
      <c r="AR42" s="322" t="str">
        <f t="shared" si="39"/>
        <v/>
      </c>
      <c r="AS42" s="325" t="str">
        <f t="shared" si="40"/>
        <v/>
      </c>
      <c r="AT42" s="316"/>
      <c r="AU42" s="324" t="str">
        <f t="shared" si="41"/>
        <v/>
      </c>
      <c r="AV42" s="316"/>
      <c r="AW42" s="322">
        <f t="shared" si="42"/>
        <v>0</v>
      </c>
      <c r="AX42" s="322" t="str">
        <f t="shared" si="43"/>
        <v/>
      </c>
      <c r="AY42" s="322" t="str">
        <f t="shared" si="44"/>
        <v/>
      </c>
      <c r="AZ42" s="316"/>
      <c r="BA42" s="321" t="str">
        <f t="shared" si="45"/>
        <v/>
      </c>
      <c r="BB42" s="316"/>
      <c r="BC42" s="323" t="str">
        <f t="shared" si="46"/>
        <v/>
      </c>
      <c r="BD42" s="323" t="str">
        <f>IFERROR(VZ!AB44,"")</f>
        <v/>
      </c>
      <c r="BE42" s="322" t="str">
        <f t="shared" si="47"/>
        <v/>
      </c>
      <c r="BF42" s="322" t="str">
        <f t="shared" si="48"/>
        <v/>
      </c>
      <c r="BG42" s="320" t="str">
        <f t="shared" si="49"/>
        <v/>
      </c>
      <c r="BH42" s="322" t="str">
        <f t="shared" si="50"/>
        <v/>
      </c>
      <c r="BI42" s="321">
        <f t="shared" ca="1" si="51"/>
        <v>0</v>
      </c>
      <c r="BJ42" s="316"/>
      <c r="BK42" s="320" t="str">
        <f t="shared" si="52"/>
        <v/>
      </c>
      <c r="BL42" s="319" t="str">
        <f t="shared" si="53"/>
        <v/>
      </c>
      <c r="BM42" s="318" t="str">
        <f t="shared" si="54"/>
        <v/>
      </c>
      <c r="CB42">
        <f>ELEMENT!R40</f>
        <v>0</v>
      </c>
      <c r="CC42" t="str">
        <f>IF(ELEMENT!AO40="","",(2-CB42-CF42))</f>
        <v/>
      </c>
      <c r="CD42">
        <f>ELEMENT!S40</f>
        <v>0</v>
      </c>
      <c r="CE42">
        <f>ELEMENT!T40</f>
        <v>0</v>
      </c>
      <c r="CF42" t="str">
        <f>IF(ELEMENT!AO40="","",IF(ELEMENT!P40="R",1,IF(ELEMENT!P40="L",1,IF(ELEMENT!P40=2,2,0))))</f>
        <v/>
      </c>
      <c r="CG42">
        <f>ELEMENT!AS40</f>
        <v>0</v>
      </c>
      <c r="CH42">
        <f>ELEMENT!AT40</f>
        <v>0</v>
      </c>
      <c r="CI42" t="str">
        <f>IF(ELEMENT!AO40="","",ELEMENT!AT40-(ELEMENT!L40*CJ$69+ELEMENT!M40*CK$69))</f>
        <v/>
      </c>
      <c r="CK42" t="str">
        <f>IF(ELEMENT!$AO40=1,VLOOKUP($CA$3,$CF$55:$CQ$60,$CG$53,FALSE),"")</f>
        <v/>
      </c>
      <c r="CL42" t="str">
        <f>IF(ELEMENT!$AO40=1,VLOOKUP($CA$3,$CF$55:$CQ$60,$CH$53,FALSE),"")</f>
        <v/>
      </c>
      <c r="CM42" t="str">
        <f>IF(ELEMENT!$AO40=1,VLOOKUP($CA$3,$CF$55:$CQ$60,$CI$53,FALSE),"")</f>
        <v/>
      </c>
      <c r="CN42" t="str">
        <f>IF(ELEMENT!$AO40=1,VLOOKUP($CA$3,$CF$55:$CQ$60,$CJ$53,FALSE),"")</f>
        <v/>
      </c>
      <c r="CO42" t="str">
        <f>IF(ELEMENT!$AO40=1,VLOOKUP($CA$3,$CF$55:$CQ$60,$CK$53,FALSE),"")</f>
        <v/>
      </c>
      <c r="CP42" t="str">
        <f>IF(ELEMENT!$AO40=1,VLOOKUP($CA$3,$CF$55:$CQ$60,$CN$53,FALSE),"")</f>
        <v/>
      </c>
      <c r="CQ42" t="str">
        <f>IF(ELEMENT!$AO40=1,VLOOKUP($CA$3,$CF$55:$CQ$60,$CO$53,FALSE),"")</f>
        <v/>
      </c>
      <c r="CR42" t="str">
        <f>IF(ELEMENT!$AO40=1,VLOOKUP($CA$3,$CF$55:$CQ$60,$CP$53,FALSE),"")</f>
        <v/>
      </c>
      <c r="CS42" t="str">
        <f>IF(ELEMENT!$AO40=1,VLOOKUP($CA$3,$CF$55:$CQ$60,$CQ$53,FALSE),"")</f>
        <v/>
      </c>
      <c r="CU42" t="str">
        <f>IF(ELEMENT!AO40="","",CK42*CP42)</f>
        <v/>
      </c>
      <c r="CV42" t="str">
        <f>IF(ELEMENT!AO40="","",CL42*CQ42)</f>
        <v/>
      </c>
      <c r="CW42" t="str">
        <f>IF(ELEMENT!AO40="","",CM42*CR42)</f>
        <v/>
      </c>
      <c r="CX42" t="str">
        <f>IF(ELEMENT!AO40="","",CN42*CS42)</f>
        <v/>
      </c>
      <c r="CZ42" t="str">
        <f>IF(ELEMENT!AO40="","",CB42*CU42*CI42/10^6)</f>
        <v/>
      </c>
      <c r="DA42" t="str">
        <f>IF(ELEMENT!AO40="","",CC42*CV42*CI42/10^6)</f>
        <v/>
      </c>
      <c r="DB42" t="str">
        <f>IF(ELEMENT!AO40="","",CD42*CW42*CI42/10^6)</f>
        <v/>
      </c>
      <c r="DC42" t="str">
        <f>IF(ELEMENT!AO40="","",CE42*CX42*CI42/10^6)</f>
        <v/>
      </c>
      <c r="DD42" t="str">
        <f>IF(ELEMENT!AO40="","",CO42*CF42*CI42/10^3)</f>
        <v/>
      </c>
      <c r="DE42" t="str">
        <f>IF(ELEMENT!AO40="","",SUM(CZ42:DD42))</f>
        <v/>
      </c>
      <c r="DG42" t="str">
        <f>IF(ELEMENT!$AO40=1,
VLOOKUP($CA$3,$CF$55:$CQ$60,$CL$53,FALSE),"")</f>
        <v/>
      </c>
      <c r="DH42" t="str">
        <f>IF(ELEMENT!$AO40=1,
VLOOKUP($CA$3,$CF$55:$CQ$60,$CM$53,FALSE),"")</f>
        <v/>
      </c>
      <c r="DJ42" t="str">
        <f>IF(ELEMENT!AO40=1,
IF(ELEMENT!L40=0,
VLOOKUP($CA$3,$CF$55:$CS$60,$CS$53,FALSE),
VLOOKUP($CA$3,$CF$55:$CS$60,$CR$53,FALSE)),"")</f>
        <v/>
      </c>
      <c r="DK42" t="str">
        <f>IF(ELEMENT!AO40=1,
IF(ELEMENT!M40=0,
VLOOKUP($CA$3,$CF$55:$CS$60,$CR$53,FALSE),
VLOOKUP($CA$3,$CF$55:$CS$60,$CS$53,FALSE)),"")</f>
        <v/>
      </c>
      <c r="DL42" t="str">
        <f>IF(ELEMENT!AO40="","",DG42*DJ42+DH42*DK42)</f>
        <v/>
      </c>
      <c r="DN42" t="str">
        <f>IF(ELEMENT!AO40="","",DL42*CG42/10^6)</f>
        <v/>
      </c>
      <c r="DP42" t="str">
        <f>IF(ELEMENT!AO40="","",DE42+DN42)</f>
        <v/>
      </c>
      <c r="DR42">
        <f t="shared" si="55"/>
        <v>0</v>
      </c>
      <c r="DS42" t="str">
        <f>IF(ELEMENT!AO40="","",(CI42*(CB42*CP42+CC42*CQ42+CD42*CR42+CE42*CS42)+CG42*(DJ42+DK42))/10^6)</f>
        <v/>
      </c>
      <c r="DT42" t="str">
        <f>IF(ELEMENT!AO40="","",DR42-DS42)</f>
        <v/>
      </c>
      <c r="DV42" t="str">
        <f>IF(ELEMENT!AO40="","",DP42/DS42)</f>
        <v/>
      </c>
      <c r="DX42" t="str">
        <f>IF(ELEMENT!AO40="","",ELEMENT!DI200)</f>
        <v/>
      </c>
      <c r="DY42" t="str">
        <f>IF(ELEMENT!AO40="","",DV42*DS42)</f>
        <v/>
      </c>
      <c r="DZ42" t="str">
        <f>IF(ELEMENT!AO40="","",DX42*DT42)</f>
        <v/>
      </c>
      <c r="EA42" t="str">
        <f>IF(ELEMENT!AO40="","",$EA$3*((2*(CG42-CB42*CP42-CC42*CQ42-CD42*CR42-CE42*CS42)/1000)+2*(CI42/1000)))</f>
        <v/>
      </c>
      <c r="EB42" t="str">
        <f>IF(ELEMENT!AO40="","",$EA$3*((CI42/1000)*(2*(CD42+CE42)))+$EA$3*(2*CF42*CI42/1000))</f>
        <v/>
      </c>
      <c r="EC42">
        <f ca="1">IF(ELEMENT!FY40="",SUM(DY42:EB42),"")</f>
        <v>0</v>
      </c>
      <c r="EE42" t="str">
        <f>IF(ELEMENT!AO40="","",
IF(ELEMENT!FY40="",(EC42/DR42),""))</f>
        <v/>
      </c>
      <c r="EF42" t="str">
        <f t="shared" si="56"/>
        <v/>
      </c>
      <c r="EG42" t="str">
        <f>IF(ELEMENT!AO40="","",EC42*ELEMENT!C40)</f>
        <v/>
      </c>
    </row>
    <row r="43" spans="1:137" ht="21" customHeight="1" x14ac:dyDescent="0.2">
      <c r="A43" s="332">
        <f>ELEMENT!A41</f>
        <v>0</v>
      </c>
      <c r="B43" s="331">
        <f>ELEMENT!B41</f>
        <v>0</v>
      </c>
      <c r="C43" s="330">
        <f>ELEMENT!C41</f>
        <v>0</v>
      </c>
      <c r="D43" s="329">
        <f t="shared" si="8"/>
        <v>0</v>
      </c>
      <c r="E43" s="329">
        <f t="shared" si="9"/>
        <v>0</v>
      </c>
      <c r="F43" s="329" t="str">
        <f t="shared" si="10"/>
        <v/>
      </c>
      <c r="G43" s="317"/>
      <c r="H43" s="328">
        <f t="shared" si="11"/>
        <v>0</v>
      </c>
      <c r="I43" s="328" t="str">
        <f t="shared" si="12"/>
        <v/>
      </c>
      <c r="J43" s="328">
        <f t="shared" si="13"/>
        <v>0</v>
      </c>
      <c r="K43" s="328">
        <f t="shared" si="14"/>
        <v>0</v>
      </c>
      <c r="L43" s="327" t="str">
        <f t="shared" si="15"/>
        <v/>
      </c>
      <c r="M43" s="317"/>
      <c r="N43" s="322" t="str">
        <f t="shared" si="16"/>
        <v/>
      </c>
      <c r="O43" s="322" t="str">
        <f t="shared" si="17"/>
        <v/>
      </c>
      <c r="P43" s="322" t="str">
        <f t="shared" si="18"/>
        <v/>
      </c>
      <c r="Q43" s="322" t="str">
        <f t="shared" si="19"/>
        <v/>
      </c>
      <c r="R43" s="322" t="str">
        <f t="shared" si="20"/>
        <v/>
      </c>
      <c r="S43" s="317"/>
      <c r="T43" s="315" t="str">
        <f t="shared" si="21"/>
        <v/>
      </c>
      <c r="U43" s="315" t="str">
        <f t="shared" si="22"/>
        <v/>
      </c>
      <c r="V43" s="315" t="str">
        <f t="shared" si="23"/>
        <v/>
      </c>
      <c r="W43" s="315" t="str">
        <f t="shared" si="24"/>
        <v/>
      </c>
      <c r="X43" s="317"/>
      <c r="Y43" s="327" t="str">
        <f t="shared" si="25"/>
        <v/>
      </c>
      <c r="Z43" s="327" t="str">
        <f t="shared" si="26"/>
        <v/>
      </c>
      <c r="AA43" s="327" t="str">
        <f t="shared" si="27"/>
        <v/>
      </c>
      <c r="AB43" s="327" t="str">
        <f t="shared" si="28"/>
        <v/>
      </c>
      <c r="AC43" s="317"/>
      <c r="AD43" s="322" t="str">
        <f t="shared" si="29"/>
        <v/>
      </c>
      <c r="AE43" s="322" t="str">
        <f t="shared" si="30"/>
        <v/>
      </c>
      <c r="AF43" s="322" t="str">
        <f t="shared" si="31"/>
        <v/>
      </c>
      <c r="AG43" s="322" t="str">
        <f t="shared" si="32"/>
        <v/>
      </c>
      <c r="AH43" s="322" t="str">
        <f t="shared" si="33"/>
        <v/>
      </c>
      <c r="AI43" s="322"/>
      <c r="AJ43" s="325" t="str">
        <f t="shared" si="34"/>
        <v/>
      </c>
      <c r="AK43" s="316"/>
      <c r="AL43" s="322" t="str">
        <f t="shared" si="35"/>
        <v/>
      </c>
      <c r="AM43" s="322" t="str">
        <f t="shared" si="36"/>
        <v/>
      </c>
      <c r="AN43" s="317"/>
      <c r="AO43" s="326" t="str">
        <f t="shared" si="37"/>
        <v/>
      </c>
      <c r="AP43" s="326" t="str">
        <f t="shared" si="38"/>
        <v/>
      </c>
      <c r="AQ43" s="317"/>
      <c r="AR43" s="322" t="str">
        <f t="shared" si="39"/>
        <v/>
      </c>
      <c r="AS43" s="325" t="str">
        <f t="shared" si="40"/>
        <v/>
      </c>
      <c r="AT43" s="316"/>
      <c r="AU43" s="324" t="str">
        <f t="shared" si="41"/>
        <v/>
      </c>
      <c r="AV43" s="316"/>
      <c r="AW43" s="322">
        <f t="shared" si="42"/>
        <v>0</v>
      </c>
      <c r="AX43" s="322" t="str">
        <f t="shared" si="43"/>
        <v/>
      </c>
      <c r="AY43" s="322" t="str">
        <f t="shared" si="44"/>
        <v/>
      </c>
      <c r="AZ43" s="316"/>
      <c r="BA43" s="321" t="str">
        <f t="shared" si="45"/>
        <v/>
      </c>
      <c r="BB43" s="316"/>
      <c r="BC43" s="323" t="str">
        <f t="shared" si="46"/>
        <v/>
      </c>
      <c r="BD43" s="323" t="str">
        <f>IFERROR(VZ!AB45,"")</f>
        <v/>
      </c>
      <c r="BE43" s="322" t="str">
        <f t="shared" si="47"/>
        <v/>
      </c>
      <c r="BF43" s="322" t="str">
        <f t="shared" si="48"/>
        <v/>
      </c>
      <c r="BG43" s="320" t="str">
        <f t="shared" si="49"/>
        <v/>
      </c>
      <c r="BH43" s="322" t="str">
        <f t="shared" si="50"/>
        <v/>
      </c>
      <c r="BI43" s="321">
        <f t="shared" ca="1" si="51"/>
        <v>0</v>
      </c>
      <c r="BJ43" s="316"/>
      <c r="BK43" s="320" t="str">
        <f t="shared" si="52"/>
        <v/>
      </c>
      <c r="BL43" s="319" t="str">
        <f t="shared" si="53"/>
        <v/>
      </c>
      <c r="BM43" s="318" t="str">
        <f t="shared" si="54"/>
        <v/>
      </c>
      <c r="CB43">
        <f>ELEMENT!R41</f>
        <v>0</v>
      </c>
      <c r="CC43" t="str">
        <f>IF(ELEMENT!AO41="","",(2-CB43-CF43))</f>
        <v/>
      </c>
      <c r="CD43">
        <f>ELEMENT!S41</f>
        <v>0</v>
      </c>
      <c r="CE43">
        <f>ELEMENT!T41</f>
        <v>0</v>
      </c>
      <c r="CF43" t="str">
        <f>IF(ELEMENT!AO41="","",IF(ELEMENT!P41="R",1,IF(ELEMENT!P41="L",1,IF(ELEMENT!P41=2,2,0))))</f>
        <v/>
      </c>
      <c r="CG43">
        <f>ELEMENT!AS41</f>
        <v>0</v>
      </c>
      <c r="CH43">
        <f>ELEMENT!AT41</f>
        <v>0</v>
      </c>
      <c r="CI43" t="str">
        <f>IF(ELEMENT!AO41="","",ELEMENT!AT41-(ELEMENT!L41*CJ$69+ELEMENT!M41*CK$69))</f>
        <v/>
      </c>
      <c r="CK43" t="str">
        <f>IF(ELEMENT!$AO41=1,VLOOKUP($CA$3,$CF$55:$CQ$60,$CG$53,FALSE),"")</f>
        <v/>
      </c>
      <c r="CL43" t="str">
        <f>IF(ELEMENT!$AO41=1,VLOOKUP($CA$3,$CF$55:$CQ$60,$CH$53,FALSE),"")</f>
        <v/>
      </c>
      <c r="CM43" t="str">
        <f>IF(ELEMENT!$AO41=1,VLOOKUP($CA$3,$CF$55:$CQ$60,$CI$53,FALSE),"")</f>
        <v/>
      </c>
      <c r="CN43" t="str">
        <f>IF(ELEMENT!$AO41=1,VLOOKUP($CA$3,$CF$55:$CQ$60,$CJ$53,FALSE),"")</f>
        <v/>
      </c>
      <c r="CO43" t="str">
        <f>IF(ELEMENT!$AO41=1,VLOOKUP($CA$3,$CF$55:$CQ$60,$CK$53,FALSE),"")</f>
        <v/>
      </c>
      <c r="CP43" t="str">
        <f>IF(ELEMENT!$AO41=1,VLOOKUP($CA$3,$CF$55:$CQ$60,$CN$53,FALSE),"")</f>
        <v/>
      </c>
      <c r="CQ43" t="str">
        <f>IF(ELEMENT!$AO41=1,VLOOKUP($CA$3,$CF$55:$CQ$60,$CO$53,FALSE),"")</f>
        <v/>
      </c>
      <c r="CR43" t="str">
        <f>IF(ELEMENT!$AO41=1,VLOOKUP($CA$3,$CF$55:$CQ$60,$CP$53,FALSE),"")</f>
        <v/>
      </c>
      <c r="CS43" t="str">
        <f>IF(ELEMENT!$AO41=1,VLOOKUP($CA$3,$CF$55:$CQ$60,$CQ$53,FALSE),"")</f>
        <v/>
      </c>
      <c r="CU43" t="str">
        <f>IF(ELEMENT!AO41="","",CK43*CP43)</f>
        <v/>
      </c>
      <c r="CV43" t="str">
        <f>IF(ELEMENT!AO41="","",CL43*CQ43)</f>
        <v/>
      </c>
      <c r="CW43" t="str">
        <f>IF(ELEMENT!AO41="","",CM43*CR43)</f>
        <v/>
      </c>
      <c r="CX43" t="str">
        <f>IF(ELEMENT!AO41="","",CN43*CS43)</f>
        <v/>
      </c>
      <c r="CZ43" t="str">
        <f>IF(ELEMENT!AO41="","",CB43*CU43*CI43/10^6)</f>
        <v/>
      </c>
      <c r="DA43" t="str">
        <f>IF(ELEMENT!AO41="","",CC43*CV43*CI43/10^6)</f>
        <v/>
      </c>
      <c r="DB43" t="str">
        <f>IF(ELEMENT!AO41="","",CD43*CW43*CI43/10^6)</f>
        <v/>
      </c>
      <c r="DC43" t="str">
        <f>IF(ELEMENT!AO41="","",CE43*CX43*CI43/10^6)</f>
        <v/>
      </c>
      <c r="DD43" t="str">
        <f>IF(ELEMENT!AO41="","",CO43*CF43*CI43/10^3)</f>
        <v/>
      </c>
      <c r="DE43" t="str">
        <f>IF(ELEMENT!AO41="","",SUM(CZ43:DD43))</f>
        <v/>
      </c>
      <c r="DG43" t="str">
        <f>IF(ELEMENT!$AO41=1,
VLOOKUP($CA$3,$CF$55:$CQ$60,$CL$53,FALSE),"")</f>
        <v/>
      </c>
      <c r="DH43" t="str">
        <f>IF(ELEMENT!$AO41=1,
VLOOKUP($CA$3,$CF$55:$CQ$60,$CM$53,FALSE),"")</f>
        <v/>
      </c>
      <c r="DJ43" t="str">
        <f>IF(ELEMENT!AO41=1,
IF(ELEMENT!L41=0,
VLOOKUP($CA$3,$CF$55:$CS$60,$CS$53,FALSE),
VLOOKUP($CA$3,$CF$55:$CS$60,$CR$53,FALSE)),"")</f>
        <v/>
      </c>
      <c r="DK43" t="str">
        <f>IF(ELEMENT!AO41=1,
IF(ELEMENT!M41=0,
VLOOKUP($CA$3,$CF$55:$CS$60,$CR$53,FALSE),
VLOOKUP($CA$3,$CF$55:$CS$60,$CS$53,FALSE)),"")</f>
        <v/>
      </c>
      <c r="DL43" t="str">
        <f>IF(ELEMENT!AO41="","",DG43*DJ43+DH43*DK43)</f>
        <v/>
      </c>
      <c r="DN43" t="str">
        <f>IF(ELEMENT!AO41="","",DL43*CG43/10^6)</f>
        <v/>
      </c>
      <c r="DP43" t="str">
        <f>IF(ELEMENT!AO41="","",DE43+DN43)</f>
        <v/>
      </c>
      <c r="DR43">
        <f t="shared" si="55"/>
        <v>0</v>
      </c>
      <c r="DS43" t="str">
        <f>IF(ELEMENT!AO41="","",(CI43*(CB43*CP43+CC43*CQ43+CD43*CR43+CE43*CS43)+CG43*(DJ43+DK43))/10^6)</f>
        <v/>
      </c>
      <c r="DT43" t="str">
        <f>IF(ELEMENT!AO41="","",DR43-DS43)</f>
        <v/>
      </c>
      <c r="DV43" t="str">
        <f>IF(ELEMENT!AO41="","",DP43/DS43)</f>
        <v/>
      </c>
      <c r="DX43" t="str">
        <f>IF(ELEMENT!AO41="","",ELEMENT!DI201)</f>
        <v/>
      </c>
      <c r="DY43" t="str">
        <f>IF(ELEMENT!AO41="","",DV43*DS43)</f>
        <v/>
      </c>
      <c r="DZ43" t="str">
        <f>IF(ELEMENT!AO41="","",DX43*DT43)</f>
        <v/>
      </c>
      <c r="EA43" t="str">
        <f>IF(ELEMENT!AO41="","",$EA$3*((2*(CG43-CB43*CP43-CC43*CQ43-CD43*CR43-CE43*CS43)/1000)+2*(CI43/1000)))</f>
        <v/>
      </c>
      <c r="EB43" t="str">
        <f>IF(ELEMENT!AO41="","",$EA$3*((CI43/1000)*(2*(CD43+CE43)))+$EA$3*(2*CF43*CI43/1000))</f>
        <v/>
      </c>
      <c r="EC43">
        <f ca="1">IF(ELEMENT!FY41="",SUM(DY43:EB43),"")</f>
        <v>0</v>
      </c>
      <c r="EE43" t="str">
        <f>IF(ELEMENT!AO41="","",
IF(ELEMENT!FY41="",(EC43/DR43),""))</f>
        <v/>
      </c>
      <c r="EF43" t="str">
        <f t="shared" si="56"/>
        <v/>
      </c>
      <c r="EG43" t="str">
        <f>IF(ELEMENT!AO41="","",EC43*ELEMENT!C41)</f>
        <v/>
      </c>
    </row>
    <row r="44" spans="1:137" ht="21" customHeight="1" x14ac:dyDescent="0.2">
      <c r="A44" s="332">
        <f>ELEMENT!A42</f>
        <v>0</v>
      </c>
      <c r="B44" s="331">
        <f>ELEMENT!B42</f>
        <v>0</v>
      </c>
      <c r="C44" s="330">
        <f>ELEMENT!C42</f>
        <v>0</v>
      </c>
      <c r="D44" s="329">
        <f t="shared" si="8"/>
        <v>0</v>
      </c>
      <c r="E44" s="329">
        <f t="shared" si="9"/>
        <v>0</v>
      </c>
      <c r="F44" s="329" t="str">
        <f t="shared" si="10"/>
        <v/>
      </c>
      <c r="G44" s="317"/>
      <c r="H44" s="328">
        <f t="shared" si="11"/>
        <v>0</v>
      </c>
      <c r="I44" s="328" t="str">
        <f t="shared" si="12"/>
        <v/>
      </c>
      <c r="J44" s="328">
        <f t="shared" si="13"/>
        <v>0</v>
      </c>
      <c r="K44" s="328">
        <f t="shared" si="14"/>
        <v>0</v>
      </c>
      <c r="L44" s="327" t="str">
        <f t="shared" si="15"/>
        <v/>
      </c>
      <c r="M44" s="317"/>
      <c r="N44" s="322" t="str">
        <f t="shared" si="16"/>
        <v/>
      </c>
      <c r="O44" s="322" t="str">
        <f t="shared" si="17"/>
        <v/>
      </c>
      <c r="P44" s="322" t="str">
        <f t="shared" si="18"/>
        <v/>
      </c>
      <c r="Q44" s="322" t="str">
        <f t="shared" si="19"/>
        <v/>
      </c>
      <c r="R44" s="322" t="str">
        <f t="shared" si="20"/>
        <v/>
      </c>
      <c r="S44" s="317"/>
      <c r="T44" s="315" t="str">
        <f t="shared" si="21"/>
        <v/>
      </c>
      <c r="U44" s="315" t="str">
        <f t="shared" si="22"/>
        <v/>
      </c>
      <c r="V44" s="315" t="str">
        <f t="shared" si="23"/>
        <v/>
      </c>
      <c r="W44" s="315" t="str">
        <f t="shared" si="24"/>
        <v/>
      </c>
      <c r="X44" s="317"/>
      <c r="Y44" s="327" t="str">
        <f t="shared" si="25"/>
        <v/>
      </c>
      <c r="Z44" s="327" t="str">
        <f t="shared" si="26"/>
        <v/>
      </c>
      <c r="AA44" s="327" t="str">
        <f t="shared" si="27"/>
        <v/>
      </c>
      <c r="AB44" s="327" t="str">
        <f t="shared" si="28"/>
        <v/>
      </c>
      <c r="AC44" s="317"/>
      <c r="AD44" s="322" t="str">
        <f t="shared" si="29"/>
        <v/>
      </c>
      <c r="AE44" s="322" t="str">
        <f t="shared" si="30"/>
        <v/>
      </c>
      <c r="AF44" s="322" t="str">
        <f t="shared" si="31"/>
        <v/>
      </c>
      <c r="AG44" s="322" t="str">
        <f t="shared" si="32"/>
        <v/>
      </c>
      <c r="AH44" s="322" t="str">
        <f t="shared" si="33"/>
        <v/>
      </c>
      <c r="AI44" s="322"/>
      <c r="AJ44" s="325" t="str">
        <f t="shared" si="34"/>
        <v/>
      </c>
      <c r="AK44" s="316"/>
      <c r="AL44" s="322" t="str">
        <f t="shared" si="35"/>
        <v/>
      </c>
      <c r="AM44" s="322" t="str">
        <f t="shared" si="36"/>
        <v/>
      </c>
      <c r="AN44" s="317"/>
      <c r="AO44" s="326" t="str">
        <f t="shared" si="37"/>
        <v/>
      </c>
      <c r="AP44" s="326" t="str">
        <f t="shared" si="38"/>
        <v/>
      </c>
      <c r="AQ44" s="317"/>
      <c r="AR44" s="322" t="str">
        <f t="shared" si="39"/>
        <v/>
      </c>
      <c r="AS44" s="325" t="str">
        <f t="shared" si="40"/>
        <v/>
      </c>
      <c r="AT44" s="316"/>
      <c r="AU44" s="324" t="str">
        <f t="shared" si="41"/>
        <v/>
      </c>
      <c r="AV44" s="316"/>
      <c r="AW44" s="322">
        <f t="shared" si="42"/>
        <v>0</v>
      </c>
      <c r="AX44" s="322" t="str">
        <f t="shared" si="43"/>
        <v/>
      </c>
      <c r="AY44" s="322" t="str">
        <f t="shared" si="44"/>
        <v/>
      </c>
      <c r="AZ44" s="316"/>
      <c r="BA44" s="321" t="str">
        <f t="shared" si="45"/>
        <v/>
      </c>
      <c r="BB44" s="316"/>
      <c r="BC44" s="323" t="str">
        <f t="shared" si="46"/>
        <v/>
      </c>
      <c r="BD44" s="323" t="str">
        <f>IFERROR(VZ!AB46,"")</f>
        <v/>
      </c>
      <c r="BE44" s="322" t="str">
        <f t="shared" si="47"/>
        <v/>
      </c>
      <c r="BF44" s="322" t="str">
        <f t="shared" si="48"/>
        <v/>
      </c>
      <c r="BG44" s="320" t="str">
        <f t="shared" si="49"/>
        <v/>
      </c>
      <c r="BH44" s="322" t="str">
        <f t="shared" si="50"/>
        <v/>
      </c>
      <c r="BI44" s="321">
        <f t="shared" ca="1" si="51"/>
        <v>0</v>
      </c>
      <c r="BJ44" s="316"/>
      <c r="BK44" s="320" t="str">
        <f t="shared" si="52"/>
        <v/>
      </c>
      <c r="BL44" s="319" t="str">
        <f t="shared" si="53"/>
        <v/>
      </c>
      <c r="BM44" s="318" t="str">
        <f t="shared" si="54"/>
        <v/>
      </c>
      <c r="CB44">
        <f>ELEMENT!R42</f>
        <v>0</v>
      </c>
      <c r="CC44" t="str">
        <f>IF(ELEMENT!AO42="","",(2-CB44-CF44))</f>
        <v/>
      </c>
      <c r="CD44">
        <f>ELEMENT!S42</f>
        <v>0</v>
      </c>
      <c r="CE44">
        <f>ELEMENT!T42</f>
        <v>0</v>
      </c>
      <c r="CF44" t="str">
        <f>IF(ELEMENT!AO42="","",IF(ELEMENT!P42="R",1,IF(ELEMENT!P42="L",1,IF(ELEMENT!P42=2,2,0))))</f>
        <v/>
      </c>
      <c r="CG44">
        <f>ELEMENT!AS42</f>
        <v>0</v>
      </c>
      <c r="CH44">
        <f>ELEMENT!AT42</f>
        <v>0</v>
      </c>
      <c r="CI44" t="str">
        <f>IF(ELEMENT!AO42="","",ELEMENT!AT42-(ELEMENT!L42*CJ$69+ELEMENT!M42*CK$69))</f>
        <v/>
      </c>
      <c r="CK44" t="str">
        <f>IF(ELEMENT!$AO42=1,VLOOKUP($CA$3,$CF$55:$CQ$60,$CG$53,FALSE),"")</f>
        <v/>
      </c>
      <c r="CL44" t="str">
        <f>IF(ELEMENT!$AO42=1,VLOOKUP($CA$3,$CF$55:$CQ$60,$CH$53,FALSE),"")</f>
        <v/>
      </c>
      <c r="CM44" t="str">
        <f>IF(ELEMENT!$AO42=1,VLOOKUP($CA$3,$CF$55:$CQ$60,$CI$53,FALSE),"")</f>
        <v/>
      </c>
      <c r="CN44" t="str">
        <f>IF(ELEMENT!$AO42=1,VLOOKUP($CA$3,$CF$55:$CQ$60,$CJ$53,FALSE),"")</f>
        <v/>
      </c>
      <c r="CO44" t="str">
        <f>IF(ELEMENT!$AO42=1,VLOOKUP($CA$3,$CF$55:$CQ$60,$CK$53,FALSE),"")</f>
        <v/>
      </c>
      <c r="CP44" t="str">
        <f>IF(ELEMENT!$AO42=1,VLOOKUP($CA$3,$CF$55:$CQ$60,$CN$53,FALSE),"")</f>
        <v/>
      </c>
      <c r="CQ44" t="str">
        <f>IF(ELEMENT!$AO42=1,VLOOKUP($CA$3,$CF$55:$CQ$60,$CO$53,FALSE),"")</f>
        <v/>
      </c>
      <c r="CR44" t="str">
        <f>IF(ELEMENT!$AO42=1,VLOOKUP($CA$3,$CF$55:$CQ$60,$CP$53,FALSE),"")</f>
        <v/>
      </c>
      <c r="CS44" t="str">
        <f>IF(ELEMENT!$AO42=1,VLOOKUP($CA$3,$CF$55:$CQ$60,$CQ$53,FALSE),"")</f>
        <v/>
      </c>
      <c r="CU44" t="str">
        <f>IF(ELEMENT!AO42="","",CK44*CP44)</f>
        <v/>
      </c>
      <c r="CV44" t="str">
        <f>IF(ELEMENT!AO42="","",CL44*CQ44)</f>
        <v/>
      </c>
      <c r="CW44" t="str">
        <f>IF(ELEMENT!AO42="","",CM44*CR44)</f>
        <v/>
      </c>
      <c r="CX44" t="str">
        <f>IF(ELEMENT!AO42="","",CN44*CS44)</f>
        <v/>
      </c>
      <c r="CZ44" t="str">
        <f>IF(ELEMENT!AO42="","",CB44*CU44*CI44/10^6)</f>
        <v/>
      </c>
      <c r="DA44" t="str">
        <f>IF(ELEMENT!AO42="","",CC44*CV44*CI44/10^6)</f>
        <v/>
      </c>
      <c r="DB44" t="str">
        <f>IF(ELEMENT!AO42="","",CD44*CW44*CI44/10^6)</f>
        <v/>
      </c>
      <c r="DC44" t="str">
        <f>IF(ELEMENT!AO42="","",CE44*CX44*CI44/10^6)</f>
        <v/>
      </c>
      <c r="DD44" t="str">
        <f>IF(ELEMENT!AO42="","",CO44*CF44*CI44/10^3)</f>
        <v/>
      </c>
      <c r="DE44" t="str">
        <f>IF(ELEMENT!AO42="","",SUM(CZ44:DD44))</f>
        <v/>
      </c>
      <c r="DG44" t="str">
        <f>IF(ELEMENT!$AO42=1,
VLOOKUP($CA$3,$CF$55:$CQ$60,$CL$53,FALSE),"")</f>
        <v/>
      </c>
      <c r="DH44" t="str">
        <f>IF(ELEMENT!$AO42=1,
VLOOKUP($CA$3,$CF$55:$CQ$60,$CM$53,FALSE),"")</f>
        <v/>
      </c>
      <c r="DJ44" t="str">
        <f>IF(ELEMENT!AO42=1,
IF(ELEMENT!L42=0,
VLOOKUP($CA$3,$CF$55:$CS$60,$CS$53,FALSE),
VLOOKUP($CA$3,$CF$55:$CS$60,$CR$53,FALSE)),"")</f>
        <v/>
      </c>
      <c r="DK44" t="str">
        <f>IF(ELEMENT!AO42=1,
IF(ELEMENT!M42=0,
VLOOKUP($CA$3,$CF$55:$CS$60,$CR$53,FALSE),
VLOOKUP($CA$3,$CF$55:$CS$60,$CS$53,FALSE)),"")</f>
        <v/>
      </c>
      <c r="DL44" t="str">
        <f>IF(ELEMENT!AO42="","",DG44*DJ44+DH44*DK44)</f>
        <v/>
      </c>
      <c r="DN44" t="str">
        <f>IF(ELEMENT!AO42="","",DL44*CG44/10^6)</f>
        <v/>
      </c>
      <c r="DP44" t="str">
        <f>IF(ELEMENT!AO42="","",DE44+DN44)</f>
        <v/>
      </c>
      <c r="DR44">
        <f t="shared" si="55"/>
        <v>0</v>
      </c>
      <c r="DS44" t="str">
        <f>IF(ELEMENT!AO42="","",(CI44*(CB44*CP44+CC44*CQ44+CD44*CR44+CE44*CS44)+CG44*(DJ44+DK44))/10^6)</f>
        <v/>
      </c>
      <c r="DT44" t="str">
        <f>IF(ELEMENT!AO42="","",DR44-DS44)</f>
        <v/>
      </c>
      <c r="DV44" t="str">
        <f>IF(ELEMENT!AO42="","",DP44/DS44)</f>
        <v/>
      </c>
      <c r="DX44" t="str">
        <f>IF(ELEMENT!AO42="","",ELEMENT!DI202)</f>
        <v/>
      </c>
      <c r="DY44" t="str">
        <f>IF(ELEMENT!AO42="","",DV44*DS44)</f>
        <v/>
      </c>
      <c r="DZ44" t="str">
        <f>IF(ELEMENT!AO42="","",DX44*DT44)</f>
        <v/>
      </c>
      <c r="EA44" t="str">
        <f>IF(ELEMENT!AO42="","",$EA$3*((2*(CG44-CB44*CP44-CC44*CQ44-CD44*CR44-CE44*CS44)/1000)+2*(CI44/1000)))</f>
        <v/>
      </c>
      <c r="EB44" t="str">
        <f>IF(ELEMENT!AO42="","",$EA$3*((CI44/1000)*(2*(CD44+CE44)))+$EA$3*(2*CF44*CI44/1000))</f>
        <v/>
      </c>
      <c r="EC44">
        <f ca="1">IF(ELEMENT!FY42="",SUM(DY44:EB44),"")</f>
        <v>0</v>
      </c>
      <c r="EE44" t="str">
        <f>IF(ELEMENT!AO42="","",
IF(ELEMENT!FY42="",(EC44/DR44),""))</f>
        <v/>
      </c>
      <c r="EF44" t="str">
        <f t="shared" si="56"/>
        <v/>
      </c>
      <c r="EG44" t="str">
        <f>IF(ELEMENT!AO42="","",EC44*ELEMENT!C42)</f>
        <v/>
      </c>
    </row>
    <row r="45" spans="1:137" ht="21" customHeight="1" x14ac:dyDescent="0.2">
      <c r="A45" s="332">
        <f>ELEMENT!A43</f>
        <v>0</v>
      </c>
      <c r="B45" s="331">
        <f>ELEMENT!B43</f>
        <v>0</v>
      </c>
      <c r="C45" s="330">
        <f>ELEMENT!C43</f>
        <v>0</v>
      </c>
      <c r="D45" s="329">
        <f t="shared" si="8"/>
        <v>0</v>
      </c>
      <c r="E45" s="329">
        <f t="shared" si="9"/>
        <v>0</v>
      </c>
      <c r="F45" s="329" t="str">
        <f t="shared" si="10"/>
        <v/>
      </c>
      <c r="G45" s="317"/>
      <c r="H45" s="328">
        <f t="shared" si="11"/>
        <v>0</v>
      </c>
      <c r="I45" s="328" t="str">
        <f t="shared" si="12"/>
        <v/>
      </c>
      <c r="J45" s="328">
        <f t="shared" si="13"/>
        <v>0</v>
      </c>
      <c r="K45" s="328">
        <f t="shared" si="14"/>
        <v>0</v>
      </c>
      <c r="L45" s="327" t="str">
        <f t="shared" si="15"/>
        <v/>
      </c>
      <c r="M45" s="317"/>
      <c r="N45" s="322" t="str">
        <f t="shared" si="16"/>
        <v/>
      </c>
      <c r="O45" s="322" t="str">
        <f t="shared" si="17"/>
        <v/>
      </c>
      <c r="P45" s="322" t="str">
        <f t="shared" si="18"/>
        <v/>
      </c>
      <c r="Q45" s="322" t="str">
        <f t="shared" si="19"/>
        <v/>
      </c>
      <c r="R45" s="322" t="str">
        <f t="shared" si="20"/>
        <v/>
      </c>
      <c r="S45" s="317"/>
      <c r="T45" s="315" t="str">
        <f t="shared" si="21"/>
        <v/>
      </c>
      <c r="U45" s="315" t="str">
        <f t="shared" si="22"/>
        <v/>
      </c>
      <c r="V45" s="315" t="str">
        <f t="shared" si="23"/>
        <v/>
      </c>
      <c r="W45" s="315" t="str">
        <f t="shared" si="24"/>
        <v/>
      </c>
      <c r="X45" s="317"/>
      <c r="Y45" s="327" t="str">
        <f t="shared" si="25"/>
        <v/>
      </c>
      <c r="Z45" s="327" t="str">
        <f t="shared" si="26"/>
        <v/>
      </c>
      <c r="AA45" s="327" t="str">
        <f t="shared" si="27"/>
        <v/>
      </c>
      <c r="AB45" s="327" t="str">
        <f t="shared" si="28"/>
        <v/>
      </c>
      <c r="AC45" s="317"/>
      <c r="AD45" s="322" t="str">
        <f t="shared" si="29"/>
        <v/>
      </c>
      <c r="AE45" s="322" t="str">
        <f t="shared" si="30"/>
        <v/>
      </c>
      <c r="AF45" s="322" t="str">
        <f t="shared" si="31"/>
        <v/>
      </c>
      <c r="AG45" s="322" t="str">
        <f t="shared" si="32"/>
        <v/>
      </c>
      <c r="AH45" s="322" t="str">
        <f t="shared" si="33"/>
        <v/>
      </c>
      <c r="AI45" s="322"/>
      <c r="AJ45" s="325" t="str">
        <f t="shared" si="34"/>
        <v/>
      </c>
      <c r="AK45" s="316"/>
      <c r="AL45" s="322" t="str">
        <f t="shared" si="35"/>
        <v/>
      </c>
      <c r="AM45" s="322" t="str">
        <f t="shared" si="36"/>
        <v/>
      </c>
      <c r="AN45" s="317"/>
      <c r="AO45" s="326" t="str">
        <f t="shared" si="37"/>
        <v/>
      </c>
      <c r="AP45" s="326" t="str">
        <f t="shared" si="38"/>
        <v/>
      </c>
      <c r="AQ45" s="317"/>
      <c r="AR45" s="322" t="str">
        <f t="shared" si="39"/>
        <v/>
      </c>
      <c r="AS45" s="325" t="str">
        <f t="shared" si="40"/>
        <v/>
      </c>
      <c r="AT45" s="316"/>
      <c r="AU45" s="324" t="str">
        <f t="shared" si="41"/>
        <v/>
      </c>
      <c r="AV45" s="316"/>
      <c r="AW45" s="322">
        <f t="shared" si="42"/>
        <v>0</v>
      </c>
      <c r="AX45" s="322" t="str">
        <f t="shared" si="43"/>
        <v/>
      </c>
      <c r="AY45" s="322" t="str">
        <f t="shared" si="44"/>
        <v/>
      </c>
      <c r="AZ45" s="316"/>
      <c r="BA45" s="321" t="str">
        <f t="shared" si="45"/>
        <v/>
      </c>
      <c r="BB45" s="316"/>
      <c r="BC45" s="323" t="str">
        <f t="shared" si="46"/>
        <v/>
      </c>
      <c r="BD45" s="323" t="str">
        <f>IFERROR(VZ!AB47,"")</f>
        <v/>
      </c>
      <c r="BE45" s="322" t="str">
        <f t="shared" si="47"/>
        <v/>
      </c>
      <c r="BF45" s="322" t="str">
        <f t="shared" si="48"/>
        <v/>
      </c>
      <c r="BG45" s="320" t="str">
        <f t="shared" si="49"/>
        <v/>
      </c>
      <c r="BH45" s="322" t="str">
        <f t="shared" si="50"/>
        <v/>
      </c>
      <c r="BI45" s="321">
        <f t="shared" ca="1" si="51"/>
        <v>0</v>
      </c>
      <c r="BJ45" s="316"/>
      <c r="BK45" s="320" t="str">
        <f t="shared" si="52"/>
        <v/>
      </c>
      <c r="BL45" s="319" t="str">
        <f t="shared" si="53"/>
        <v/>
      </c>
      <c r="BM45" s="318" t="str">
        <f t="shared" si="54"/>
        <v/>
      </c>
      <c r="CB45">
        <f>ELEMENT!R43</f>
        <v>0</v>
      </c>
      <c r="CC45" t="str">
        <f>IF(ELEMENT!AO43="","",(2-CB45-CF45))</f>
        <v/>
      </c>
      <c r="CD45">
        <f>ELEMENT!S43</f>
        <v>0</v>
      </c>
      <c r="CE45">
        <f>ELEMENT!T43</f>
        <v>0</v>
      </c>
      <c r="CF45" t="str">
        <f>IF(ELEMENT!AO43="","",IF(ELEMENT!P43="R",1,IF(ELEMENT!P43="L",1,IF(ELEMENT!P43=2,2,0))))</f>
        <v/>
      </c>
      <c r="CG45">
        <f>ELEMENT!AS43</f>
        <v>0</v>
      </c>
      <c r="CH45">
        <f>ELEMENT!AT43</f>
        <v>0</v>
      </c>
      <c r="CI45" t="str">
        <f>IF(ELEMENT!AO43="","",ELEMENT!AT43-(ELEMENT!L43*CJ$69+ELEMENT!M43*CK$69))</f>
        <v/>
      </c>
      <c r="CK45" t="str">
        <f>IF(ELEMENT!$AO43=1,VLOOKUP($CA$3,$CF$55:$CQ$60,$CG$53,FALSE),"")</f>
        <v/>
      </c>
      <c r="CL45" t="str">
        <f>IF(ELEMENT!$AO43=1,VLOOKUP($CA$3,$CF$55:$CQ$60,$CH$53,FALSE),"")</f>
        <v/>
      </c>
      <c r="CM45" t="str">
        <f>IF(ELEMENT!$AO43=1,VLOOKUP($CA$3,$CF$55:$CQ$60,$CI$53,FALSE),"")</f>
        <v/>
      </c>
      <c r="CN45" t="str">
        <f>IF(ELEMENT!$AO43=1,VLOOKUP($CA$3,$CF$55:$CQ$60,$CJ$53,FALSE),"")</f>
        <v/>
      </c>
      <c r="CO45" t="str">
        <f>IF(ELEMENT!$AO43=1,VLOOKUP($CA$3,$CF$55:$CQ$60,$CK$53,FALSE),"")</f>
        <v/>
      </c>
      <c r="CP45" t="str">
        <f>IF(ELEMENT!$AO43=1,VLOOKUP($CA$3,$CF$55:$CQ$60,$CN$53,FALSE),"")</f>
        <v/>
      </c>
      <c r="CQ45" t="str">
        <f>IF(ELEMENT!$AO43=1,VLOOKUP($CA$3,$CF$55:$CQ$60,$CO$53,FALSE),"")</f>
        <v/>
      </c>
      <c r="CR45" t="str">
        <f>IF(ELEMENT!$AO43=1,VLOOKUP($CA$3,$CF$55:$CQ$60,$CP$53,FALSE),"")</f>
        <v/>
      </c>
      <c r="CS45" t="str">
        <f>IF(ELEMENT!$AO43=1,VLOOKUP($CA$3,$CF$55:$CQ$60,$CQ$53,FALSE),"")</f>
        <v/>
      </c>
      <c r="CU45" t="str">
        <f>IF(ELEMENT!AO43="","",CK45*CP45)</f>
        <v/>
      </c>
      <c r="CV45" t="str">
        <f>IF(ELEMENT!AO43="","",CL45*CQ45)</f>
        <v/>
      </c>
      <c r="CW45" t="str">
        <f>IF(ELEMENT!AO43="","",CM45*CR45)</f>
        <v/>
      </c>
      <c r="CX45" t="str">
        <f>IF(ELEMENT!AO43="","",CN45*CS45)</f>
        <v/>
      </c>
      <c r="CZ45" t="str">
        <f>IF(ELEMENT!AO43="","",CB45*CU45*CI45/10^6)</f>
        <v/>
      </c>
      <c r="DA45" t="str">
        <f>IF(ELEMENT!AO43="","",CC45*CV45*CI45/10^6)</f>
        <v/>
      </c>
      <c r="DB45" t="str">
        <f>IF(ELEMENT!AO43="","",CD45*CW45*CI45/10^6)</f>
        <v/>
      </c>
      <c r="DC45" t="str">
        <f>IF(ELEMENT!AO43="","",CE45*CX45*CI45/10^6)</f>
        <v/>
      </c>
      <c r="DD45" t="str">
        <f>IF(ELEMENT!AO43="","",CO45*CF45*CI45/10^3)</f>
        <v/>
      </c>
      <c r="DE45" t="str">
        <f>IF(ELEMENT!AO43="","",SUM(CZ45:DD45))</f>
        <v/>
      </c>
      <c r="DG45" t="str">
        <f>IF(ELEMENT!$AO43=1,
VLOOKUP($CA$3,$CF$55:$CQ$60,$CL$53,FALSE),"")</f>
        <v/>
      </c>
      <c r="DH45" t="str">
        <f>IF(ELEMENT!$AO43=1,
VLOOKUP($CA$3,$CF$55:$CQ$60,$CM$53,FALSE),"")</f>
        <v/>
      </c>
      <c r="DJ45" t="str">
        <f>IF(ELEMENT!AO43=1,
IF(ELEMENT!L43=0,
VLOOKUP($CA$3,$CF$55:$CS$60,$CS$53,FALSE),
VLOOKUP($CA$3,$CF$55:$CS$60,$CR$53,FALSE)),"")</f>
        <v/>
      </c>
      <c r="DK45" t="str">
        <f>IF(ELEMENT!AO43=1,
IF(ELEMENT!M43=0,
VLOOKUP($CA$3,$CF$55:$CS$60,$CR$53,FALSE),
VLOOKUP($CA$3,$CF$55:$CS$60,$CS$53,FALSE)),"")</f>
        <v/>
      </c>
      <c r="DL45" t="str">
        <f>IF(ELEMENT!AO43="","",DG45*DJ45+DH45*DK45)</f>
        <v/>
      </c>
      <c r="DN45" t="str">
        <f>IF(ELEMENT!AO43="","",DL45*CG45/10^6)</f>
        <v/>
      </c>
      <c r="DP45" t="str">
        <f>IF(ELEMENT!AO43="","",DE45+DN45)</f>
        <v/>
      </c>
      <c r="DR45">
        <f t="shared" si="55"/>
        <v>0</v>
      </c>
      <c r="DS45" t="str">
        <f>IF(ELEMENT!AO43="","",(CI45*(CB45*CP45+CC45*CQ45+CD45*CR45+CE45*CS45)+CG45*(DJ45+DK45))/10^6)</f>
        <v/>
      </c>
      <c r="DT45" t="str">
        <f>IF(ELEMENT!AO43="","",DR45-DS45)</f>
        <v/>
      </c>
      <c r="DV45" t="str">
        <f>IF(ELEMENT!AO43="","",DP45/DS45)</f>
        <v/>
      </c>
      <c r="DX45" t="str">
        <f>IF(ELEMENT!AO43="","",ELEMENT!DI203)</f>
        <v/>
      </c>
      <c r="DY45" t="str">
        <f>IF(ELEMENT!AO43="","",DV45*DS45)</f>
        <v/>
      </c>
      <c r="DZ45" t="str">
        <f>IF(ELEMENT!AO43="","",DX45*DT45)</f>
        <v/>
      </c>
      <c r="EA45" t="str">
        <f>IF(ELEMENT!AO43="","",$EA$3*((2*(CG45-CB45*CP45-CC45*CQ45-CD45*CR45-CE45*CS45)/1000)+2*(CI45/1000)))</f>
        <v/>
      </c>
      <c r="EB45" t="str">
        <f>IF(ELEMENT!AO43="","",$EA$3*((CI45/1000)*(2*(CD45+CE45)))+$EA$3*(2*CF45*CI45/1000))</f>
        <v/>
      </c>
      <c r="EC45">
        <f ca="1">IF(ELEMENT!FY43="",SUM(DY45:EB45),"")</f>
        <v>0</v>
      </c>
      <c r="EE45" t="str">
        <f>IF(ELEMENT!AO43="","",
IF(ELEMENT!FY43="",(EC45/DR45),""))</f>
        <v/>
      </c>
      <c r="EF45" t="str">
        <f t="shared" si="56"/>
        <v/>
      </c>
      <c r="EG45" t="str">
        <f>IF(ELEMENT!AO43="","",EC45*ELEMENT!C43)</f>
        <v/>
      </c>
    </row>
    <row r="46" spans="1:137" ht="21" customHeight="1" x14ac:dyDescent="0.2">
      <c r="A46" s="332">
        <f>ELEMENT!A44</f>
        <v>0</v>
      </c>
      <c r="B46" s="331">
        <f>ELEMENT!B44</f>
        <v>0</v>
      </c>
      <c r="C46" s="330">
        <f>ELEMENT!C44</f>
        <v>0</v>
      </c>
      <c r="D46" s="329">
        <f t="shared" si="8"/>
        <v>0</v>
      </c>
      <c r="E46" s="329">
        <f t="shared" si="9"/>
        <v>0</v>
      </c>
      <c r="F46" s="329" t="str">
        <f t="shared" si="10"/>
        <v/>
      </c>
      <c r="G46" s="317"/>
      <c r="H46" s="328">
        <f t="shared" si="11"/>
        <v>0</v>
      </c>
      <c r="I46" s="328" t="str">
        <f t="shared" si="12"/>
        <v/>
      </c>
      <c r="J46" s="328">
        <f t="shared" si="13"/>
        <v>0</v>
      </c>
      <c r="K46" s="328">
        <f t="shared" si="14"/>
        <v>0</v>
      </c>
      <c r="L46" s="327" t="str">
        <f t="shared" si="15"/>
        <v/>
      </c>
      <c r="M46" s="317"/>
      <c r="N46" s="322" t="str">
        <f t="shared" si="16"/>
        <v/>
      </c>
      <c r="O46" s="322" t="str">
        <f t="shared" si="17"/>
        <v/>
      </c>
      <c r="P46" s="322" t="str">
        <f t="shared" si="18"/>
        <v/>
      </c>
      <c r="Q46" s="322" t="str">
        <f t="shared" si="19"/>
        <v/>
      </c>
      <c r="R46" s="322" t="str">
        <f t="shared" si="20"/>
        <v/>
      </c>
      <c r="S46" s="317"/>
      <c r="T46" s="315" t="str">
        <f t="shared" si="21"/>
        <v/>
      </c>
      <c r="U46" s="315" t="str">
        <f t="shared" si="22"/>
        <v/>
      </c>
      <c r="V46" s="315" t="str">
        <f t="shared" si="23"/>
        <v/>
      </c>
      <c r="W46" s="315" t="str">
        <f t="shared" si="24"/>
        <v/>
      </c>
      <c r="X46" s="317"/>
      <c r="Y46" s="327" t="str">
        <f t="shared" si="25"/>
        <v/>
      </c>
      <c r="Z46" s="327" t="str">
        <f t="shared" si="26"/>
        <v/>
      </c>
      <c r="AA46" s="327" t="str">
        <f t="shared" si="27"/>
        <v/>
      </c>
      <c r="AB46" s="327" t="str">
        <f t="shared" si="28"/>
        <v/>
      </c>
      <c r="AC46" s="317"/>
      <c r="AD46" s="322" t="str">
        <f t="shared" si="29"/>
        <v/>
      </c>
      <c r="AE46" s="322" t="str">
        <f t="shared" si="30"/>
        <v/>
      </c>
      <c r="AF46" s="322" t="str">
        <f t="shared" si="31"/>
        <v/>
      </c>
      <c r="AG46" s="322" t="str">
        <f t="shared" si="32"/>
        <v/>
      </c>
      <c r="AH46" s="322" t="str">
        <f t="shared" si="33"/>
        <v/>
      </c>
      <c r="AI46" s="322"/>
      <c r="AJ46" s="325" t="str">
        <f t="shared" si="34"/>
        <v/>
      </c>
      <c r="AK46" s="316"/>
      <c r="AL46" s="322" t="str">
        <f t="shared" si="35"/>
        <v/>
      </c>
      <c r="AM46" s="322" t="str">
        <f t="shared" si="36"/>
        <v/>
      </c>
      <c r="AN46" s="317"/>
      <c r="AO46" s="326" t="str">
        <f t="shared" si="37"/>
        <v/>
      </c>
      <c r="AP46" s="326" t="str">
        <f t="shared" si="38"/>
        <v/>
      </c>
      <c r="AQ46" s="317"/>
      <c r="AR46" s="322" t="str">
        <f t="shared" si="39"/>
        <v/>
      </c>
      <c r="AS46" s="325" t="str">
        <f t="shared" si="40"/>
        <v/>
      </c>
      <c r="AT46" s="316"/>
      <c r="AU46" s="324" t="str">
        <f t="shared" si="41"/>
        <v/>
      </c>
      <c r="AV46" s="316"/>
      <c r="AW46" s="322">
        <f t="shared" si="42"/>
        <v>0</v>
      </c>
      <c r="AX46" s="322" t="str">
        <f t="shared" si="43"/>
        <v/>
      </c>
      <c r="AY46" s="322" t="str">
        <f t="shared" si="44"/>
        <v/>
      </c>
      <c r="AZ46" s="316"/>
      <c r="BA46" s="321" t="str">
        <f t="shared" si="45"/>
        <v/>
      </c>
      <c r="BB46" s="316"/>
      <c r="BC46" s="323" t="str">
        <f t="shared" si="46"/>
        <v/>
      </c>
      <c r="BD46" s="323" t="str">
        <f>IFERROR(VZ!AB48,"")</f>
        <v/>
      </c>
      <c r="BE46" s="322" t="str">
        <f t="shared" si="47"/>
        <v/>
      </c>
      <c r="BF46" s="322" t="str">
        <f t="shared" si="48"/>
        <v/>
      </c>
      <c r="BG46" s="320" t="str">
        <f t="shared" si="49"/>
        <v/>
      </c>
      <c r="BH46" s="322" t="str">
        <f t="shared" si="50"/>
        <v/>
      </c>
      <c r="BI46" s="321">
        <f t="shared" ca="1" si="51"/>
        <v>0</v>
      </c>
      <c r="BJ46" s="316"/>
      <c r="BK46" s="320" t="str">
        <f t="shared" si="52"/>
        <v/>
      </c>
      <c r="BL46" s="319" t="str">
        <f t="shared" si="53"/>
        <v/>
      </c>
      <c r="BM46" s="318" t="str">
        <f t="shared" si="54"/>
        <v/>
      </c>
      <c r="CB46">
        <f>ELEMENT!R44</f>
        <v>0</v>
      </c>
      <c r="CC46" t="str">
        <f>IF(ELEMENT!AO44="","",(2-CB46-CF46))</f>
        <v/>
      </c>
      <c r="CD46">
        <f>ELEMENT!S44</f>
        <v>0</v>
      </c>
      <c r="CE46">
        <f>ELEMENT!T44</f>
        <v>0</v>
      </c>
      <c r="CF46" t="str">
        <f>IF(ELEMENT!AO44="","",IF(ELEMENT!P44="R",1,IF(ELEMENT!P44="L",1,IF(ELEMENT!P44=2,2,0))))</f>
        <v/>
      </c>
      <c r="CG46">
        <f>ELEMENT!AS44</f>
        <v>0</v>
      </c>
      <c r="CH46">
        <f>ELEMENT!AT44</f>
        <v>0</v>
      </c>
      <c r="CI46" t="str">
        <f>IF(ELEMENT!AO44="","",ELEMENT!AT44-(ELEMENT!L44*CJ$69+ELEMENT!M44*CK$69))</f>
        <v/>
      </c>
      <c r="CK46" t="str">
        <f>IF(ELEMENT!$AO44=1,VLOOKUP($CA$3,$CF$55:$CQ$60,$CG$53,FALSE),"")</f>
        <v/>
      </c>
      <c r="CL46" t="str">
        <f>IF(ELEMENT!$AO44=1,VLOOKUP($CA$3,$CF$55:$CQ$60,$CH$53,FALSE),"")</f>
        <v/>
      </c>
      <c r="CM46" t="str">
        <f>IF(ELEMENT!$AO44=1,VLOOKUP($CA$3,$CF$55:$CQ$60,$CI$53,FALSE),"")</f>
        <v/>
      </c>
      <c r="CN46" t="str">
        <f>IF(ELEMENT!$AO44=1,VLOOKUP($CA$3,$CF$55:$CQ$60,$CJ$53,FALSE),"")</f>
        <v/>
      </c>
      <c r="CO46" t="str">
        <f>IF(ELEMENT!$AO44=1,VLOOKUP($CA$3,$CF$55:$CQ$60,$CK$53,FALSE),"")</f>
        <v/>
      </c>
      <c r="CP46" t="str">
        <f>IF(ELEMENT!$AO44=1,VLOOKUP($CA$3,$CF$55:$CQ$60,$CN$53,FALSE),"")</f>
        <v/>
      </c>
      <c r="CQ46" t="str">
        <f>IF(ELEMENT!$AO44=1,VLOOKUP($CA$3,$CF$55:$CQ$60,$CO$53,FALSE),"")</f>
        <v/>
      </c>
      <c r="CR46" t="str">
        <f>IF(ELEMENT!$AO44=1,VLOOKUP($CA$3,$CF$55:$CQ$60,$CP$53,FALSE),"")</f>
        <v/>
      </c>
      <c r="CS46" t="str">
        <f>IF(ELEMENT!$AO44=1,VLOOKUP($CA$3,$CF$55:$CQ$60,$CQ$53,FALSE),"")</f>
        <v/>
      </c>
      <c r="CU46" t="str">
        <f>IF(ELEMENT!AO44="","",CK46*CP46)</f>
        <v/>
      </c>
      <c r="CV46" t="str">
        <f>IF(ELEMENT!AO44="","",CL46*CQ46)</f>
        <v/>
      </c>
      <c r="CW46" t="str">
        <f>IF(ELEMENT!AO44="","",CM46*CR46)</f>
        <v/>
      </c>
      <c r="CX46" t="str">
        <f>IF(ELEMENT!AO44="","",CN46*CS46)</f>
        <v/>
      </c>
      <c r="CZ46" t="str">
        <f>IF(ELEMENT!AO44="","",CB46*CU46*CI46/10^6)</f>
        <v/>
      </c>
      <c r="DA46" t="str">
        <f>IF(ELEMENT!AO44="","",CC46*CV46*CI46/10^6)</f>
        <v/>
      </c>
      <c r="DB46" t="str">
        <f>IF(ELEMENT!AO44="","",CD46*CW46*CI46/10^6)</f>
        <v/>
      </c>
      <c r="DC46" t="str">
        <f>IF(ELEMENT!AO44="","",CE46*CX46*CI46/10^6)</f>
        <v/>
      </c>
      <c r="DD46" t="str">
        <f>IF(ELEMENT!AO44="","",CO46*CF46*CI46/10^3)</f>
        <v/>
      </c>
      <c r="DE46" t="str">
        <f>IF(ELEMENT!AO44="","",SUM(CZ46:DD46))</f>
        <v/>
      </c>
      <c r="DG46" t="str">
        <f>IF(ELEMENT!$AO44=1,
VLOOKUP($CA$3,$CF$55:$CQ$60,$CL$53,FALSE),"")</f>
        <v/>
      </c>
      <c r="DH46" t="str">
        <f>IF(ELEMENT!$AO44=1,
VLOOKUP($CA$3,$CF$55:$CQ$60,$CM$53,FALSE),"")</f>
        <v/>
      </c>
      <c r="DJ46" t="str">
        <f>IF(ELEMENT!AO44=1,
IF(ELEMENT!L44=0,
VLOOKUP($CA$3,$CF$55:$CS$60,$CS$53,FALSE),
VLOOKUP($CA$3,$CF$55:$CS$60,$CR$53,FALSE)),"")</f>
        <v/>
      </c>
      <c r="DK46" t="str">
        <f>IF(ELEMENT!AO44=1,
IF(ELEMENT!M44=0,
VLOOKUP($CA$3,$CF$55:$CS$60,$CR$53,FALSE),
VLOOKUP($CA$3,$CF$55:$CS$60,$CS$53,FALSE)),"")</f>
        <v/>
      </c>
      <c r="DL46" t="str">
        <f>IF(ELEMENT!AO44="","",DG46*DJ46+DH46*DK46)</f>
        <v/>
      </c>
      <c r="DN46" t="str">
        <f>IF(ELEMENT!AO44="","",DL46*CG46/10^6)</f>
        <v/>
      </c>
      <c r="DP46" t="str">
        <f>IF(ELEMENT!AO44="","",DE46+DN46)</f>
        <v/>
      </c>
      <c r="DR46">
        <f t="shared" si="55"/>
        <v>0</v>
      </c>
      <c r="DS46" t="str">
        <f>IF(ELEMENT!AO44="","",(CI46*(CB46*CP46+CC46*CQ46+CD46*CR46+CE46*CS46)+CG46*(DJ46+DK46))/10^6)</f>
        <v/>
      </c>
      <c r="DT46" t="str">
        <f>IF(ELEMENT!AO44="","",DR46-DS46)</f>
        <v/>
      </c>
      <c r="DV46" t="str">
        <f>IF(ELEMENT!AO44="","",DP46/DS46)</f>
        <v/>
      </c>
      <c r="DX46" t="str">
        <f>IF(ELEMENT!AO44="","",ELEMENT!DI204)</f>
        <v/>
      </c>
      <c r="DY46" t="str">
        <f>IF(ELEMENT!AO44="","",DV46*DS46)</f>
        <v/>
      </c>
      <c r="DZ46" t="str">
        <f>IF(ELEMENT!AO44="","",DX46*DT46)</f>
        <v/>
      </c>
      <c r="EA46" t="str">
        <f>IF(ELEMENT!AO44="","",$EA$3*((2*(CG46-CB46*CP46-CC46*CQ46-CD46*CR46-CE46*CS46)/1000)+2*(CI46/1000)))</f>
        <v/>
      </c>
      <c r="EB46" t="str">
        <f>IF(ELEMENT!AO44="","",$EA$3*((CI46/1000)*(2*(CD46+CE46)))+$EA$3*(2*CF46*CI46/1000))</f>
        <v/>
      </c>
      <c r="EC46">
        <f ca="1">IF(ELEMENT!FY44="",SUM(DY46:EB46),"")</f>
        <v>0</v>
      </c>
      <c r="EE46" t="str">
        <f>IF(ELEMENT!AO44="","",
IF(ELEMENT!FY44="",(EC46/DR46),""))</f>
        <v/>
      </c>
      <c r="EF46" t="str">
        <f t="shared" si="56"/>
        <v/>
      </c>
      <c r="EG46" t="str">
        <f>IF(ELEMENT!AO44="","",EC46*ELEMENT!C44)</f>
        <v/>
      </c>
    </row>
    <row r="47" spans="1:137" ht="21" customHeight="1" x14ac:dyDescent="0.2">
      <c r="A47" s="332">
        <f>ELEMENT!A45</f>
        <v>0</v>
      </c>
      <c r="B47" s="331">
        <f>ELEMENT!B45</f>
        <v>0</v>
      </c>
      <c r="C47" s="330">
        <f>ELEMENT!C45</f>
        <v>0</v>
      </c>
      <c r="D47" s="329">
        <f t="shared" si="8"/>
        <v>0</v>
      </c>
      <c r="E47" s="329">
        <f t="shared" si="9"/>
        <v>0</v>
      </c>
      <c r="F47" s="329" t="str">
        <f t="shared" si="10"/>
        <v/>
      </c>
      <c r="G47" s="317"/>
      <c r="H47" s="328">
        <f t="shared" si="11"/>
        <v>0</v>
      </c>
      <c r="I47" s="328" t="str">
        <f t="shared" si="12"/>
        <v/>
      </c>
      <c r="J47" s="328">
        <f t="shared" si="13"/>
        <v>0</v>
      </c>
      <c r="K47" s="328">
        <f t="shared" si="14"/>
        <v>0</v>
      </c>
      <c r="L47" s="327" t="str">
        <f t="shared" si="15"/>
        <v/>
      </c>
      <c r="M47" s="317"/>
      <c r="N47" s="322" t="str">
        <f t="shared" si="16"/>
        <v/>
      </c>
      <c r="O47" s="322" t="str">
        <f t="shared" si="17"/>
        <v/>
      </c>
      <c r="P47" s="322" t="str">
        <f t="shared" si="18"/>
        <v/>
      </c>
      <c r="Q47" s="322" t="str">
        <f t="shared" si="19"/>
        <v/>
      </c>
      <c r="R47" s="322" t="str">
        <f t="shared" si="20"/>
        <v/>
      </c>
      <c r="S47" s="317"/>
      <c r="T47" s="315" t="str">
        <f t="shared" si="21"/>
        <v/>
      </c>
      <c r="U47" s="315" t="str">
        <f t="shared" si="22"/>
        <v/>
      </c>
      <c r="V47" s="315" t="str">
        <f t="shared" si="23"/>
        <v/>
      </c>
      <c r="W47" s="315" t="str">
        <f t="shared" si="24"/>
        <v/>
      </c>
      <c r="X47" s="317"/>
      <c r="Y47" s="327" t="str">
        <f t="shared" si="25"/>
        <v/>
      </c>
      <c r="Z47" s="327" t="str">
        <f t="shared" si="26"/>
        <v/>
      </c>
      <c r="AA47" s="327" t="str">
        <f t="shared" si="27"/>
        <v/>
      </c>
      <c r="AB47" s="327" t="str">
        <f t="shared" si="28"/>
        <v/>
      </c>
      <c r="AC47" s="317"/>
      <c r="AD47" s="322" t="str">
        <f t="shared" si="29"/>
        <v/>
      </c>
      <c r="AE47" s="322" t="str">
        <f t="shared" si="30"/>
        <v/>
      </c>
      <c r="AF47" s="322" t="str">
        <f t="shared" si="31"/>
        <v/>
      </c>
      <c r="AG47" s="322" t="str">
        <f t="shared" si="32"/>
        <v/>
      </c>
      <c r="AH47" s="322" t="str">
        <f t="shared" si="33"/>
        <v/>
      </c>
      <c r="AI47" s="322"/>
      <c r="AJ47" s="325" t="str">
        <f t="shared" si="34"/>
        <v/>
      </c>
      <c r="AK47" s="316"/>
      <c r="AL47" s="322" t="str">
        <f t="shared" si="35"/>
        <v/>
      </c>
      <c r="AM47" s="322" t="str">
        <f t="shared" si="36"/>
        <v/>
      </c>
      <c r="AN47" s="317"/>
      <c r="AO47" s="326" t="str">
        <f t="shared" si="37"/>
        <v/>
      </c>
      <c r="AP47" s="326" t="str">
        <f t="shared" si="38"/>
        <v/>
      </c>
      <c r="AQ47" s="317"/>
      <c r="AR47" s="322" t="str">
        <f t="shared" si="39"/>
        <v/>
      </c>
      <c r="AS47" s="325" t="str">
        <f t="shared" si="40"/>
        <v/>
      </c>
      <c r="AT47" s="316"/>
      <c r="AU47" s="324" t="str">
        <f t="shared" si="41"/>
        <v/>
      </c>
      <c r="AV47" s="316"/>
      <c r="AW47" s="322">
        <f t="shared" si="42"/>
        <v>0</v>
      </c>
      <c r="AX47" s="322" t="str">
        <f t="shared" si="43"/>
        <v/>
      </c>
      <c r="AY47" s="322" t="str">
        <f t="shared" si="44"/>
        <v/>
      </c>
      <c r="AZ47" s="316"/>
      <c r="BA47" s="321" t="str">
        <f t="shared" si="45"/>
        <v/>
      </c>
      <c r="BB47" s="316"/>
      <c r="BC47" s="323" t="str">
        <f t="shared" si="46"/>
        <v/>
      </c>
      <c r="BD47" s="323" t="str">
        <f>IFERROR(VZ!AB49,"")</f>
        <v/>
      </c>
      <c r="BE47" s="322" t="str">
        <f t="shared" si="47"/>
        <v/>
      </c>
      <c r="BF47" s="322" t="str">
        <f t="shared" si="48"/>
        <v/>
      </c>
      <c r="BG47" s="320" t="str">
        <f t="shared" si="49"/>
        <v/>
      </c>
      <c r="BH47" s="322" t="str">
        <f t="shared" si="50"/>
        <v/>
      </c>
      <c r="BI47" s="321">
        <f t="shared" ca="1" si="51"/>
        <v>0</v>
      </c>
      <c r="BJ47" s="316"/>
      <c r="BK47" s="320" t="str">
        <f t="shared" si="52"/>
        <v/>
      </c>
      <c r="BL47" s="319" t="str">
        <f t="shared" si="53"/>
        <v/>
      </c>
      <c r="BM47" s="318" t="str">
        <f t="shared" si="54"/>
        <v/>
      </c>
      <c r="CB47">
        <f>ELEMENT!R45</f>
        <v>0</v>
      </c>
      <c r="CC47" t="str">
        <f>IF(ELEMENT!AO45="","",(2-CB47-CF47))</f>
        <v/>
      </c>
      <c r="CD47">
        <f>ELEMENT!S45</f>
        <v>0</v>
      </c>
      <c r="CE47">
        <f>ELEMENT!T45</f>
        <v>0</v>
      </c>
      <c r="CF47" t="str">
        <f>IF(ELEMENT!AO45="","",IF(ELEMENT!P45="R",1,IF(ELEMENT!P45="L",1,IF(ELEMENT!P45=2,2,0))))</f>
        <v/>
      </c>
      <c r="CG47">
        <f>ELEMENT!AS45</f>
        <v>0</v>
      </c>
      <c r="CH47">
        <f>ELEMENT!AT45</f>
        <v>0</v>
      </c>
      <c r="CI47" t="str">
        <f>IF(ELEMENT!AO45="","",ELEMENT!AT45-(ELEMENT!L45*CJ$69+ELEMENT!M45*CK$69))</f>
        <v/>
      </c>
      <c r="CK47" t="str">
        <f>IF(ELEMENT!$AO45=1,VLOOKUP($CA$3,$CF$55:$CQ$60,$CG$53,FALSE),"")</f>
        <v/>
      </c>
      <c r="CL47" t="str">
        <f>IF(ELEMENT!$AO45=1,VLOOKUP($CA$3,$CF$55:$CQ$60,$CH$53,FALSE),"")</f>
        <v/>
      </c>
      <c r="CM47" t="str">
        <f>IF(ELEMENT!$AO45=1,VLOOKUP($CA$3,$CF$55:$CQ$60,$CI$53,FALSE),"")</f>
        <v/>
      </c>
      <c r="CN47" t="str">
        <f>IF(ELEMENT!$AO45=1,VLOOKUP($CA$3,$CF$55:$CQ$60,$CJ$53,FALSE),"")</f>
        <v/>
      </c>
      <c r="CO47" t="str">
        <f>IF(ELEMENT!$AO45=1,VLOOKUP($CA$3,$CF$55:$CQ$60,$CK$53,FALSE),"")</f>
        <v/>
      </c>
      <c r="CP47" t="str">
        <f>IF(ELEMENT!$AO45=1,VLOOKUP($CA$3,$CF$55:$CQ$60,$CN$53,FALSE),"")</f>
        <v/>
      </c>
      <c r="CQ47" t="str">
        <f>IF(ELEMENT!$AO45=1,VLOOKUP($CA$3,$CF$55:$CQ$60,$CO$53,FALSE),"")</f>
        <v/>
      </c>
      <c r="CR47" t="str">
        <f>IF(ELEMENT!$AO45=1,VLOOKUP($CA$3,$CF$55:$CQ$60,$CP$53,FALSE),"")</f>
        <v/>
      </c>
      <c r="CS47" t="str">
        <f>IF(ELEMENT!$AO45=1,VLOOKUP($CA$3,$CF$55:$CQ$60,$CQ$53,FALSE),"")</f>
        <v/>
      </c>
      <c r="CU47" t="str">
        <f>IF(ELEMENT!AO45="","",CK47*CP47)</f>
        <v/>
      </c>
      <c r="CV47" t="str">
        <f>IF(ELEMENT!AO45="","",CL47*CQ47)</f>
        <v/>
      </c>
      <c r="CW47" t="str">
        <f>IF(ELEMENT!AO45="","",CM47*CR47)</f>
        <v/>
      </c>
      <c r="CX47" t="str">
        <f>IF(ELEMENT!AO45="","",CN47*CS47)</f>
        <v/>
      </c>
      <c r="CZ47" t="str">
        <f>IF(ELEMENT!AO45="","",CB47*CU47*CI47/10^6)</f>
        <v/>
      </c>
      <c r="DA47" t="str">
        <f>IF(ELEMENT!AO45="","",CC47*CV47*CI47/10^6)</f>
        <v/>
      </c>
      <c r="DB47" t="str">
        <f>IF(ELEMENT!AO45="","",CD47*CW47*CI47/10^6)</f>
        <v/>
      </c>
      <c r="DC47" t="str">
        <f>IF(ELEMENT!AO45="","",CE47*CX47*CI47/10^6)</f>
        <v/>
      </c>
      <c r="DD47" t="str">
        <f>IF(ELEMENT!AO45="","",CO47*CF47*CI47/10^3)</f>
        <v/>
      </c>
      <c r="DE47" t="str">
        <f>IF(ELEMENT!AO45="","",SUM(CZ47:DD47))</f>
        <v/>
      </c>
      <c r="DG47" t="str">
        <f>IF(ELEMENT!$AO45=1,
VLOOKUP($CA$3,$CF$55:$CQ$60,$CL$53,FALSE),"")</f>
        <v/>
      </c>
      <c r="DH47" t="str">
        <f>IF(ELEMENT!$AO45=1,
VLOOKUP($CA$3,$CF$55:$CQ$60,$CM$53,FALSE),"")</f>
        <v/>
      </c>
      <c r="DJ47" t="str">
        <f>IF(ELEMENT!AO45=1,
IF(ELEMENT!L45=0,
VLOOKUP($CA$3,$CF$55:$CS$60,$CS$53,FALSE),
VLOOKUP($CA$3,$CF$55:$CS$60,$CR$53,FALSE)),"")</f>
        <v/>
      </c>
      <c r="DK47" t="str">
        <f>IF(ELEMENT!AO45=1,
IF(ELEMENT!M45=0,
VLOOKUP($CA$3,$CF$55:$CS$60,$CR$53,FALSE),
VLOOKUP($CA$3,$CF$55:$CS$60,$CS$53,FALSE)),"")</f>
        <v/>
      </c>
      <c r="DL47" t="str">
        <f>IF(ELEMENT!AO45="","",DG47*DJ47+DH47*DK47)</f>
        <v/>
      </c>
      <c r="DN47" t="str">
        <f>IF(ELEMENT!AO45="","",DL47*CG47/10^6)</f>
        <v/>
      </c>
      <c r="DP47" t="str">
        <f>IF(ELEMENT!AO45="","",DE47+DN47)</f>
        <v/>
      </c>
      <c r="DR47">
        <f t="shared" si="55"/>
        <v>0</v>
      </c>
      <c r="DS47" t="str">
        <f>IF(ELEMENT!AO45="","",(CI47*(CB47*CP47+CC47*CQ47+CD47*CR47+CE47*CS47)+CG47*(DJ47+DK47))/10^6)</f>
        <v/>
      </c>
      <c r="DT47" t="str">
        <f>IF(ELEMENT!AO45="","",DR47-DS47)</f>
        <v/>
      </c>
      <c r="DV47" t="str">
        <f>IF(ELEMENT!AO45="","",DP47/DS47)</f>
        <v/>
      </c>
      <c r="DX47" t="str">
        <f>IF(ELEMENT!AO45="","",ELEMENT!DI205)</f>
        <v/>
      </c>
      <c r="DY47" t="str">
        <f>IF(ELEMENT!AO45="","",DV47*DS47)</f>
        <v/>
      </c>
      <c r="DZ47" t="str">
        <f>IF(ELEMENT!AO45="","",DX47*DT47)</f>
        <v/>
      </c>
      <c r="EA47" t="str">
        <f>IF(ELEMENT!AO45="","",$EA$3*((2*(CG47-CB47*CP47-CC47*CQ47-CD47*CR47-CE47*CS47)/1000)+2*(CI47/1000)))</f>
        <v/>
      </c>
      <c r="EB47" t="str">
        <f>IF(ELEMENT!AO45="","",$EA$3*((CI47/1000)*(2*(CD47+CE47)))+$EA$3*(2*CF47*CI47/1000))</f>
        <v/>
      </c>
      <c r="EC47">
        <f ca="1">IF(ELEMENT!FY45="",SUM(DY47:EB47),"")</f>
        <v>0</v>
      </c>
      <c r="EE47" t="str">
        <f>IF(ELEMENT!AO45="","",
IF(ELEMENT!FY45="",(EC47/DR47),""))</f>
        <v/>
      </c>
      <c r="EF47" t="str">
        <f t="shared" si="56"/>
        <v/>
      </c>
      <c r="EG47" t="str">
        <f>IF(ELEMENT!AO45="","",EC47*ELEMENT!C45)</f>
        <v/>
      </c>
    </row>
    <row r="48" spans="1:137" ht="22.5" customHeight="1" x14ac:dyDescent="0.2">
      <c r="A48" s="311"/>
      <c r="B48" s="314" t="str">
        <f>ELEMENT!B46</f>
        <v>total</v>
      </c>
      <c r="C48" s="313">
        <f>ELEMENT!C46</f>
        <v>0</v>
      </c>
      <c r="D48" s="313" t="str">
        <f>C6</f>
        <v>pce(s)</v>
      </c>
      <c r="E48" s="312"/>
      <c r="F48" s="312"/>
      <c r="G48" s="312"/>
      <c r="H48" s="312"/>
      <c r="I48" s="312"/>
      <c r="J48" s="312"/>
      <c r="K48" s="312"/>
      <c r="L48" s="312"/>
      <c r="M48" s="312"/>
      <c r="N48" s="312"/>
      <c r="O48" s="312"/>
      <c r="P48" s="487"/>
      <c r="Q48" s="487"/>
      <c r="R48" s="487"/>
      <c r="S48" s="487"/>
      <c r="T48" s="487"/>
      <c r="U48" s="487"/>
      <c r="V48" s="487"/>
      <c r="W48" s="487"/>
      <c r="X48" s="487"/>
      <c r="Y48" s="487"/>
      <c r="Z48" s="487"/>
      <c r="AA48" s="487"/>
      <c r="AB48" s="487"/>
      <c r="AC48" s="487"/>
      <c r="AD48" s="487"/>
      <c r="AE48" s="487"/>
      <c r="AF48" s="487"/>
      <c r="AG48" s="487"/>
      <c r="AH48" s="487"/>
      <c r="AI48" s="487"/>
      <c r="AJ48" s="487"/>
      <c r="AK48" s="487"/>
      <c r="AL48" s="487"/>
      <c r="AM48" s="312"/>
      <c r="AN48" s="312"/>
      <c r="AO48" s="312"/>
      <c r="AP48" s="312"/>
      <c r="AQ48" s="312"/>
      <c r="AR48" s="312"/>
      <c r="AS48" s="312"/>
      <c r="AT48" s="312"/>
      <c r="AU48" s="387" t="str">
        <f>$AW$6&amp;" x "&amp;Sprache!B11&amp;":"</f>
        <v>Σ element area x pce(s):</v>
      </c>
      <c r="AV48" s="309"/>
      <c r="AW48" s="309">
        <f>ELEMENT!$AB$46</f>
        <v>0</v>
      </c>
      <c r="AX48" s="312"/>
      <c r="AY48" s="312"/>
      <c r="AZ48" s="312"/>
      <c r="BA48" s="312"/>
      <c r="BB48" s="312"/>
      <c r="BC48" s="312"/>
      <c r="BD48" s="312"/>
      <c r="BE48" s="312"/>
      <c r="BF48" s="312"/>
      <c r="BG48" s="312"/>
      <c r="BH48" s="312"/>
      <c r="BI48" s="309"/>
      <c r="BJ48" s="309"/>
      <c r="BK48" s="308"/>
      <c r="BL48" s="308" t="str">
        <f>EE48</f>
        <v>Summe =</v>
      </c>
      <c r="BM48" s="307">
        <f>EF48</f>
        <v>0</v>
      </c>
      <c r="EE48" t="s">
        <v>1010</v>
      </c>
      <c r="EF48">
        <f>SUM(EG7:EG47)</f>
        <v>0</v>
      </c>
    </row>
    <row r="49" spans="1:136" ht="22.5" customHeight="1" thickBot="1" x14ac:dyDescent="0.25">
      <c r="A49" s="311"/>
      <c r="B49" s="310"/>
      <c r="C49" s="310"/>
      <c r="D49" s="309"/>
      <c r="E49" s="309"/>
      <c r="F49" s="309"/>
      <c r="G49" s="309"/>
      <c r="H49" s="309"/>
      <c r="I49" s="309"/>
      <c r="J49" s="309"/>
      <c r="K49" s="309"/>
      <c r="L49" s="309"/>
      <c r="M49" s="309"/>
      <c r="N49" s="309"/>
      <c r="O49" s="309"/>
      <c r="P49" s="487"/>
      <c r="Q49" s="487"/>
      <c r="R49" s="487"/>
      <c r="S49" s="487"/>
      <c r="T49" s="487"/>
      <c r="U49" s="487"/>
      <c r="V49" s="487"/>
      <c r="W49" s="487"/>
      <c r="X49" s="487"/>
      <c r="Y49" s="487"/>
      <c r="Z49" s="487"/>
      <c r="AA49" s="487"/>
      <c r="AB49" s="487"/>
      <c r="AC49" s="487"/>
      <c r="AD49" s="487"/>
      <c r="AE49" s="487"/>
      <c r="AF49" s="487"/>
      <c r="AG49" s="487"/>
      <c r="AH49" s="487"/>
      <c r="AI49" s="487"/>
      <c r="AJ49" s="487"/>
      <c r="AK49" s="487"/>
      <c r="AL49" s="487"/>
      <c r="AM49" s="309"/>
      <c r="AN49" s="309"/>
      <c r="AO49" s="309"/>
      <c r="AP49" s="309"/>
      <c r="AQ49" s="309"/>
      <c r="AR49" s="309"/>
      <c r="AS49" s="309"/>
      <c r="AT49" s="309"/>
      <c r="AU49" s="309"/>
      <c r="AV49" s="309"/>
      <c r="AW49" s="309"/>
      <c r="AX49" s="309"/>
      <c r="AY49" s="309"/>
      <c r="AZ49" s="309"/>
      <c r="BA49" s="309"/>
      <c r="BB49" s="309"/>
      <c r="BC49" s="309"/>
      <c r="BD49" s="309"/>
      <c r="BE49" s="309"/>
      <c r="BF49" s="309"/>
      <c r="BG49" s="309"/>
      <c r="BH49" s="309"/>
      <c r="BI49" s="309"/>
      <c r="BJ49" s="309"/>
      <c r="BK49" s="308"/>
      <c r="BL49" s="376" t="str">
        <f>EE49</f>
        <v>Durchschnitt =</v>
      </c>
      <c r="BM49" s="375" t="e">
        <f>EF49</f>
        <v>#DIV/0!</v>
      </c>
      <c r="EE49" t="s">
        <v>1009</v>
      </c>
      <c r="EF49" t="e">
        <f>EF48/ELEMENT!AB46</f>
        <v>#DIV/0!</v>
      </c>
    </row>
    <row r="50" spans="1:136" ht="22.5" customHeight="1" thickBot="1" x14ac:dyDescent="0.25">
      <c r="A50" s="306"/>
      <c r="B50" s="305"/>
      <c r="C50" s="305"/>
      <c r="D50" s="304"/>
      <c r="E50" s="304"/>
      <c r="F50" s="304"/>
      <c r="G50" s="304"/>
      <c r="H50" s="304"/>
      <c r="I50" s="304"/>
      <c r="J50" s="304"/>
      <c r="K50" s="304"/>
      <c r="L50" s="304"/>
      <c r="M50" s="304"/>
      <c r="N50" s="304"/>
      <c r="O50" s="304"/>
      <c r="P50" s="488"/>
      <c r="Q50" s="488"/>
      <c r="R50" s="488"/>
      <c r="S50" s="488"/>
      <c r="T50" s="488"/>
      <c r="U50" s="488"/>
      <c r="V50" s="488"/>
      <c r="W50" s="488"/>
      <c r="X50" s="488"/>
      <c r="Y50" s="488"/>
      <c r="Z50" s="488"/>
      <c r="AA50" s="488"/>
      <c r="AB50" s="488"/>
      <c r="AC50" s="488"/>
      <c r="AD50" s="488"/>
      <c r="AE50" s="488"/>
      <c r="AF50" s="488"/>
      <c r="AG50" s="488"/>
      <c r="AH50" s="488"/>
      <c r="AI50" s="488"/>
      <c r="AJ50" s="488"/>
      <c r="AK50" s="488"/>
      <c r="AL50" s="488"/>
      <c r="AM50" s="304"/>
      <c r="AN50" s="304"/>
      <c r="AO50" s="304"/>
      <c r="AP50" s="304"/>
      <c r="AQ50" s="304"/>
      <c r="AR50" s="304"/>
      <c r="AS50" s="304"/>
      <c r="AT50" s="304"/>
      <c r="AU50" s="304"/>
      <c r="AV50" s="304"/>
      <c r="AW50" s="304"/>
      <c r="AX50" s="304"/>
      <c r="AY50" s="304"/>
      <c r="AZ50" s="304"/>
      <c r="BA50" s="304"/>
      <c r="BB50" s="304"/>
      <c r="BC50" s="304"/>
      <c r="BD50" s="304"/>
      <c r="BE50" s="304"/>
      <c r="BF50" s="304"/>
      <c r="BG50" s="304"/>
      <c r="BH50" s="304"/>
      <c r="BI50" s="303"/>
      <c r="BJ50" s="302"/>
      <c r="BK50" s="301" t="str">
        <f>EE50</f>
        <v>Uw =</v>
      </c>
      <c r="BL50" s="300" t="e">
        <f>EF50</f>
        <v>#DIV/0!</v>
      </c>
      <c r="BM50" s="299" t="s">
        <v>47</v>
      </c>
      <c r="EE50" t="s">
        <v>1037</v>
      </c>
      <c r="EF50" t="e">
        <f>ROUND(EF49,2)</f>
        <v>#DIV/0!</v>
      </c>
    </row>
    <row r="51" spans="1:136" ht="21" customHeight="1" x14ac:dyDescent="0.2"/>
    <row r="52" spans="1:136" ht="21" customHeight="1" x14ac:dyDescent="0.2">
      <c r="CB52" t="s">
        <v>1008</v>
      </c>
      <c r="CT52" t="s">
        <v>971</v>
      </c>
      <c r="CV52" t="s">
        <v>970</v>
      </c>
    </row>
    <row r="53" spans="1:136" ht="21" customHeight="1" x14ac:dyDescent="0.2">
      <c r="CG53">
        <v>2</v>
      </c>
      <c r="CH53">
        <v>3</v>
      </c>
      <c r="CI53">
        <v>4</v>
      </c>
      <c r="CJ53">
        <v>5</v>
      </c>
      <c r="CK53">
        <v>6</v>
      </c>
      <c r="CL53">
        <v>7</v>
      </c>
      <c r="CM53">
        <v>8</v>
      </c>
      <c r="CN53">
        <v>9</v>
      </c>
      <c r="CO53">
        <v>10</v>
      </c>
      <c r="CP53">
        <v>11</v>
      </c>
      <c r="CQ53">
        <v>12</v>
      </c>
      <c r="CR53">
        <v>13</v>
      </c>
      <c r="CS53">
        <v>14</v>
      </c>
      <c r="CT53">
        <v>15</v>
      </c>
      <c r="CU53">
        <v>16</v>
      </c>
      <c r="CV53">
        <v>17</v>
      </c>
      <c r="CW53">
        <v>18</v>
      </c>
    </row>
    <row r="54" spans="1:136" x14ac:dyDescent="0.2">
      <c r="CB54" t="s">
        <v>1007</v>
      </c>
      <c r="CF54" t="s">
        <v>988</v>
      </c>
      <c r="CG54" t="s">
        <v>1006</v>
      </c>
      <c r="CH54" t="s">
        <v>1005</v>
      </c>
      <c r="CI54" t="s">
        <v>1004</v>
      </c>
      <c r="CJ54" t="s">
        <v>1003</v>
      </c>
      <c r="CK54" t="s">
        <v>1002</v>
      </c>
      <c r="CL54" t="s">
        <v>1001</v>
      </c>
      <c r="CM54" t="s">
        <v>1000</v>
      </c>
      <c r="CN54" t="s">
        <v>999</v>
      </c>
      <c r="CO54" t="s">
        <v>998</v>
      </c>
      <c r="CP54" t="s">
        <v>997</v>
      </c>
      <c r="CQ54" t="s">
        <v>996</v>
      </c>
      <c r="CR54" t="s">
        <v>1115</v>
      </c>
      <c r="CS54" t="s">
        <v>1116</v>
      </c>
      <c r="CT54" t="s">
        <v>969</v>
      </c>
      <c r="CU54" t="s">
        <v>1086</v>
      </c>
      <c r="CV54" t="s">
        <v>969</v>
      </c>
      <c r="CW54" t="s">
        <v>1086</v>
      </c>
      <c r="CZ54" t="s">
        <v>995</v>
      </c>
    </row>
    <row r="55" spans="1:136" x14ac:dyDescent="0.2">
      <c r="CB55" t="s">
        <v>993</v>
      </c>
      <c r="CF55">
        <v>2</v>
      </c>
      <c r="CG55">
        <v>4.6029999999999998</v>
      </c>
      <c r="CH55">
        <v>3.2229999999999999</v>
      </c>
      <c r="CI55">
        <v>4.8129999999999997</v>
      </c>
      <c r="CJ55">
        <v>13.958</v>
      </c>
      <c r="CK55">
        <v>0.33600000000000002</v>
      </c>
      <c r="CL55">
        <v>3.266</v>
      </c>
      <c r="CM55">
        <v>2.3860000000000001</v>
      </c>
      <c r="CN55">
        <v>67</v>
      </c>
      <c r="CO55">
        <v>48</v>
      </c>
      <c r="CP55">
        <v>57</v>
      </c>
      <c r="CQ55">
        <v>20</v>
      </c>
      <c r="CR55">
        <v>52</v>
      </c>
      <c r="CS55">
        <v>102</v>
      </c>
      <c r="CT55">
        <v>6.8000000000000005E-2</v>
      </c>
      <c r="CU55">
        <v>3.5999999999999997E-2</v>
      </c>
      <c r="CV55">
        <v>1</v>
      </c>
      <c r="CW55">
        <v>1</v>
      </c>
      <c r="CZ55" t="s">
        <v>994</v>
      </c>
    </row>
    <row r="56" spans="1:136" x14ac:dyDescent="0.2">
      <c r="CB56" t="s">
        <v>993</v>
      </c>
      <c r="CF56">
        <v>3</v>
      </c>
      <c r="CG56">
        <v>3.9489999999999998</v>
      </c>
      <c r="CH56">
        <v>2.5430000000000001</v>
      </c>
      <c r="CI56">
        <v>4.53</v>
      </c>
      <c r="CJ56">
        <v>16.626000000000001</v>
      </c>
      <c r="CK56">
        <v>0.27</v>
      </c>
      <c r="CL56">
        <v>2.6339999999999999</v>
      </c>
      <c r="CM56">
        <v>1.8089999999999999</v>
      </c>
      <c r="CN56">
        <v>74</v>
      </c>
      <c r="CO56">
        <v>58</v>
      </c>
      <c r="CP56">
        <v>57</v>
      </c>
      <c r="CQ56">
        <v>20</v>
      </c>
      <c r="CR56">
        <v>56</v>
      </c>
      <c r="CS56">
        <v>105</v>
      </c>
      <c r="CT56">
        <v>6.3E-2</v>
      </c>
      <c r="CU56">
        <v>3.1E-2</v>
      </c>
      <c r="CV56">
        <v>8.4000000000000005E-2</v>
      </c>
      <c r="CW56">
        <v>4.4999999999999998E-2</v>
      </c>
      <c r="CZ56" t="s">
        <v>992</v>
      </c>
    </row>
    <row r="57" spans="1:136" x14ac:dyDescent="0.2">
      <c r="CB57" t="s">
        <v>993</v>
      </c>
      <c r="CF57" t="s">
        <v>1078</v>
      </c>
      <c r="CG57">
        <v>3.9489999999999998</v>
      </c>
      <c r="CH57">
        <v>2.5430000000000001</v>
      </c>
      <c r="CI57">
        <v>4.53</v>
      </c>
      <c r="CJ57">
        <v>6.569</v>
      </c>
      <c r="CK57">
        <v>0.27</v>
      </c>
      <c r="CL57">
        <v>2.6339999999999999</v>
      </c>
      <c r="CM57">
        <v>1.8089999999999999</v>
      </c>
      <c r="CN57">
        <v>74</v>
      </c>
      <c r="CO57">
        <v>58</v>
      </c>
      <c r="CP57">
        <v>57</v>
      </c>
      <c r="CQ57">
        <v>30</v>
      </c>
      <c r="CR57">
        <v>56</v>
      </c>
      <c r="CS57">
        <v>105</v>
      </c>
      <c r="CT57">
        <v>6.3E-2</v>
      </c>
      <c r="CU57">
        <v>3.1E-2</v>
      </c>
      <c r="CV57">
        <v>8.4000000000000005E-2</v>
      </c>
      <c r="CW57">
        <v>4.4999999999999998E-2</v>
      </c>
    </row>
    <row r="58" spans="1:136" x14ac:dyDescent="0.2">
      <c r="CB58" t="s">
        <v>993</v>
      </c>
      <c r="CF58">
        <v>1</v>
      </c>
      <c r="CG58">
        <v>13.212</v>
      </c>
      <c r="CH58">
        <v>8.1150000000000002</v>
      </c>
      <c r="CI58">
        <v>15.44</v>
      </c>
      <c r="CJ58">
        <v>23.344999999999999</v>
      </c>
      <c r="CK58">
        <v>0.38</v>
      </c>
      <c r="CL58">
        <f>(11.229+7.906)/2</f>
        <v>9.567499999999999</v>
      </c>
      <c r="CM58">
        <f>(8.732+7.055)/2</f>
        <v>7.8934999999999995</v>
      </c>
      <c r="CN58">
        <v>67</v>
      </c>
      <c r="CO58">
        <v>48</v>
      </c>
      <c r="CP58">
        <v>57</v>
      </c>
      <c r="CQ58">
        <v>20</v>
      </c>
      <c r="CR58">
        <v>52</v>
      </c>
      <c r="CS58">
        <v>102</v>
      </c>
      <c r="CT58">
        <v>-2.7E-2</v>
      </c>
      <c r="CU58">
        <v>-2.7E-2</v>
      </c>
      <c r="CV58">
        <v>0</v>
      </c>
      <c r="CW58">
        <v>0</v>
      </c>
    </row>
    <row r="59" spans="1:136" x14ac:dyDescent="0.2">
      <c r="CB59" t="s">
        <v>993</v>
      </c>
    </row>
    <row r="60" spans="1:136" x14ac:dyDescent="0.2">
      <c r="CB60" t="s">
        <v>993</v>
      </c>
    </row>
    <row r="61" spans="1:136" x14ac:dyDescent="0.2">
      <c r="CB61" t="s">
        <v>991</v>
      </c>
      <c r="CG61">
        <v>3.9489999999999998</v>
      </c>
      <c r="CH61">
        <v>2.5430000000000001</v>
      </c>
      <c r="CJ61">
        <v>16.626000000000001</v>
      </c>
      <c r="CL61">
        <v>2.6339999999999999</v>
      </c>
      <c r="CM61">
        <v>1.8089999999999999</v>
      </c>
      <c r="CN61">
        <v>74</v>
      </c>
      <c r="CO61">
        <v>58</v>
      </c>
      <c r="CQ61">
        <v>20</v>
      </c>
      <c r="CZ61" t="s">
        <v>990</v>
      </c>
    </row>
    <row r="66" spans="80:89" x14ac:dyDescent="0.2">
      <c r="CB66" t="s">
        <v>989</v>
      </c>
    </row>
    <row r="67" spans="80:89" x14ac:dyDescent="0.2">
      <c r="CJ67" t="s">
        <v>988</v>
      </c>
    </row>
    <row r="68" spans="80:89" x14ac:dyDescent="0.2">
      <c r="CC68" t="s">
        <v>986</v>
      </c>
      <c r="CD68" t="s">
        <v>985</v>
      </c>
      <c r="CF68" t="s">
        <v>987</v>
      </c>
      <c r="CH68">
        <f>CA3</f>
        <v>3</v>
      </c>
      <c r="CJ68" t="s">
        <v>986</v>
      </c>
      <c r="CK68" t="s">
        <v>985</v>
      </c>
    </row>
    <row r="69" spans="80:89" x14ac:dyDescent="0.2">
      <c r="CB69" t="s">
        <v>984</v>
      </c>
      <c r="CC69">
        <v>52</v>
      </c>
      <c r="CD69">
        <v>102</v>
      </c>
      <c r="CJ69">
        <f>IF(CH68=2,CC69,CC70)</f>
        <v>56</v>
      </c>
      <c r="CK69">
        <f>IF(CH68=2,CD69,CD70)</f>
        <v>105</v>
      </c>
    </row>
    <row r="70" spans="80:89" x14ac:dyDescent="0.2">
      <c r="CB70" t="s">
        <v>983</v>
      </c>
      <c r="CC70">
        <v>56</v>
      </c>
      <c r="CD70">
        <v>105</v>
      </c>
      <c r="CF70" t="s">
        <v>982</v>
      </c>
    </row>
    <row r="72" spans="80:89" x14ac:dyDescent="0.2">
      <c r="CB72" t="s">
        <v>981</v>
      </c>
      <c r="CD72" t="s">
        <v>980</v>
      </c>
      <c r="CG72" t="s">
        <v>971</v>
      </c>
      <c r="CH72" t="s">
        <v>970</v>
      </c>
    </row>
    <row r="73" spans="80:89" x14ac:dyDescent="0.2">
      <c r="CB73">
        <v>1</v>
      </c>
      <c r="CC73" t="s">
        <v>150</v>
      </c>
      <c r="CD73">
        <v>1</v>
      </c>
      <c r="CG73">
        <v>-2.7E-2</v>
      </c>
    </row>
    <row r="74" spans="80:89" x14ac:dyDescent="0.2">
      <c r="CB74">
        <v>2</v>
      </c>
      <c r="CC74" t="s">
        <v>150</v>
      </c>
      <c r="CD74">
        <v>1</v>
      </c>
      <c r="CG74">
        <v>-2.7E-2</v>
      </c>
    </row>
    <row r="76" spans="80:89" x14ac:dyDescent="0.2">
      <c r="CB76">
        <v>1</v>
      </c>
      <c r="CC76" t="s">
        <v>969</v>
      </c>
      <c r="CD76">
        <v>2</v>
      </c>
      <c r="CF76" t="s">
        <v>979</v>
      </c>
      <c r="CG76">
        <v>6.8000000000000005E-2</v>
      </c>
      <c r="CH76">
        <v>1</v>
      </c>
    </row>
    <row r="77" spans="80:89" x14ac:dyDescent="0.2">
      <c r="CB77">
        <v>2</v>
      </c>
      <c r="CC77" t="s">
        <v>1086</v>
      </c>
      <c r="CD77">
        <v>2</v>
      </c>
      <c r="CF77" t="s">
        <v>977</v>
      </c>
      <c r="CG77">
        <v>3.5999999999999997E-2</v>
      </c>
      <c r="CH77">
        <v>1</v>
      </c>
    </row>
    <row r="79" spans="80:89" x14ac:dyDescent="0.2">
      <c r="CB79">
        <v>1</v>
      </c>
      <c r="CC79" t="s">
        <v>969</v>
      </c>
      <c r="CD79">
        <v>3</v>
      </c>
      <c r="CF79" t="s">
        <v>979</v>
      </c>
      <c r="CG79">
        <v>6.3E-2</v>
      </c>
      <c r="CH79">
        <v>8.4000000000000005E-2</v>
      </c>
      <c r="CI79" t="s">
        <v>978</v>
      </c>
    </row>
    <row r="80" spans="80:89" x14ac:dyDescent="0.2">
      <c r="CB80">
        <v>2</v>
      </c>
      <c r="CC80" t="s">
        <v>1086</v>
      </c>
      <c r="CD80">
        <v>3</v>
      </c>
      <c r="CF80" t="s">
        <v>977</v>
      </c>
      <c r="CG80">
        <v>3.1E-2</v>
      </c>
      <c r="CH80">
        <v>4.4999999999999998E-2</v>
      </c>
    </row>
    <row r="82" spans="80:90" x14ac:dyDescent="0.2">
      <c r="CH82" t="s">
        <v>976</v>
      </c>
    </row>
    <row r="83" spans="80:90" x14ac:dyDescent="0.2">
      <c r="CB83" t="s">
        <v>975</v>
      </c>
      <c r="CG83">
        <f>CA3</f>
        <v>3</v>
      </c>
    </row>
    <row r="84" spans="80:90" x14ac:dyDescent="0.2">
      <c r="CB84" t="s">
        <v>974</v>
      </c>
      <c r="CG84" t="s">
        <v>969</v>
      </c>
    </row>
    <row r="86" spans="80:90" x14ac:dyDescent="0.2">
      <c r="CB86" t="s">
        <v>973</v>
      </c>
      <c r="CD86" t="s">
        <v>972</v>
      </c>
      <c r="CG86" t="s">
        <v>971</v>
      </c>
      <c r="CH86" t="s">
        <v>970</v>
      </c>
    </row>
    <row r="87" spans="80:90" x14ac:dyDescent="0.2">
      <c r="CB87">
        <v>1</v>
      </c>
      <c r="CD87" t="str">
        <f>IF(CA3=1,CC73,
IF(CA3=2,CC76,
IF(CA3=3,CC79,)))</f>
        <v>Nirotec 017 (CNS)</v>
      </c>
      <c r="CG87" t="str">
        <f>IF(ELEMENT!$AO5=1,
VLOOKUP($CA$3,$CF$55:$CY$60,$CT$53,FALSE),"")</f>
        <v/>
      </c>
      <c r="CH87">
        <f>IF(CA3=2,CH76,CH79)</f>
        <v>8.4000000000000005E-2</v>
      </c>
      <c r="CK87" t="str">
        <f>IF(ELEMENT!$AO5=1,
VLOOKUP($CA$3,$CF$55:$CY$60,$CT$53,FALSE),"")</f>
        <v/>
      </c>
      <c r="CL87" t="str">
        <f>IF(ELEMENT!$AO5=1,
VLOOKUP($CA$3,$CF$55:$CY$60,$CV$53,FALSE),"")</f>
        <v/>
      </c>
    </row>
    <row r="88" spans="80:90" x14ac:dyDescent="0.2">
      <c r="CB88">
        <v>2</v>
      </c>
      <c r="CD88" t="str">
        <f>IF(CA3=1,CC74,
IF(CA3=2,CC77,
IF(CA3=3,CC80,)))</f>
        <v>Swisspacer U</v>
      </c>
      <c r="CG88" t="str">
        <f>IF(ELEMENT!$AO5=1,
VLOOKUP($CA$3,$CF$55:$CY$60,$CU$53,FALSE),"")</f>
        <v/>
      </c>
      <c r="CH88">
        <f>IF(CA3=2,CH77,CH80)</f>
        <v>4.4999999999999998E-2</v>
      </c>
      <c r="CI88" t="str">
        <f>IF(CG84=CD88,"&lt;-----","")</f>
        <v/>
      </c>
      <c r="CK88" t="str">
        <f>IF(ELEMENT!$AO5=1,
VLOOKUP($CA$3,$CF$55:$CY$60,$CU$53,FALSE),"")</f>
        <v/>
      </c>
      <c r="CL88" t="str">
        <f>IF(ELEMENT!$AO5=1,
VLOOKUP($CA$3,$CF$55:$CY$60,$CW$53,FALSE),"")</f>
        <v/>
      </c>
    </row>
    <row r="92" spans="80:90" x14ac:dyDescent="0.2">
      <c r="CB92" t="s">
        <v>1079</v>
      </c>
    </row>
    <row r="93" spans="80:90" x14ac:dyDescent="0.2">
      <c r="CB93">
        <v>20</v>
      </c>
      <c r="CC93">
        <f>IF(ELEMENT!AH4=3,30,20)</f>
        <v>20</v>
      </c>
    </row>
  </sheetData>
  <sheetProtection password="D424" sheet="1"/>
  <mergeCells count="6">
    <mergeCell ref="Z3:AB3"/>
    <mergeCell ref="B4:X4"/>
    <mergeCell ref="A3:X3"/>
    <mergeCell ref="P48:AL50"/>
    <mergeCell ref="B5:F5"/>
    <mergeCell ref="AD3:AE3"/>
  </mergeCells>
  <conditionalFormatting sqref="A1:H1 B2:H2 AO1 J1:N2 P1 P2:Q2 V1:Y2 S1:T2 AX1:BB1 AA1:AC2 AF1:AG1 AF2:AF3 AH3 Y3:Y4 AX2 AT3:AX3 AQ1 P48 G5:H5 B4:B5 Z3 AC3 AL3:AR3 AR48:BL50 BJ1:BL47 AO4:AO50 AA4:AD47 V5:Y47 S5:T47 J5:N50 AF4:AL47 P5:Q47 A6:H50 AR4:BI47">
    <cfRule type="cellIs" dxfId="13" priority="27" stopIfTrue="1" operator="equal">
      <formula>0</formula>
    </cfRule>
  </conditionalFormatting>
  <conditionalFormatting sqref="I1:I2 I5:I50">
    <cfRule type="cellIs" dxfId="12" priority="26" stopIfTrue="1" operator="equal">
      <formula>0</formula>
    </cfRule>
  </conditionalFormatting>
  <conditionalFormatting sqref="O1:O2 O5:O50">
    <cfRule type="cellIs" dxfId="11" priority="25" stopIfTrue="1" operator="equal">
      <formula>0</formula>
    </cfRule>
  </conditionalFormatting>
  <conditionalFormatting sqref="U1:U2 U5:U47">
    <cfRule type="cellIs" dxfId="10" priority="24" stopIfTrue="1" operator="equal">
      <formula>0</formula>
    </cfRule>
  </conditionalFormatting>
  <conditionalFormatting sqref="Z1:Z2 Z4:Z47">
    <cfRule type="cellIs" dxfId="9" priority="23" stopIfTrue="1" operator="equal">
      <formula>0</formula>
    </cfRule>
  </conditionalFormatting>
  <conditionalFormatting sqref="AE1:AE2 AE4:AE47">
    <cfRule type="cellIs" dxfId="8" priority="22" stopIfTrue="1" operator="equal">
      <formula>0</formula>
    </cfRule>
  </conditionalFormatting>
  <conditionalFormatting sqref="BM6:BM47">
    <cfRule type="cellIs" dxfId="7" priority="21" stopIfTrue="1" operator="equal">
      <formula>0</formula>
    </cfRule>
  </conditionalFormatting>
  <conditionalFormatting sqref="AM4:AM50">
    <cfRule type="cellIs" dxfId="6" priority="20" stopIfTrue="1" operator="equal">
      <formula>0</formula>
    </cfRule>
  </conditionalFormatting>
  <conditionalFormatting sqref="AP1 AP4:AP50">
    <cfRule type="cellIs" dxfId="5" priority="19" stopIfTrue="1" operator="equal">
      <formula>0</formula>
    </cfRule>
  </conditionalFormatting>
  <conditionalFormatting sqref="AN1 AN4:AN50">
    <cfRule type="cellIs" dxfId="4" priority="18" stopIfTrue="1" operator="equal">
      <formula>0</formula>
    </cfRule>
  </conditionalFormatting>
  <conditionalFormatting sqref="AQ4:AQ50">
    <cfRule type="cellIs" dxfId="3" priority="17" stopIfTrue="1" operator="equal">
      <formula>0</formula>
    </cfRule>
  </conditionalFormatting>
  <conditionalFormatting sqref="R2 R5:R47">
    <cfRule type="cellIs" dxfId="2" priority="16" stopIfTrue="1" operator="equal">
      <formula>0</formula>
    </cfRule>
  </conditionalFormatting>
  <conditionalFormatting sqref="AH1:AI1 AI3">
    <cfRule type="cellIs" dxfId="1" priority="15" stopIfTrue="1" operator="equal">
      <formula>0</formula>
    </cfRule>
  </conditionalFormatting>
  <conditionalFormatting sqref="AD3">
    <cfRule type="cellIs" dxfId="0" priority="13" stopIfTrue="1" operator="equal">
      <formula>0</formula>
    </cfRule>
  </conditionalFormatting>
  <dataValidations count="2">
    <dataValidation type="list" allowBlank="1" showInputMessage="1" showErrorMessage="1" sqref="AL3" xr:uid="{00000000-0002-0000-1000-000000000000}">
      <formula1>$CB$87:$CB$88</formula1>
    </dataValidation>
    <dataValidation type="list" showInputMessage="1" showErrorMessage="1" sqref="AD3:AE3" xr:uid="{00000000-0002-0000-1000-000001000000}">
      <formula1>$CB$93:$CC$93</formula1>
    </dataValidation>
  </dataValidations>
  <pageMargins left="0.31496062992125984" right="0.11811023622047245" top="1.3385826771653544" bottom="0.35433070866141736" header="0.31496062992125984" footer="0.31496062992125984"/>
  <pageSetup paperSize="9" scale="42" orientation="landscape" r:id="rId1"/>
  <headerFooter>
    <oddFooter>&amp;C&amp;D / &amp;T</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17</vt:i4>
      </vt:variant>
      <vt:variant>
        <vt:lpstr>Named Ranges</vt:lpstr>
      </vt:variant>
      <vt:variant>
        <vt:i4>21</vt:i4>
      </vt:variant>
    </vt:vector>
  </HeadingPairs>
  <TitlesOfParts>
    <vt:vector size="38" baseType="lpstr">
      <vt:lpstr>ELEMENT</vt:lpstr>
      <vt:lpstr>MONTAGE</vt:lpstr>
      <vt:lpstr>OPTION</vt:lpstr>
      <vt:lpstr>OFFERT 1</vt:lpstr>
      <vt:lpstr>OFFERT 2</vt:lpstr>
      <vt:lpstr>OFFERT 3</vt:lpstr>
      <vt:lpstr>OFFERT 4</vt:lpstr>
      <vt:lpstr>OFFERT 5</vt:lpstr>
      <vt:lpstr>VZ</vt:lpstr>
      <vt:lpstr>Sprache</vt:lpstr>
      <vt:lpstr>S1</vt:lpstr>
      <vt:lpstr>S2</vt:lpstr>
      <vt:lpstr>S3</vt:lpstr>
      <vt:lpstr>S3M</vt:lpstr>
      <vt:lpstr>Kalkschema</vt:lpstr>
      <vt:lpstr>Glas</vt:lpstr>
      <vt:lpstr>Uw</vt:lpstr>
      <vt:lpstr>VZ!LS</vt:lpstr>
      <vt:lpstr>ELEMENT!Print_Area</vt:lpstr>
      <vt:lpstr>MONTAGE!Print_Area</vt:lpstr>
      <vt:lpstr>'OFFERT 1'!Print_Area</vt:lpstr>
      <vt:lpstr>'OFFERT 2'!Print_Area</vt:lpstr>
      <vt:lpstr>'OFFERT 3'!Print_Area</vt:lpstr>
      <vt:lpstr>'OFFERT 4'!Print_Area</vt:lpstr>
      <vt:lpstr>'OFFERT 5'!Print_Area</vt:lpstr>
      <vt:lpstr>OPTION!Print_Area</vt:lpstr>
      <vt:lpstr>'S1'!Print_Area</vt:lpstr>
      <vt:lpstr>'S2'!Print_Area</vt:lpstr>
      <vt:lpstr>'S3'!Print_Area</vt:lpstr>
      <vt:lpstr>Uw!Print_Area</vt:lpstr>
      <vt:lpstr>VZ!Print_Area</vt:lpstr>
      <vt:lpstr>MONTAGE!Print_Titles</vt:lpstr>
      <vt:lpstr>'OFFERT 1'!Print_Titles</vt:lpstr>
      <vt:lpstr>'OFFERT 2'!Print_Titles</vt:lpstr>
      <vt:lpstr>'OFFERT 3'!Print_Titles</vt:lpstr>
      <vt:lpstr>'OFFERT 4'!Print_Titles</vt:lpstr>
      <vt:lpstr>'OFFERT 5'!Print_Titles</vt:lpstr>
      <vt:lpstr>VZ!ZU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BGuhl</dc:creator>
  <cp:lastModifiedBy>Karen Hubbard</cp:lastModifiedBy>
  <cp:lastPrinted>2016-07-11T10:15:57Z</cp:lastPrinted>
  <dcterms:created xsi:type="dcterms:W3CDTF">2004-11-27T16:44:49Z</dcterms:created>
  <dcterms:modified xsi:type="dcterms:W3CDTF">2018-08-06T17:05:49Z</dcterms:modified>
</cp:coreProperties>
</file>